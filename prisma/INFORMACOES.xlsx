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8_{9C075266-EE1A-4B7B-BDAE-E85FB7AFCE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 IA" sheetId="8" r:id="rId1"/>
    <sheet name="Postos IA" sheetId="9" r:id="rId2"/>
    <sheet name="Funcionarios IA" sheetId="10" r:id="rId3"/>
    <sheet name="ALOCAÇÃO IA" sheetId="11" r:id="rId4"/>
    <sheet name="Alan" sheetId="12" state="hidden" r:id="rId5"/>
    <sheet name="Bernardo" sheetId="13" state="hidden" r:id="rId6"/>
    <sheet name="Cópia de ALan" sheetId="14" state="hidden" r:id="rId7"/>
    <sheet name="Cópia de Cópia de BDHorárioeBen" sheetId="15" state="hidden" r:id="rId8"/>
    <sheet name="Planilha simplificada" sheetId="16" state="hidden" r:id="rId9"/>
    <sheet name="Página24" sheetId="17" state="hidden" r:id="rId10"/>
    <sheet name="Página25" sheetId="18" state="hidden" r:id="rId11"/>
    <sheet name="IMP 4" sheetId="19" state="hidden" r:id="rId12"/>
    <sheet name="Página14" sheetId="20" state="hidden" r:id="rId13"/>
    <sheet name="IMP 2" sheetId="21" state="hidden" r:id="rId14"/>
    <sheet name="IMP 3" sheetId="22" state="hidden" r:id="rId15"/>
    <sheet name="IMP 1" sheetId="23" state="hidden" r:id="rId16"/>
    <sheet name="Página21" sheetId="24" state="hidden" r:id="rId17"/>
    <sheet name="Pauta Roteiro" sheetId="25" state="hidden" r:id="rId18"/>
    <sheet name="ROTEIRO" sheetId="26" state="hidden" r:id="rId19"/>
    <sheet name="plan natal 2024" sheetId="27" state="hidden" r:id="rId20"/>
    <sheet name="sapucaia novo" sheetId="28" state="hidden" r:id="rId21"/>
  </sheets>
  <externalReferences>
    <externalReference r:id="rId22"/>
  </externalReferences>
  <definedNames>
    <definedName name="_xlnm._FilterDatabase" localSheetId="4" hidden="1">Alan!$A$35:$AT$80</definedName>
    <definedName name="_xlnm._FilterDatabase" localSheetId="5" hidden="1">Bernardo!$A$35:$AT$90</definedName>
    <definedName name="_xlnm._FilterDatabase" localSheetId="0" hidden="1">'Cliente IA'!$A$1:$Q$975</definedName>
    <definedName name="_xlnm._FilterDatabase" localSheetId="6" hidden="1">'Cópia de ALan'!$A$8:$AN$146</definedName>
    <definedName name="_xlnm._FilterDatabase" localSheetId="7" hidden="1">'Cópia de Cópia de BDHorárioeBen'!$A$1:$F$54</definedName>
    <definedName name="_xlnm._FilterDatabase" localSheetId="2" hidden="1">'Funcionarios IA'!$A$1:$AD$999</definedName>
    <definedName name="_xlnm._FilterDatabase" localSheetId="12" hidden="1">Página14!$A$56:$H$180</definedName>
    <definedName name="_xlnm._FilterDatabase" localSheetId="9" hidden="1">Página24!$A$1:$G$102</definedName>
    <definedName name="_xlnm._FilterDatabase" localSheetId="8" hidden="1">'Planilha simplificada'!$A$33:$G$204</definedName>
    <definedName name="_xlnm._FilterDatabase" localSheetId="1" hidden="1">'Postos IA'!$A$1:$M$901</definedName>
    <definedName name="_xlnm._FilterDatabase" localSheetId="20" hidden="1">'sapucaia novo'!$A$2:$M$16</definedName>
    <definedName name="clientesfantasia" localSheetId="4">Alan!$K$9:$K$34</definedName>
    <definedName name="clientesfantasia" localSheetId="5">Bernardo!$K$9:$K$34</definedName>
    <definedName name="clientesfantasia" localSheetId="7">'Cópia de Cópia de BDHorárioeBen'!$D$17</definedName>
    <definedName name="clientesfantasia" localSheetId="8">'Planilha simplificada'!$D$7:$D$32</definedName>
    <definedName name="clientesfantasia" localSheetId="20">'sapucaia novo'!$C$3:$C$16</definedName>
    <definedName name="clientesfantasia">#REF!</definedName>
    <definedName name="IntervaloNomeadoteste">#REF!</definedName>
    <definedName name="Z_E00D8407_2A32_4105_8489_705B037C6288_.wvu.FilterData" localSheetId="6" hidden="1">'Cópia de ALan'!$A$76:$AK$146</definedName>
  </definedNames>
  <calcPr calcId="191029"/>
  <customWorkbookViews>
    <customWorkbookView name="Filtro 2" guid="{C9EEC45E-BB88-4F69-8412-513D104DCFD0}" maximized="1" windowWidth="0" windowHeight="0" activeSheetId="0"/>
    <customWorkbookView name="Filtro 1" guid="{E00D8407-2A32-4105-8489-705B037C6288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8" l="1"/>
  <c r="I2" i="28" s="1"/>
  <c r="H1" i="28"/>
  <c r="D3" i="27"/>
  <c r="E3" i="27" s="1"/>
  <c r="F3" i="27" s="1"/>
  <c r="G3" i="27" s="1"/>
  <c r="H3" i="27" s="1"/>
  <c r="I3" i="27" s="1"/>
  <c r="J3" i="27" s="1"/>
  <c r="K3" i="27" s="1"/>
  <c r="L3" i="27" s="1"/>
  <c r="M3" i="27" s="1"/>
  <c r="N3" i="27" s="1"/>
  <c r="O3" i="27" s="1"/>
  <c r="P3" i="27" s="1"/>
  <c r="Q3" i="27" s="1"/>
  <c r="R3" i="27" s="1"/>
  <c r="S3" i="27" s="1"/>
  <c r="T3" i="27" s="1"/>
  <c r="U3" i="27" s="1"/>
  <c r="V3" i="27" s="1"/>
  <c r="W3" i="27" s="1"/>
  <c r="C3" i="27"/>
  <c r="B2" i="27"/>
  <c r="C2" i="27" s="1"/>
  <c r="D2" i="27" s="1"/>
  <c r="E2" i="27" s="1"/>
  <c r="F2" i="27" s="1"/>
  <c r="G2" i="27" s="1"/>
  <c r="H2" i="27" s="1"/>
  <c r="I2" i="27" s="1"/>
  <c r="J2" i="27" s="1"/>
  <c r="K2" i="27" s="1"/>
  <c r="L2" i="27" s="1"/>
  <c r="M2" i="27" s="1"/>
  <c r="N2" i="27" s="1"/>
  <c r="O2" i="27" s="1"/>
  <c r="P2" i="27" s="1"/>
  <c r="Q2" i="27" s="1"/>
  <c r="R2" i="27" s="1"/>
  <c r="S2" i="27" s="1"/>
  <c r="T2" i="27" s="1"/>
  <c r="U2" i="27" s="1"/>
  <c r="V2" i="27" s="1"/>
  <c r="W2" i="27" s="1"/>
  <c r="X2" i="27" s="1"/>
  <c r="Y2" i="27" s="1"/>
  <c r="Z2" i="27" s="1"/>
  <c r="AA2" i="27" s="1"/>
  <c r="AB2" i="27" s="1"/>
  <c r="AC2" i="27" s="1"/>
  <c r="BO201" i="26"/>
  <c r="BN201" i="26"/>
  <c r="BM201" i="26"/>
  <c r="BL201" i="26"/>
  <c r="BK201" i="26"/>
  <c r="BJ201" i="26"/>
  <c r="BI201" i="26"/>
  <c r="BH201" i="26"/>
  <c r="BG201" i="26"/>
  <c r="BF201" i="26"/>
  <c r="BE201" i="26"/>
  <c r="BD201" i="26"/>
  <c r="BC201" i="26"/>
  <c r="BB201" i="26"/>
  <c r="BA201" i="26"/>
  <c r="AZ201" i="26"/>
  <c r="AY201" i="26"/>
  <c r="AX201" i="26"/>
  <c r="AW201" i="26"/>
  <c r="AV201" i="26"/>
  <c r="AU201" i="26"/>
  <c r="AT201" i="26"/>
  <c r="AS201" i="26"/>
  <c r="AR201" i="26"/>
  <c r="AQ201" i="26"/>
  <c r="AP201" i="26"/>
  <c r="AO201" i="26"/>
  <c r="AN201" i="26"/>
  <c r="AM201" i="26"/>
  <c r="AL201" i="26"/>
  <c r="AK201" i="26"/>
  <c r="Y201" i="26"/>
  <c r="X201" i="26"/>
  <c r="F201" i="26"/>
  <c r="E201" i="26"/>
  <c r="D201" i="26"/>
  <c r="BO200" i="26"/>
  <c r="BN200" i="26"/>
  <c r="BM200" i="26"/>
  <c r="BL200" i="26"/>
  <c r="BK200" i="26"/>
  <c r="BJ200" i="26"/>
  <c r="BI200" i="26"/>
  <c r="BH200" i="26"/>
  <c r="BG200" i="26"/>
  <c r="BF200" i="26"/>
  <c r="BE200" i="26"/>
  <c r="BD200" i="26"/>
  <c r="BC200" i="26"/>
  <c r="BB200" i="26"/>
  <c r="BA200" i="26"/>
  <c r="AZ200" i="26"/>
  <c r="AY200" i="26"/>
  <c r="AX200" i="26"/>
  <c r="AW200" i="26"/>
  <c r="AV200" i="26"/>
  <c r="AU200" i="26"/>
  <c r="AT200" i="26"/>
  <c r="AS200" i="26"/>
  <c r="AR200" i="26"/>
  <c r="AQ200" i="26"/>
  <c r="AP200" i="26"/>
  <c r="AO200" i="26"/>
  <c r="AN200" i="26"/>
  <c r="AM200" i="26"/>
  <c r="AL200" i="26"/>
  <c r="AK200" i="26"/>
  <c r="Y200" i="26"/>
  <c r="X200" i="26"/>
  <c r="F200" i="26"/>
  <c r="E200" i="26"/>
  <c r="D200" i="26"/>
  <c r="BO199" i="26"/>
  <c r="BN199" i="26"/>
  <c r="BM199" i="26"/>
  <c r="BL199" i="26"/>
  <c r="BK199" i="26"/>
  <c r="BJ199" i="26"/>
  <c r="BI199" i="26"/>
  <c r="BH199" i="26"/>
  <c r="BG199" i="26"/>
  <c r="BF199" i="26"/>
  <c r="BE199" i="26"/>
  <c r="BD199" i="26"/>
  <c r="BC199" i="26"/>
  <c r="BB199" i="26"/>
  <c r="BA199" i="26"/>
  <c r="AZ199" i="26"/>
  <c r="AY199" i="26"/>
  <c r="AX199" i="26"/>
  <c r="AW199" i="26"/>
  <c r="AV199" i="26"/>
  <c r="AU199" i="26"/>
  <c r="AT199" i="26"/>
  <c r="AS199" i="26"/>
  <c r="AR199" i="26"/>
  <c r="AQ199" i="26"/>
  <c r="AP199" i="26"/>
  <c r="AO199" i="26"/>
  <c r="AN199" i="26"/>
  <c r="AM199" i="26"/>
  <c r="AL199" i="26"/>
  <c r="AK199" i="26"/>
  <c r="Y199" i="26"/>
  <c r="X199" i="26"/>
  <c r="F199" i="26"/>
  <c r="E199" i="26"/>
  <c r="D199" i="26"/>
  <c r="BO198" i="26"/>
  <c r="BN198" i="26"/>
  <c r="BM198" i="26"/>
  <c r="BL198" i="26"/>
  <c r="BK198" i="26"/>
  <c r="BJ198" i="26"/>
  <c r="BI198" i="26"/>
  <c r="BH198" i="26"/>
  <c r="BG198" i="26"/>
  <c r="BF198" i="26"/>
  <c r="BE198" i="26"/>
  <c r="BD198" i="26"/>
  <c r="BC198" i="26"/>
  <c r="BB198" i="26"/>
  <c r="BA198" i="26"/>
  <c r="AZ198" i="26"/>
  <c r="AY198" i="26"/>
  <c r="AX198" i="26"/>
  <c r="AW198" i="26"/>
  <c r="AV198" i="26"/>
  <c r="AU198" i="26"/>
  <c r="AT198" i="26"/>
  <c r="AS198" i="26"/>
  <c r="AR198" i="26"/>
  <c r="AQ198" i="26"/>
  <c r="AP198" i="26"/>
  <c r="AO198" i="26"/>
  <c r="AN198" i="26"/>
  <c r="AM198" i="26"/>
  <c r="AL198" i="26"/>
  <c r="AK198" i="26"/>
  <c r="Y198" i="26"/>
  <c r="X198" i="26"/>
  <c r="F198" i="26"/>
  <c r="E198" i="26"/>
  <c r="D198" i="26"/>
  <c r="BO197" i="26"/>
  <c r="BN197" i="26"/>
  <c r="BM197" i="26"/>
  <c r="BL197" i="26"/>
  <c r="BK197" i="26"/>
  <c r="BJ197" i="26"/>
  <c r="BI197" i="26"/>
  <c r="BH197" i="26"/>
  <c r="BG197" i="26"/>
  <c r="BF197" i="26"/>
  <c r="BE197" i="26"/>
  <c r="BD197" i="26"/>
  <c r="BC197" i="26"/>
  <c r="BB197" i="26"/>
  <c r="BA197" i="26"/>
  <c r="AZ197" i="26"/>
  <c r="AY197" i="26"/>
  <c r="AX197" i="26"/>
  <c r="AW197" i="26"/>
  <c r="AV197" i="26"/>
  <c r="AU197" i="26"/>
  <c r="AT197" i="26"/>
  <c r="AS197" i="26"/>
  <c r="AR197" i="26"/>
  <c r="AQ197" i="26"/>
  <c r="AP197" i="26"/>
  <c r="AO197" i="26"/>
  <c r="AN197" i="26"/>
  <c r="AM197" i="26"/>
  <c r="AL197" i="26"/>
  <c r="AK197" i="26"/>
  <c r="Y197" i="26"/>
  <c r="X197" i="26"/>
  <c r="F197" i="26"/>
  <c r="E197" i="26"/>
  <c r="D197" i="26"/>
  <c r="BO196" i="26"/>
  <c r="BN196" i="26"/>
  <c r="BM196" i="26"/>
  <c r="BL196" i="26"/>
  <c r="BK196" i="26"/>
  <c r="BJ196" i="26"/>
  <c r="BI196" i="26"/>
  <c r="BH196" i="26"/>
  <c r="BG196" i="26"/>
  <c r="BF196" i="26"/>
  <c r="BE196" i="26"/>
  <c r="BD196" i="26"/>
  <c r="BC196" i="26"/>
  <c r="BB196" i="26"/>
  <c r="BA196" i="26"/>
  <c r="AZ196" i="26"/>
  <c r="AY196" i="26"/>
  <c r="AX196" i="26"/>
  <c r="AW196" i="26"/>
  <c r="AV196" i="26"/>
  <c r="AU196" i="26"/>
  <c r="AT196" i="26"/>
  <c r="AS196" i="26"/>
  <c r="AR196" i="26"/>
  <c r="AQ196" i="26"/>
  <c r="AP196" i="26"/>
  <c r="AO196" i="26"/>
  <c r="AN196" i="26"/>
  <c r="AM196" i="26"/>
  <c r="AL196" i="26"/>
  <c r="AK196" i="26"/>
  <c r="Y196" i="26"/>
  <c r="X196" i="26"/>
  <c r="F196" i="26"/>
  <c r="E196" i="26"/>
  <c r="D196" i="26"/>
  <c r="BO195" i="26"/>
  <c r="BN195" i="26"/>
  <c r="BM195" i="26"/>
  <c r="BL195" i="26"/>
  <c r="BK195" i="26"/>
  <c r="BJ195" i="26"/>
  <c r="BI195" i="26"/>
  <c r="BH195" i="26"/>
  <c r="BG195" i="26"/>
  <c r="BF195" i="26"/>
  <c r="BE195" i="26"/>
  <c r="BD195" i="26"/>
  <c r="BC195" i="26"/>
  <c r="BB195" i="26"/>
  <c r="BA195" i="26"/>
  <c r="AZ195" i="26"/>
  <c r="AY195" i="26"/>
  <c r="AX195" i="26"/>
  <c r="AW195" i="26"/>
  <c r="AV195" i="26"/>
  <c r="AU195" i="26"/>
  <c r="AT195" i="26"/>
  <c r="AS195" i="26"/>
  <c r="AR195" i="26"/>
  <c r="AQ195" i="26"/>
  <c r="AP195" i="26"/>
  <c r="AO195" i="26"/>
  <c r="AN195" i="26"/>
  <c r="AM195" i="26"/>
  <c r="AL195" i="26"/>
  <c r="AK195" i="26"/>
  <c r="Y195" i="26"/>
  <c r="X195" i="26"/>
  <c r="F195" i="26"/>
  <c r="E195" i="26"/>
  <c r="D195" i="26"/>
  <c r="BO194" i="26"/>
  <c r="BN194" i="26"/>
  <c r="BM194" i="26"/>
  <c r="BL194" i="26"/>
  <c r="BK194" i="26"/>
  <c r="BJ194" i="26"/>
  <c r="BI194" i="26"/>
  <c r="BH194" i="26"/>
  <c r="BG194" i="26"/>
  <c r="BF194" i="26"/>
  <c r="BE194" i="26"/>
  <c r="BD194" i="26"/>
  <c r="BC194" i="26"/>
  <c r="BB194" i="26"/>
  <c r="BA194" i="26"/>
  <c r="AZ194" i="26"/>
  <c r="AY194" i="26"/>
  <c r="AX194" i="26"/>
  <c r="AW194" i="26"/>
  <c r="AV194" i="26"/>
  <c r="AU194" i="26"/>
  <c r="AT194" i="26"/>
  <c r="AS194" i="26"/>
  <c r="AR194" i="26"/>
  <c r="AQ194" i="26"/>
  <c r="AP194" i="26"/>
  <c r="AO194" i="26"/>
  <c r="AN194" i="26"/>
  <c r="AM194" i="26"/>
  <c r="AL194" i="26"/>
  <c r="AK194" i="26"/>
  <c r="Y194" i="26"/>
  <c r="X194" i="26"/>
  <c r="F194" i="26"/>
  <c r="E194" i="26"/>
  <c r="D194" i="26"/>
  <c r="BO193" i="26"/>
  <c r="BN193" i="26"/>
  <c r="BM193" i="26"/>
  <c r="BL193" i="26"/>
  <c r="BK193" i="26"/>
  <c r="BJ193" i="26"/>
  <c r="BI193" i="26"/>
  <c r="BH193" i="26"/>
  <c r="BG193" i="26"/>
  <c r="BF193" i="26"/>
  <c r="BE193" i="26"/>
  <c r="BD193" i="26"/>
  <c r="BC193" i="26"/>
  <c r="BB193" i="26"/>
  <c r="BA193" i="26"/>
  <c r="AZ193" i="26"/>
  <c r="AY193" i="26"/>
  <c r="AX193" i="26"/>
  <c r="AW193" i="26"/>
  <c r="AV193" i="26"/>
  <c r="AU193" i="26"/>
  <c r="AT193" i="26"/>
  <c r="AS193" i="26"/>
  <c r="AR193" i="26"/>
  <c r="AQ193" i="26"/>
  <c r="AP193" i="26"/>
  <c r="AO193" i="26"/>
  <c r="AN193" i="26"/>
  <c r="AM193" i="26"/>
  <c r="AL193" i="26"/>
  <c r="AK193" i="26"/>
  <c r="AD193" i="26"/>
  <c r="AB193" i="26"/>
  <c r="B197" i="26" s="1"/>
  <c r="AF193" i="26" s="1"/>
  <c r="AA193" i="26"/>
  <c r="Y193" i="26"/>
  <c r="A194" i="26" s="1"/>
  <c r="X193" i="26"/>
  <c r="F193" i="26"/>
  <c r="E193" i="26"/>
  <c r="D193" i="26"/>
  <c r="BO191" i="26"/>
  <c r="BN191" i="26"/>
  <c r="BM191" i="26"/>
  <c r="BL191" i="26"/>
  <c r="BK191" i="26"/>
  <c r="BJ191" i="26"/>
  <c r="BI191" i="26"/>
  <c r="BH191" i="26"/>
  <c r="BG191" i="26"/>
  <c r="BF191" i="26"/>
  <c r="BE191" i="26"/>
  <c r="BD191" i="26"/>
  <c r="BC191" i="26"/>
  <c r="BB191" i="26"/>
  <c r="BA191" i="26"/>
  <c r="AZ191" i="26"/>
  <c r="AY191" i="26"/>
  <c r="AX191" i="26"/>
  <c r="AW191" i="26"/>
  <c r="AV191" i="26"/>
  <c r="AU191" i="26"/>
  <c r="AT191" i="26"/>
  <c r="AS191" i="26"/>
  <c r="AR191" i="26"/>
  <c r="AQ191" i="26"/>
  <c r="AP191" i="26"/>
  <c r="AO191" i="26"/>
  <c r="AN191" i="26"/>
  <c r="AM191" i="26"/>
  <c r="AL191" i="26"/>
  <c r="AK191" i="26"/>
  <c r="AA191" i="26"/>
  <c r="Y191" i="26"/>
  <c r="X191" i="26"/>
  <c r="F191" i="26"/>
  <c r="E191" i="26"/>
  <c r="D191" i="26"/>
  <c r="BO190" i="26"/>
  <c r="BN190" i="26"/>
  <c r="BM190" i="26"/>
  <c r="BL190" i="26"/>
  <c r="BK190" i="26"/>
  <c r="BJ190" i="26"/>
  <c r="BI190" i="26"/>
  <c r="BH190" i="26"/>
  <c r="BG190" i="26"/>
  <c r="BF190" i="26"/>
  <c r="BE190" i="26"/>
  <c r="BD190" i="26"/>
  <c r="BC190" i="26"/>
  <c r="BB190" i="26"/>
  <c r="BA190" i="26"/>
  <c r="AZ190" i="26"/>
  <c r="AY190" i="26"/>
  <c r="AX190" i="26"/>
  <c r="AW190" i="26"/>
  <c r="AV190" i="26"/>
  <c r="AU190" i="26"/>
  <c r="AT190" i="26"/>
  <c r="AS190" i="26"/>
  <c r="AR190" i="26"/>
  <c r="AQ190" i="26"/>
  <c r="AP190" i="26"/>
  <c r="AO190" i="26"/>
  <c r="AN190" i="26"/>
  <c r="AM190" i="26"/>
  <c r="AL190" i="26"/>
  <c r="AK190" i="26"/>
  <c r="AA190" i="26"/>
  <c r="Y190" i="26"/>
  <c r="X190" i="26"/>
  <c r="F190" i="26"/>
  <c r="E190" i="26"/>
  <c r="D190" i="26"/>
  <c r="BO189" i="26"/>
  <c r="BN189" i="26"/>
  <c r="BM189" i="26"/>
  <c r="BL189" i="26"/>
  <c r="BK189" i="26"/>
  <c r="BJ189" i="26"/>
  <c r="BI189" i="26"/>
  <c r="BH189" i="26"/>
  <c r="BG189" i="26"/>
  <c r="BF189" i="26"/>
  <c r="BE189" i="26"/>
  <c r="BD189" i="26"/>
  <c r="BC189" i="26"/>
  <c r="BB189" i="26"/>
  <c r="BA189" i="26"/>
  <c r="AZ189" i="26"/>
  <c r="AY189" i="26"/>
  <c r="AX189" i="26"/>
  <c r="AW189" i="26"/>
  <c r="AV189" i="26"/>
  <c r="AU189" i="26"/>
  <c r="AT189" i="26"/>
  <c r="AS189" i="26"/>
  <c r="AR189" i="26"/>
  <c r="AQ189" i="26"/>
  <c r="AP189" i="26"/>
  <c r="AO189" i="26"/>
  <c r="AN189" i="26"/>
  <c r="AM189" i="26"/>
  <c r="AL189" i="26"/>
  <c r="AK189" i="26"/>
  <c r="AA189" i="26"/>
  <c r="Y189" i="26"/>
  <c r="X189" i="26"/>
  <c r="F189" i="26"/>
  <c r="E189" i="26"/>
  <c r="D189" i="26"/>
  <c r="BO188" i="26"/>
  <c r="BN188" i="26"/>
  <c r="BM188" i="26"/>
  <c r="BL188" i="26"/>
  <c r="BK188" i="26"/>
  <c r="BJ188" i="26"/>
  <c r="BI188" i="26"/>
  <c r="BH188" i="26"/>
  <c r="BG188" i="26"/>
  <c r="BF188" i="26"/>
  <c r="BE188" i="26"/>
  <c r="BD188" i="26"/>
  <c r="BC188" i="26"/>
  <c r="BB188" i="26"/>
  <c r="BA188" i="26"/>
  <c r="AZ188" i="26"/>
  <c r="AY188" i="26"/>
  <c r="AX188" i="26"/>
  <c r="AW188" i="26"/>
  <c r="AV188" i="26"/>
  <c r="AU188" i="26"/>
  <c r="AT188" i="26"/>
  <c r="AS188" i="26"/>
  <c r="AR188" i="26"/>
  <c r="AQ188" i="26"/>
  <c r="AP188" i="26"/>
  <c r="AO188" i="26"/>
  <c r="AN188" i="26"/>
  <c r="AM188" i="26"/>
  <c r="AL188" i="26"/>
  <c r="AK188" i="26"/>
  <c r="AA188" i="26"/>
  <c r="Y188" i="26"/>
  <c r="X188" i="26"/>
  <c r="F188" i="26"/>
  <c r="E188" i="26"/>
  <c r="D188" i="26"/>
  <c r="BO187" i="26"/>
  <c r="BN187" i="26"/>
  <c r="BM187" i="26"/>
  <c r="BL187" i="26"/>
  <c r="BK187" i="26"/>
  <c r="BJ187" i="26"/>
  <c r="BI187" i="26"/>
  <c r="BH187" i="26"/>
  <c r="BG187" i="26"/>
  <c r="BF187" i="26"/>
  <c r="BE187" i="26"/>
  <c r="BD187" i="26"/>
  <c r="BC187" i="26"/>
  <c r="BB187" i="26"/>
  <c r="BA187" i="26"/>
  <c r="AZ187" i="26"/>
  <c r="AY187" i="26"/>
  <c r="AX187" i="26"/>
  <c r="AW187" i="26"/>
  <c r="AV187" i="26"/>
  <c r="AU187" i="26"/>
  <c r="AT187" i="26"/>
  <c r="AS187" i="26"/>
  <c r="AR187" i="26"/>
  <c r="AQ187" i="26"/>
  <c r="AP187" i="26"/>
  <c r="AO187" i="26"/>
  <c r="AN187" i="26"/>
  <c r="AM187" i="26"/>
  <c r="AL187" i="26"/>
  <c r="AK187" i="26"/>
  <c r="AA187" i="26"/>
  <c r="Y187" i="26"/>
  <c r="X187" i="26"/>
  <c r="F187" i="26"/>
  <c r="E187" i="26"/>
  <c r="D187" i="26"/>
  <c r="BO186" i="26"/>
  <c r="BN186" i="26"/>
  <c r="BM186" i="26"/>
  <c r="BL186" i="26"/>
  <c r="BK186" i="26"/>
  <c r="BJ186" i="26"/>
  <c r="BI186" i="26"/>
  <c r="BH186" i="26"/>
  <c r="BG186" i="26"/>
  <c r="BF186" i="26"/>
  <c r="BE186" i="26"/>
  <c r="BD186" i="26"/>
  <c r="BC186" i="26"/>
  <c r="BB186" i="26"/>
  <c r="BA186" i="26"/>
  <c r="AZ186" i="26"/>
  <c r="AY186" i="26"/>
  <c r="AX186" i="26"/>
  <c r="AW186" i="26"/>
  <c r="AV186" i="26"/>
  <c r="AU186" i="26"/>
  <c r="AT186" i="26"/>
  <c r="AS186" i="26"/>
  <c r="AR186" i="26"/>
  <c r="AQ186" i="26"/>
  <c r="AP186" i="26"/>
  <c r="AO186" i="26"/>
  <c r="AN186" i="26"/>
  <c r="AM186" i="26"/>
  <c r="AL186" i="26"/>
  <c r="AK186" i="26"/>
  <c r="AA186" i="26"/>
  <c r="Y186" i="26"/>
  <c r="X186" i="26"/>
  <c r="F186" i="26"/>
  <c r="E186" i="26"/>
  <c r="D186" i="26"/>
  <c r="BO185" i="26"/>
  <c r="BN185" i="26"/>
  <c r="BM185" i="26"/>
  <c r="BL185" i="26"/>
  <c r="BK185" i="26"/>
  <c r="BJ185" i="26"/>
  <c r="BI185" i="26"/>
  <c r="BH185" i="26"/>
  <c r="BG185" i="26"/>
  <c r="BF185" i="26"/>
  <c r="BE185" i="26"/>
  <c r="BD185" i="26"/>
  <c r="BC185" i="26"/>
  <c r="BB185" i="26"/>
  <c r="BA185" i="26"/>
  <c r="AZ185" i="26"/>
  <c r="AY185" i="26"/>
  <c r="AX185" i="26"/>
  <c r="AW185" i="26"/>
  <c r="AV185" i="26"/>
  <c r="AU185" i="26"/>
  <c r="AT185" i="26"/>
  <c r="AS185" i="26"/>
  <c r="AR185" i="26"/>
  <c r="AQ185" i="26"/>
  <c r="AP185" i="26"/>
  <c r="AO185" i="26"/>
  <c r="AN185" i="26"/>
  <c r="AM185" i="26"/>
  <c r="AL185" i="26"/>
  <c r="AK185" i="26"/>
  <c r="AA185" i="26"/>
  <c r="Y185" i="26"/>
  <c r="X185" i="26"/>
  <c r="F185" i="26"/>
  <c r="E185" i="26"/>
  <c r="D185" i="26"/>
  <c r="BO184" i="26"/>
  <c r="BN184" i="26"/>
  <c r="BM184" i="26"/>
  <c r="BL184" i="26"/>
  <c r="BK184" i="26"/>
  <c r="BJ184" i="26"/>
  <c r="BI184" i="26"/>
  <c r="BH184" i="26"/>
  <c r="BG184" i="26"/>
  <c r="BF184" i="26"/>
  <c r="BE184" i="26"/>
  <c r="BD184" i="26"/>
  <c r="BC184" i="26"/>
  <c r="BB184" i="26"/>
  <c r="BA184" i="26"/>
  <c r="AZ184" i="26"/>
  <c r="AY184" i="26"/>
  <c r="AX184" i="26"/>
  <c r="AW184" i="26"/>
  <c r="AV184" i="26"/>
  <c r="AU184" i="26"/>
  <c r="AT184" i="26"/>
  <c r="AS184" i="26"/>
  <c r="AR184" i="26"/>
  <c r="AQ184" i="26"/>
  <c r="AP184" i="26"/>
  <c r="AO184" i="26"/>
  <c r="AN184" i="26"/>
  <c r="AM184" i="26"/>
  <c r="AL184" i="26"/>
  <c r="AK184" i="26"/>
  <c r="AA184" i="26"/>
  <c r="Y184" i="26"/>
  <c r="X184" i="26"/>
  <c r="F184" i="26"/>
  <c r="E184" i="26"/>
  <c r="D184" i="26"/>
  <c r="BO183" i="26"/>
  <c r="BN183" i="26"/>
  <c r="BM183" i="26"/>
  <c r="BL183" i="26"/>
  <c r="BK183" i="26"/>
  <c r="BJ183" i="26"/>
  <c r="BI183" i="26"/>
  <c r="BH183" i="26"/>
  <c r="BG183" i="26"/>
  <c r="BF183" i="26"/>
  <c r="BE183" i="26"/>
  <c r="BD183" i="26"/>
  <c r="BC183" i="26"/>
  <c r="BB183" i="26"/>
  <c r="BA183" i="26"/>
  <c r="AZ183" i="26"/>
  <c r="AY183" i="26"/>
  <c r="AX183" i="26"/>
  <c r="AW183" i="26"/>
  <c r="AV183" i="26"/>
  <c r="AU183" i="26"/>
  <c r="AT183" i="26"/>
  <c r="AS183" i="26"/>
  <c r="AR183" i="26"/>
  <c r="AQ183" i="26"/>
  <c r="AP183" i="26"/>
  <c r="AO183" i="26"/>
  <c r="AN183" i="26"/>
  <c r="AM183" i="26"/>
  <c r="AL183" i="26"/>
  <c r="AK183" i="26"/>
  <c r="AF183" i="26"/>
  <c r="AD183" i="26"/>
  <c r="AB183" i="26"/>
  <c r="B189" i="26" s="1"/>
  <c r="AA183" i="26"/>
  <c r="Y183" i="26"/>
  <c r="A184" i="26" s="1"/>
  <c r="X183" i="26"/>
  <c r="F183" i="26"/>
  <c r="E183" i="26"/>
  <c r="D183" i="26"/>
  <c r="BO181" i="26"/>
  <c r="BN181" i="26"/>
  <c r="BM181" i="26"/>
  <c r="BL181" i="26"/>
  <c r="BK181" i="26"/>
  <c r="BJ181" i="26"/>
  <c r="BI181" i="26"/>
  <c r="BH181" i="26"/>
  <c r="BG181" i="26"/>
  <c r="BF181" i="26"/>
  <c r="BE181" i="26"/>
  <c r="BD181" i="26"/>
  <c r="BC181" i="26"/>
  <c r="BB181" i="26"/>
  <c r="BA181" i="26"/>
  <c r="AZ181" i="26"/>
  <c r="AY181" i="26"/>
  <c r="AX181" i="26"/>
  <c r="AW181" i="26"/>
  <c r="AV181" i="26"/>
  <c r="AU181" i="26"/>
  <c r="AT181" i="26"/>
  <c r="AS181" i="26"/>
  <c r="AR181" i="26"/>
  <c r="AQ181" i="26"/>
  <c r="AP181" i="26"/>
  <c r="AO181" i="26"/>
  <c r="AN181" i="26"/>
  <c r="AM181" i="26"/>
  <c r="AL181" i="26"/>
  <c r="AK181" i="26"/>
  <c r="AB181" i="26"/>
  <c r="AA181" i="26"/>
  <c r="Y181" i="26"/>
  <c r="X181" i="26"/>
  <c r="F181" i="26"/>
  <c r="E181" i="26"/>
  <c r="D181" i="26"/>
  <c r="BO180" i="26"/>
  <c r="BN180" i="26"/>
  <c r="BM180" i="26"/>
  <c r="BL180" i="26"/>
  <c r="BK180" i="26"/>
  <c r="BJ180" i="26"/>
  <c r="BI180" i="26"/>
  <c r="BH180" i="26"/>
  <c r="BG180" i="26"/>
  <c r="BF180" i="26"/>
  <c r="BE180" i="26"/>
  <c r="BD180" i="26"/>
  <c r="BC180" i="26"/>
  <c r="BB180" i="26"/>
  <c r="BA180" i="26"/>
  <c r="AZ180" i="26"/>
  <c r="AY180" i="26"/>
  <c r="AX180" i="26"/>
  <c r="AW180" i="26"/>
  <c r="AV180" i="26"/>
  <c r="AU180" i="26"/>
  <c r="AT180" i="26"/>
  <c r="AS180" i="26"/>
  <c r="AR180" i="26"/>
  <c r="AQ180" i="26"/>
  <c r="AP180" i="26"/>
  <c r="AO180" i="26"/>
  <c r="AN180" i="26"/>
  <c r="AM180" i="26"/>
  <c r="AL180" i="26"/>
  <c r="AK180" i="26"/>
  <c r="AB180" i="26"/>
  <c r="AA180" i="26"/>
  <c r="Y180" i="26"/>
  <c r="X180" i="26"/>
  <c r="F180" i="26"/>
  <c r="E180" i="26"/>
  <c r="D180" i="26"/>
  <c r="BO179" i="26"/>
  <c r="BN179" i="26"/>
  <c r="BM179" i="26"/>
  <c r="BL179" i="26"/>
  <c r="BK179" i="26"/>
  <c r="BJ179" i="26"/>
  <c r="BI179" i="26"/>
  <c r="BH179" i="26"/>
  <c r="BG179" i="26"/>
  <c r="BF179" i="26"/>
  <c r="BE179" i="26"/>
  <c r="BD179" i="26"/>
  <c r="BC179" i="26"/>
  <c r="BB179" i="26"/>
  <c r="BA179" i="26"/>
  <c r="AZ179" i="26"/>
  <c r="AY179" i="26"/>
  <c r="AX179" i="26"/>
  <c r="AW179" i="26"/>
  <c r="AV179" i="26"/>
  <c r="AU179" i="26"/>
  <c r="AT179" i="26"/>
  <c r="AS179" i="26"/>
  <c r="AR179" i="26"/>
  <c r="AQ179" i="26"/>
  <c r="AP179" i="26"/>
  <c r="AO179" i="26"/>
  <c r="AN179" i="26"/>
  <c r="AM179" i="26"/>
  <c r="AL179" i="26"/>
  <c r="AK179" i="26"/>
  <c r="AB179" i="26"/>
  <c r="AA179" i="26"/>
  <c r="Y179" i="26"/>
  <c r="X179" i="26"/>
  <c r="F179" i="26"/>
  <c r="E179" i="26"/>
  <c r="D179" i="26"/>
  <c r="BO178" i="26"/>
  <c r="BN178" i="26"/>
  <c r="BM178" i="26"/>
  <c r="BL178" i="26"/>
  <c r="BK178" i="26"/>
  <c r="BJ178" i="26"/>
  <c r="BI178" i="26"/>
  <c r="BH178" i="26"/>
  <c r="BG178" i="26"/>
  <c r="BF178" i="26"/>
  <c r="BE178" i="26"/>
  <c r="BD178" i="26"/>
  <c r="BC178" i="26"/>
  <c r="BB178" i="26"/>
  <c r="BA178" i="26"/>
  <c r="AZ178" i="26"/>
  <c r="AY178" i="26"/>
  <c r="AX178" i="26"/>
  <c r="AW178" i="26"/>
  <c r="AV178" i="26"/>
  <c r="AU178" i="26"/>
  <c r="AT178" i="26"/>
  <c r="AS178" i="26"/>
  <c r="AR178" i="26"/>
  <c r="AQ178" i="26"/>
  <c r="AP178" i="26"/>
  <c r="AO178" i="26"/>
  <c r="AN178" i="26"/>
  <c r="AM178" i="26"/>
  <c r="AL178" i="26"/>
  <c r="AK178" i="26"/>
  <c r="AB178" i="26"/>
  <c r="AA178" i="26"/>
  <c r="Y178" i="26"/>
  <c r="X178" i="26"/>
  <c r="F178" i="26"/>
  <c r="E178" i="26"/>
  <c r="D178" i="26"/>
  <c r="BO177" i="26"/>
  <c r="BN177" i="26"/>
  <c r="BM177" i="26"/>
  <c r="BL177" i="26"/>
  <c r="BK177" i="26"/>
  <c r="BJ177" i="26"/>
  <c r="BI177" i="26"/>
  <c r="BH177" i="26"/>
  <c r="BG177" i="26"/>
  <c r="BF177" i="26"/>
  <c r="BE177" i="26"/>
  <c r="BD177" i="26"/>
  <c r="BC177" i="26"/>
  <c r="BB177" i="26"/>
  <c r="BA177" i="26"/>
  <c r="AZ177" i="26"/>
  <c r="AY177" i="26"/>
  <c r="AX177" i="26"/>
  <c r="AW177" i="26"/>
  <c r="AV177" i="26"/>
  <c r="AU177" i="26"/>
  <c r="AT177" i="26"/>
  <c r="AS177" i="26"/>
  <c r="AR177" i="26"/>
  <c r="AQ177" i="26"/>
  <c r="AP177" i="26"/>
  <c r="AO177" i="26"/>
  <c r="AN177" i="26"/>
  <c r="AM177" i="26"/>
  <c r="AL177" i="26"/>
  <c r="AK177" i="26"/>
  <c r="AB177" i="26"/>
  <c r="AA177" i="26"/>
  <c r="Y177" i="26"/>
  <c r="X177" i="26"/>
  <c r="F177" i="26"/>
  <c r="E177" i="26"/>
  <c r="D177" i="26"/>
  <c r="BO176" i="26"/>
  <c r="BN176" i="26"/>
  <c r="BM176" i="26"/>
  <c r="BL176" i="26"/>
  <c r="BK176" i="26"/>
  <c r="BJ176" i="26"/>
  <c r="BI176" i="26"/>
  <c r="BH176" i="26"/>
  <c r="BG176" i="26"/>
  <c r="BF176" i="26"/>
  <c r="BE176" i="26"/>
  <c r="BD176" i="26"/>
  <c r="BC176" i="26"/>
  <c r="BB176" i="26"/>
  <c r="BA176" i="26"/>
  <c r="AZ176" i="26"/>
  <c r="AY176" i="26"/>
  <c r="AX176" i="26"/>
  <c r="AW176" i="26"/>
  <c r="AV176" i="26"/>
  <c r="AU176" i="26"/>
  <c r="AT176" i="26"/>
  <c r="AS176" i="26"/>
  <c r="AR176" i="26"/>
  <c r="AQ176" i="26"/>
  <c r="AP176" i="26"/>
  <c r="AO176" i="26"/>
  <c r="AN176" i="26"/>
  <c r="AM176" i="26"/>
  <c r="AL176" i="26"/>
  <c r="AK176" i="26"/>
  <c r="AB176" i="26"/>
  <c r="AA176" i="26"/>
  <c r="Y176" i="26"/>
  <c r="X176" i="26"/>
  <c r="F176" i="26"/>
  <c r="E176" i="26"/>
  <c r="D176" i="26"/>
  <c r="BO175" i="26"/>
  <c r="BN175" i="26"/>
  <c r="BM175" i="26"/>
  <c r="BL175" i="26"/>
  <c r="BK175" i="26"/>
  <c r="BJ175" i="26"/>
  <c r="BI175" i="26"/>
  <c r="BH175" i="26"/>
  <c r="BG175" i="26"/>
  <c r="BF175" i="26"/>
  <c r="BE175" i="26"/>
  <c r="BD175" i="26"/>
  <c r="BC175" i="26"/>
  <c r="BB175" i="26"/>
  <c r="BA175" i="26"/>
  <c r="AZ175" i="26"/>
  <c r="AY175" i="26"/>
  <c r="AX175" i="26"/>
  <c r="AW175" i="26"/>
  <c r="AV175" i="26"/>
  <c r="AU175" i="26"/>
  <c r="AT175" i="26"/>
  <c r="AS175" i="26"/>
  <c r="AR175" i="26"/>
  <c r="AQ175" i="26"/>
  <c r="AP175" i="26"/>
  <c r="AO175" i="26"/>
  <c r="AN175" i="26"/>
  <c r="AM175" i="26"/>
  <c r="AL175" i="26"/>
  <c r="AK175" i="26"/>
  <c r="AB175" i="26"/>
  <c r="AA175" i="26"/>
  <c r="Y175" i="26"/>
  <c r="X175" i="26"/>
  <c r="F175" i="26"/>
  <c r="E175" i="26"/>
  <c r="D175" i="26"/>
  <c r="BO174" i="26"/>
  <c r="BN174" i="26"/>
  <c r="BM174" i="26"/>
  <c r="BL174" i="26"/>
  <c r="BK174" i="26"/>
  <c r="BJ174" i="26"/>
  <c r="BI174" i="26"/>
  <c r="BH174" i="26"/>
  <c r="BG174" i="26"/>
  <c r="BF174" i="26"/>
  <c r="BE174" i="26"/>
  <c r="BD174" i="26"/>
  <c r="BC174" i="26"/>
  <c r="BB174" i="26"/>
  <c r="BA174" i="26"/>
  <c r="AZ174" i="26"/>
  <c r="AY174" i="26"/>
  <c r="AX174" i="26"/>
  <c r="AW174" i="26"/>
  <c r="AV174" i="26"/>
  <c r="AU174" i="26"/>
  <c r="AT174" i="26"/>
  <c r="AS174" i="26"/>
  <c r="AR174" i="26"/>
  <c r="AQ174" i="26"/>
  <c r="AP174" i="26"/>
  <c r="AO174" i="26"/>
  <c r="AN174" i="26"/>
  <c r="AM174" i="26"/>
  <c r="AL174" i="26"/>
  <c r="AK174" i="26"/>
  <c r="AB174" i="26"/>
  <c r="AA174" i="26"/>
  <c r="Y174" i="26"/>
  <c r="X174" i="26"/>
  <c r="F174" i="26"/>
  <c r="E174" i="26"/>
  <c r="D174" i="26"/>
  <c r="BO173" i="26"/>
  <c r="BN173" i="26"/>
  <c r="BM173" i="26"/>
  <c r="BL173" i="26"/>
  <c r="BK173" i="26"/>
  <c r="BJ173" i="26"/>
  <c r="BI173" i="26"/>
  <c r="BH173" i="26"/>
  <c r="BG173" i="26"/>
  <c r="BF173" i="26"/>
  <c r="BE173" i="26"/>
  <c r="BD173" i="26"/>
  <c r="BC173" i="26"/>
  <c r="BB173" i="26"/>
  <c r="BA173" i="26"/>
  <c r="AZ173" i="26"/>
  <c r="AY173" i="26"/>
  <c r="AX173" i="26"/>
  <c r="AW173" i="26"/>
  <c r="AV173" i="26"/>
  <c r="AU173" i="26"/>
  <c r="AT173" i="26"/>
  <c r="AS173" i="26"/>
  <c r="AR173" i="26"/>
  <c r="AQ173" i="26"/>
  <c r="AP173" i="26"/>
  <c r="AO173" i="26"/>
  <c r="AN173" i="26"/>
  <c r="AM173" i="26"/>
  <c r="AL173" i="26"/>
  <c r="AK173" i="26"/>
  <c r="AF173" i="26"/>
  <c r="AD173" i="26"/>
  <c r="AB173" i="26"/>
  <c r="AA173" i="26"/>
  <c r="Y173" i="26"/>
  <c r="Z173" i="26" s="1"/>
  <c r="A178" i="26" s="1"/>
  <c r="X173" i="26"/>
  <c r="F173" i="26"/>
  <c r="E173" i="26"/>
  <c r="D173" i="26"/>
  <c r="BO171" i="26"/>
  <c r="BN171" i="26"/>
  <c r="BM171" i="26"/>
  <c r="BL171" i="26"/>
  <c r="BK171" i="26"/>
  <c r="BJ171" i="26"/>
  <c r="BI171" i="26"/>
  <c r="BH171" i="26"/>
  <c r="BG171" i="26"/>
  <c r="BF171" i="26"/>
  <c r="BE171" i="26"/>
  <c r="BD171" i="26"/>
  <c r="BC171" i="26"/>
  <c r="BB171" i="26"/>
  <c r="BA171" i="26"/>
  <c r="AZ171" i="26"/>
  <c r="AY171" i="26"/>
  <c r="AX171" i="26"/>
  <c r="AW171" i="26"/>
  <c r="AV171" i="26"/>
  <c r="AU171" i="26"/>
  <c r="AT171" i="26"/>
  <c r="AS171" i="26"/>
  <c r="AR171" i="26"/>
  <c r="AQ171" i="26"/>
  <c r="AP171" i="26"/>
  <c r="AO171" i="26"/>
  <c r="AN171" i="26"/>
  <c r="AM171" i="26"/>
  <c r="AL171" i="26"/>
  <c r="AK171" i="26"/>
  <c r="AB171" i="26"/>
  <c r="AA171" i="26"/>
  <c r="Y171" i="26"/>
  <c r="X171" i="26"/>
  <c r="F171" i="26"/>
  <c r="E171" i="26"/>
  <c r="D171" i="26"/>
  <c r="BO170" i="26"/>
  <c r="BN170" i="26"/>
  <c r="BM170" i="26"/>
  <c r="BL170" i="26"/>
  <c r="BK170" i="26"/>
  <c r="BJ170" i="26"/>
  <c r="BI170" i="26"/>
  <c r="BH170" i="26"/>
  <c r="BG170" i="26"/>
  <c r="BF170" i="26"/>
  <c r="BE170" i="26"/>
  <c r="BD170" i="26"/>
  <c r="BC170" i="26"/>
  <c r="BB170" i="26"/>
  <c r="BA170" i="26"/>
  <c r="AZ170" i="26"/>
  <c r="AY170" i="26"/>
  <c r="AX170" i="26"/>
  <c r="AW170" i="26"/>
  <c r="AV170" i="26"/>
  <c r="AU170" i="26"/>
  <c r="AT170" i="26"/>
  <c r="AS170" i="26"/>
  <c r="AR170" i="26"/>
  <c r="AQ170" i="26"/>
  <c r="AP170" i="26"/>
  <c r="AO170" i="26"/>
  <c r="AN170" i="26"/>
  <c r="AM170" i="26"/>
  <c r="AL170" i="26"/>
  <c r="AK170" i="26"/>
  <c r="AB170" i="26"/>
  <c r="AA170" i="26"/>
  <c r="Y170" i="26"/>
  <c r="X170" i="26"/>
  <c r="F170" i="26"/>
  <c r="E170" i="26"/>
  <c r="D170" i="26"/>
  <c r="BO169" i="26"/>
  <c r="BN169" i="26"/>
  <c r="BM169" i="26"/>
  <c r="BL169" i="26"/>
  <c r="BK169" i="26"/>
  <c r="BJ169" i="26"/>
  <c r="BI169" i="26"/>
  <c r="BH169" i="26"/>
  <c r="BG169" i="26"/>
  <c r="BF169" i="26"/>
  <c r="BE169" i="26"/>
  <c r="BD169" i="26"/>
  <c r="BC169" i="26"/>
  <c r="BB169" i="26"/>
  <c r="BA169" i="26"/>
  <c r="AZ169" i="26"/>
  <c r="AY169" i="26"/>
  <c r="AX169" i="26"/>
  <c r="AW169" i="26"/>
  <c r="AV169" i="26"/>
  <c r="AU169" i="26"/>
  <c r="AT169" i="26"/>
  <c r="AS169" i="26"/>
  <c r="AR169" i="26"/>
  <c r="AQ169" i="26"/>
  <c r="AP169" i="26"/>
  <c r="AO169" i="26"/>
  <c r="AN169" i="26"/>
  <c r="AM169" i="26"/>
  <c r="AL169" i="26"/>
  <c r="AK169" i="26"/>
  <c r="AB169" i="26"/>
  <c r="AA169" i="26"/>
  <c r="Y169" i="26"/>
  <c r="X169" i="26"/>
  <c r="F169" i="26"/>
  <c r="E169" i="26"/>
  <c r="D169" i="26"/>
  <c r="BO168" i="26"/>
  <c r="BN168" i="26"/>
  <c r="BM168" i="26"/>
  <c r="BL168" i="26"/>
  <c r="BK168" i="26"/>
  <c r="BJ168" i="26"/>
  <c r="BI168" i="26"/>
  <c r="BH168" i="26"/>
  <c r="BG168" i="26"/>
  <c r="BF168" i="26"/>
  <c r="BE168" i="26"/>
  <c r="BD168" i="26"/>
  <c r="BC168" i="26"/>
  <c r="BB168" i="26"/>
  <c r="BA168" i="26"/>
  <c r="AZ168" i="26"/>
  <c r="AY168" i="26"/>
  <c r="AX168" i="26"/>
  <c r="AW168" i="26"/>
  <c r="AV168" i="26"/>
  <c r="AU168" i="26"/>
  <c r="AT168" i="26"/>
  <c r="AS168" i="26"/>
  <c r="AR168" i="26"/>
  <c r="AQ168" i="26"/>
  <c r="AP168" i="26"/>
  <c r="AO168" i="26"/>
  <c r="AN168" i="26"/>
  <c r="AM168" i="26"/>
  <c r="AL168" i="26"/>
  <c r="AK168" i="26"/>
  <c r="AB168" i="26"/>
  <c r="AA168" i="26"/>
  <c r="Y168" i="26"/>
  <c r="X168" i="26"/>
  <c r="F168" i="26"/>
  <c r="E168" i="26"/>
  <c r="D168" i="26"/>
  <c r="BO167" i="26"/>
  <c r="BN167" i="26"/>
  <c r="BM167" i="26"/>
  <c r="BL167" i="26"/>
  <c r="BK167" i="26"/>
  <c r="BJ167" i="26"/>
  <c r="BI167" i="26"/>
  <c r="BH167" i="26"/>
  <c r="BG167" i="26"/>
  <c r="BF167" i="26"/>
  <c r="BE167" i="26"/>
  <c r="BD167" i="26"/>
  <c r="BC167" i="26"/>
  <c r="BB167" i="26"/>
  <c r="BA167" i="26"/>
  <c r="AZ167" i="26"/>
  <c r="AY167" i="26"/>
  <c r="AX167" i="26"/>
  <c r="AW167" i="26"/>
  <c r="AV167" i="26"/>
  <c r="AU167" i="26"/>
  <c r="AT167" i="26"/>
  <c r="AS167" i="26"/>
  <c r="AR167" i="26"/>
  <c r="AQ167" i="26"/>
  <c r="AP167" i="26"/>
  <c r="AO167" i="26"/>
  <c r="AN167" i="26"/>
  <c r="AM167" i="26"/>
  <c r="AL167" i="26"/>
  <c r="AK167" i="26"/>
  <c r="AB167" i="26"/>
  <c r="AA167" i="26"/>
  <c r="Y167" i="26"/>
  <c r="X167" i="26"/>
  <c r="F167" i="26"/>
  <c r="E167" i="26"/>
  <c r="D167" i="26"/>
  <c r="BO166" i="26"/>
  <c r="BN166" i="26"/>
  <c r="BM166" i="26"/>
  <c r="BL166" i="26"/>
  <c r="BK166" i="26"/>
  <c r="BJ166" i="26"/>
  <c r="BI166" i="26"/>
  <c r="BH166" i="26"/>
  <c r="BG166" i="26"/>
  <c r="BF166" i="26"/>
  <c r="BE166" i="26"/>
  <c r="BD166" i="26"/>
  <c r="BC166" i="26"/>
  <c r="BB166" i="26"/>
  <c r="BA166" i="26"/>
  <c r="AZ166" i="26"/>
  <c r="AY166" i="26"/>
  <c r="AX166" i="26"/>
  <c r="AW166" i="26"/>
  <c r="AV166" i="26"/>
  <c r="AU166" i="26"/>
  <c r="AT166" i="26"/>
  <c r="AS166" i="26"/>
  <c r="AR166" i="26"/>
  <c r="AQ166" i="26"/>
  <c r="AP166" i="26"/>
  <c r="AO166" i="26"/>
  <c r="AN166" i="26"/>
  <c r="AM166" i="26"/>
  <c r="AL166" i="26"/>
  <c r="AK166" i="26"/>
  <c r="AB166" i="26"/>
  <c r="AA166" i="26"/>
  <c r="Y166" i="26"/>
  <c r="X166" i="26"/>
  <c r="F166" i="26"/>
  <c r="E166" i="26"/>
  <c r="D166" i="26"/>
  <c r="BO165" i="26"/>
  <c r="BN165" i="26"/>
  <c r="BM165" i="26"/>
  <c r="BL165" i="26"/>
  <c r="BK165" i="26"/>
  <c r="BJ165" i="26"/>
  <c r="BI165" i="26"/>
  <c r="BH165" i="26"/>
  <c r="BG165" i="26"/>
  <c r="BF165" i="26"/>
  <c r="BE165" i="26"/>
  <c r="BD165" i="26"/>
  <c r="BC165" i="26"/>
  <c r="BB165" i="26"/>
  <c r="BA165" i="26"/>
  <c r="AZ165" i="26"/>
  <c r="AY165" i="26"/>
  <c r="AX165" i="26"/>
  <c r="AW165" i="26"/>
  <c r="AV165" i="26"/>
  <c r="AU165" i="26"/>
  <c r="AT165" i="26"/>
  <c r="AS165" i="26"/>
  <c r="AR165" i="26"/>
  <c r="AQ165" i="26"/>
  <c r="AP165" i="26"/>
  <c r="AO165" i="26"/>
  <c r="AN165" i="26"/>
  <c r="AM165" i="26"/>
  <c r="AL165" i="26"/>
  <c r="AK165" i="26"/>
  <c r="AB165" i="26"/>
  <c r="AA165" i="26"/>
  <c r="Y165" i="26"/>
  <c r="X165" i="26"/>
  <c r="F165" i="26"/>
  <c r="E165" i="26"/>
  <c r="D165" i="26"/>
  <c r="BO164" i="26"/>
  <c r="BN164" i="26"/>
  <c r="BM164" i="26"/>
  <c r="BL164" i="26"/>
  <c r="BK164" i="26"/>
  <c r="BJ164" i="26"/>
  <c r="BI164" i="26"/>
  <c r="BH164" i="26"/>
  <c r="BG164" i="26"/>
  <c r="BF164" i="26"/>
  <c r="BE164" i="26"/>
  <c r="BD164" i="26"/>
  <c r="BC164" i="26"/>
  <c r="BB164" i="26"/>
  <c r="BA164" i="26"/>
  <c r="AZ164" i="26"/>
  <c r="AY164" i="26"/>
  <c r="AX164" i="26"/>
  <c r="AW164" i="26"/>
  <c r="AV164" i="26"/>
  <c r="AU164" i="26"/>
  <c r="AT164" i="26"/>
  <c r="AS164" i="26"/>
  <c r="AR164" i="26"/>
  <c r="AQ164" i="26"/>
  <c r="AP164" i="26"/>
  <c r="AO164" i="26"/>
  <c r="AN164" i="26"/>
  <c r="AM164" i="26"/>
  <c r="AL164" i="26"/>
  <c r="AK164" i="26"/>
  <c r="AB164" i="26"/>
  <c r="AA164" i="26"/>
  <c r="Y164" i="26"/>
  <c r="X164" i="26"/>
  <c r="F164" i="26"/>
  <c r="E164" i="26"/>
  <c r="D164" i="26"/>
  <c r="BO163" i="26"/>
  <c r="BN163" i="26"/>
  <c r="BM163" i="26"/>
  <c r="BL163" i="26"/>
  <c r="BK163" i="26"/>
  <c r="BJ163" i="26"/>
  <c r="BI163" i="26"/>
  <c r="BH163" i="26"/>
  <c r="BG163" i="26"/>
  <c r="BF163" i="26"/>
  <c r="BE163" i="26"/>
  <c r="BD163" i="26"/>
  <c r="BC163" i="26"/>
  <c r="BB163" i="26"/>
  <c r="BA163" i="26"/>
  <c r="AZ163" i="26"/>
  <c r="AY163" i="26"/>
  <c r="AX163" i="26"/>
  <c r="AW163" i="26"/>
  <c r="AV163" i="26"/>
  <c r="AU163" i="26"/>
  <c r="AT163" i="26"/>
  <c r="AS163" i="26"/>
  <c r="AR163" i="26"/>
  <c r="AQ163" i="26"/>
  <c r="AP163" i="26"/>
  <c r="AO163" i="26"/>
  <c r="AN163" i="26"/>
  <c r="AM163" i="26"/>
  <c r="AL163" i="26"/>
  <c r="AK163" i="26"/>
  <c r="AF163" i="26"/>
  <c r="AD163" i="26"/>
  <c r="AB163" i="26"/>
  <c r="AA163" i="26"/>
  <c r="Y163" i="26"/>
  <c r="A164" i="26" s="1"/>
  <c r="X163" i="26"/>
  <c r="F163" i="26"/>
  <c r="E163" i="26"/>
  <c r="D163" i="26"/>
  <c r="BO161" i="26"/>
  <c r="BN161" i="26"/>
  <c r="BM161" i="26"/>
  <c r="BL161" i="26"/>
  <c r="BK161" i="26"/>
  <c r="BJ161" i="26"/>
  <c r="BI161" i="26"/>
  <c r="BH161" i="26"/>
  <c r="BG161" i="26"/>
  <c r="BF161" i="26"/>
  <c r="BE161" i="26"/>
  <c r="BD161" i="26"/>
  <c r="BC161" i="26"/>
  <c r="BB161" i="26"/>
  <c r="BA161" i="26"/>
  <c r="AZ161" i="26"/>
  <c r="AY161" i="26"/>
  <c r="AX161" i="26"/>
  <c r="AW161" i="26"/>
  <c r="AV161" i="26"/>
  <c r="AU161" i="26"/>
  <c r="AT161" i="26"/>
  <c r="AS161" i="26"/>
  <c r="AR161" i="26"/>
  <c r="AQ161" i="26"/>
  <c r="AP161" i="26"/>
  <c r="AO161" i="26"/>
  <c r="AN161" i="26"/>
  <c r="AM161" i="26"/>
  <c r="AL161" i="26"/>
  <c r="AK161" i="26"/>
  <c r="AB161" i="26"/>
  <c r="Y161" i="26"/>
  <c r="X161" i="26"/>
  <c r="F161" i="26"/>
  <c r="E161" i="26"/>
  <c r="D161" i="26"/>
  <c r="BO160" i="26"/>
  <c r="BN160" i="26"/>
  <c r="BM160" i="26"/>
  <c r="BL160" i="26"/>
  <c r="BK160" i="26"/>
  <c r="BJ160" i="26"/>
  <c r="BI160" i="26"/>
  <c r="BH160" i="26"/>
  <c r="BG160" i="26"/>
  <c r="BF160" i="26"/>
  <c r="BE160" i="26"/>
  <c r="BD160" i="26"/>
  <c r="BC160" i="26"/>
  <c r="BB160" i="26"/>
  <c r="BA160" i="26"/>
  <c r="AZ160" i="26"/>
  <c r="AY160" i="26"/>
  <c r="AX160" i="26"/>
  <c r="AW160" i="26"/>
  <c r="AV160" i="26"/>
  <c r="AU160" i="26"/>
  <c r="AT160" i="26"/>
  <c r="AS160" i="26"/>
  <c r="AR160" i="26"/>
  <c r="AQ160" i="26"/>
  <c r="AP160" i="26"/>
  <c r="AO160" i="26"/>
  <c r="AN160" i="26"/>
  <c r="AM160" i="26"/>
  <c r="AL160" i="26"/>
  <c r="AK160" i="26"/>
  <c r="AB160" i="26"/>
  <c r="Y160" i="26"/>
  <c r="X160" i="26"/>
  <c r="F160" i="26"/>
  <c r="E160" i="26"/>
  <c r="D160" i="26"/>
  <c r="B160" i="26"/>
  <c r="BO159" i="26"/>
  <c r="BN159" i="26"/>
  <c r="BM159" i="26"/>
  <c r="BL159" i="26"/>
  <c r="BK159" i="26"/>
  <c r="BJ159" i="26"/>
  <c r="BI159" i="26"/>
  <c r="BH159" i="26"/>
  <c r="BG159" i="26"/>
  <c r="BF159" i="26"/>
  <c r="BE159" i="26"/>
  <c r="BD159" i="26"/>
  <c r="BC159" i="26"/>
  <c r="BB159" i="26"/>
  <c r="BA159" i="26"/>
  <c r="AZ159" i="26"/>
  <c r="AY159" i="26"/>
  <c r="AX159" i="26"/>
  <c r="AW159" i="26"/>
  <c r="AV159" i="26"/>
  <c r="AU159" i="26"/>
  <c r="AT159" i="26"/>
  <c r="AS159" i="26"/>
  <c r="AR159" i="26"/>
  <c r="AQ159" i="26"/>
  <c r="AP159" i="26"/>
  <c r="AO159" i="26"/>
  <c r="AN159" i="26"/>
  <c r="AM159" i="26"/>
  <c r="AL159" i="26"/>
  <c r="AK159" i="26"/>
  <c r="AB159" i="26"/>
  <c r="Y159" i="26"/>
  <c r="X159" i="26"/>
  <c r="F159" i="26"/>
  <c r="E159" i="26"/>
  <c r="D159" i="26"/>
  <c r="BO158" i="26"/>
  <c r="BN158" i="26"/>
  <c r="BM158" i="26"/>
  <c r="BL158" i="26"/>
  <c r="BK158" i="26"/>
  <c r="BJ158" i="26"/>
  <c r="BI158" i="26"/>
  <c r="BH158" i="26"/>
  <c r="BG158" i="26"/>
  <c r="BF158" i="26"/>
  <c r="BE158" i="26"/>
  <c r="BD158" i="26"/>
  <c r="BC158" i="26"/>
  <c r="BB158" i="26"/>
  <c r="BA158" i="26"/>
  <c r="AZ158" i="26"/>
  <c r="AY158" i="26"/>
  <c r="AX158" i="26"/>
  <c r="AW158" i="26"/>
  <c r="AV158" i="26"/>
  <c r="AU158" i="26"/>
  <c r="AT158" i="26"/>
  <c r="AS158" i="26"/>
  <c r="AR158" i="26"/>
  <c r="AQ158" i="26"/>
  <c r="AP158" i="26"/>
  <c r="AO158" i="26"/>
  <c r="AN158" i="26"/>
  <c r="AM158" i="26"/>
  <c r="AL158" i="26"/>
  <c r="AK158" i="26"/>
  <c r="AB158" i="26"/>
  <c r="Y158" i="26"/>
  <c r="X158" i="26"/>
  <c r="F158" i="26"/>
  <c r="E158" i="26"/>
  <c r="D158" i="26"/>
  <c r="BO157" i="26"/>
  <c r="BN157" i="26"/>
  <c r="BM157" i="26"/>
  <c r="BL157" i="26"/>
  <c r="BK157" i="26"/>
  <c r="BJ157" i="26"/>
  <c r="BI157" i="26"/>
  <c r="BH157" i="26"/>
  <c r="BG157" i="26"/>
  <c r="BF157" i="26"/>
  <c r="BE157" i="26"/>
  <c r="BD157" i="26"/>
  <c r="BC157" i="26"/>
  <c r="BB157" i="26"/>
  <c r="BA157" i="26"/>
  <c r="AZ157" i="26"/>
  <c r="AY157" i="26"/>
  <c r="AX157" i="26"/>
  <c r="AW157" i="26"/>
  <c r="AV157" i="26"/>
  <c r="AU157" i="26"/>
  <c r="AT157" i="26"/>
  <c r="AS157" i="26"/>
  <c r="AR157" i="26"/>
  <c r="AQ157" i="26"/>
  <c r="AP157" i="26"/>
  <c r="AO157" i="26"/>
  <c r="AN157" i="26"/>
  <c r="AM157" i="26"/>
  <c r="AL157" i="26"/>
  <c r="AK157" i="26"/>
  <c r="E157" i="26"/>
  <c r="F157" i="26" s="1"/>
  <c r="D157" i="26"/>
  <c r="BO156" i="26"/>
  <c r="BN156" i="26"/>
  <c r="BM156" i="26"/>
  <c r="BL156" i="26"/>
  <c r="BK156" i="26"/>
  <c r="BJ156" i="26"/>
  <c r="BI156" i="26"/>
  <c r="BH156" i="26"/>
  <c r="BG156" i="26"/>
  <c r="BF156" i="26"/>
  <c r="BE156" i="26"/>
  <c r="BD156" i="26"/>
  <c r="BC156" i="26"/>
  <c r="BB156" i="26"/>
  <c r="BA156" i="26"/>
  <c r="AZ156" i="26"/>
  <c r="AY156" i="26"/>
  <c r="AX156" i="26"/>
  <c r="AW156" i="26"/>
  <c r="AV156" i="26"/>
  <c r="AU156" i="26"/>
  <c r="AT156" i="26"/>
  <c r="AS156" i="26"/>
  <c r="AR156" i="26"/>
  <c r="AQ156" i="26"/>
  <c r="AP156" i="26"/>
  <c r="AO156" i="26"/>
  <c r="AN156" i="26"/>
  <c r="AM156" i="26"/>
  <c r="AL156" i="26"/>
  <c r="AK156" i="26"/>
  <c r="D156" i="26"/>
  <c r="E156" i="26" s="1"/>
  <c r="BO155" i="26"/>
  <c r="BN155" i="26"/>
  <c r="BM155" i="26"/>
  <c r="BL155" i="26"/>
  <c r="BK155" i="26"/>
  <c r="BJ155" i="26"/>
  <c r="BI155" i="26"/>
  <c r="BH155" i="26"/>
  <c r="BG155" i="26"/>
  <c r="BF155" i="26"/>
  <c r="BE155" i="26"/>
  <c r="BD155" i="26"/>
  <c r="BC155" i="26"/>
  <c r="BB155" i="26"/>
  <c r="BA155" i="26"/>
  <c r="AZ155" i="26"/>
  <c r="AY155" i="26"/>
  <c r="AX155" i="26"/>
  <c r="AW155" i="26"/>
  <c r="AV155" i="26"/>
  <c r="AU155" i="26"/>
  <c r="AT155" i="26"/>
  <c r="AS155" i="26"/>
  <c r="AR155" i="26"/>
  <c r="AQ155" i="26"/>
  <c r="AP155" i="26"/>
  <c r="AO155" i="26"/>
  <c r="AN155" i="26"/>
  <c r="AM155" i="26"/>
  <c r="AL155" i="26"/>
  <c r="AK155" i="26"/>
  <c r="X155" i="26"/>
  <c r="E155" i="26"/>
  <c r="Y155" i="26" s="1"/>
  <c r="D155" i="26"/>
  <c r="BO154" i="26"/>
  <c r="BN154" i="26"/>
  <c r="BM154" i="26"/>
  <c r="BL154" i="26"/>
  <c r="BK154" i="26"/>
  <c r="BJ154" i="26"/>
  <c r="BI154" i="26"/>
  <c r="BH154" i="26"/>
  <c r="BG154" i="26"/>
  <c r="BF154" i="26"/>
  <c r="BE154" i="26"/>
  <c r="BD154" i="26"/>
  <c r="BC154" i="26"/>
  <c r="BB154" i="26"/>
  <c r="BA154" i="26"/>
  <c r="AZ154" i="26"/>
  <c r="AY154" i="26"/>
  <c r="AX154" i="26"/>
  <c r="AW154" i="26"/>
  <c r="AV154" i="26"/>
  <c r="AU154" i="26"/>
  <c r="AT154" i="26"/>
  <c r="AS154" i="26"/>
  <c r="AR154" i="26"/>
  <c r="AQ154" i="26"/>
  <c r="AP154" i="26"/>
  <c r="AO154" i="26"/>
  <c r="AN154" i="26"/>
  <c r="AM154" i="26"/>
  <c r="AL154" i="26"/>
  <c r="AK154" i="26"/>
  <c r="D154" i="26"/>
  <c r="E154" i="26" s="1"/>
  <c r="BO153" i="26"/>
  <c r="BN153" i="26"/>
  <c r="BM153" i="26"/>
  <c r="BL153" i="26"/>
  <c r="BK153" i="26"/>
  <c r="BJ153" i="26"/>
  <c r="BI153" i="26"/>
  <c r="BH153" i="26"/>
  <c r="BG153" i="26"/>
  <c r="BF153" i="26"/>
  <c r="BE153" i="26"/>
  <c r="BD153" i="26"/>
  <c r="BC153" i="26"/>
  <c r="BB153" i="26"/>
  <c r="BA153" i="26"/>
  <c r="AZ153" i="26"/>
  <c r="AY153" i="26"/>
  <c r="AX153" i="26"/>
  <c r="AW153" i="26"/>
  <c r="AV153" i="26"/>
  <c r="AU153" i="26"/>
  <c r="AT153" i="26"/>
  <c r="AS153" i="26"/>
  <c r="AR153" i="26"/>
  <c r="AQ153" i="26"/>
  <c r="AP153" i="26"/>
  <c r="AO153" i="26"/>
  <c r="AN153" i="26"/>
  <c r="AM153" i="26"/>
  <c r="AL153" i="26"/>
  <c r="AK153" i="26"/>
  <c r="AF153" i="26"/>
  <c r="AD153" i="26"/>
  <c r="AA153" i="26"/>
  <c r="D153" i="26"/>
  <c r="E153" i="26" s="1"/>
  <c r="BO151" i="26"/>
  <c r="BN151" i="26"/>
  <c r="BM151" i="26"/>
  <c r="BL151" i="26"/>
  <c r="BK151" i="26"/>
  <c r="BJ151" i="26"/>
  <c r="BI151" i="26"/>
  <c r="BH151" i="26"/>
  <c r="BG151" i="26"/>
  <c r="BF151" i="26"/>
  <c r="BE151" i="26"/>
  <c r="BD151" i="26"/>
  <c r="BC151" i="26"/>
  <c r="BB151" i="26"/>
  <c r="BA151" i="26"/>
  <c r="AZ151" i="26"/>
  <c r="AY151" i="26"/>
  <c r="AX151" i="26"/>
  <c r="AW151" i="26"/>
  <c r="AV151" i="26"/>
  <c r="AU151" i="26"/>
  <c r="AT151" i="26"/>
  <c r="AS151" i="26"/>
  <c r="AR151" i="26"/>
  <c r="AQ151" i="26"/>
  <c r="AP151" i="26"/>
  <c r="AO151" i="26"/>
  <c r="AN151" i="26"/>
  <c r="AM151" i="26"/>
  <c r="AL151" i="26"/>
  <c r="AK151" i="26"/>
  <c r="AB151" i="26"/>
  <c r="Y151" i="26"/>
  <c r="X151" i="26"/>
  <c r="F151" i="26"/>
  <c r="E151" i="26"/>
  <c r="D151" i="26"/>
  <c r="BO150" i="26"/>
  <c r="BN150" i="26"/>
  <c r="BM150" i="26"/>
  <c r="BL150" i="26"/>
  <c r="BK150" i="26"/>
  <c r="BJ150" i="26"/>
  <c r="BI150" i="26"/>
  <c r="BH150" i="26"/>
  <c r="BG150" i="26"/>
  <c r="BF150" i="26"/>
  <c r="BE150" i="26"/>
  <c r="BD150" i="26"/>
  <c r="BC150" i="26"/>
  <c r="BB150" i="26"/>
  <c r="BA150" i="26"/>
  <c r="AZ150" i="26"/>
  <c r="AY150" i="26"/>
  <c r="AX150" i="26"/>
  <c r="AW150" i="26"/>
  <c r="AV150" i="26"/>
  <c r="AU150" i="26"/>
  <c r="AT150" i="26"/>
  <c r="AS150" i="26"/>
  <c r="AR150" i="26"/>
  <c r="AQ150" i="26"/>
  <c r="AP150" i="26"/>
  <c r="AO150" i="26"/>
  <c r="AN150" i="26"/>
  <c r="AM150" i="26"/>
  <c r="AL150" i="26"/>
  <c r="AK150" i="26"/>
  <c r="AB150" i="26"/>
  <c r="Y150" i="26"/>
  <c r="X150" i="26"/>
  <c r="F150" i="26"/>
  <c r="E150" i="26"/>
  <c r="D150" i="26"/>
  <c r="B150" i="26"/>
  <c r="BO149" i="26"/>
  <c r="BN149" i="26"/>
  <c r="BM149" i="26"/>
  <c r="BL149" i="26"/>
  <c r="BK149" i="26"/>
  <c r="BJ149" i="26"/>
  <c r="BI149" i="26"/>
  <c r="BH149" i="26"/>
  <c r="BG149" i="26"/>
  <c r="BF149" i="26"/>
  <c r="BE149" i="26"/>
  <c r="BD149" i="26"/>
  <c r="BC149" i="26"/>
  <c r="BB149" i="26"/>
  <c r="BA149" i="26"/>
  <c r="AZ149" i="26"/>
  <c r="AY149" i="26"/>
  <c r="AX149" i="26"/>
  <c r="AW149" i="26"/>
  <c r="AV149" i="26"/>
  <c r="AU149" i="26"/>
  <c r="AT149" i="26"/>
  <c r="AS149" i="26"/>
  <c r="AR149" i="26"/>
  <c r="AQ149" i="26"/>
  <c r="AP149" i="26"/>
  <c r="AO149" i="26"/>
  <c r="AN149" i="26"/>
  <c r="AM149" i="26"/>
  <c r="AL149" i="26"/>
  <c r="AK149" i="26"/>
  <c r="AB149" i="26"/>
  <c r="Y149" i="26"/>
  <c r="X149" i="26"/>
  <c r="F149" i="26"/>
  <c r="E149" i="26"/>
  <c r="D149" i="26"/>
  <c r="BO148" i="26"/>
  <c r="BN148" i="26"/>
  <c r="BM148" i="26"/>
  <c r="BL148" i="26"/>
  <c r="BK148" i="26"/>
  <c r="BJ148" i="26"/>
  <c r="BI148" i="26"/>
  <c r="BH148" i="26"/>
  <c r="BG148" i="26"/>
  <c r="BF148" i="26"/>
  <c r="BE148" i="26"/>
  <c r="BD148" i="26"/>
  <c r="BC148" i="26"/>
  <c r="BB148" i="26"/>
  <c r="BA148" i="26"/>
  <c r="AZ148" i="26"/>
  <c r="AY148" i="26"/>
  <c r="AX148" i="26"/>
  <c r="AW148" i="26"/>
  <c r="AV148" i="26"/>
  <c r="AU148" i="26"/>
  <c r="AT148" i="26"/>
  <c r="AS148" i="26"/>
  <c r="AR148" i="26"/>
  <c r="AQ148" i="26"/>
  <c r="AP148" i="26"/>
  <c r="AO148" i="26"/>
  <c r="AN148" i="26"/>
  <c r="AM148" i="26"/>
  <c r="AL148" i="26"/>
  <c r="AK148" i="26"/>
  <c r="AB148" i="26"/>
  <c r="Y148" i="26"/>
  <c r="X148" i="26"/>
  <c r="F148" i="26"/>
  <c r="E148" i="26"/>
  <c r="D148" i="26"/>
  <c r="BO147" i="26"/>
  <c r="BN147" i="26"/>
  <c r="BM147" i="26"/>
  <c r="BL147" i="26"/>
  <c r="BK147" i="26"/>
  <c r="BJ147" i="26"/>
  <c r="BI147" i="26"/>
  <c r="BH147" i="26"/>
  <c r="BG147" i="26"/>
  <c r="BF147" i="26"/>
  <c r="BE147" i="26"/>
  <c r="BD147" i="26"/>
  <c r="BC147" i="26"/>
  <c r="BB147" i="26"/>
  <c r="BA147" i="26"/>
  <c r="AZ147" i="26"/>
  <c r="AY147" i="26"/>
  <c r="AX147" i="26"/>
  <c r="AW147" i="26"/>
  <c r="AV147" i="26"/>
  <c r="AU147" i="26"/>
  <c r="AT147" i="26"/>
  <c r="AS147" i="26"/>
  <c r="AR147" i="26"/>
  <c r="AQ147" i="26"/>
  <c r="AP147" i="26"/>
  <c r="AO147" i="26"/>
  <c r="AN147" i="26"/>
  <c r="AM147" i="26"/>
  <c r="AL147" i="26"/>
  <c r="AK147" i="26"/>
  <c r="AB147" i="26"/>
  <c r="Y147" i="26"/>
  <c r="X147" i="26"/>
  <c r="F147" i="26"/>
  <c r="E147" i="26"/>
  <c r="D147" i="26"/>
  <c r="BO146" i="26"/>
  <c r="BN146" i="26"/>
  <c r="BM146" i="26"/>
  <c r="BL146" i="26"/>
  <c r="BK146" i="26"/>
  <c r="BJ146" i="26"/>
  <c r="BI146" i="26"/>
  <c r="BH146" i="26"/>
  <c r="BG146" i="26"/>
  <c r="BF146" i="26"/>
  <c r="BE146" i="26"/>
  <c r="BD146" i="26"/>
  <c r="BC146" i="26"/>
  <c r="BB146" i="26"/>
  <c r="BA146" i="26"/>
  <c r="AZ146" i="26"/>
  <c r="AY146" i="26"/>
  <c r="AX146" i="26"/>
  <c r="AW146" i="26"/>
  <c r="AV146" i="26"/>
  <c r="AU146" i="26"/>
  <c r="AT146" i="26"/>
  <c r="AS146" i="26"/>
  <c r="AR146" i="26"/>
  <c r="AQ146" i="26"/>
  <c r="AP146" i="26"/>
  <c r="AO146" i="26"/>
  <c r="AN146" i="26"/>
  <c r="AM146" i="26"/>
  <c r="AL146" i="26"/>
  <c r="AK146" i="26"/>
  <c r="AB146" i="26"/>
  <c r="Y146" i="26"/>
  <c r="X146" i="26"/>
  <c r="F146" i="26"/>
  <c r="E146" i="26"/>
  <c r="D146" i="26"/>
  <c r="BO145" i="26"/>
  <c r="BN145" i="26"/>
  <c r="BM145" i="26"/>
  <c r="BL145" i="26"/>
  <c r="BK145" i="26"/>
  <c r="BJ145" i="26"/>
  <c r="BI145" i="26"/>
  <c r="BH145" i="26"/>
  <c r="BG145" i="26"/>
  <c r="BF145" i="26"/>
  <c r="BE145" i="26"/>
  <c r="BD145" i="26"/>
  <c r="BC145" i="26"/>
  <c r="BB145" i="26"/>
  <c r="BA145" i="26"/>
  <c r="AZ145" i="26"/>
  <c r="AY145" i="26"/>
  <c r="AX145" i="26"/>
  <c r="AW145" i="26"/>
  <c r="AV145" i="26"/>
  <c r="AU145" i="26"/>
  <c r="AT145" i="26"/>
  <c r="AS145" i="26"/>
  <c r="AR145" i="26"/>
  <c r="AQ145" i="26"/>
  <c r="AP145" i="26"/>
  <c r="AO145" i="26"/>
  <c r="AN145" i="26"/>
  <c r="AM145" i="26"/>
  <c r="AL145" i="26"/>
  <c r="AK145" i="26"/>
  <c r="AB145" i="26"/>
  <c r="Y145" i="26"/>
  <c r="X145" i="26"/>
  <c r="F145" i="26"/>
  <c r="E145" i="26"/>
  <c r="D145" i="26"/>
  <c r="BO144" i="26"/>
  <c r="BN144" i="26"/>
  <c r="BM144" i="26"/>
  <c r="BL144" i="26"/>
  <c r="BK144" i="26"/>
  <c r="BJ144" i="26"/>
  <c r="BI144" i="26"/>
  <c r="BH144" i="26"/>
  <c r="BG144" i="26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E144" i="26"/>
  <c r="D144" i="26"/>
  <c r="BO143" i="26"/>
  <c r="BN143" i="26"/>
  <c r="BM143" i="26"/>
  <c r="BL143" i="26"/>
  <c r="BK143" i="26"/>
  <c r="BJ143" i="26"/>
  <c r="BI143" i="26"/>
  <c r="BH143" i="26"/>
  <c r="BG143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F143" i="26"/>
  <c r="AD143" i="26"/>
  <c r="AA143" i="26"/>
  <c r="D143" i="26"/>
  <c r="E143" i="26" s="1"/>
  <c r="BO141" i="26"/>
  <c r="BN141" i="26"/>
  <c r="BM141" i="26"/>
  <c r="BL141" i="26"/>
  <c r="BK141" i="26"/>
  <c r="BJ141" i="26"/>
  <c r="BI141" i="26"/>
  <c r="BH141" i="26"/>
  <c r="BG141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B141" i="26"/>
  <c r="Y141" i="26"/>
  <c r="X141" i="26"/>
  <c r="F141" i="26"/>
  <c r="E141" i="26"/>
  <c r="D141" i="26"/>
  <c r="BO140" i="26"/>
  <c r="BN140" i="26"/>
  <c r="BM140" i="26"/>
  <c r="BL140" i="26"/>
  <c r="BK140" i="26"/>
  <c r="BJ140" i="26"/>
  <c r="BI140" i="26"/>
  <c r="BH140" i="26"/>
  <c r="BG140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B140" i="26"/>
  <c r="Y140" i="26"/>
  <c r="X140" i="26"/>
  <c r="F140" i="26"/>
  <c r="E140" i="26"/>
  <c r="D140" i="26"/>
  <c r="B140" i="26"/>
  <c r="BO139" i="26"/>
  <c r="BN139" i="26"/>
  <c r="BM139" i="26"/>
  <c r="BL139" i="26"/>
  <c r="BK139" i="26"/>
  <c r="BJ139" i="26"/>
  <c r="BI139" i="26"/>
  <c r="BH139" i="26"/>
  <c r="BG139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B139" i="26"/>
  <c r="Y139" i="26"/>
  <c r="X139" i="26"/>
  <c r="F139" i="26"/>
  <c r="E139" i="26"/>
  <c r="D139" i="26"/>
  <c r="BO138" i="26"/>
  <c r="BN138" i="26"/>
  <c r="BM138" i="26"/>
  <c r="BL138" i="26"/>
  <c r="BK138" i="26"/>
  <c r="BJ138" i="26"/>
  <c r="BI138" i="26"/>
  <c r="BH138" i="26"/>
  <c r="BG138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B138" i="26"/>
  <c r="Y138" i="26"/>
  <c r="X138" i="26"/>
  <c r="F138" i="26"/>
  <c r="E138" i="26"/>
  <c r="D138" i="26"/>
  <c r="BO137" i="26"/>
  <c r="BN137" i="26"/>
  <c r="BM137" i="26"/>
  <c r="BL137" i="26"/>
  <c r="BK137" i="26"/>
  <c r="BJ137" i="26"/>
  <c r="BI137" i="26"/>
  <c r="BH137" i="26"/>
  <c r="BG137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B137" i="26"/>
  <c r="Y137" i="26"/>
  <c r="X137" i="26"/>
  <c r="F137" i="26"/>
  <c r="E137" i="26"/>
  <c r="D137" i="26"/>
  <c r="BO136" i="26"/>
  <c r="BN136" i="26"/>
  <c r="BM136" i="26"/>
  <c r="BL136" i="26"/>
  <c r="BK136" i="26"/>
  <c r="BJ136" i="26"/>
  <c r="BI136" i="26"/>
  <c r="BH136" i="26"/>
  <c r="BG136" i="26"/>
  <c r="BF136" i="26"/>
  <c r="BE136" i="26"/>
  <c r="BD136" i="26"/>
  <c r="BC136" i="26"/>
  <c r="BB136" i="26"/>
  <c r="BA136" i="26"/>
  <c r="AZ136" i="26"/>
  <c r="AY136" i="26"/>
  <c r="AX136" i="26"/>
  <c r="AW136" i="26"/>
  <c r="AV136" i="26"/>
  <c r="AU136" i="26"/>
  <c r="AT136" i="26"/>
  <c r="AS136" i="26"/>
  <c r="AR136" i="26"/>
  <c r="AQ136" i="26"/>
  <c r="AP136" i="26"/>
  <c r="AO136" i="26"/>
  <c r="AN136" i="26"/>
  <c r="AM136" i="26"/>
  <c r="AL136" i="26"/>
  <c r="AK136" i="26"/>
  <c r="AB136" i="26"/>
  <c r="Y136" i="26"/>
  <c r="X136" i="26"/>
  <c r="F136" i="26"/>
  <c r="E136" i="26"/>
  <c r="D136" i="26"/>
  <c r="BO135" i="26"/>
  <c r="BN135" i="26"/>
  <c r="BM135" i="26"/>
  <c r="BL135" i="26"/>
  <c r="BK135" i="26"/>
  <c r="BJ135" i="26"/>
  <c r="BI135" i="26"/>
  <c r="BH135" i="26"/>
  <c r="BG135" i="26"/>
  <c r="BF135" i="26"/>
  <c r="BE135" i="26"/>
  <c r="BD135" i="26"/>
  <c r="BC135" i="26"/>
  <c r="BB135" i="26"/>
  <c r="BA135" i="26"/>
  <c r="AZ135" i="26"/>
  <c r="AY135" i="26"/>
  <c r="AX135" i="26"/>
  <c r="AW135" i="26"/>
  <c r="AV135" i="26"/>
  <c r="AU135" i="26"/>
  <c r="AT135" i="26"/>
  <c r="AS135" i="26"/>
  <c r="AR135" i="26"/>
  <c r="AQ135" i="26"/>
  <c r="AP135" i="26"/>
  <c r="AO135" i="26"/>
  <c r="AN135" i="26"/>
  <c r="AM135" i="26"/>
  <c r="AL135" i="26"/>
  <c r="AK135" i="26"/>
  <c r="AB135" i="26"/>
  <c r="Y135" i="26"/>
  <c r="X135" i="26"/>
  <c r="F135" i="26"/>
  <c r="E135" i="26"/>
  <c r="D135" i="26"/>
  <c r="BO134" i="26"/>
  <c r="BN134" i="26"/>
  <c r="BM134" i="26"/>
  <c r="BL134" i="26"/>
  <c r="BK134" i="26"/>
  <c r="BJ134" i="26"/>
  <c r="BI134" i="26"/>
  <c r="BH134" i="26"/>
  <c r="BG134" i="26"/>
  <c r="BF134" i="26"/>
  <c r="BE134" i="26"/>
  <c r="BD134" i="26"/>
  <c r="BC134" i="26"/>
  <c r="BB134" i="26"/>
  <c r="BA134" i="26"/>
  <c r="AZ134" i="26"/>
  <c r="AY134" i="26"/>
  <c r="AX134" i="26"/>
  <c r="AW134" i="26"/>
  <c r="AV134" i="26"/>
  <c r="AU134" i="26"/>
  <c r="AT134" i="26"/>
  <c r="AS134" i="26"/>
  <c r="AR134" i="26"/>
  <c r="AQ134" i="26"/>
  <c r="AP134" i="26"/>
  <c r="AO134" i="26"/>
  <c r="AN134" i="26"/>
  <c r="AM134" i="26"/>
  <c r="AL134" i="26"/>
  <c r="AK134" i="26"/>
  <c r="D134" i="26"/>
  <c r="E134" i="26" s="1"/>
  <c r="BO133" i="26"/>
  <c r="BN133" i="26"/>
  <c r="BM133" i="26"/>
  <c r="BL133" i="26"/>
  <c r="BK133" i="26"/>
  <c r="BJ133" i="26"/>
  <c r="BI133" i="26"/>
  <c r="BH133" i="26"/>
  <c r="BG133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F133" i="26"/>
  <c r="AD133" i="26"/>
  <c r="AA133" i="26"/>
  <c r="D133" i="26"/>
  <c r="E133" i="26" s="1"/>
  <c r="BO131" i="26"/>
  <c r="BN131" i="26"/>
  <c r="BM131" i="26"/>
  <c r="BL131" i="26"/>
  <c r="BK131" i="26"/>
  <c r="BJ131" i="26"/>
  <c r="BI131" i="26"/>
  <c r="BH131" i="26"/>
  <c r="BG131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B131" i="26"/>
  <c r="Y131" i="26"/>
  <c r="X131" i="26"/>
  <c r="F131" i="26"/>
  <c r="E131" i="26"/>
  <c r="D131" i="26"/>
  <c r="BO130" i="26"/>
  <c r="BN130" i="26"/>
  <c r="BM130" i="26"/>
  <c r="BL130" i="26"/>
  <c r="BK130" i="26"/>
  <c r="BJ130" i="26"/>
  <c r="BI130" i="26"/>
  <c r="BH130" i="26"/>
  <c r="BG130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B130" i="26"/>
  <c r="Y130" i="26"/>
  <c r="X130" i="26"/>
  <c r="F130" i="26"/>
  <c r="E130" i="26"/>
  <c r="D130" i="26"/>
  <c r="B130" i="26"/>
  <c r="BO129" i="26"/>
  <c r="BN129" i="26"/>
  <c r="BM129" i="26"/>
  <c r="BL129" i="26"/>
  <c r="BK129" i="26"/>
  <c r="BJ129" i="26"/>
  <c r="BI129" i="26"/>
  <c r="BH129" i="26"/>
  <c r="BG129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B129" i="26"/>
  <c r="Y129" i="26"/>
  <c r="X129" i="26"/>
  <c r="F129" i="26"/>
  <c r="E129" i="26"/>
  <c r="D129" i="26"/>
  <c r="BO128" i="26"/>
  <c r="BN128" i="26"/>
  <c r="BM128" i="26"/>
  <c r="BL128" i="26"/>
  <c r="BK128" i="26"/>
  <c r="BJ128" i="26"/>
  <c r="BI128" i="26"/>
  <c r="BH128" i="26"/>
  <c r="BG128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B128" i="26"/>
  <c r="Y128" i="26"/>
  <c r="X128" i="26"/>
  <c r="F128" i="26"/>
  <c r="E128" i="26"/>
  <c r="D128" i="26"/>
  <c r="BO127" i="26"/>
  <c r="BN127" i="26"/>
  <c r="BM127" i="26"/>
  <c r="BL127" i="26"/>
  <c r="BK127" i="26"/>
  <c r="BJ127" i="26"/>
  <c r="BI127" i="26"/>
  <c r="BH127" i="26"/>
  <c r="BG127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B127" i="26"/>
  <c r="Y127" i="26"/>
  <c r="X127" i="26"/>
  <c r="F127" i="26"/>
  <c r="E127" i="26"/>
  <c r="D127" i="26"/>
  <c r="BO126" i="26"/>
  <c r="BN126" i="26"/>
  <c r="BM126" i="26"/>
  <c r="BL126" i="26"/>
  <c r="BK126" i="26"/>
  <c r="BJ126" i="26"/>
  <c r="BI126" i="26"/>
  <c r="BH126" i="26"/>
  <c r="BG126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B126" i="26"/>
  <c r="Y126" i="26"/>
  <c r="X126" i="26"/>
  <c r="F126" i="26"/>
  <c r="E126" i="26"/>
  <c r="D126" i="26"/>
  <c r="BO125" i="26"/>
  <c r="BN125" i="26"/>
  <c r="BM125" i="26"/>
  <c r="BL125" i="26"/>
  <c r="BK125" i="26"/>
  <c r="BJ125" i="26"/>
  <c r="BI125" i="26"/>
  <c r="BH125" i="26"/>
  <c r="BG125" i="26"/>
  <c r="BF125" i="26"/>
  <c r="BE125" i="26"/>
  <c r="BD125" i="26"/>
  <c r="BC125" i="26"/>
  <c r="BB125" i="26"/>
  <c r="BA125" i="26"/>
  <c r="AZ125" i="26"/>
  <c r="AY125" i="26"/>
  <c r="AX125" i="26"/>
  <c r="AW125" i="26"/>
  <c r="AV125" i="26"/>
  <c r="AU125" i="26"/>
  <c r="AT125" i="26"/>
  <c r="AS125" i="26"/>
  <c r="AR125" i="26"/>
  <c r="AQ125" i="26"/>
  <c r="AP125" i="26"/>
  <c r="AO125" i="26"/>
  <c r="AN125" i="26"/>
  <c r="AM125" i="26"/>
  <c r="AL125" i="26"/>
  <c r="AK125" i="26"/>
  <c r="AB125" i="26"/>
  <c r="Y125" i="26"/>
  <c r="X125" i="26"/>
  <c r="F125" i="26"/>
  <c r="E125" i="26"/>
  <c r="D125" i="26"/>
  <c r="BO124" i="26"/>
  <c r="BN124" i="26"/>
  <c r="BM124" i="26"/>
  <c r="BL124" i="26"/>
  <c r="BK124" i="26"/>
  <c r="BJ124" i="26"/>
  <c r="BI124" i="26"/>
  <c r="BH124" i="26"/>
  <c r="BG124" i="26"/>
  <c r="BF124" i="26"/>
  <c r="BE124" i="26"/>
  <c r="BD124" i="26"/>
  <c r="BC124" i="26"/>
  <c r="BB124" i="26"/>
  <c r="BA124" i="26"/>
  <c r="AZ124" i="26"/>
  <c r="AY124" i="26"/>
  <c r="AX124" i="26"/>
  <c r="AW124" i="26"/>
  <c r="AV124" i="26"/>
  <c r="AU124" i="26"/>
  <c r="AT124" i="26"/>
  <c r="AS124" i="26"/>
  <c r="AR124" i="26"/>
  <c r="AQ124" i="26"/>
  <c r="AP124" i="26"/>
  <c r="AO124" i="26"/>
  <c r="AN124" i="26"/>
  <c r="AM124" i="26"/>
  <c r="AL124" i="26"/>
  <c r="AK124" i="26"/>
  <c r="X124" i="26"/>
  <c r="E124" i="26"/>
  <c r="Y124" i="26" s="1"/>
  <c r="D124" i="26"/>
  <c r="BO123" i="26"/>
  <c r="BN123" i="26"/>
  <c r="BM123" i="26"/>
  <c r="BL123" i="26"/>
  <c r="BK123" i="26"/>
  <c r="BJ123" i="26"/>
  <c r="BI123" i="26"/>
  <c r="BH123" i="26"/>
  <c r="BG123" i="26"/>
  <c r="BF123" i="26"/>
  <c r="BE123" i="26"/>
  <c r="BD123" i="26"/>
  <c r="BC123" i="26"/>
  <c r="BB123" i="26"/>
  <c r="BA123" i="26"/>
  <c r="AZ123" i="26"/>
  <c r="AY123" i="26"/>
  <c r="AX123" i="26"/>
  <c r="AW123" i="26"/>
  <c r="AV123" i="26"/>
  <c r="AU123" i="26"/>
  <c r="AT123" i="26"/>
  <c r="AS123" i="26"/>
  <c r="AR123" i="26"/>
  <c r="AQ123" i="26"/>
  <c r="AP123" i="26"/>
  <c r="AO123" i="26"/>
  <c r="AN123" i="26"/>
  <c r="AM123" i="26"/>
  <c r="AL123" i="26"/>
  <c r="AK123" i="26"/>
  <c r="AF123" i="26"/>
  <c r="AD123" i="26"/>
  <c r="AA123" i="26"/>
  <c r="D123" i="26"/>
  <c r="E123" i="26" s="1"/>
  <c r="BO121" i="26"/>
  <c r="BN121" i="26"/>
  <c r="BM121" i="26"/>
  <c r="BL121" i="26"/>
  <c r="BK121" i="26"/>
  <c r="BJ121" i="26"/>
  <c r="BI121" i="26"/>
  <c r="BH121" i="26"/>
  <c r="BG121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B121" i="26"/>
  <c r="Y121" i="26"/>
  <c r="X121" i="26"/>
  <c r="F121" i="26"/>
  <c r="E121" i="26"/>
  <c r="D121" i="26"/>
  <c r="BO120" i="26"/>
  <c r="BN120" i="26"/>
  <c r="BM120" i="26"/>
  <c r="BL120" i="26"/>
  <c r="BK120" i="26"/>
  <c r="BJ120" i="26"/>
  <c r="BI120" i="26"/>
  <c r="BH120" i="26"/>
  <c r="BG120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B120" i="26"/>
  <c r="Y120" i="26"/>
  <c r="X120" i="26"/>
  <c r="F120" i="26"/>
  <c r="E120" i="26"/>
  <c r="D120" i="26"/>
  <c r="B120" i="26"/>
  <c r="BO119" i="26"/>
  <c r="BN119" i="26"/>
  <c r="BM119" i="26"/>
  <c r="BL119" i="26"/>
  <c r="BK119" i="26"/>
  <c r="BJ119" i="26"/>
  <c r="BI119" i="26"/>
  <c r="BH119" i="26"/>
  <c r="BG119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B119" i="26"/>
  <c r="Y119" i="26"/>
  <c r="X119" i="26"/>
  <c r="F119" i="26"/>
  <c r="E119" i="26"/>
  <c r="D119" i="26"/>
  <c r="BO118" i="26"/>
  <c r="BN118" i="26"/>
  <c r="BM118" i="26"/>
  <c r="BL118" i="26"/>
  <c r="BK118" i="26"/>
  <c r="BJ118" i="26"/>
  <c r="BI118" i="26"/>
  <c r="BH118" i="26"/>
  <c r="BG118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B118" i="26"/>
  <c r="Y118" i="26"/>
  <c r="X118" i="26"/>
  <c r="F118" i="26"/>
  <c r="E118" i="26"/>
  <c r="D118" i="26"/>
  <c r="BO117" i="26"/>
  <c r="BN117" i="26"/>
  <c r="BM117" i="26"/>
  <c r="BL117" i="26"/>
  <c r="BK117" i="26"/>
  <c r="BJ117" i="26"/>
  <c r="BI117" i="26"/>
  <c r="BH117" i="26"/>
  <c r="BG117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B117" i="26"/>
  <c r="Y117" i="26"/>
  <c r="X117" i="26"/>
  <c r="F117" i="26"/>
  <c r="E117" i="26"/>
  <c r="D117" i="26"/>
  <c r="BO116" i="26"/>
  <c r="BN116" i="26"/>
  <c r="BM116" i="26"/>
  <c r="BL116" i="26"/>
  <c r="BK116" i="26"/>
  <c r="BJ116" i="26"/>
  <c r="BI116" i="26"/>
  <c r="BH116" i="26"/>
  <c r="BG116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B116" i="26"/>
  <c r="Y116" i="26"/>
  <c r="X116" i="26"/>
  <c r="F116" i="26"/>
  <c r="E116" i="26"/>
  <c r="D116" i="26"/>
  <c r="BO115" i="26"/>
  <c r="BN115" i="26"/>
  <c r="BM115" i="26"/>
  <c r="BL115" i="26"/>
  <c r="BK115" i="26"/>
  <c r="BJ115" i="26"/>
  <c r="BI115" i="26"/>
  <c r="BH115" i="26"/>
  <c r="BG115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B115" i="26"/>
  <c r="Y115" i="26"/>
  <c r="X115" i="26"/>
  <c r="F115" i="26"/>
  <c r="E115" i="26"/>
  <c r="D115" i="26"/>
  <c r="BO114" i="26"/>
  <c r="BN114" i="26"/>
  <c r="BM114" i="26"/>
  <c r="BL114" i="26"/>
  <c r="BK114" i="26"/>
  <c r="BJ114" i="26"/>
  <c r="BI114" i="26"/>
  <c r="BH114" i="26"/>
  <c r="BG114" i="26"/>
  <c r="BF114" i="26"/>
  <c r="BE114" i="26"/>
  <c r="BD114" i="26"/>
  <c r="BC114" i="26"/>
  <c r="BB114" i="26"/>
  <c r="BA114" i="26"/>
  <c r="AZ114" i="26"/>
  <c r="AY114" i="26"/>
  <c r="AX114" i="26"/>
  <c r="AW114" i="26"/>
  <c r="AV114" i="26"/>
  <c r="AU114" i="26"/>
  <c r="AT114" i="26"/>
  <c r="AS114" i="26"/>
  <c r="AR114" i="26"/>
  <c r="AQ114" i="26"/>
  <c r="AP114" i="26"/>
  <c r="AO114" i="26"/>
  <c r="AN114" i="26"/>
  <c r="AM114" i="26"/>
  <c r="AL114" i="26"/>
  <c r="AK114" i="26"/>
  <c r="AB114" i="26"/>
  <c r="D114" i="26"/>
  <c r="E114" i="26" s="1"/>
  <c r="BO113" i="26"/>
  <c r="BN113" i="26"/>
  <c r="BM113" i="26"/>
  <c r="BL113" i="26"/>
  <c r="BK113" i="26"/>
  <c r="BJ113" i="26"/>
  <c r="BI113" i="26"/>
  <c r="BH113" i="26"/>
  <c r="BG113" i="26"/>
  <c r="BF113" i="26"/>
  <c r="BE113" i="26"/>
  <c r="BD113" i="26"/>
  <c r="BC113" i="26"/>
  <c r="BB113" i="26"/>
  <c r="BA113" i="26"/>
  <c r="AZ113" i="26"/>
  <c r="AY113" i="26"/>
  <c r="AX113" i="26"/>
  <c r="AW113" i="26"/>
  <c r="AV113" i="26"/>
  <c r="AU113" i="26"/>
  <c r="AT113" i="26"/>
  <c r="AS113" i="26"/>
  <c r="AR113" i="26"/>
  <c r="AQ113" i="26"/>
  <c r="AP113" i="26"/>
  <c r="AO113" i="26"/>
  <c r="AN113" i="26"/>
  <c r="AM113" i="26"/>
  <c r="AL113" i="26"/>
  <c r="AK113" i="26"/>
  <c r="AD113" i="26"/>
  <c r="AA113" i="26"/>
  <c r="F113" i="26"/>
  <c r="D113" i="26"/>
  <c r="E113" i="26" s="1"/>
  <c r="BO111" i="26"/>
  <c r="BN111" i="26"/>
  <c r="BM111" i="26"/>
  <c r="BL111" i="26"/>
  <c r="BK111" i="26"/>
  <c r="BJ111" i="26"/>
  <c r="BI111" i="26"/>
  <c r="BH111" i="26"/>
  <c r="BG111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B111" i="26"/>
  <c r="Y111" i="26"/>
  <c r="X111" i="26"/>
  <c r="F111" i="26"/>
  <c r="E111" i="26"/>
  <c r="D111" i="26"/>
  <c r="BO110" i="26"/>
  <c r="BN110" i="26"/>
  <c r="BM110" i="26"/>
  <c r="BL110" i="26"/>
  <c r="BK110" i="26"/>
  <c r="BJ110" i="26"/>
  <c r="BI110" i="26"/>
  <c r="BH110" i="26"/>
  <c r="BG110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B110" i="26"/>
  <c r="Y110" i="26"/>
  <c r="X110" i="26"/>
  <c r="F110" i="26"/>
  <c r="E110" i="26"/>
  <c r="D110" i="26"/>
  <c r="B110" i="26"/>
  <c r="BO109" i="26"/>
  <c r="BN109" i="26"/>
  <c r="BM109" i="26"/>
  <c r="BL109" i="26"/>
  <c r="BK109" i="26"/>
  <c r="BJ109" i="26"/>
  <c r="BI109" i="26"/>
  <c r="BH109" i="26"/>
  <c r="BG109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B109" i="26"/>
  <c r="Y109" i="26"/>
  <c r="X109" i="26"/>
  <c r="F109" i="26"/>
  <c r="E109" i="26"/>
  <c r="D109" i="26"/>
  <c r="BO108" i="26"/>
  <c r="BN108" i="26"/>
  <c r="BM108" i="26"/>
  <c r="BL108" i="26"/>
  <c r="BK108" i="26"/>
  <c r="BJ108" i="26"/>
  <c r="BI108" i="26"/>
  <c r="BH108" i="26"/>
  <c r="BG108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B108" i="26"/>
  <c r="Y108" i="26"/>
  <c r="X108" i="26"/>
  <c r="F108" i="26"/>
  <c r="E108" i="26"/>
  <c r="D108" i="26"/>
  <c r="BO107" i="26"/>
  <c r="BN107" i="26"/>
  <c r="BM107" i="26"/>
  <c r="BL107" i="26"/>
  <c r="BK107" i="26"/>
  <c r="BJ107" i="26"/>
  <c r="BI107" i="26"/>
  <c r="BH107" i="26"/>
  <c r="BG107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B107" i="26"/>
  <c r="Y107" i="26"/>
  <c r="X107" i="26"/>
  <c r="F107" i="26"/>
  <c r="E107" i="26"/>
  <c r="D107" i="26"/>
  <c r="BO106" i="26"/>
  <c r="BN106" i="26"/>
  <c r="BM106" i="26"/>
  <c r="BL106" i="26"/>
  <c r="BK106" i="26"/>
  <c r="BJ106" i="26"/>
  <c r="BI106" i="26"/>
  <c r="BH106" i="26"/>
  <c r="BG106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B106" i="26"/>
  <c r="Y106" i="26"/>
  <c r="X106" i="26"/>
  <c r="F106" i="26"/>
  <c r="E106" i="26"/>
  <c r="D106" i="26"/>
  <c r="BO105" i="26"/>
  <c r="BN105" i="26"/>
  <c r="BM105" i="26"/>
  <c r="BL105" i="26"/>
  <c r="BK105" i="26"/>
  <c r="BJ105" i="26"/>
  <c r="BI105" i="26"/>
  <c r="BH105" i="26"/>
  <c r="BG105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B105" i="26"/>
  <c r="Y105" i="26"/>
  <c r="X105" i="26"/>
  <c r="F105" i="26"/>
  <c r="E105" i="26"/>
  <c r="D105" i="26"/>
  <c r="BO104" i="26"/>
  <c r="BN104" i="26"/>
  <c r="BM104" i="26"/>
  <c r="BL104" i="26"/>
  <c r="BK104" i="26"/>
  <c r="BJ104" i="26"/>
  <c r="BI104" i="26"/>
  <c r="BH104" i="26"/>
  <c r="BG104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D104" i="26"/>
  <c r="E104" i="26" s="1"/>
  <c r="BO103" i="26"/>
  <c r="BN103" i="26"/>
  <c r="BM103" i="26"/>
  <c r="BL103" i="26"/>
  <c r="BK103" i="26"/>
  <c r="BJ103" i="26"/>
  <c r="BI103" i="26"/>
  <c r="BH103" i="26"/>
  <c r="BG103" i="26"/>
  <c r="BF103" i="26"/>
  <c r="BE103" i="26"/>
  <c r="BD103" i="26"/>
  <c r="BC103" i="26"/>
  <c r="BB103" i="26"/>
  <c r="BA103" i="26"/>
  <c r="AZ103" i="26"/>
  <c r="AY103" i="26"/>
  <c r="AX103" i="26"/>
  <c r="AW103" i="26"/>
  <c r="AV103" i="26"/>
  <c r="AU103" i="26"/>
  <c r="AT103" i="26"/>
  <c r="AS103" i="26"/>
  <c r="AR103" i="26"/>
  <c r="AQ103" i="26"/>
  <c r="AP103" i="26"/>
  <c r="AO103" i="26"/>
  <c r="AN103" i="26"/>
  <c r="AM103" i="26"/>
  <c r="AL103" i="26"/>
  <c r="AK103" i="26"/>
  <c r="AD103" i="26"/>
  <c r="AA103" i="26"/>
  <c r="X103" i="26"/>
  <c r="F103" i="26"/>
  <c r="E103" i="26"/>
  <c r="Y103" i="26" s="1"/>
  <c r="Z103" i="26" s="1"/>
  <c r="A108" i="26" s="1"/>
  <c r="D103" i="26"/>
  <c r="BO101" i="26"/>
  <c r="BN101" i="26"/>
  <c r="BM101" i="26"/>
  <c r="BL101" i="26"/>
  <c r="BK101" i="26"/>
  <c r="BJ101" i="26"/>
  <c r="BI101" i="26"/>
  <c r="BH101" i="26"/>
  <c r="BG101" i="26"/>
  <c r="BF101" i="26"/>
  <c r="BE101" i="26"/>
  <c r="BD101" i="26"/>
  <c r="BC101" i="26"/>
  <c r="BB101" i="26"/>
  <c r="BA101" i="26"/>
  <c r="AZ101" i="26"/>
  <c r="AY101" i="26"/>
  <c r="AX101" i="26"/>
  <c r="AW101" i="26"/>
  <c r="AV101" i="26"/>
  <c r="AU101" i="26"/>
  <c r="AT101" i="26"/>
  <c r="AS101" i="26"/>
  <c r="AR101" i="26"/>
  <c r="AQ101" i="26"/>
  <c r="AP101" i="26"/>
  <c r="AO101" i="26"/>
  <c r="AN101" i="26"/>
  <c r="AM101" i="26"/>
  <c r="AL101" i="26"/>
  <c r="AK101" i="26"/>
  <c r="AB101" i="26"/>
  <c r="Y101" i="26"/>
  <c r="X101" i="26"/>
  <c r="F101" i="26"/>
  <c r="E101" i="26"/>
  <c r="D101" i="26"/>
  <c r="BO100" i="26"/>
  <c r="BN100" i="26"/>
  <c r="BM100" i="26"/>
  <c r="BL100" i="26"/>
  <c r="BK100" i="26"/>
  <c r="BJ100" i="26"/>
  <c r="BI100" i="26"/>
  <c r="BH100" i="26"/>
  <c r="BG100" i="26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B100" i="26"/>
  <c r="Y100" i="26"/>
  <c r="X100" i="26"/>
  <c r="F100" i="26"/>
  <c r="E100" i="26"/>
  <c r="D100" i="26"/>
  <c r="B100" i="26"/>
  <c r="BO99" i="26"/>
  <c r="BN99" i="26"/>
  <c r="BM99" i="26"/>
  <c r="BL99" i="26"/>
  <c r="BK99" i="26"/>
  <c r="BJ99" i="26"/>
  <c r="BI99" i="26"/>
  <c r="BH99" i="26"/>
  <c r="BG99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B99" i="26"/>
  <c r="Y99" i="26"/>
  <c r="X99" i="26"/>
  <c r="F99" i="26"/>
  <c r="E99" i="26"/>
  <c r="D99" i="26"/>
  <c r="BO98" i="26"/>
  <c r="BN98" i="26"/>
  <c r="BM98" i="26"/>
  <c r="BL98" i="26"/>
  <c r="BK98" i="26"/>
  <c r="BJ98" i="26"/>
  <c r="BI98" i="26"/>
  <c r="BH98" i="26"/>
  <c r="BG98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B98" i="26"/>
  <c r="Y98" i="26"/>
  <c r="X98" i="26"/>
  <c r="F98" i="26"/>
  <c r="E98" i="26"/>
  <c r="D98" i="26"/>
  <c r="BO97" i="26"/>
  <c r="BN97" i="26"/>
  <c r="BM97" i="26"/>
  <c r="BL97" i="26"/>
  <c r="BK97" i="26"/>
  <c r="BJ97" i="26"/>
  <c r="BI97" i="26"/>
  <c r="BH97" i="26"/>
  <c r="BG97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B97" i="26"/>
  <c r="Y97" i="26"/>
  <c r="X97" i="26"/>
  <c r="F97" i="26"/>
  <c r="E97" i="26"/>
  <c r="D97" i="26"/>
  <c r="BO96" i="26"/>
  <c r="BN96" i="26"/>
  <c r="BM96" i="26"/>
  <c r="BL96" i="26"/>
  <c r="BK96" i="26"/>
  <c r="BJ96" i="26"/>
  <c r="BI96" i="26"/>
  <c r="BH96" i="26"/>
  <c r="BG96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B96" i="26"/>
  <c r="Y96" i="26"/>
  <c r="X96" i="26"/>
  <c r="F96" i="26"/>
  <c r="E96" i="26"/>
  <c r="D96" i="26"/>
  <c r="BO95" i="26"/>
  <c r="BN95" i="26"/>
  <c r="BM95" i="26"/>
  <c r="BL95" i="26"/>
  <c r="BK95" i="26"/>
  <c r="BJ95" i="26"/>
  <c r="BI95" i="26"/>
  <c r="BH95" i="26"/>
  <c r="BG95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B95" i="26"/>
  <c r="Y95" i="26"/>
  <c r="X95" i="26"/>
  <c r="F95" i="26"/>
  <c r="E95" i="26"/>
  <c r="D95" i="26"/>
  <c r="BO94" i="26"/>
  <c r="BN94" i="26"/>
  <c r="BM94" i="26"/>
  <c r="BL94" i="26"/>
  <c r="BK94" i="26"/>
  <c r="BJ94" i="26"/>
  <c r="BI94" i="26"/>
  <c r="BH94" i="26"/>
  <c r="BG94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E94" i="26"/>
  <c r="D94" i="26"/>
  <c r="BO93" i="26"/>
  <c r="BN93" i="26"/>
  <c r="BM93" i="26"/>
  <c r="BL93" i="26"/>
  <c r="BK93" i="26"/>
  <c r="BJ93" i="26"/>
  <c r="BI93" i="26"/>
  <c r="BH93" i="26"/>
  <c r="BG93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D93" i="26"/>
  <c r="AA93" i="26"/>
  <c r="X93" i="26"/>
  <c r="D93" i="26"/>
  <c r="E93" i="26" s="1"/>
  <c r="BO91" i="26"/>
  <c r="BN91" i="26"/>
  <c r="BM91" i="26"/>
  <c r="BL91" i="26"/>
  <c r="BK91" i="26"/>
  <c r="BJ91" i="26"/>
  <c r="BI91" i="26"/>
  <c r="BH91" i="26"/>
  <c r="BG91" i="26"/>
  <c r="BF91" i="26"/>
  <c r="BE91" i="26"/>
  <c r="BD91" i="26"/>
  <c r="BC91" i="26"/>
  <c r="BB91" i="26"/>
  <c r="BA91" i="26"/>
  <c r="AZ91" i="26"/>
  <c r="AY91" i="26"/>
  <c r="AX91" i="26"/>
  <c r="AW91" i="26"/>
  <c r="AV91" i="26"/>
  <c r="AU91" i="26"/>
  <c r="AT91" i="26"/>
  <c r="AS91" i="26"/>
  <c r="AR91" i="26"/>
  <c r="AQ91" i="26"/>
  <c r="AP91" i="26"/>
  <c r="AO91" i="26"/>
  <c r="AN91" i="26"/>
  <c r="AM91" i="26"/>
  <c r="AL91" i="26"/>
  <c r="AK91" i="26"/>
  <c r="AB91" i="26"/>
  <c r="Y91" i="26"/>
  <c r="X91" i="26"/>
  <c r="F91" i="26"/>
  <c r="E91" i="26"/>
  <c r="D91" i="26"/>
  <c r="BO90" i="26"/>
  <c r="BN90" i="26"/>
  <c r="BM90" i="26"/>
  <c r="BL90" i="26"/>
  <c r="BK90" i="26"/>
  <c r="BJ90" i="26"/>
  <c r="BI90" i="26"/>
  <c r="BH90" i="26"/>
  <c r="BG90" i="26"/>
  <c r="BF90" i="26"/>
  <c r="BE90" i="26"/>
  <c r="BD90" i="26"/>
  <c r="BC90" i="26"/>
  <c r="BB90" i="26"/>
  <c r="BA90" i="26"/>
  <c r="AZ90" i="26"/>
  <c r="AY90" i="26"/>
  <c r="AX90" i="26"/>
  <c r="AW90" i="26"/>
  <c r="AV90" i="26"/>
  <c r="AU90" i="26"/>
  <c r="AT90" i="26"/>
  <c r="AS90" i="26"/>
  <c r="AR90" i="26"/>
  <c r="AQ90" i="26"/>
  <c r="AP90" i="26"/>
  <c r="AO90" i="26"/>
  <c r="AN90" i="26"/>
  <c r="AM90" i="26"/>
  <c r="AL90" i="26"/>
  <c r="AK90" i="26"/>
  <c r="AB90" i="26"/>
  <c r="Y90" i="26"/>
  <c r="X90" i="26"/>
  <c r="F90" i="26"/>
  <c r="E90" i="26"/>
  <c r="D90" i="26"/>
  <c r="B90" i="26"/>
  <c r="BO89" i="26"/>
  <c r="BN89" i="26"/>
  <c r="BM89" i="26"/>
  <c r="BL89" i="26"/>
  <c r="BK89" i="26"/>
  <c r="BJ89" i="26"/>
  <c r="BI89" i="26"/>
  <c r="BH89" i="26"/>
  <c r="BG89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B89" i="26"/>
  <c r="Y89" i="26"/>
  <c r="X89" i="26"/>
  <c r="F89" i="26"/>
  <c r="E89" i="26"/>
  <c r="D89" i="26"/>
  <c r="BO88" i="26"/>
  <c r="BN88" i="26"/>
  <c r="BM88" i="26"/>
  <c r="BL88" i="26"/>
  <c r="BK88" i="26"/>
  <c r="BJ88" i="26"/>
  <c r="BI88" i="26"/>
  <c r="BH88" i="26"/>
  <c r="BG88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B88" i="26"/>
  <c r="Y88" i="26"/>
  <c r="X88" i="26"/>
  <c r="F88" i="26"/>
  <c r="E88" i="26"/>
  <c r="D88" i="26"/>
  <c r="BO87" i="26"/>
  <c r="BN87" i="26"/>
  <c r="BM87" i="26"/>
  <c r="BL87" i="26"/>
  <c r="BK87" i="26"/>
  <c r="BJ87" i="26"/>
  <c r="BI87" i="26"/>
  <c r="BH87" i="26"/>
  <c r="BG87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B87" i="26"/>
  <c r="Y87" i="26"/>
  <c r="X87" i="26"/>
  <c r="F87" i="26"/>
  <c r="E87" i="26"/>
  <c r="D87" i="26"/>
  <c r="BO86" i="26"/>
  <c r="BN86" i="26"/>
  <c r="BM86" i="26"/>
  <c r="BL86" i="26"/>
  <c r="BK86" i="26"/>
  <c r="BJ86" i="26"/>
  <c r="BI86" i="26"/>
  <c r="BH86" i="26"/>
  <c r="BG86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B86" i="26"/>
  <c r="Y86" i="26"/>
  <c r="X86" i="26"/>
  <c r="F86" i="26"/>
  <c r="E86" i="26"/>
  <c r="D86" i="26"/>
  <c r="BO85" i="26"/>
  <c r="BN85" i="26"/>
  <c r="BM85" i="26"/>
  <c r="BL85" i="26"/>
  <c r="BK85" i="26"/>
  <c r="BJ85" i="26"/>
  <c r="BI85" i="26"/>
  <c r="BH85" i="26"/>
  <c r="BG85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B85" i="26"/>
  <c r="Y85" i="26"/>
  <c r="X85" i="26"/>
  <c r="F85" i="26"/>
  <c r="E85" i="26"/>
  <c r="D85" i="26"/>
  <c r="BO84" i="26"/>
  <c r="BN84" i="26"/>
  <c r="BM84" i="26"/>
  <c r="BL84" i="26"/>
  <c r="BK84" i="26"/>
  <c r="BJ84" i="26"/>
  <c r="BI84" i="26"/>
  <c r="BH84" i="26"/>
  <c r="BG84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F84" i="26"/>
  <c r="D84" i="26"/>
  <c r="E84" i="26" s="1"/>
  <c r="BO83" i="26"/>
  <c r="BN83" i="26"/>
  <c r="BM83" i="26"/>
  <c r="BL83" i="26"/>
  <c r="BK83" i="26"/>
  <c r="BJ83" i="26"/>
  <c r="BI83" i="26"/>
  <c r="BH83" i="26"/>
  <c r="BG83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F83" i="26"/>
  <c r="AD83" i="26"/>
  <c r="AA83" i="26"/>
  <c r="D83" i="26"/>
  <c r="E83" i="26" s="1"/>
  <c r="BO81" i="26"/>
  <c r="BN81" i="26"/>
  <c r="BM81" i="26"/>
  <c r="BL81" i="26"/>
  <c r="BK81" i="26"/>
  <c r="BJ81" i="26"/>
  <c r="BI81" i="26"/>
  <c r="BH81" i="26"/>
  <c r="BG81" i="26"/>
  <c r="BF81" i="26"/>
  <c r="BE81" i="26"/>
  <c r="BD81" i="26"/>
  <c r="BC81" i="26"/>
  <c r="BB81" i="26"/>
  <c r="BA81" i="26"/>
  <c r="AZ81" i="26"/>
  <c r="AY81" i="26"/>
  <c r="AX81" i="26"/>
  <c r="AW81" i="26"/>
  <c r="AV81" i="26"/>
  <c r="AU81" i="26"/>
  <c r="AT81" i="26"/>
  <c r="AS81" i="26"/>
  <c r="AR81" i="26"/>
  <c r="AQ81" i="26"/>
  <c r="AP81" i="26"/>
  <c r="AO81" i="26"/>
  <c r="AN81" i="26"/>
  <c r="AM81" i="26"/>
  <c r="AL81" i="26"/>
  <c r="AK81" i="26"/>
  <c r="AB81" i="26"/>
  <c r="Y81" i="26"/>
  <c r="X81" i="26"/>
  <c r="F81" i="26"/>
  <c r="E81" i="26"/>
  <c r="D81" i="26"/>
  <c r="BO80" i="26"/>
  <c r="BN80" i="26"/>
  <c r="BM80" i="26"/>
  <c r="BL80" i="26"/>
  <c r="BK80" i="26"/>
  <c r="BJ80" i="26"/>
  <c r="BI80" i="26"/>
  <c r="BH80" i="26"/>
  <c r="BG80" i="26"/>
  <c r="BF80" i="26"/>
  <c r="BE80" i="26"/>
  <c r="BD80" i="26"/>
  <c r="BC80" i="26"/>
  <c r="BB80" i="26"/>
  <c r="BA80" i="26"/>
  <c r="AZ80" i="26"/>
  <c r="AY80" i="26"/>
  <c r="AX80" i="26"/>
  <c r="AW80" i="26"/>
  <c r="AV80" i="26"/>
  <c r="AU80" i="26"/>
  <c r="AT80" i="26"/>
  <c r="AS80" i="26"/>
  <c r="AR80" i="26"/>
  <c r="AQ80" i="26"/>
  <c r="AP80" i="26"/>
  <c r="AO80" i="26"/>
  <c r="AN80" i="26"/>
  <c r="AM80" i="26"/>
  <c r="AL80" i="26"/>
  <c r="AK80" i="26"/>
  <c r="AB80" i="26"/>
  <c r="Y80" i="26"/>
  <c r="X80" i="26"/>
  <c r="F80" i="26"/>
  <c r="E80" i="26"/>
  <c r="D80" i="26"/>
  <c r="B80" i="26"/>
  <c r="BO79" i="26"/>
  <c r="BN79" i="26"/>
  <c r="BM79" i="26"/>
  <c r="BL79" i="26"/>
  <c r="BK79" i="26"/>
  <c r="BJ79" i="26"/>
  <c r="BI79" i="26"/>
  <c r="BH79" i="26"/>
  <c r="BG79" i="26"/>
  <c r="BF79" i="26"/>
  <c r="BE79" i="26"/>
  <c r="BD79" i="26"/>
  <c r="BC79" i="26"/>
  <c r="BB79" i="26"/>
  <c r="BA79" i="26"/>
  <c r="AZ79" i="26"/>
  <c r="AY79" i="26"/>
  <c r="AX79" i="26"/>
  <c r="AW79" i="26"/>
  <c r="AV79" i="26"/>
  <c r="AU79" i="26"/>
  <c r="AT79" i="26"/>
  <c r="AS79" i="26"/>
  <c r="AR79" i="26"/>
  <c r="AQ79" i="26"/>
  <c r="AP79" i="26"/>
  <c r="AO79" i="26"/>
  <c r="AN79" i="26"/>
  <c r="AM79" i="26"/>
  <c r="AL79" i="26"/>
  <c r="AK79" i="26"/>
  <c r="AB79" i="26"/>
  <c r="Y79" i="26"/>
  <c r="X79" i="26"/>
  <c r="F79" i="26"/>
  <c r="E79" i="26"/>
  <c r="D79" i="26"/>
  <c r="BO78" i="26"/>
  <c r="BN78" i="26"/>
  <c r="BM78" i="26"/>
  <c r="BL78" i="26"/>
  <c r="BK78" i="26"/>
  <c r="BJ78" i="26"/>
  <c r="BI78" i="26"/>
  <c r="BH78" i="26"/>
  <c r="BG78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B78" i="26"/>
  <c r="Y78" i="26"/>
  <c r="X78" i="26"/>
  <c r="F78" i="26"/>
  <c r="E78" i="26"/>
  <c r="D78" i="26"/>
  <c r="BO77" i="26"/>
  <c r="BN77" i="26"/>
  <c r="BM77" i="26"/>
  <c r="BL77" i="26"/>
  <c r="BK77" i="26"/>
  <c r="BJ77" i="26"/>
  <c r="BI77" i="26"/>
  <c r="BH77" i="26"/>
  <c r="BG77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B77" i="26"/>
  <c r="B77" i="26" s="1"/>
  <c r="AF73" i="26" s="1"/>
  <c r="Y77" i="26"/>
  <c r="X77" i="26"/>
  <c r="F77" i="26"/>
  <c r="E77" i="26"/>
  <c r="D77" i="26"/>
  <c r="BO76" i="26"/>
  <c r="BN76" i="26"/>
  <c r="BM76" i="26"/>
  <c r="BL76" i="26"/>
  <c r="BK76" i="26"/>
  <c r="BJ76" i="26"/>
  <c r="BI76" i="26"/>
  <c r="BH76" i="26"/>
  <c r="BG76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B76" i="26"/>
  <c r="Y76" i="26"/>
  <c r="X76" i="26"/>
  <c r="F76" i="26"/>
  <c r="E76" i="26"/>
  <c r="D76" i="26"/>
  <c r="BO75" i="26"/>
  <c r="BN75" i="26"/>
  <c r="BM75" i="26"/>
  <c r="BL75" i="26"/>
  <c r="BK75" i="26"/>
  <c r="BJ75" i="26"/>
  <c r="BI75" i="26"/>
  <c r="BH75" i="26"/>
  <c r="BG75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B75" i="26"/>
  <c r="Y75" i="26"/>
  <c r="X75" i="26"/>
  <c r="F75" i="26"/>
  <c r="E75" i="26"/>
  <c r="D75" i="26"/>
  <c r="BO74" i="26"/>
  <c r="BN74" i="26"/>
  <c r="BM74" i="26"/>
  <c r="BL74" i="26"/>
  <c r="BK74" i="26"/>
  <c r="BJ74" i="26"/>
  <c r="BI74" i="26"/>
  <c r="BH74" i="26"/>
  <c r="BG74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Y74" i="26"/>
  <c r="F74" i="26"/>
  <c r="E74" i="26"/>
  <c r="AB74" i="26" s="1"/>
  <c r="D74" i="26"/>
  <c r="BO73" i="26"/>
  <c r="BN73" i="26"/>
  <c r="BM73" i="26"/>
  <c r="BL73" i="26"/>
  <c r="BK73" i="26"/>
  <c r="BJ73" i="26"/>
  <c r="BI73" i="26"/>
  <c r="BH73" i="26"/>
  <c r="BG73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D73" i="26"/>
  <c r="AA73" i="26"/>
  <c r="E73" i="26"/>
  <c r="D73" i="26"/>
  <c r="BO71" i="26"/>
  <c r="BN71" i="26"/>
  <c r="BM71" i="26"/>
  <c r="BL71" i="26"/>
  <c r="BK71" i="26"/>
  <c r="BJ71" i="26"/>
  <c r="BI71" i="26"/>
  <c r="BH71" i="26"/>
  <c r="BG71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B71" i="26"/>
  <c r="Y71" i="26"/>
  <c r="X71" i="26"/>
  <c r="F71" i="26"/>
  <c r="E71" i="26"/>
  <c r="D71" i="26"/>
  <c r="BO70" i="26"/>
  <c r="BN70" i="26"/>
  <c r="BM70" i="26"/>
  <c r="BL70" i="26"/>
  <c r="BK70" i="26"/>
  <c r="BJ70" i="26"/>
  <c r="BI70" i="26"/>
  <c r="BH70" i="26"/>
  <c r="BG70" i="26"/>
  <c r="BF70" i="26"/>
  <c r="BE70" i="26"/>
  <c r="BD70" i="26"/>
  <c r="BC70" i="26"/>
  <c r="BB70" i="26"/>
  <c r="BA70" i="26"/>
  <c r="AZ70" i="26"/>
  <c r="AY70" i="26"/>
  <c r="AX70" i="26"/>
  <c r="AW70" i="26"/>
  <c r="AV70" i="26"/>
  <c r="AU70" i="26"/>
  <c r="AT70" i="26"/>
  <c r="AS70" i="26"/>
  <c r="AR70" i="26"/>
  <c r="AQ70" i="26"/>
  <c r="AP70" i="26"/>
  <c r="AO70" i="26"/>
  <c r="AN70" i="26"/>
  <c r="AM70" i="26"/>
  <c r="AL70" i="26"/>
  <c r="AK70" i="26"/>
  <c r="AB70" i="26"/>
  <c r="Y70" i="26"/>
  <c r="X70" i="26"/>
  <c r="F70" i="26"/>
  <c r="E70" i="26"/>
  <c r="D70" i="26"/>
  <c r="B70" i="26"/>
  <c r="BO69" i="26"/>
  <c r="BN69" i="26"/>
  <c r="BM69" i="26"/>
  <c r="BL69" i="26"/>
  <c r="BK69" i="26"/>
  <c r="BJ69" i="26"/>
  <c r="BI69" i="26"/>
  <c r="BH69" i="26"/>
  <c r="BG69" i="26"/>
  <c r="BF69" i="26"/>
  <c r="BE69" i="26"/>
  <c r="BD69" i="26"/>
  <c r="BC69" i="26"/>
  <c r="BB69" i="26"/>
  <c r="BA69" i="26"/>
  <c r="AZ69" i="26"/>
  <c r="AY69" i="26"/>
  <c r="AX69" i="26"/>
  <c r="AW69" i="26"/>
  <c r="AV69" i="26"/>
  <c r="AU69" i="26"/>
  <c r="AT69" i="26"/>
  <c r="AS69" i="26"/>
  <c r="AR69" i="26"/>
  <c r="AQ69" i="26"/>
  <c r="AP69" i="26"/>
  <c r="AO69" i="26"/>
  <c r="AN69" i="26"/>
  <c r="AM69" i="26"/>
  <c r="AL69" i="26"/>
  <c r="AK69" i="26"/>
  <c r="AB69" i="26"/>
  <c r="Y69" i="26"/>
  <c r="X69" i="26"/>
  <c r="F69" i="26"/>
  <c r="E69" i="26"/>
  <c r="D69" i="26"/>
  <c r="BO68" i="26"/>
  <c r="BN68" i="26"/>
  <c r="BM68" i="26"/>
  <c r="BL68" i="26"/>
  <c r="BK68" i="26"/>
  <c r="BJ68" i="26"/>
  <c r="BI68" i="26"/>
  <c r="BH68" i="26"/>
  <c r="BG68" i="26"/>
  <c r="BF68" i="26"/>
  <c r="BE68" i="26"/>
  <c r="BD68" i="26"/>
  <c r="BC68" i="26"/>
  <c r="BB68" i="26"/>
  <c r="BA68" i="26"/>
  <c r="AZ68" i="26"/>
  <c r="AY68" i="26"/>
  <c r="AX68" i="26"/>
  <c r="AW68" i="26"/>
  <c r="AV68" i="26"/>
  <c r="AU68" i="26"/>
  <c r="AT68" i="26"/>
  <c r="AS68" i="26"/>
  <c r="AR68" i="26"/>
  <c r="AQ68" i="26"/>
  <c r="AP68" i="26"/>
  <c r="AO68" i="26"/>
  <c r="AN68" i="26"/>
  <c r="AM68" i="26"/>
  <c r="AL68" i="26"/>
  <c r="AK68" i="26"/>
  <c r="D68" i="26"/>
  <c r="E68" i="26" s="1"/>
  <c r="BO67" i="26"/>
  <c r="BN67" i="26"/>
  <c r="BM67" i="26"/>
  <c r="BL67" i="26"/>
  <c r="BK67" i="26"/>
  <c r="BJ67" i="26"/>
  <c r="BI67" i="26"/>
  <c r="BH67" i="26"/>
  <c r="BG67" i="26"/>
  <c r="BF67" i="26"/>
  <c r="BE67" i="26"/>
  <c r="BD67" i="26"/>
  <c r="BC67" i="26"/>
  <c r="BB67" i="26"/>
  <c r="BA67" i="26"/>
  <c r="AZ67" i="26"/>
  <c r="AY67" i="26"/>
  <c r="AX67" i="26"/>
  <c r="AW67" i="26"/>
  <c r="AV67" i="26"/>
  <c r="AU67" i="26"/>
  <c r="AT67" i="26"/>
  <c r="AS67" i="26"/>
  <c r="AR67" i="26"/>
  <c r="AQ67" i="26"/>
  <c r="AP67" i="26"/>
  <c r="AO67" i="26"/>
  <c r="AN67" i="26"/>
  <c r="AM67" i="26"/>
  <c r="AL67" i="26"/>
  <c r="AK67" i="26"/>
  <c r="Y67" i="26"/>
  <c r="D67" i="26"/>
  <c r="E67" i="26" s="1"/>
  <c r="BO66" i="26"/>
  <c r="BN66" i="26"/>
  <c r="BM66" i="26"/>
  <c r="BL66" i="26"/>
  <c r="BK66" i="26"/>
  <c r="BJ66" i="26"/>
  <c r="BI66" i="26"/>
  <c r="BH66" i="26"/>
  <c r="BG66" i="26"/>
  <c r="BF66" i="26"/>
  <c r="BE66" i="26"/>
  <c r="BD66" i="26"/>
  <c r="BC66" i="26"/>
  <c r="BB66" i="26"/>
  <c r="BA66" i="26"/>
  <c r="AZ66" i="26"/>
  <c r="AY66" i="26"/>
  <c r="AX66" i="26"/>
  <c r="AW66" i="26"/>
  <c r="AV66" i="26"/>
  <c r="AU66" i="26"/>
  <c r="AT66" i="26"/>
  <c r="AS66" i="26"/>
  <c r="AR66" i="26"/>
  <c r="AQ66" i="26"/>
  <c r="AP66" i="26"/>
  <c r="AO66" i="26"/>
  <c r="AN66" i="26"/>
  <c r="AM66" i="26"/>
  <c r="AL66" i="26"/>
  <c r="AK66" i="26"/>
  <c r="X66" i="26"/>
  <c r="E66" i="26"/>
  <c r="D66" i="26"/>
  <c r="BO65" i="26"/>
  <c r="BN65" i="26"/>
  <c r="BM65" i="26"/>
  <c r="BL65" i="26"/>
  <c r="BK65" i="26"/>
  <c r="BJ65" i="26"/>
  <c r="BI65" i="26"/>
  <c r="BH65" i="26"/>
  <c r="BG65" i="26"/>
  <c r="BF65" i="26"/>
  <c r="BE65" i="26"/>
  <c r="BD65" i="26"/>
  <c r="BC65" i="26"/>
  <c r="BB65" i="26"/>
  <c r="BA65" i="26"/>
  <c r="AZ65" i="26"/>
  <c r="AY65" i="26"/>
  <c r="AX65" i="26"/>
  <c r="AW65" i="26"/>
  <c r="AV65" i="26"/>
  <c r="AU65" i="26"/>
  <c r="AT65" i="26"/>
  <c r="AS65" i="26"/>
  <c r="AR65" i="26"/>
  <c r="AQ65" i="26"/>
  <c r="AP65" i="26"/>
  <c r="AO65" i="26"/>
  <c r="AN65" i="26"/>
  <c r="AM65" i="26"/>
  <c r="AL65" i="26"/>
  <c r="AK65" i="26"/>
  <c r="D65" i="26"/>
  <c r="E65" i="26" s="1"/>
  <c r="BO64" i="26"/>
  <c r="BN64" i="26"/>
  <c r="BM64" i="26"/>
  <c r="BL64" i="26"/>
  <c r="BK64" i="26"/>
  <c r="BJ64" i="26"/>
  <c r="BI64" i="26"/>
  <c r="BH64" i="26"/>
  <c r="BG64" i="26"/>
  <c r="BF64" i="26"/>
  <c r="BE64" i="26"/>
  <c r="BD64" i="26"/>
  <c r="BC64" i="26"/>
  <c r="BB64" i="26"/>
  <c r="BA64" i="26"/>
  <c r="AZ64" i="26"/>
  <c r="AY64" i="26"/>
  <c r="AX64" i="26"/>
  <c r="AW64" i="26"/>
  <c r="AV64" i="26"/>
  <c r="AU64" i="26"/>
  <c r="AT64" i="26"/>
  <c r="AS64" i="26"/>
  <c r="AR64" i="26"/>
  <c r="AQ64" i="26"/>
  <c r="AP64" i="26"/>
  <c r="AO64" i="26"/>
  <c r="AN64" i="26"/>
  <c r="AM64" i="26"/>
  <c r="AL64" i="26"/>
  <c r="AK64" i="26"/>
  <c r="D64" i="26"/>
  <c r="E64" i="26" s="1"/>
  <c r="BO63" i="26"/>
  <c r="BN63" i="26"/>
  <c r="BM63" i="26"/>
  <c r="BL63" i="26"/>
  <c r="BK63" i="26"/>
  <c r="BJ63" i="26"/>
  <c r="BI63" i="26"/>
  <c r="BH63" i="26"/>
  <c r="BG63" i="26"/>
  <c r="BF63" i="26"/>
  <c r="BE63" i="26"/>
  <c r="BD63" i="26"/>
  <c r="BC63" i="26"/>
  <c r="BB63" i="26"/>
  <c r="BA63" i="26"/>
  <c r="AZ63" i="26"/>
  <c r="AY63" i="26"/>
  <c r="AX63" i="26"/>
  <c r="AW63" i="26"/>
  <c r="AV63" i="26"/>
  <c r="AU63" i="26"/>
  <c r="AT63" i="26"/>
  <c r="AS63" i="26"/>
  <c r="AR63" i="26"/>
  <c r="AQ63" i="26"/>
  <c r="AP63" i="26"/>
  <c r="AO63" i="26"/>
  <c r="AN63" i="26"/>
  <c r="AM63" i="26"/>
  <c r="AL63" i="26"/>
  <c r="AK63" i="26"/>
  <c r="AF63" i="26"/>
  <c r="AD63" i="26"/>
  <c r="AB63" i="26"/>
  <c r="B69" i="26" s="1"/>
  <c r="AA63" i="26"/>
  <c r="F63" i="26"/>
  <c r="D63" i="26"/>
  <c r="E63" i="26" s="1"/>
  <c r="BO61" i="26"/>
  <c r="BN61" i="26"/>
  <c r="BM61" i="26"/>
  <c r="BL61" i="26"/>
  <c r="BK61" i="26"/>
  <c r="BJ61" i="26"/>
  <c r="BI61" i="26"/>
  <c r="BH61" i="26"/>
  <c r="BG61" i="26"/>
  <c r="BF61" i="26"/>
  <c r="BE61" i="26"/>
  <c r="BD61" i="26"/>
  <c r="BC61" i="26"/>
  <c r="BB61" i="26"/>
  <c r="BA61" i="26"/>
  <c r="AZ61" i="26"/>
  <c r="AY61" i="26"/>
  <c r="AX61" i="26"/>
  <c r="AW61" i="26"/>
  <c r="AV61" i="26"/>
  <c r="AU61" i="26"/>
  <c r="AT61" i="26"/>
  <c r="AS61" i="26"/>
  <c r="AR61" i="26"/>
  <c r="AQ61" i="26"/>
  <c r="AP61" i="26"/>
  <c r="AO61" i="26"/>
  <c r="AN61" i="26"/>
  <c r="AM61" i="26"/>
  <c r="AL61" i="26"/>
  <c r="AK61" i="26"/>
  <c r="AB61" i="26"/>
  <c r="Y61" i="26"/>
  <c r="X61" i="26"/>
  <c r="F61" i="26"/>
  <c r="E61" i="26"/>
  <c r="D61" i="26"/>
  <c r="BO60" i="26"/>
  <c r="BN60" i="26"/>
  <c r="BM60" i="26"/>
  <c r="BL60" i="26"/>
  <c r="BK60" i="26"/>
  <c r="BJ60" i="26"/>
  <c r="BI60" i="26"/>
  <c r="BH60" i="26"/>
  <c r="BG60" i="26"/>
  <c r="BF60" i="26"/>
  <c r="BE60" i="26"/>
  <c r="BD60" i="26"/>
  <c r="BC60" i="26"/>
  <c r="BB60" i="26"/>
  <c r="BA60" i="26"/>
  <c r="AZ60" i="26"/>
  <c r="AY60" i="26"/>
  <c r="AX60" i="26"/>
  <c r="AW60" i="26"/>
  <c r="AV60" i="26"/>
  <c r="AU60" i="26"/>
  <c r="AT60" i="26"/>
  <c r="AS60" i="26"/>
  <c r="AR60" i="26"/>
  <c r="AQ60" i="26"/>
  <c r="AP60" i="26"/>
  <c r="AO60" i="26"/>
  <c r="AN60" i="26"/>
  <c r="AM60" i="26"/>
  <c r="AL60" i="26"/>
  <c r="AK60" i="26"/>
  <c r="AB60" i="26"/>
  <c r="Y60" i="26"/>
  <c r="X60" i="26"/>
  <c r="F60" i="26"/>
  <c r="E60" i="26"/>
  <c r="D60" i="26"/>
  <c r="B60" i="26"/>
  <c r="BO59" i="26"/>
  <c r="BN59" i="26"/>
  <c r="BM59" i="26"/>
  <c r="BL59" i="26"/>
  <c r="BK59" i="26"/>
  <c r="BJ59" i="26"/>
  <c r="BI59" i="26"/>
  <c r="BH59" i="26"/>
  <c r="BG59" i="26"/>
  <c r="BF59" i="26"/>
  <c r="BE59" i="26"/>
  <c r="BD59" i="26"/>
  <c r="BC59" i="26"/>
  <c r="BB59" i="26"/>
  <c r="BA59" i="26"/>
  <c r="AZ59" i="26"/>
  <c r="AY59" i="26"/>
  <c r="AX59" i="26"/>
  <c r="AW59" i="26"/>
  <c r="AV59" i="26"/>
  <c r="AU59" i="26"/>
  <c r="AT59" i="26"/>
  <c r="AS59" i="26"/>
  <c r="AR59" i="26"/>
  <c r="AQ59" i="26"/>
  <c r="AP59" i="26"/>
  <c r="AO59" i="26"/>
  <c r="AN59" i="26"/>
  <c r="AM59" i="26"/>
  <c r="AL59" i="26"/>
  <c r="AK59" i="26"/>
  <c r="AB59" i="26"/>
  <c r="Y59" i="26"/>
  <c r="X59" i="26"/>
  <c r="F59" i="26"/>
  <c r="E59" i="26"/>
  <c r="D59" i="26"/>
  <c r="BO58" i="26"/>
  <c r="BN58" i="26"/>
  <c r="BM58" i="26"/>
  <c r="BL58" i="26"/>
  <c r="BK58" i="26"/>
  <c r="BJ58" i="26"/>
  <c r="BI58" i="26"/>
  <c r="BH58" i="26"/>
  <c r="BG58" i="26"/>
  <c r="BF58" i="26"/>
  <c r="BE58" i="26"/>
  <c r="BD58" i="26"/>
  <c r="BC58" i="26"/>
  <c r="BB58" i="26"/>
  <c r="BA58" i="26"/>
  <c r="AZ58" i="26"/>
  <c r="AY58" i="26"/>
  <c r="AX58" i="26"/>
  <c r="AW58" i="26"/>
  <c r="AV58" i="26"/>
  <c r="AU58" i="26"/>
  <c r="AT58" i="26"/>
  <c r="AS58" i="26"/>
  <c r="AR58" i="26"/>
  <c r="AQ58" i="26"/>
  <c r="AP58" i="26"/>
  <c r="AO58" i="26"/>
  <c r="AN58" i="26"/>
  <c r="AM58" i="26"/>
  <c r="AL58" i="26"/>
  <c r="AK58" i="26"/>
  <c r="AB58" i="26"/>
  <c r="Y58" i="26"/>
  <c r="X58" i="26"/>
  <c r="F58" i="26"/>
  <c r="E58" i="26"/>
  <c r="D58" i="26"/>
  <c r="BO57" i="26"/>
  <c r="BN57" i="26"/>
  <c r="BM57" i="26"/>
  <c r="BL57" i="26"/>
  <c r="BK57" i="26"/>
  <c r="BJ57" i="26"/>
  <c r="BI57" i="26"/>
  <c r="BH57" i="26"/>
  <c r="BG57" i="26"/>
  <c r="BF57" i="26"/>
  <c r="BE57" i="26"/>
  <c r="BD57" i="26"/>
  <c r="BC57" i="26"/>
  <c r="BB57" i="26"/>
  <c r="BA57" i="26"/>
  <c r="AZ57" i="26"/>
  <c r="AY57" i="26"/>
  <c r="AX57" i="26"/>
  <c r="AW57" i="26"/>
  <c r="AV57" i="26"/>
  <c r="AU57" i="26"/>
  <c r="AT57" i="26"/>
  <c r="AS57" i="26"/>
  <c r="AR57" i="26"/>
  <c r="AQ57" i="26"/>
  <c r="AP57" i="26"/>
  <c r="AO57" i="26"/>
  <c r="AN57" i="26"/>
  <c r="AM57" i="26"/>
  <c r="AL57" i="26"/>
  <c r="AK57" i="26"/>
  <c r="AB57" i="26"/>
  <c r="D57" i="26"/>
  <c r="E57" i="26" s="1"/>
  <c r="BO56" i="26"/>
  <c r="BN56" i="26"/>
  <c r="BM56" i="26"/>
  <c r="BL56" i="26"/>
  <c r="BK56" i="26"/>
  <c r="BJ56" i="26"/>
  <c r="BI56" i="26"/>
  <c r="BH56" i="26"/>
  <c r="BG56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Y56" i="26"/>
  <c r="F56" i="26"/>
  <c r="E56" i="26"/>
  <c r="AB56" i="26" s="1"/>
  <c r="D56" i="26"/>
  <c r="BO55" i="26"/>
  <c r="BN55" i="26"/>
  <c r="BM55" i="26"/>
  <c r="BL55" i="26"/>
  <c r="BK55" i="26"/>
  <c r="BJ55" i="26"/>
  <c r="BI55" i="26"/>
  <c r="BH55" i="26"/>
  <c r="BG55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E55" i="26"/>
  <c r="D55" i="26"/>
  <c r="BO54" i="26"/>
  <c r="BN54" i="26"/>
  <c r="BM54" i="26"/>
  <c r="BL54" i="26"/>
  <c r="BK54" i="26"/>
  <c r="BJ54" i="26"/>
  <c r="BI54" i="26"/>
  <c r="BH54" i="26"/>
  <c r="BG54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D54" i="26"/>
  <c r="E54" i="26" s="1"/>
  <c r="BO53" i="26"/>
  <c r="BN53" i="26"/>
  <c r="BM53" i="26"/>
  <c r="BL53" i="26"/>
  <c r="BK53" i="26"/>
  <c r="BJ53" i="26"/>
  <c r="BI53" i="26"/>
  <c r="BH53" i="26"/>
  <c r="BG53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F53" i="26"/>
  <c r="AD53" i="26"/>
  <c r="AA53" i="26"/>
  <c r="E53" i="26"/>
  <c r="D53" i="26"/>
  <c r="BO51" i="26"/>
  <c r="BN51" i="26"/>
  <c r="BM51" i="26"/>
  <c r="BL51" i="26"/>
  <c r="BK51" i="26"/>
  <c r="BJ51" i="26"/>
  <c r="BI51" i="26"/>
  <c r="BH51" i="26"/>
  <c r="BG51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B51" i="26"/>
  <c r="Y51" i="26"/>
  <c r="X51" i="26"/>
  <c r="F51" i="26"/>
  <c r="E51" i="26"/>
  <c r="D51" i="26"/>
  <c r="BO50" i="26"/>
  <c r="BN50" i="26"/>
  <c r="BM50" i="26"/>
  <c r="BL50" i="26"/>
  <c r="BK50" i="26"/>
  <c r="BJ50" i="26"/>
  <c r="BI50" i="26"/>
  <c r="BH50" i="26"/>
  <c r="BG50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B50" i="26"/>
  <c r="Y50" i="26"/>
  <c r="X50" i="26"/>
  <c r="F50" i="26"/>
  <c r="E50" i="26"/>
  <c r="D50" i="26"/>
  <c r="B50" i="26"/>
  <c r="BO49" i="26"/>
  <c r="BN49" i="26"/>
  <c r="BM49" i="26"/>
  <c r="BL49" i="26"/>
  <c r="BK49" i="26"/>
  <c r="BJ49" i="26"/>
  <c r="BI49" i="26"/>
  <c r="BH49" i="26"/>
  <c r="BG49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Y49" i="26"/>
  <c r="F49" i="26"/>
  <c r="E49" i="26"/>
  <c r="AB49" i="26" s="1"/>
  <c r="D49" i="26"/>
  <c r="BO48" i="26"/>
  <c r="BN48" i="26"/>
  <c r="BM48" i="26"/>
  <c r="BL48" i="26"/>
  <c r="BK48" i="26"/>
  <c r="BJ48" i="26"/>
  <c r="BI48" i="26"/>
  <c r="BH48" i="26"/>
  <c r="BG48" i="26"/>
  <c r="BF48" i="26"/>
  <c r="BE48" i="26"/>
  <c r="BD48" i="26"/>
  <c r="BC48" i="26"/>
  <c r="BB48" i="26"/>
  <c r="BA48" i="26"/>
  <c r="AZ48" i="26"/>
  <c r="AY48" i="26"/>
  <c r="AX48" i="26"/>
  <c r="AW48" i="26"/>
  <c r="AV48" i="26"/>
  <c r="AU48" i="26"/>
  <c r="AT48" i="26"/>
  <c r="AS48" i="26"/>
  <c r="AR48" i="26"/>
  <c r="AQ48" i="26"/>
  <c r="AP48" i="26"/>
  <c r="AO48" i="26"/>
  <c r="AN48" i="26"/>
  <c r="AM48" i="26"/>
  <c r="AL48" i="26"/>
  <c r="AK48" i="26"/>
  <c r="F48" i="26"/>
  <c r="D48" i="26"/>
  <c r="E48" i="26" s="1"/>
  <c r="BO47" i="26"/>
  <c r="BN47" i="26"/>
  <c r="BM47" i="26"/>
  <c r="BL47" i="26"/>
  <c r="BK47" i="26"/>
  <c r="BJ47" i="26"/>
  <c r="BI47" i="26"/>
  <c r="BH47" i="26"/>
  <c r="BG47" i="26"/>
  <c r="BF47" i="26"/>
  <c r="BE47" i="26"/>
  <c r="BD47" i="26"/>
  <c r="BC47" i="26"/>
  <c r="BB47" i="26"/>
  <c r="BA47" i="26"/>
  <c r="AZ47" i="26"/>
  <c r="AY47" i="26"/>
  <c r="AX47" i="26"/>
  <c r="AW47" i="26"/>
  <c r="AV47" i="26"/>
  <c r="AU47" i="26"/>
  <c r="AT47" i="26"/>
  <c r="AS47" i="26"/>
  <c r="AR47" i="26"/>
  <c r="AQ47" i="26"/>
  <c r="AP47" i="26"/>
  <c r="AO47" i="26"/>
  <c r="AN47" i="26"/>
  <c r="AM47" i="26"/>
  <c r="AL47" i="26"/>
  <c r="AK47" i="26"/>
  <c r="D47" i="26"/>
  <c r="E47" i="26" s="1"/>
  <c r="BO46" i="26"/>
  <c r="BN46" i="26"/>
  <c r="BM46" i="26"/>
  <c r="BL46" i="26"/>
  <c r="BK46" i="26"/>
  <c r="BJ46" i="26"/>
  <c r="BI46" i="26"/>
  <c r="BH46" i="26"/>
  <c r="BG46" i="26"/>
  <c r="BF46" i="26"/>
  <c r="BE46" i="26"/>
  <c r="BD46" i="26"/>
  <c r="BC46" i="26"/>
  <c r="BB46" i="26"/>
  <c r="BA46" i="26"/>
  <c r="AZ46" i="26"/>
  <c r="AY46" i="26"/>
  <c r="AX46" i="26"/>
  <c r="AW46" i="26"/>
  <c r="AV46" i="26"/>
  <c r="AU46" i="26"/>
  <c r="AT46" i="26"/>
  <c r="AS46" i="26"/>
  <c r="AR46" i="26"/>
  <c r="AQ46" i="26"/>
  <c r="AP46" i="26"/>
  <c r="AO46" i="26"/>
  <c r="AN46" i="26"/>
  <c r="AM46" i="26"/>
  <c r="AL46" i="26"/>
  <c r="AK46" i="26"/>
  <c r="D46" i="26"/>
  <c r="E46" i="26" s="1"/>
  <c r="BO45" i="26"/>
  <c r="BN45" i="26"/>
  <c r="BM45" i="26"/>
  <c r="BL45" i="26"/>
  <c r="BK45" i="26"/>
  <c r="BJ45" i="26"/>
  <c r="BI45" i="26"/>
  <c r="BH45" i="26"/>
  <c r="BG45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E45" i="26"/>
  <c r="D45" i="26"/>
  <c r="BO44" i="26"/>
  <c r="BN44" i="26"/>
  <c r="BM44" i="26"/>
  <c r="BL44" i="26"/>
  <c r="BK44" i="26"/>
  <c r="BJ44" i="26"/>
  <c r="BI44" i="26"/>
  <c r="BH44" i="26"/>
  <c r="BG44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D44" i="26"/>
  <c r="E44" i="26" s="1"/>
  <c r="BO43" i="26"/>
  <c r="BN43" i="26"/>
  <c r="BM43" i="26"/>
  <c r="BL43" i="26"/>
  <c r="BK43" i="26"/>
  <c r="BJ43" i="26"/>
  <c r="BI43" i="26"/>
  <c r="BH43" i="26"/>
  <c r="BG43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F43" i="26"/>
  <c r="AD43" i="26"/>
  <c r="AA43" i="26"/>
  <c r="E43" i="26"/>
  <c r="D43" i="26"/>
  <c r="F42" i="26"/>
  <c r="BO41" i="26"/>
  <c r="BN41" i="26"/>
  <c r="BM41" i="26"/>
  <c r="BL41" i="26"/>
  <c r="BK41" i="26"/>
  <c r="BJ41" i="26"/>
  <c r="BI41" i="26"/>
  <c r="BH41" i="26"/>
  <c r="BG41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B41" i="26"/>
  <c r="Y41" i="26"/>
  <c r="X41" i="26"/>
  <c r="F41" i="26"/>
  <c r="E41" i="26"/>
  <c r="D41" i="26"/>
  <c r="BO40" i="26"/>
  <c r="BN40" i="26"/>
  <c r="BM40" i="26"/>
  <c r="BL40" i="26"/>
  <c r="BK40" i="26"/>
  <c r="BJ40" i="26"/>
  <c r="BI40" i="26"/>
  <c r="BH40" i="26"/>
  <c r="BG40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B40" i="26"/>
  <c r="Y40" i="26"/>
  <c r="X40" i="26"/>
  <c r="F40" i="26"/>
  <c r="E40" i="26"/>
  <c r="D40" i="26"/>
  <c r="B40" i="26"/>
  <c r="BO39" i="26"/>
  <c r="BN39" i="26"/>
  <c r="BM39" i="26"/>
  <c r="BL39" i="26"/>
  <c r="BK39" i="26"/>
  <c r="BJ39" i="26"/>
  <c r="BI39" i="26"/>
  <c r="BH39" i="26"/>
  <c r="BG39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B39" i="26"/>
  <c r="Y39" i="26"/>
  <c r="X39" i="26"/>
  <c r="F39" i="26"/>
  <c r="E39" i="26"/>
  <c r="D39" i="26"/>
  <c r="BO38" i="26"/>
  <c r="BN38" i="26"/>
  <c r="BM38" i="26"/>
  <c r="BL38" i="26"/>
  <c r="BK38" i="26"/>
  <c r="BJ38" i="26"/>
  <c r="BI38" i="26"/>
  <c r="BH38" i="26"/>
  <c r="BG38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B38" i="26"/>
  <c r="Y38" i="26"/>
  <c r="X38" i="26"/>
  <c r="F38" i="26"/>
  <c r="E38" i="26"/>
  <c r="D38" i="26"/>
  <c r="BO37" i="26"/>
  <c r="BN37" i="26"/>
  <c r="BM37" i="26"/>
  <c r="BL37" i="26"/>
  <c r="BK37" i="26"/>
  <c r="BJ37" i="26"/>
  <c r="BI37" i="26"/>
  <c r="BH37" i="26"/>
  <c r="BG37" i="26"/>
  <c r="BF37" i="26"/>
  <c r="BE37" i="26"/>
  <c r="BD37" i="26"/>
  <c r="BC37" i="26"/>
  <c r="BB37" i="26"/>
  <c r="BA37" i="26"/>
  <c r="AZ37" i="26"/>
  <c r="AY37" i="26"/>
  <c r="AX37" i="26"/>
  <c r="AW37" i="26"/>
  <c r="AV37" i="26"/>
  <c r="AU37" i="26"/>
  <c r="AT37" i="26"/>
  <c r="AS37" i="26"/>
  <c r="AR37" i="26"/>
  <c r="AQ37" i="26"/>
  <c r="AP37" i="26"/>
  <c r="AO37" i="26"/>
  <c r="AN37" i="26"/>
  <c r="AM37" i="26"/>
  <c r="AL37" i="26"/>
  <c r="AK37" i="26"/>
  <c r="AB37" i="26"/>
  <c r="Y37" i="26"/>
  <c r="X37" i="26"/>
  <c r="F37" i="26"/>
  <c r="E37" i="26"/>
  <c r="D37" i="26"/>
  <c r="BO36" i="26"/>
  <c r="BN36" i="26"/>
  <c r="BM36" i="26"/>
  <c r="BL36" i="26"/>
  <c r="BK36" i="26"/>
  <c r="BJ36" i="26"/>
  <c r="BI36" i="26"/>
  <c r="BH36" i="26"/>
  <c r="BG36" i="26"/>
  <c r="BF36" i="26"/>
  <c r="BE36" i="26"/>
  <c r="BD36" i="26"/>
  <c r="BC36" i="26"/>
  <c r="BB36" i="26"/>
  <c r="BA36" i="26"/>
  <c r="AZ36" i="26"/>
  <c r="AY36" i="26"/>
  <c r="AX36" i="26"/>
  <c r="AW36" i="26"/>
  <c r="AV36" i="26"/>
  <c r="AU36" i="26"/>
  <c r="AT36" i="26"/>
  <c r="AS36" i="26"/>
  <c r="AR36" i="26"/>
  <c r="AQ36" i="26"/>
  <c r="AP36" i="26"/>
  <c r="AO36" i="26"/>
  <c r="AN36" i="26"/>
  <c r="AM36" i="26"/>
  <c r="AL36" i="26"/>
  <c r="AK36" i="26"/>
  <c r="AB36" i="26"/>
  <c r="Y36" i="26"/>
  <c r="X36" i="26"/>
  <c r="F36" i="26"/>
  <c r="E36" i="26"/>
  <c r="D36" i="26"/>
  <c r="BO35" i="26"/>
  <c r="BN35" i="26"/>
  <c r="BM35" i="26"/>
  <c r="BL35" i="26"/>
  <c r="BK35" i="26"/>
  <c r="BJ35" i="26"/>
  <c r="BI35" i="26"/>
  <c r="BH35" i="26"/>
  <c r="BG35" i="26"/>
  <c r="BF35" i="26"/>
  <c r="BE35" i="26"/>
  <c r="BD35" i="26"/>
  <c r="BC35" i="26"/>
  <c r="BB35" i="26"/>
  <c r="BA35" i="26"/>
  <c r="AZ35" i="26"/>
  <c r="AY35" i="26"/>
  <c r="AX35" i="26"/>
  <c r="AW35" i="26"/>
  <c r="AV35" i="26"/>
  <c r="AU35" i="26"/>
  <c r="AT35" i="26"/>
  <c r="AS35" i="26"/>
  <c r="AR35" i="26"/>
  <c r="AQ35" i="26"/>
  <c r="AP35" i="26"/>
  <c r="AO35" i="26"/>
  <c r="AN35" i="26"/>
  <c r="AM35" i="26"/>
  <c r="AL35" i="26"/>
  <c r="AK35" i="26"/>
  <c r="E35" i="26"/>
  <c r="D35" i="26"/>
  <c r="BO34" i="26"/>
  <c r="BN34" i="26"/>
  <c r="BM34" i="26"/>
  <c r="BL34" i="26"/>
  <c r="BK34" i="26"/>
  <c r="BJ34" i="26"/>
  <c r="BI34" i="26"/>
  <c r="BH34" i="26"/>
  <c r="BG34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D34" i="26"/>
  <c r="E34" i="26" s="1"/>
  <c r="BO33" i="26"/>
  <c r="BN33" i="26"/>
  <c r="BM33" i="26"/>
  <c r="BL33" i="26"/>
  <c r="BK33" i="26"/>
  <c r="BJ33" i="26"/>
  <c r="BI33" i="26"/>
  <c r="BH33" i="26"/>
  <c r="BG33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F33" i="26"/>
  <c r="AD33" i="26"/>
  <c r="AA33" i="26"/>
  <c r="Y33" i="26"/>
  <c r="F33" i="26"/>
  <c r="E33" i="26"/>
  <c r="X33" i="26" s="1"/>
  <c r="D33" i="26"/>
  <c r="BO31" i="26"/>
  <c r="BN31" i="26"/>
  <c r="BM31" i="26"/>
  <c r="BL31" i="26"/>
  <c r="BK31" i="26"/>
  <c r="BJ31" i="26"/>
  <c r="BI31" i="26"/>
  <c r="BH31" i="26"/>
  <c r="BG31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B31" i="26"/>
  <c r="Y31" i="26"/>
  <c r="X31" i="26"/>
  <c r="F31" i="26"/>
  <c r="E31" i="26"/>
  <c r="D31" i="26"/>
  <c r="BO30" i="26"/>
  <c r="BN30" i="26"/>
  <c r="BM30" i="26"/>
  <c r="BL30" i="26"/>
  <c r="BK30" i="26"/>
  <c r="BJ30" i="26"/>
  <c r="BI30" i="26"/>
  <c r="BH30" i="26"/>
  <c r="BG30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B30" i="26"/>
  <c r="Y30" i="26"/>
  <c r="X30" i="26"/>
  <c r="F30" i="26"/>
  <c r="E30" i="26"/>
  <c r="D30" i="26"/>
  <c r="B30" i="26"/>
  <c r="BO29" i="26"/>
  <c r="BN29" i="26"/>
  <c r="BM29" i="26"/>
  <c r="BL29" i="26"/>
  <c r="BK29" i="26"/>
  <c r="BJ29" i="26"/>
  <c r="BI29" i="26"/>
  <c r="BH29" i="26"/>
  <c r="BG29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B29" i="26"/>
  <c r="Y29" i="26"/>
  <c r="X29" i="26"/>
  <c r="F29" i="26"/>
  <c r="E29" i="26"/>
  <c r="D29" i="26"/>
  <c r="BO28" i="26"/>
  <c r="BN28" i="26"/>
  <c r="BM28" i="26"/>
  <c r="BL28" i="26"/>
  <c r="BK28" i="26"/>
  <c r="BJ28" i="26"/>
  <c r="BI28" i="26"/>
  <c r="BH28" i="26"/>
  <c r="BG28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B28" i="26"/>
  <c r="Y28" i="26"/>
  <c r="X28" i="26"/>
  <c r="F28" i="26"/>
  <c r="E28" i="26"/>
  <c r="D28" i="26"/>
  <c r="BO27" i="26"/>
  <c r="BN27" i="26"/>
  <c r="BM27" i="26"/>
  <c r="BL27" i="26"/>
  <c r="BK27" i="26"/>
  <c r="BJ27" i="26"/>
  <c r="BI27" i="26"/>
  <c r="BH27" i="26"/>
  <c r="BG27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B27" i="26"/>
  <c r="Y27" i="26"/>
  <c r="X27" i="26"/>
  <c r="F27" i="26"/>
  <c r="E27" i="26"/>
  <c r="D27" i="26"/>
  <c r="BO26" i="26"/>
  <c r="BN26" i="26"/>
  <c r="BM26" i="26"/>
  <c r="BL26" i="26"/>
  <c r="BK26" i="26"/>
  <c r="BJ26" i="26"/>
  <c r="BI26" i="26"/>
  <c r="BH26" i="26"/>
  <c r="BG26" i="26"/>
  <c r="BF26" i="26"/>
  <c r="BE26" i="26"/>
  <c r="BD26" i="26"/>
  <c r="BC26" i="26"/>
  <c r="BB26" i="26"/>
  <c r="BA26" i="26"/>
  <c r="AZ26" i="26"/>
  <c r="AY26" i="26"/>
  <c r="AX26" i="26"/>
  <c r="AW26" i="26"/>
  <c r="AV26" i="26"/>
  <c r="AU26" i="26"/>
  <c r="AT26" i="26"/>
  <c r="AS26" i="26"/>
  <c r="AR26" i="26"/>
  <c r="AQ26" i="26"/>
  <c r="AP26" i="26"/>
  <c r="AO26" i="26"/>
  <c r="AN26" i="26"/>
  <c r="AM26" i="26"/>
  <c r="AL26" i="26"/>
  <c r="AK26" i="26"/>
  <c r="Y26" i="26"/>
  <c r="D26" i="26"/>
  <c r="E26" i="26" s="1"/>
  <c r="BO25" i="26"/>
  <c r="BN25" i="26"/>
  <c r="BM25" i="26"/>
  <c r="BL25" i="26"/>
  <c r="BK25" i="26"/>
  <c r="BJ25" i="26"/>
  <c r="BI25" i="26"/>
  <c r="BH25" i="26"/>
  <c r="BG25" i="26"/>
  <c r="BF25" i="26"/>
  <c r="BE25" i="26"/>
  <c r="BD25" i="26"/>
  <c r="BC25" i="26"/>
  <c r="BB25" i="26"/>
  <c r="BA25" i="26"/>
  <c r="AZ25" i="26"/>
  <c r="AY25" i="26"/>
  <c r="AX25" i="26"/>
  <c r="AW25" i="26"/>
  <c r="AV25" i="26"/>
  <c r="AU25" i="26"/>
  <c r="AT25" i="26"/>
  <c r="AS25" i="26"/>
  <c r="AR25" i="26"/>
  <c r="AQ25" i="26"/>
  <c r="AP25" i="26"/>
  <c r="AO25" i="26"/>
  <c r="AN25" i="26"/>
  <c r="AM25" i="26"/>
  <c r="AL25" i="26"/>
  <c r="AK25" i="26"/>
  <c r="E25" i="26"/>
  <c r="D25" i="26"/>
  <c r="BO24" i="26"/>
  <c r="BN24" i="26"/>
  <c r="BM24" i="26"/>
  <c r="BL24" i="26"/>
  <c r="BK24" i="26"/>
  <c r="BJ24" i="26"/>
  <c r="BI24" i="26"/>
  <c r="BH24" i="26"/>
  <c r="BG24" i="26"/>
  <c r="BF24" i="26"/>
  <c r="BE24" i="26"/>
  <c r="BD24" i="26"/>
  <c r="BC24" i="26"/>
  <c r="BB24" i="26"/>
  <c r="BA24" i="26"/>
  <c r="AZ24" i="26"/>
  <c r="AY24" i="26"/>
  <c r="AX24" i="26"/>
  <c r="AW24" i="26"/>
  <c r="AV24" i="26"/>
  <c r="AU24" i="26"/>
  <c r="AT24" i="26"/>
  <c r="AS24" i="26"/>
  <c r="AR24" i="26"/>
  <c r="AQ24" i="26"/>
  <c r="AP24" i="26"/>
  <c r="AO24" i="26"/>
  <c r="AN24" i="26"/>
  <c r="AM24" i="26"/>
  <c r="AL24" i="26"/>
  <c r="AK24" i="26"/>
  <c r="E24" i="26"/>
  <c r="D24" i="26"/>
  <c r="BO23" i="26"/>
  <c r="BN23" i="26"/>
  <c r="BM23" i="26"/>
  <c r="BL23" i="26"/>
  <c r="BK23" i="26"/>
  <c r="BJ23" i="26"/>
  <c r="BI23" i="26"/>
  <c r="BH23" i="26"/>
  <c r="BG23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F23" i="26"/>
  <c r="AD23" i="26"/>
  <c r="AA23" i="26"/>
  <c r="X23" i="26"/>
  <c r="D23" i="26"/>
  <c r="E23" i="26" s="1"/>
  <c r="BO21" i="26"/>
  <c r="BN21" i="26"/>
  <c r="BM21" i="26"/>
  <c r="BL21" i="26"/>
  <c r="BK21" i="26"/>
  <c r="BJ21" i="26"/>
  <c r="BI21" i="26"/>
  <c r="BH21" i="26"/>
  <c r="BG21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B21" i="26"/>
  <c r="Y21" i="26"/>
  <c r="X21" i="26"/>
  <c r="F21" i="26"/>
  <c r="E21" i="26"/>
  <c r="D21" i="26"/>
  <c r="BO20" i="26"/>
  <c r="BN20" i="26"/>
  <c r="BM20" i="26"/>
  <c r="BL20" i="26"/>
  <c r="BK20" i="26"/>
  <c r="BJ20" i="26"/>
  <c r="BI20" i="26"/>
  <c r="BH20" i="26"/>
  <c r="BG20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B20" i="26"/>
  <c r="Y20" i="26"/>
  <c r="X20" i="26"/>
  <c r="F20" i="26"/>
  <c r="E20" i="26"/>
  <c r="D20" i="26"/>
  <c r="B20" i="26"/>
  <c r="BO19" i="26"/>
  <c r="BN19" i="26"/>
  <c r="BM19" i="26"/>
  <c r="BL19" i="26"/>
  <c r="BK19" i="26"/>
  <c r="BJ19" i="26"/>
  <c r="BI19" i="26"/>
  <c r="BH19" i="26"/>
  <c r="BG19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B19" i="26"/>
  <c r="Y19" i="26"/>
  <c r="X19" i="26"/>
  <c r="F19" i="26"/>
  <c r="E19" i="26"/>
  <c r="D19" i="26"/>
  <c r="BO18" i="26"/>
  <c r="BN18" i="26"/>
  <c r="BM18" i="26"/>
  <c r="BL18" i="26"/>
  <c r="BK18" i="26"/>
  <c r="BJ18" i="26"/>
  <c r="BI18" i="26"/>
  <c r="BH18" i="26"/>
  <c r="BG18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B18" i="26"/>
  <c r="Y18" i="26"/>
  <c r="X18" i="26"/>
  <c r="F18" i="26"/>
  <c r="E18" i="26"/>
  <c r="D18" i="26"/>
  <c r="BO17" i="26"/>
  <c r="BN17" i="26"/>
  <c r="BM17" i="26"/>
  <c r="BL17" i="26"/>
  <c r="BK17" i="26"/>
  <c r="BJ17" i="26"/>
  <c r="BI17" i="26"/>
  <c r="BH17" i="26"/>
  <c r="BG17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B17" i="26"/>
  <c r="Y17" i="26"/>
  <c r="X17" i="26"/>
  <c r="F17" i="26"/>
  <c r="E17" i="26"/>
  <c r="D17" i="26"/>
  <c r="BO16" i="26"/>
  <c r="BN16" i="26"/>
  <c r="BM16" i="26"/>
  <c r="BL16" i="26"/>
  <c r="BK16" i="26"/>
  <c r="BJ16" i="26"/>
  <c r="BI16" i="26"/>
  <c r="BH16" i="26"/>
  <c r="BG16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D16" i="26"/>
  <c r="E16" i="26" s="1"/>
  <c r="BO15" i="26"/>
  <c r="BN15" i="26"/>
  <c r="BM15" i="26"/>
  <c r="BL15" i="26"/>
  <c r="BK15" i="26"/>
  <c r="BJ15" i="26"/>
  <c r="BI15" i="26"/>
  <c r="BH15" i="26"/>
  <c r="BG15" i="26"/>
  <c r="BF15" i="26"/>
  <c r="BE15" i="26"/>
  <c r="BD15" i="26"/>
  <c r="BC15" i="26"/>
  <c r="BB15" i="26"/>
  <c r="BA15" i="26"/>
  <c r="AZ15" i="26"/>
  <c r="AY15" i="26"/>
  <c r="AX15" i="26"/>
  <c r="AW15" i="26"/>
  <c r="AV15" i="26"/>
  <c r="AU15" i="26"/>
  <c r="AT15" i="26"/>
  <c r="AS15" i="26"/>
  <c r="AR15" i="26"/>
  <c r="AQ15" i="26"/>
  <c r="AP15" i="26"/>
  <c r="AO15" i="26"/>
  <c r="AN15" i="26"/>
  <c r="AM15" i="26"/>
  <c r="AL15" i="26"/>
  <c r="AK15" i="26"/>
  <c r="AB15" i="26"/>
  <c r="X15" i="26"/>
  <c r="F15" i="26"/>
  <c r="E15" i="26"/>
  <c r="Y15" i="26" s="1"/>
  <c r="D15" i="26"/>
  <c r="BO14" i="26"/>
  <c r="BN14" i="26"/>
  <c r="BM14" i="26"/>
  <c r="BL14" i="26"/>
  <c r="BK14" i="26"/>
  <c r="BJ14" i="26"/>
  <c r="BI14" i="26"/>
  <c r="BH14" i="26"/>
  <c r="BG14" i="26"/>
  <c r="BF14" i="26"/>
  <c r="BE14" i="26"/>
  <c r="BD14" i="26"/>
  <c r="BC14" i="26"/>
  <c r="BB14" i="26"/>
  <c r="BA14" i="26"/>
  <c r="AZ14" i="26"/>
  <c r="AY14" i="26"/>
  <c r="AX14" i="26"/>
  <c r="AW14" i="26"/>
  <c r="AV14" i="26"/>
  <c r="AU14" i="26"/>
  <c r="AT14" i="26"/>
  <c r="AS14" i="26"/>
  <c r="AR14" i="26"/>
  <c r="AQ14" i="26"/>
  <c r="AP14" i="26"/>
  <c r="AO14" i="26"/>
  <c r="AN14" i="26"/>
  <c r="AM14" i="26"/>
  <c r="AL14" i="26"/>
  <c r="AK14" i="26"/>
  <c r="F14" i="26"/>
  <c r="D14" i="26"/>
  <c r="E14" i="26" s="1"/>
  <c r="BO13" i="26"/>
  <c r="BN13" i="26"/>
  <c r="BM13" i="26"/>
  <c r="BL13" i="26"/>
  <c r="BK13" i="26"/>
  <c r="BJ13" i="26"/>
  <c r="BI13" i="26"/>
  <c r="BH13" i="26"/>
  <c r="BG13" i="26"/>
  <c r="BF13" i="26"/>
  <c r="BE13" i="26"/>
  <c r="BD13" i="26"/>
  <c r="BC13" i="26"/>
  <c r="BB13" i="26"/>
  <c r="BA13" i="26"/>
  <c r="AZ13" i="26"/>
  <c r="AY13" i="26"/>
  <c r="AX13" i="26"/>
  <c r="AW13" i="26"/>
  <c r="AV13" i="26"/>
  <c r="AU13" i="26"/>
  <c r="AT13" i="26"/>
  <c r="AS13" i="26"/>
  <c r="AR13" i="26"/>
  <c r="AQ13" i="26"/>
  <c r="AP13" i="26"/>
  <c r="AO13" i="26"/>
  <c r="AN13" i="26"/>
  <c r="AM13" i="26"/>
  <c r="AL13" i="26"/>
  <c r="AK13" i="26"/>
  <c r="AF13" i="26"/>
  <c r="AD13" i="26"/>
  <c r="AA13" i="26"/>
  <c r="Y13" i="26"/>
  <c r="Z13" i="26" s="1"/>
  <c r="A18" i="26" s="1"/>
  <c r="D13" i="26"/>
  <c r="E13" i="26" s="1"/>
  <c r="BO11" i="26"/>
  <c r="BN11" i="26"/>
  <c r="BM11" i="26"/>
  <c r="BL11" i="26"/>
  <c r="BK11" i="26"/>
  <c r="BJ11" i="26"/>
  <c r="BI11" i="26"/>
  <c r="BH11" i="26"/>
  <c r="BG11" i="26"/>
  <c r="BF11" i="26"/>
  <c r="BE11" i="26"/>
  <c r="BD11" i="26"/>
  <c r="BC11" i="26"/>
  <c r="BB11" i="26"/>
  <c r="BA11" i="26"/>
  <c r="AZ11" i="26"/>
  <c r="AY11" i="26"/>
  <c r="AX11" i="26"/>
  <c r="AW11" i="26"/>
  <c r="AV11" i="26"/>
  <c r="AU11" i="26"/>
  <c r="AT11" i="26"/>
  <c r="AS11" i="26"/>
  <c r="AR11" i="26"/>
  <c r="AQ11" i="26"/>
  <c r="AP11" i="26"/>
  <c r="AO11" i="26"/>
  <c r="AN11" i="26"/>
  <c r="AC11" i="26" s="1"/>
  <c r="AE11" i="26" s="1"/>
  <c r="AM11" i="26"/>
  <c r="AL11" i="26"/>
  <c r="AK11" i="26"/>
  <c r="AB11" i="26"/>
  <c r="Y11" i="26"/>
  <c r="X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H11" i="26"/>
  <c r="G11" i="26"/>
  <c r="F11" i="26"/>
  <c r="E11" i="26"/>
  <c r="D11" i="26"/>
  <c r="BO10" i="26"/>
  <c r="BN10" i="26"/>
  <c r="BM10" i="26"/>
  <c r="BL10" i="26"/>
  <c r="BK10" i="26"/>
  <c r="BJ10" i="26"/>
  <c r="BI10" i="26"/>
  <c r="BH10" i="26"/>
  <c r="BG10" i="26"/>
  <c r="BF10" i="26"/>
  <c r="BE10" i="26"/>
  <c r="BD10" i="26"/>
  <c r="BC10" i="26"/>
  <c r="BB10" i="26"/>
  <c r="BA10" i="26"/>
  <c r="AZ10" i="26"/>
  <c r="AY10" i="26"/>
  <c r="AX10" i="26"/>
  <c r="AW10" i="26"/>
  <c r="AV10" i="26"/>
  <c r="AU10" i="26"/>
  <c r="AT10" i="26"/>
  <c r="AS10" i="26"/>
  <c r="AR10" i="26"/>
  <c r="AQ10" i="26"/>
  <c r="AP10" i="26"/>
  <c r="AO10" i="26"/>
  <c r="AN10" i="26"/>
  <c r="AM10" i="26"/>
  <c r="AL10" i="26"/>
  <c r="AK10" i="26"/>
  <c r="AC10" i="26"/>
  <c r="AE10" i="26" s="1"/>
  <c r="AB10" i="26"/>
  <c r="Y10" i="26"/>
  <c r="X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B10" i="26"/>
  <c r="BO9" i="26"/>
  <c r="BN9" i="26"/>
  <c r="BM9" i="26"/>
  <c r="BL9" i="26"/>
  <c r="BK9" i="26"/>
  <c r="BJ9" i="26"/>
  <c r="BI9" i="26"/>
  <c r="BH9" i="26"/>
  <c r="BG9" i="26"/>
  <c r="BF9" i="26"/>
  <c r="BE9" i="26"/>
  <c r="BD9" i="26"/>
  <c r="BC9" i="26"/>
  <c r="BB9" i="26"/>
  <c r="BA9" i="26"/>
  <c r="AZ9" i="26"/>
  <c r="AY9" i="26"/>
  <c r="AX9" i="26"/>
  <c r="AW9" i="26"/>
  <c r="AV9" i="26"/>
  <c r="AU9" i="26"/>
  <c r="AT9" i="26"/>
  <c r="AS9" i="26"/>
  <c r="AR9" i="26"/>
  <c r="AQ9" i="26"/>
  <c r="AC9" i="26" s="1"/>
  <c r="AE9" i="26" s="1"/>
  <c r="AP9" i="26"/>
  <c r="AO9" i="26"/>
  <c r="AN9" i="26"/>
  <c r="AM9" i="26"/>
  <c r="AL9" i="26"/>
  <c r="AK9" i="26"/>
  <c r="AB9" i="26"/>
  <c r="Y9" i="26"/>
  <c r="X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BO8" i="26"/>
  <c r="BN8" i="26"/>
  <c r="BM8" i="26"/>
  <c r="BL8" i="26"/>
  <c r="BK8" i="26"/>
  <c r="BJ8" i="26"/>
  <c r="BI8" i="26"/>
  <c r="BH8" i="26"/>
  <c r="BG8" i="26"/>
  <c r="BF8" i="26"/>
  <c r="BE8" i="26"/>
  <c r="BD8" i="26"/>
  <c r="BC8" i="26"/>
  <c r="BB8" i="26"/>
  <c r="BA8" i="26"/>
  <c r="AZ8" i="26"/>
  <c r="AY8" i="26"/>
  <c r="AX8" i="26"/>
  <c r="AW8" i="26"/>
  <c r="AV8" i="26"/>
  <c r="AU8" i="26"/>
  <c r="AT8" i="26"/>
  <c r="AS8" i="26"/>
  <c r="AR8" i="26"/>
  <c r="AQ8" i="26"/>
  <c r="AP8" i="26"/>
  <c r="AO8" i="26"/>
  <c r="AC8" i="26" s="1"/>
  <c r="AE8" i="26" s="1"/>
  <c r="AN8" i="26"/>
  <c r="AM8" i="26"/>
  <c r="AL8" i="26"/>
  <c r="AK8" i="26"/>
  <c r="AB8" i="26"/>
  <c r="Y8" i="26"/>
  <c r="X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BO7" i="26"/>
  <c r="BN7" i="26"/>
  <c r="BM7" i="26"/>
  <c r="BL7" i="26"/>
  <c r="BK7" i="26"/>
  <c r="BJ7" i="26"/>
  <c r="BI7" i="26"/>
  <c r="BH7" i="26"/>
  <c r="BG7" i="26"/>
  <c r="BF7" i="26"/>
  <c r="BE7" i="26"/>
  <c r="BD7" i="26"/>
  <c r="BC7" i="26"/>
  <c r="BB7" i="26"/>
  <c r="BA7" i="26"/>
  <c r="AZ7" i="26"/>
  <c r="AY7" i="26"/>
  <c r="AX7" i="26"/>
  <c r="AW7" i="26"/>
  <c r="AV7" i="26"/>
  <c r="AU7" i="26"/>
  <c r="AT7" i="26"/>
  <c r="AS7" i="26"/>
  <c r="AR7" i="26"/>
  <c r="AQ7" i="26"/>
  <c r="AP7" i="26"/>
  <c r="AO7" i="26"/>
  <c r="AN7" i="26"/>
  <c r="AC7" i="26" s="1"/>
  <c r="AE7" i="26" s="1"/>
  <c r="AM7" i="26"/>
  <c r="AL7" i="26"/>
  <c r="AK7" i="26"/>
  <c r="AB7" i="26"/>
  <c r="Y7" i="26"/>
  <c r="X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H7" i="26"/>
  <c r="G7" i="26"/>
  <c r="F7" i="26"/>
  <c r="E7" i="26"/>
  <c r="D7" i="26"/>
  <c r="BO6" i="26"/>
  <c r="BN6" i="26"/>
  <c r="BM6" i="26"/>
  <c r="BL6" i="26"/>
  <c r="BK6" i="26"/>
  <c r="BJ6" i="26"/>
  <c r="BI6" i="26"/>
  <c r="BH6" i="26"/>
  <c r="BG6" i="26"/>
  <c r="BF6" i="26"/>
  <c r="BE6" i="26"/>
  <c r="BD6" i="26"/>
  <c r="BC6" i="26"/>
  <c r="BB6" i="26"/>
  <c r="BA6" i="26"/>
  <c r="AZ6" i="26"/>
  <c r="AY6" i="26"/>
  <c r="AX6" i="26"/>
  <c r="AW6" i="26"/>
  <c r="AV6" i="26"/>
  <c r="AU6" i="26"/>
  <c r="AT6" i="26"/>
  <c r="AS6" i="26"/>
  <c r="AR6" i="26"/>
  <c r="AQ6" i="26"/>
  <c r="AP6" i="26"/>
  <c r="AO6" i="26"/>
  <c r="AN6" i="26"/>
  <c r="AC6" i="26" s="1"/>
  <c r="AE6" i="26" s="1"/>
  <c r="AM6" i="26"/>
  <c r="AL6" i="26"/>
  <c r="AK6" i="26"/>
  <c r="AB6" i="26"/>
  <c r="Y6" i="26"/>
  <c r="X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H6" i="26"/>
  <c r="G6" i="26"/>
  <c r="F6" i="26"/>
  <c r="E6" i="26"/>
  <c r="D6" i="26"/>
  <c r="BO5" i="26"/>
  <c r="BN5" i="26"/>
  <c r="BM5" i="26"/>
  <c r="BL5" i="26"/>
  <c r="BK5" i="26"/>
  <c r="BJ5" i="26"/>
  <c r="BI5" i="26"/>
  <c r="BH5" i="26"/>
  <c r="BG5" i="26"/>
  <c r="BF5" i="26"/>
  <c r="BE5" i="26"/>
  <c r="BD5" i="26"/>
  <c r="BC5" i="26"/>
  <c r="BB5" i="26"/>
  <c r="BA5" i="26"/>
  <c r="AZ5" i="26"/>
  <c r="AY5" i="26"/>
  <c r="AX5" i="26"/>
  <c r="AW5" i="26"/>
  <c r="AV5" i="26"/>
  <c r="AU5" i="26"/>
  <c r="AT5" i="26"/>
  <c r="AS5" i="26"/>
  <c r="AR5" i="26"/>
  <c r="AQ5" i="26"/>
  <c r="AP5" i="26"/>
  <c r="AO5" i="26"/>
  <c r="AN5" i="26"/>
  <c r="AM5" i="26"/>
  <c r="AC5" i="26" s="1"/>
  <c r="AE5" i="26" s="1"/>
  <c r="AL5" i="26"/>
  <c r="AK5" i="26"/>
  <c r="AB5" i="26"/>
  <c r="B7" i="26" s="1"/>
  <c r="X5" i="26"/>
  <c r="E5" i="26"/>
  <c r="Y5" i="26" s="1"/>
  <c r="D5" i="26"/>
  <c r="BO4" i="26"/>
  <c r="BN4" i="26"/>
  <c r="BM4" i="26"/>
  <c r="BL4" i="26"/>
  <c r="BK4" i="26"/>
  <c r="BJ4" i="26"/>
  <c r="BI4" i="26"/>
  <c r="BH4" i="26"/>
  <c r="BG4" i="26"/>
  <c r="BF4" i="26"/>
  <c r="BE4" i="26"/>
  <c r="BD4" i="26"/>
  <c r="BC4" i="26"/>
  <c r="BB4" i="26"/>
  <c r="BA4" i="26"/>
  <c r="AZ4" i="26"/>
  <c r="AY4" i="26"/>
  <c r="AX4" i="26"/>
  <c r="AW4" i="26"/>
  <c r="AV4" i="26"/>
  <c r="AU4" i="26"/>
  <c r="AT4" i="26"/>
  <c r="AS4" i="26"/>
  <c r="AR4" i="26"/>
  <c r="AQ4" i="26"/>
  <c r="AP4" i="26"/>
  <c r="AO4" i="26"/>
  <c r="AN4" i="26"/>
  <c r="AM4" i="26"/>
  <c r="AL4" i="26"/>
  <c r="AK4" i="26"/>
  <c r="AB4" i="26"/>
  <c r="E4" i="26"/>
  <c r="D4" i="26"/>
  <c r="BO3" i="26"/>
  <c r="BN3" i="26"/>
  <c r="BM3" i="26"/>
  <c r="BL3" i="26"/>
  <c r="BK3" i="26"/>
  <c r="BJ3" i="26"/>
  <c r="BI3" i="26"/>
  <c r="BH3" i="26"/>
  <c r="BG3" i="26"/>
  <c r="BF3" i="26"/>
  <c r="BE3" i="26"/>
  <c r="BD3" i="26"/>
  <c r="BC3" i="26"/>
  <c r="BB3" i="26"/>
  <c r="BA3" i="26"/>
  <c r="AZ3" i="26"/>
  <c r="AY3" i="26"/>
  <c r="AX3" i="26"/>
  <c r="AW3" i="26"/>
  <c r="AV3" i="26"/>
  <c r="AU3" i="26"/>
  <c r="AT3" i="26"/>
  <c r="AS3" i="26"/>
  <c r="AR3" i="26"/>
  <c r="AQ3" i="26"/>
  <c r="AP3" i="26"/>
  <c r="AO3" i="26"/>
  <c r="AN3" i="26"/>
  <c r="AM3" i="26"/>
  <c r="AL3" i="26"/>
  <c r="AK3" i="26"/>
  <c r="AC3" i="26"/>
  <c r="AE3" i="26" s="1"/>
  <c r="AA3" i="26"/>
  <c r="E3" i="26"/>
  <c r="AB3" i="26" s="1"/>
  <c r="B9" i="26" s="1"/>
  <c r="D3" i="26"/>
  <c r="AH2" i="26"/>
  <c r="AF2" i="26"/>
  <c r="AD2" i="26"/>
  <c r="AA2" i="26"/>
  <c r="C18" i="25"/>
  <c r="D18" i="25" s="1"/>
  <c r="C3" i="25"/>
  <c r="D3" i="25" s="1"/>
  <c r="F85" i="23"/>
  <c r="F83" i="23"/>
  <c r="F81" i="23"/>
  <c r="F79" i="23"/>
  <c r="E76" i="23"/>
  <c r="F76" i="23" s="1"/>
  <c r="E74" i="23"/>
  <c r="F74" i="23" s="1"/>
  <c r="E73" i="23"/>
  <c r="E72" i="23"/>
  <c r="F72" i="23" s="1"/>
  <c r="E71" i="23"/>
  <c r="E70" i="23"/>
  <c r="F70" i="23" s="1"/>
  <c r="F67" i="23"/>
  <c r="E65" i="23"/>
  <c r="E63" i="23"/>
  <c r="F63" i="23" s="1"/>
  <c r="E60" i="23"/>
  <c r="F60" i="23" s="1"/>
  <c r="E58" i="23"/>
  <c r="F58" i="23" s="1"/>
  <c r="E53" i="23"/>
  <c r="F53" i="23" s="1"/>
  <c r="E51" i="23"/>
  <c r="F51" i="23" s="1"/>
  <c r="E49" i="23"/>
  <c r="F49" i="23" s="1"/>
  <c r="A47" i="23"/>
  <c r="E46" i="23"/>
  <c r="E45" i="23"/>
  <c r="F45" i="23" s="1"/>
  <c r="E44" i="23"/>
  <c r="E43" i="23"/>
  <c r="F43" i="23" s="1"/>
  <c r="E42" i="23"/>
  <c r="E41" i="23"/>
  <c r="F41" i="23" s="1"/>
  <c r="E40" i="23"/>
  <c r="E39" i="23"/>
  <c r="F39" i="23" s="1"/>
  <c r="E37" i="23"/>
  <c r="E36" i="23"/>
  <c r="F36" i="23" s="1"/>
  <c r="E35" i="23"/>
  <c r="E34" i="23"/>
  <c r="F34" i="23" s="1"/>
  <c r="E33" i="23"/>
  <c r="E32" i="23"/>
  <c r="F32" i="23" s="1"/>
  <c r="E31" i="23"/>
  <c r="E30" i="23"/>
  <c r="F30" i="23" s="1"/>
  <c r="E28" i="23"/>
  <c r="E27" i="23"/>
  <c r="F27" i="23" s="1"/>
  <c r="E26" i="23"/>
  <c r="E25" i="23"/>
  <c r="F25" i="23" s="1"/>
  <c r="E24" i="23"/>
  <c r="E23" i="23"/>
  <c r="F23" i="23" s="1"/>
  <c r="E22" i="23"/>
  <c r="E21" i="23"/>
  <c r="F21" i="23" s="1"/>
  <c r="E19" i="23"/>
  <c r="E18" i="23"/>
  <c r="F18" i="23" s="1"/>
  <c r="E17" i="23"/>
  <c r="E16" i="23"/>
  <c r="F16" i="23" s="1"/>
  <c r="E15" i="23"/>
  <c r="E14" i="23"/>
  <c r="F14" i="23" s="1"/>
  <c r="E13" i="23"/>
  <c r="E12" i="23"/>
  <c r="F12" i="23" s="1"/>
  <c r="E10" i="23"/>
  <c r="E9" i="23"/>
  <c r="F9" i="23" s="1"/>
  <c r="E8" i="23"/>
  <c r="E7" i="23"/>
  <c r="F7" i="23" s="1"/>
  <c r="E6" i="23"/>
  <c r="E5" i="23"/>
  <c r="F5" i="23" s="1"/>
  <c r="E4" i="23"/>
  <c r="E3" i="23"/>
  <c r="F3" i="23" s="1"/>
  <c r="G3" i="23" s="1"/>
  <c r="H2" i="23"/>
  <c r="B87" i="22"/>
  <c r="S86" i="22" s="1"/>
  <c r="R86" i="22"/>
  <c r="N86" i="22"/>
  <c r="K86" i="22"/>
  <c r="J86" i="22"/>
  <c r="F86" i="22"/>
  <c r="B75" i="22"/>
  <c r="S74" i="22" s="1"/>
  <c r="D69" i="22"/>
  <c r="B69" i="22"/>
  <c r="B66" i="22"/>
  <c r="T65" i="22" s="1"/>
  <c r="R65" i="22"/>
  <c r="O65" i="22"/>
  <c r="J65" i="22"/>
  <c r="D65" i="22"/>
  <c r="D48" i="22"/>
  <c r="B48" i="22"/>
  <c r="D45" i="22"/>
  <c r="D43" i="22"/>
  <c r="D87" i="22" s="1"/>
  <c r="B43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D86" i="22" s="1"/>
  <c r="B40" i="22"/>
  <c r="P39" i="22" s="1"/>
  <c r="R39" i="22"/>
  <c r="Q39" i="22"/>
  <c r="M39" i="22"/>
  <c r="J39" i="22"/>
  <c r="I39" i="22"/>
  <c r="E39" i="22"/>
  <c r="B37" i="22"/>
  <c r="M36" i="22" s="1"/>
  <c r="T36" i="22"/>
  <c r="B34" i="22"/>
  <c r="D34" i="22" s="1"/>
  <c r="D78" i="22" s="1"/>
  <c r="S33" i="22"/>
  <c r="Q33" i="22"/>
  <c r="P33" i="22"/>
  <c r="O33" i="22"/>
  <c r="M33" i="22"/>
  <c r="K33" i="22"/>
  <c r="I33" i="22"/>
  <c r="H33" i="22"/>
  <c r="G33" i="22"/>
  <c r="E33" i="22"/>
  <c r="D31" i="22"/>
  <c r="D75" i="22" s="1"/>
  <c r="B31" i="22"/>
  <c r="Q30" i="22" s="1"/>
  <c r="T30" i="22"/>
  <c r="S30" i="22"/>
  <c r="R30" i="22"/>
  <c r="P30" i="22"/>
  <c r="N30" i="22"/>
  <c r="M30" i="22"/>
  <c r="L30" i="22"/>
  <c r="K30" i="22"/>
  <c r="J30" i="22"/>
  <c r="H30" i="22"/>
  <c r="F30" i="22"/>
  <c r="E30" i="22"/>
  <c r="D30" i="22"/>
  <c r="D74" i="22" s="1"/>
  <c r="B28" i="22"/>
  <c r="N27" i="22" s="1"/>
  <c r="D25" i="22"/>
  <c r="B25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D68" i="22" s="1"/>
  <c r="B22" i="22"/>
  <c r="R21" i="22" s="1"/>
  <c r="T21" i="22"/>
  <c r="S21" i="22"/>
  <c r="O21" i="22"/>
  <c r="M21" i="22"/>
  <c r="L21" i="22"/>
  <c r="K21" i="22"/>
  <c r="G21" i="22"/>
  <c r="E21" i="22"/>
  <c r="D21" i="22"/>
  <c r="C21" i="22"/>
  <c r="B19" i="22"/>
  <c r="B63" i="22" s="1"/>
  <c r="S18" i="22"/>
  <c r="Q18" i="22"/>
  <c r="P18" i="22"/>
  <c r="O18" i="22"/>
  <c r="M18" i="22"/>
  <c r="K18" i="22"/>
  <c r="I18" i="22"/>
  <c r="H18" i="22"/>
  <c r="G18" i="22"/>
  <c r="E18" i="22"/>
  <c r="C18" i="22"/>
  <c r="B16" i="22"/>
  <c r="R15" i="22" s="1"/>
  <c r="T15" i="22"/>
  <c r="S15" i="22"/>
  <c r="O15" i="22"/>
  <c r="M15" i="22"/>
  <c r="L15" i="22"/>
  <c r="K15" i="22"/>
  <c r="G15" i="22"/>
  <c r="E15" i="22"/>
  <c r="D15" i="22"/>
  <c r="D59" i="22" s="1"/>
  <c r="C15" i="22"/>
  <c r="B13" i="22"/>
  <c r="D13" i="22" s="1"/>
  <c r="D57" i="22" s="1"/>
  <c r="S12" i="22"/>
  <c r="Q12" i="22"/>
  <c r="P12" i="22"/>
  <c r="O12" i="22"/>
  <c r="M12" i="22"/>
  <c r="K12" i="22"/>
  <c r="I12" i="22"/>
  <c r="H12" i="22"/>
  <c r="G12" i="22"/>
  <c r="E12" i="22"/>
  <c r="C12" i="22"/>
  <c r="B10" i="22"/>
  <c r="R9" i="22" s="1"/>
  <c r="T9" i="22"/>
  <c r="S9" i="22"/>
  <c r="O9" i="22"/>
  <c r="M9" i="22"/>
  <c r="L9" i="22"/>
  <c r="K9" i="22"/>
  <c r="G9" i="22"/>
  <c r="E9" i="22"/>
  <c r="D9" i="22"/>
  <c r="D53" i="22" s="1"/>
  <c r="C9" i="22"/>
  <c r="B7" i="22"/>
  <c r="D7" i="22" s="1"/>
  <c r="D51" i="22" s="1"/>
  <c r="S6" i="22"/>
  <c r="Q6" i="22"/>
  <c r="P6" i="22"/>
  <c r="O6" i="22"/>
  <c r="M6" i="22"/>
  <c r="K6" i="22"/>
  <c r="I6" i="22"/>
  <c r="H6" i="22"/>
  <c r="G6" i="22"/>
  <c r="E6" i="22"/>
  <c r="D4" i="22"/>
  <c r="B4" i="22"/>
  <c r="Q3" i="22" s="1"/>
  <c r="T3" i="22"/>
  <c r="S3" i="22"/>
  <c r="R3" i="22"/>
  <c r="P3" i="22"/>
  <c r="N3" i="22"/>
  <c r="M3" i="22"/>
  <c r="L3" i="22"/>
  <c r="K3" i="22"/>
  <c r="J3" i="22"/>
  <c r="H3" i="22"/>
  <c r="F3" i="22"/>
  <c r="E3" i="22"/>
  <c r="D3" i="22"/>
  <c r="D47" i="22" s="1"/>
  <c r="G2" i="22"/>
  <c r="H2" i="22" s="1"/>
  <c r="F2" i="22"/>
  <c r="G1" i="22"/>
  <c r="F1" i="22"/>
  <c r="D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0" i="21"/>
  <c r="A130" i="21"/>
  <c r="E129" i="21"/>
  <c r="D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A114" i="21"/>
  <c r="F115" i="21" s="1"/>
  <c r="D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G77" i="21"/>
  <c r="F76" i="21"/>
  <c r="A76" i="21"/>
  <c r="F77" i="21" s="1"/>
  <c r="D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A38" i="21"/>
  <c r="F39" i="21" s="1"/>
  <c r="D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4" i="21"/>
  <c r="A4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F2" i="21"/>
  <c r="G2" i="21" s="1"/>
  <c r="C180" i="20"/>
  <c r="B180" i="20"/>
  <c r="A180" i="20"/>
  <c r="C179" i="20"/>
  <c r="B179" i="20"/>
  <c r="A179" i="20"/>
  <c r="C178" i="20"/>
  <c r="B178" i="20"/>
  <c r="A178" i="20"/>
  <c r="C177" i="20"/>
  <c r="B177" i="20"/>
  <c r="A177" i="20"/>
  <c r="C176" i="20"/>
  <c r="B176" i="20"/>
  <c r="A176" i="20"/>
  <c r="C175" i="20"/>
  <c r="B175" i="20"/>
  <c r="A175" i="20"/>
  <c r="C174" i="20"/>
  <c r="B174" i="20"/>
  <c r="A174" i="20"/>
  <c r="C173" i="20"/>
  <c r="B173" i="20"/>
  <c r="A173" i="20"/>
  <c r="C172" i="20"/>
  <c r="B172" i="20"/>
  <c r="A172" i="20"/>
  <c r="C171" i="20"/>
  <c r="B171" i="20"/>
  <c r="A171" i="20"/>
  <c r="C170" i="20"/>
  <c r="B170" i="20"/>
  <c r="A170" i="20"/>
  <c r="C169" i="20"/>
  <c r="B169" i="20"/>
  <c r="A169" i="20"/>
  <c r="C168" i="20"/>
  <c r="B168" i="20"/>
  <c r="A168" i="20"/>
  <c r="C167" i="20"/>
  <c r="B167" i="20"/>
  <c r="A167" i="20"/>
  <c r="C166" i="20"/>
  <c r="B166" i="20"/>
  <c r="A166" i="20"/>
  <c r="C165" i="20"/>
  <c r="B165" i="20"/>
  <c r="A165" i="20"/>
  <c r="C164" i="20"/>
  <c r="B164" i="20"/>
  <c r="A164" i="20"/>
  <c r="C163" i="20"/>
  <c r="B163" i="20"/>
  <c r="A163" i="20"/>
  <c r="C162" i="20"/>
  <c r="B162" i="20"/>
  <c r="A162" i="20"/>
  <c r="C161" i="20"/>
  <c r="B161" i="20"/>
  <c r="A161" i="20"/>
  <c r="C160" i="20"/>
  <c r="B160" i="20"/>
  <c r="A160" i="20"/>
  <c r="C159" i="20"/>
  <c r="B159" i="20"/>
  <c r="A159" i="20"/>
  <c r="C158" i="20"/>
  <c r="B158" i="20"/>
  <c r="A158" i="20"/>
  <c r="C157" i="20"/>
  <c r="B157" i="20"/>
  <c r="A157" i="20"/>
  <c r="C156" i="20"/>
  <c r="B156" i="20"/>
  <c r="A156" i="20"/>
  <c r="C155" i="20"/>
  <c r="B155" i="20"/>
  <c r="A155" i="20"/>
  <c r="C154" i="20"/>
  <c r="B154" i="20"/>
  <c r="A154" i="20"/>
  <c r="C153" i="20"/>
  <c r="B153" i="20"/>
  <c r="A153" i="20"/>
  <c r="C152" i="20"/>
  <c r="B152" i="20"/>
  <c r="A152" i="20"/>
  <c r="C151" i="20"/>
  <c r="B151" i="20"/>
  <c r="A151" i="20"/>
  <c r="C150" i="20"/>
  <c r="B150" i="20"/>
  <c r="A150" i="20"/>
  <c r="C149" i="20"/>
  <c r="B149" i="20"/>
  <c r="A149" i="20"/>
  <c r="C148" i="20"/>
  <c r="B148" i="20"/>
  <c r="A148" i="20"/>
  <c r="C147" i="20"/>
  <c r="B147" i="20"/>
  <c r="A147" i="20"/>
  <c r="C146" i="20"/>
  <c r="B146" i="20"/>
  <c r="A146" i="20"/>
  <c r="C145" i="20"/>
  <c r="B145" i="20"/>
  <c r="A145" i="20"/>
  <c r="C144" i="20"/>
  <c r="B144" i="20"/>
  <c r="A144" i="20"/>
  <c r="C143" i="20"/>
  <c r="B143" i="20"/>
  <c r="A143" i="20"/>
  <c r="C142" i="20"/>
  <c r="B142" i="20"/>
  <c r="A142" i="20"/>
  <c r="C141" i="20"/>
  <c r="B141" i="20"/>
  <c r="C140" i="20"/>
  <c r="B140" i="20"/>
  <c r="A140" i="20"/>
  <c r="C139" i="20"/>
  <c r="B139" i="20"/>
  <c r="A139" i="20"/>
  <c r="C138" i="20"/>
  <c r="B138" i="20"/>
  <c r="A138" i="20"/>
  <c r="C137" i="20"/>
  <c r="B137" i="20"/>
  <c r="A137" i="20"/>
  <c r="C136" i="20"/>
  <c r="B136" i="20"/>
  <c r="A136" i="20"/>
  <c r="C135" i="20"/>
  <c r="B135" i="20"/>
  <c r="A135" i="20"/>
  <c r="C134" i="20"/>
  <c r="B134" i="20"/>
  <c r="A134" i="20"/>
  <c r="C133" i="20"/>
  <c r="B133" i="20"/>
  <c r="A133" i="20"/>
  <c r="C132" i="20"/>
  <c r="B132" i="20"/>
  <c r="A132" i="20"/>
  <c r="C131" i="20"/>
  <c r="B131" i="20"/>
  <c r="A131" i="20"/>
  <c r="C130" i="20"/>
  <c r="B130" i="20"/>
  <c r="A130" i="20"/>
  <c r="C129" i="20"/>
  <c r="B129" i="20"/>
  <c r="A129" i="20"/>
  <c r="C128" i="20"/>
  <c r="B128" i="20"/>
  <c r="A128" i="20"/>
  <c r="C127" i="20"/>
  <c r="B127" i="20"/>
  <c r="A127" i="20"/>
  <c r="C126" i="20"/>
  <c r="B126" i="20"/>
  <c r="A126" i="20"/>
  <c r="C125" i="20"/>
  <c r="B125" i="20"/>
  <c r="A125" i="20"/>
  <c r="C124" i="20"/>
  <c r="B124" i="20"/>
  <c r="A124" i="20"/>
  <c r="C123" i="20"/>
  <c r="B123" i="20"/>
  <c r="A123" i="20"/>
  <c r="C122" i="20"/>
  <c r="B122" i="20"/>
  <c r="A122" i="20"/>
  <c r="C121" i="20"/>
  <c r="B121" i="20"/>
  <c r="A121" i="20"/>
  <c r="C120" i="20"/>
  <c r="B120" i="20"/>
  <c r="A120" i="20"/>
  <c r="C119" i="20"/>
  <c r="B119" i="20"/>
  <c r="A119" i="20"/>
  <c r="C118" i="20"/>
  <c r="B118" i="20"/>
  <c r="A118" i="20"/>
  <c r="C117" i="20"/>
  <c r="B117" i="20"/>
  <c r="A117" i="20"/>
  <c r="C116" i="20"/>
  <c r="B116" i="20"/>
  <c r="A116" i="20"/>
  <c r="C115" i="20"/>
  <c r="B115" i="20"/>
  <c r="A115" i="20"/>
  <c r="C114" i="20"/>
  <c r="B114" i="20"/>
  <c r="A114" i="20"/>
  <c r="C113" i="20"/>
  <c r="B113" i="20"/>
  <c r="A113" i="20"/>
  <c r="C112" i="20"/>
  <c r="B112" i="20"/>
  <c r="A112" i="20"/>
  <c r="C111" i="20"/>
  <c r="B111" i="20"/>
  <c r="A111" i="20"/>
  <c r="C110" i="20"/>
  <c r="B110" i="20"/>
  <c r="A110" i="20"/>
  <c r="C109" i="20"/>
  <c r="B109" i="20"/>
  <c r="A109" i="20"/>
  <c r="C108" i="20"/>
  <c r="B108" i="20"/>
  <c r="A108" i="20"/>
  <c r="C107" i="20"/>
  <c r="B107" i="20"/>
  <c r="A107" i="20"/>
  <c r="C106" i="20"/>
  <c r="B106" i="20"/>
  <c r="A106" i="20"/>
  <c r="C105" i="20"/>
  <c r="B105" i="20"/>
  <c r="A105" i="20"/>
  <c r="C104" i="20"/>
  <c r="B104" i="20"/>
  <c r="A104" i="20"/>
  <c r="C103" i="20"/>
  <c r="B103" i="20"/>
  <c r="A103" i="20"/>
  <c r="C102" i="20"/>
  <c r="B102" i="20"/>
  <c r="A102" i="20"/>
  <c r="C101" i="20"/>
  <c r="B101" i="20"/>
  <c r="A101" i="20"/>
  <c r="C100" i="20"/>
  <c r="B100" i="20"/>
  <c r="A100" i="20"/>
  <c r="C99" i="20"/>
  <c r="B99" i="20"/>
  <c r="A99" i="20"/>
  <c r="C98" i="20"/>
  <c r="B98" i="20"/>
  <c r="A98" i="20"/>
  <c r="C97" i="20"/>
  <c r="B97" i="20"/>
  <c r="A97" i="20"/>
  <c r="C96" i="20"/>
  <c r="B96" i="20"/>
  <c r="A96" i="20"/>
  <c r="C95" i="20"/>
  <c r="B95" i="20"/>
  <c r="A95" i="20"/>
  <c r="C94" i="20"/>
  <c r="B94" i="20"/>
  <c r="A94" i="20"/>
  <c r="C93" i="20"/>
  <c r="B93" i="20"/>
  <c r="A93" i="20"/>
  <c r="C92" i="20"/>
  <c r="B92" i="20"/>
  <c r="A92" i="20"/>
  <c r="C91" i="20"/>
  <c r="B91" i="20"/>
  <c r="A91" i="20"/>
  <c r="C90" i="20"/>
  <c r="B90" i="20"/>
  <c r="A90" i="20"/>
  <c r="C89" i="20"/>
  <c r="B89" i="20"/>
  <c r="A89" i="20"/>
  <c r="C88" i="20"/>
  <c r="B88" i="20"/>
  <c r="A88" i="20"/>
  <c r="C87" i="20"/>
  <c r="B87" i="20"/>
  <c r="A87" i="20"/>
  <c r="C86" i="20"/>
  <c r="B86" i="20"/>
  <c r="A86" i="20"/>
  <c r="C85" i="20"/>
  <c r="B85" i="20"/>
  <c r="A85" i="20"/>
  <c r="C84" i="20"/>
  <c r="B84" i="20"/>
  <c r="A84" i="20"/>
  <c r="C83" i="20"/>
  <c r="B83" i="20"/>
  <c r="C82" i="20"/>
  <c r="B82" i="20"/>
  <c r="A82" i="20"/>
  <c r="C81" i="20"/>
  <c r="B81" i="20"/>
  <c r="A81" i="20"/>
  <c r="C80" i="20"/>
  <c r="B80" i="20"/>
  <c r="A80" i="20"/>
  <c r="C79" i="20"/>
  <c r="B79" i="20"/>
  <c r="A79" i="20"/>
  <c r="C78" i="20"/>
  <c r="B78" i="20"/>
  <c r="A78" i="20"/>
  <c r="C77" i="20"/>
  <c r="B77" i="20"/>
  <c r="A77" i="20"/>
  <c r="C76" i="20"/>
  <c r="B76" i="20"/>
  <c r="A76" i="20"/>
  <c r="C75" i="20"/>
  <c r="B75" i="20"/>
  <c r="A75" i="20"/>
  <c r="C74" i="20"/>
  <c r="B74" i="20"/>
  <c r="A74" i="20"/>
  <c r="C73" i="20"/>
  <c r="B73" i="20"/>
  <c r="A73" i="20"/>
  <c r="C72" i="20"/>
  <c r="B72" i="20"/>
  <c r="A72" i="20"/>
  <c r="C71" i="20"/>
  <c r="B71" i="20"/>
  <c r="A71" i="20"/>
  <c r="C70" i="20"/>
  <c r="B70" i="20"/>
  <c r="A70" i="20"/>
  <c r="C69" i="20"/>
  <c r="B69" i="20"/>
  <c r="A69" i="20"/>
  <c r="D69" i="20" s="1"/>
  <c r="D68" i="20"/>
  <c r="C68" i="20"/>
  <c r="B68" i="20"/>
  <c r="A68" i="20"/>
  <c r="C67" i="20"/>
  <c r="B67" i="20"/>
  <c r="A67" i="20"/>
  <c r="D67" i="20" s="1"/>
  <c r="D66" i="20"/>
  <c r="C66" i="20"/>
  <c r="B66" i="20"/>
  <c r="A66" i="20"/>
  <c r="C65" i="20"/>
  <c r="B65" i="20"/>
  <c r="A65" i="20"/>
  <c r="D65" i="20" s="1"/>
  <c r="D64" i="20"/>
  <c r="C64" i="20"/>
  <c r="B64" i="20"/>
  <c r="A64" i="20"/>
  <c r="C63" i="20"/>
  <c r="B63" i="20"/>
  <c r="A63" i="20"/>
  <c r="D63" i="20" s="1"/>
  <c r="D62" i="20"/>
  <c r="C62" i="20"/>
  <c r="B62" i="20"/>
  <c r="A62" i="20"/>
  <c r="C61" i="20"/>
  <c r="B61" i="20"/>
  <c r="A61" i="20"/>
  <c r="D61" i="20" s="1"/>
  <c r="D60" i="20"/>
  <c r="C60" i="20"/>
  <c r="B60" i="20"/>
  <c r="A60" i="20"/>
  <c r="C59" i="20"/>
  <c r="B59" i="20"/>
  <c r="A59" i="20"/>
  <c r="D59" i="20" s="1"/>
  <c r="D58" i="20"/>
  <c r="C58" i="20"/>
  <c r="B58" i="20"/>
  <c r="A58" i="20"/>
  <c r="C57" i="20"/>
  <c r="B57" i="20"/>
  <c r="A57" i="20"/>
  <c r="D57" i="20" s="1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2" i="20"/>
  <c r="W77" i="19"/>
  <c r="V77" i="19"/>
  <c r="U77" i="19"/>
  <c r="T77" i="19"/>
  <c r="S77" i="19"/>
  <c r="Q77" i="19"/>
  <c r="P77" i="19"/>
  <c r="O77" i="19"/>
  <c r="N77" i="19"/>
  <c r="M77" i="19"/>
  <c r="L77" i="19"/>
  <c r="J77" i="19"/>
  <c r="I77" i="19"/>
  <c r="H77" i="19"/>
  <c r="W76" i="19"/>
  <c r="V76" i="19"/>
  <c r="U76" i="19"/>
  <c r="T76" i="19"/>
  <c r="S76" i="19"/>
  <c r="Q76" i="19"/>
  <c r="P76" i="19"/>
  <c r="O76" i="19"/>
  <c r="N76" i="19"/>
  <c r="M76" i="19"/>
  <c r="L76" i="19"/>
  <c r="J76" i="19"/>
  <c r="I76" i="19"/>
  <c r="H76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B75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B71" i="19"/>
  <c r="W70" i="19"/>
  <c r="V70" i="19"/>
  <c r="U70" i="19"/>
  <c r="T70" i="19"/>
  <c r="S70" i="19"/>
  <c r="R70" i="19"/>
  <c r="Q70" i="19"/>
  <c r="P70" i="19"/>
  <c r="O70" i="19"/>
  <c r="N70" i="19"/>
  <c r="M70" i="19"/>
  <c r="L70" i="19"/>
  <c r="K70" i="19"/>
  <c r="J70" i="19"/>
  <c r="I70" i="19"/>
  <c r="H70" i="19"/>
  <c r="V66" i="19"/>
  <c r="U66" i="19"/>
  <c r="T66" i="19"/>
  <c r="R66" i="19"/>
  <c r="Q66" i="19"/>
  <c r="P66" i="19"/>
  <c r="O66" i="19"/>
  <c r="N66" i="19"/>
  <c r="M66" i="19"/>
  <c r="L66" i="19"/>
  <c r="K66" i="19"/>
  <c r="J66" i="19"/>
  <c r="I66" i="19"/>
  <c r="H66" i="19"/>
  <c r="B66" i="19"/>
  <c r="V65" i="19"/>
  <c r="U65" i="19"/>
  <c r="T65" i="19"/>
  <c r="R65" i="19"/>
  <c r="Q65" i="19"/>
  <c r="P65" i="19"/>
  <c r="O65" i="19"/>
  <c r="N65" i="19"/>
  <c r="M65" i="19"/>
  <c r="L65" i="19"/>
  <c r="K65" i="19"/>
  <c r="J65" i="19"/>
  <c r="I65" i="19"/>
  <c r="H65" i="19"/>
  <c r="C65" i="19"/>
  <c r="B65" i="19"/>
  <c r="V64" i="19"/>
  <c r="U64" i="19"/>
  <c r="T64" i="19"/>
  <c r="S64" i="19"/>
  <c r="R64" i="19"/>
  <c r="Q64" i="19"/>
  <c r="P64" i="19"/>
  <c r="O64" i="19"/>
  <c r="N64" i="19"/>
  <c r="M64" i="19"/>
  <c r="L64" i="19"/>
  <c r="K64" i="19"/>
  <c r="J64" i="19"/>
  <c r="I64" i="19"/>
  <c r="H64" i="19"/>
  <c r="B64" i="19"/>
  <c r="V63" i="19"/>
  <c r="U63" i="19"/>
  <c r="T63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C63" i="19"/>
  <c r="B63" i="19"/>
  <c r="V62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H62" i="19"/>
  <c r="C62" i="19"/>
  <c r="B62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B61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I60" i="19"/>
  <c r="H60" i="19"/>
  <c r="B60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B59" i="19"/>
  <c r="H57" i="19"/>
  <c r="N56" i="19"/>
  <c r="V55" i="19"/>
  <c r="T55" i="19"/>
  <c r="N55" i="19"/>
  <c r="J55" i="19"/>
  <c r="B53" i="19"/>
  <c r="H58" i="19" s="1"/>
  <c r="I58" i="19" s="1"/>
  <c r="B46" i="19"/>
  <c r="B77" i="19" s="1"/>
  <c r="B45" i="19"/>
  <c r="B76" i="19" s="1"/>
  <c r="B44" i="19"/>
  <c r="C43" i="19"/>
  <c r="C74" i="19" s="1"/>
  <c r="B43" i="19"/>
  <c r="B74" i="19" s="1"/>
  <c r="C42" i="19"/>
  <c r="C73" i="19" s="1"/>
  <c r="B42" i="19"/>
  <c r="B73" i="19" s="1"/>
  <c r="B41" i="19"/>
  <c r="B72" i="19" s="1"/>
  <c r="B40" i="19"/>
  <c r="C39" i="19"/>
  <c r="C70" i="19" s="1"/>
  <c r="B39" i="19"/>
  <c r="B70" i="19" s="1"/>
  <c r="H27" i="19"/>
  <c r="I27" i="19" s="1"/>
  <c r="H26" i="19"/>
  <c r="D21" i="19"/>
  <c r="G13" i="19"/>
  <c r="G66" i="19" s="1"/>
  <c r="F13" i="19"/>
  <c r="F66" i="19" s="1"/>
  <c r="E13" i="19"/>
  <c r="E46" i="19" s="1"/>
  <c r="E77" i="19" s="1"/>
  <c r="D13" i="19"/>
  <c r="D66" i="19" s="1"/>
  <c r="C13" i="19"/>
  <c r="G12" i="19"/>
  <c r="G65" i="19" s="1"/>
  <c r="F12" i="19"/>
  <c r="F65" i="19" s="1"/>
  <c r="E12" i="19"/>
  <c r="E45" i="19" s="1"/>
  <c r="E76" i="19" s="1"/>
  <c r="D12" i="19"/>
  <c r="D45" i="19" s="1"/>
  <c r="D76" i="19" s="1"/>
  <c r="C12" i="19"/>
  <c r="C45" i="19" s="1"/>
  <c r="C76" i="19" s="1"/>
  <c r="G11" i="19"/>
  <c r="G44" i="19" s="1"/>
  <c r="G75" i="19" s="1"/>
  <c r="F11" i="19"/>
  <c r="F64" i="19" s="1"/>
  <c r="E11" i="19"/>
  <c r="E64" i="19" s="1"/>
  <c r="D11" i="19"/>
  <c r="D64" i="19" s="1"/>
  <c r="C11" i="19"/>
  <c r="C44" i="19" s="1"/>
  <c r="C75" i="19" s="1"/>
  <c r="G10" i="19"/>
  <c r="G43" i="19" s="1"/>
  <c r="G74" i="19" s="1"/>
  <c r="F10" i="19"/>
  <c r="F43" i="19" s="1"/>
  <c r="F74" i="19" s="1"/>
  <c r="E10" i="19"/>
  <c r="E63" i="19" s="1"/>
  <c r="D10" i="19"/>
  <c r="D63" i="19" s="1"/>
  <c r="C10" i="19"/>
  <c r="G9" i="19"/>
  <c r="F9" i="19"/>
  <c r="F62" i="19" s="1"/>
  <c r="E9" i="19"/>
  <c r="E62" i="19" s="1"/>
  <c r="D9" i="19"/>
  <c r="D62" i="19" s="1"/>
  <c r="C9" i="19"/>
  <c r="C8" i="19"/>
  <c r="C61" i="19" s="1"/>
  <c r="C7" i="19"/>
  <c r="C6" i="19"/>
  <c r="U5" i="19"/>
  <c r="T5" i="19"/>
  <c r="P5" i="19"/>
  <c r="N5" i="19"/>
  <c r="L5" i="19"/>
  <c r="D2" i="19"/>
  <c r="A8" i="14"/>
  <c r="AK1" i="14"/>
  <c r="AL1" i="14" s="1"/>
  <c r="AI1" i="14"/>
  <c r="AJ1" i="14" s="1"/>
  <c r="AG1" i="14"/>
  <c r="AD1" i="14"/>
  <c r="AC1" i="14"/>
  <c r="AA1" i="14"/>
  <c r="S90" i="13"/>
  <c r="H90" i="13"/>
  <c r="A90" i="13"/>
  <c r="H89" i="13"/>
  <c r="A89" i="13"/>
  <c r="H88" i="13"/>
  <c r="A88" i="13"/>
  <c r="H87" i="13"/>
  <c r="A87" i="13"/>
  <c r="S86" i="13"/>
  <c r="H86" i="13"/>
  <c r="A86" i="13"/>
  <c r="H85" i="13"/>
  <c r="A85" i="13"/>
  <c r="H84" i="13"/>
  <c r="A84" i="13"/>
  <c r="S83" i="13"/>
  <c r="H83" i="13"/>
  <c r="A83" i="13"/>
  <c r="H82" i="13"/>
  <c r="A82" i="13"/>
  <c r="S81" i="13"/>
  <c r="H81" i="13"/>
  <c r="A81" i="13"/>
  <c r="H80" i="13"/>
  <c r="A80" i="13"/>
  <c r="H79" i="13"/>
  <c r="A79" i="13"/>
  <c r="H78" i="13"/>
  <c r="A78" i="13"/>
  <c r="H77" i="13"/>
  <c r="A77" i="13"/>
  <c r="H76" i="13"/>
  <c r="A76" i="13"/>
  <c r="H75" i="13"/>
  <c r="A75" i="13"/>
  <c r="S74" i="13"/>
  <c r="H74" i="13"/>
  <c r="A74" i="13"/>
  <c r="H73" i="13"/>
  <c r="A73" i="13"/>
  <c r="H72" i="13"/>
  <c r="A72" i="13"/>
  <c r="S71" i="13"/>
  <c r="H71" i="13"/>
  <c r="A71" i="13"/>
  <c r="H70" i="13"/>
  <c r="A70" i="13"/>
  <c r="H69" i="13"/>
  <c r="A69" i="13"/>
  <c r="H68" i="13"/>
  <c r="A68" i="13"/>
  <c r="H67" i="13"/>
  <c r="A67" i="13"/>
  <c r="H66" i="13"/>
  <c r="A66" i="13"/>
  <c r="H65" i="13"/>
  <c r="A65" i="13"/>
  <c r="S64" i="13"/>
  <c r="H64" i="13"/>
  <c r="A64" i="13"/>
  <c r="S63" i="13"/>
  <c r="H63" i="13"/>
  <c r="A63" i="13"/>
  <c r="S62" i="13"/>
  <c r="H62" i="13"/>
  <c r="A62" i="13"/>
  <c r="S61" i="13"/>
  <c r="H61" i="13"/>
  <c r="A61" i="13"/>
  <c r="S60" i="13"/>
  <c r="H60" i="13"/>
  <c r="A60" i="13"/>
  <c r="H59" i="13"/>
  <c r="A59" i="13"/>
  <c r="S58" i="13"/>
  <c r="H58" i="13"/>
  <c r="A58" i="13"/>
  <c r="S57" i="13"/>
  <c r="H57" i="13"/>
  <c r="A57" i="13"/>
  <c r="S56" i="13"/>
  <c r="H56" i="13"/>
  <c r="A56" i="13"/>
  <c r="S55" i="13"/>
  <c r="H55" i="13"/>
  <c r="A55" i="13"/>
  <c r="S54" i="13"/>
  <c r="H54" i="13"/>
  <c r="A54" i="13"/>
  <c r="S53" i="13"/>
  <c r="H53" i="13"/>
  <c r="A53" i="13"/>
  <c r="S52" i="13"/>
  <c r="H52" i="13"/>
  <c r="A52" i="13"/>
  <c r="S51" i="13"/>
  <c r="H51" i="13"/>
  <c r="A51" i="13"/>
  <c r="S50" i="13"/>
  <c r="H50" i="13"/>
  <c r="A50" i="13"/>
  <c r="S49" i="13"/>
  <c r="H49" i="13"/>
  <c r="A49" i="13"/>
  <c r="S48" i="13"/>
  <c r="H48" i="13"/>
  <c r="A48" i="13"/>
  <c r="S47" i="13"/>
  <c r="H47" i="13"/>
  <c r="A47" i="13"/>
  <c r="H46" i="13"/>
  <c r="A46" i="13"/>
  <c r="S45" i="13"/>
  <c r="H45" i="13"/>
  <c r="A45" i="13"/>
  <c r="S44" i="13"/>
  <c r="H44" i="13"/>
  <c r="A44" i="13"/>
  <c r="S43" i="13"/>
  <c r="H43" i="13"/>
  <c r="A43" i="13"/>
  <c r="S42" i="13"/>
  <c r="H42" i="13"/>
  <c r="A42" i="13"/>
  <c r="S41" i="13"/>
  <c r="H41" i="13"/>
  <c r="A41" i="13"/>
  <c r="H40" i="13"/>
  <c r="A40" i="13"/>
  <c r="S39" i="13"/>
  <c r="H39" i="13"/>
  <c r="A39" i="13"/>
  <c r="H38" i="13"/>
  <c r="A38" i="13"/>
  <c r="H37" i="13"/>
  <c r="A37" i="13"/>
  <c r="S36" i="13"/>
  <c r="H36" i="13"/>
  <c r="A36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S17" i="13"/>
  <c r="H17" i="13"/>
  <c r="H16" i="13"/>
  <c r="H15" i="13"/>
  <c r="H14" i="13"/>
  <c r="S13" i="13"/>
  <c r="H13" i="13"/>
  <c r="H12" i="13"/>
  <c r="H11" i="13"/>
  <c r="H10" i="13"/>
  <c r="H9" i="13"/>
  <c r="H8" i="13"/>
  <c r="H7" i="13"/>
  <c r="H6" i="13"/>
  <c r="H5" i="13"/>
  <c r="H4" i="13"/>
  <c r="H1" i="13"/>
  <c r="A1" i="13"/>
  <c r="S79" i="12"/>
  <c r="H79" i="12"/>
  <c r="A79" i="12"/>
  <c r="S78" i="12"/>
  <c r="H78" i="12"/>
  <c r="A78" i="12"/>
  <c r="H77" i="12"/>
  <c r="A77" i="12"/>
  <c r="H76" i="12"/>
  <c r="A76" i="12"/>
  <c r="H75" i="12"/>
  <c r="A75" i="12"/>
  <c r="H74" i="12"/>
  <c r="A74" i="12"/>
  <c r="H73" i="12"/>
  <c r="A73" i="12"/>
  <c r="H72" i="12"/>
  <c r="A72" i="12"/>
  <c r="H71" i="12"/>
  <c r="A71" i="12"/>
  <c r="S70" i="12"/>
  <c r="H70" i="12"/>
  <c r="A70" i="12"/>
  <c r="S69" i="12"/>
  <c r="H69" i="12"/>
  <c r="A69" i="12"/>
  <c r="H68" i="12"/>
  <c r="A68" i="12"/>
  <c r="S67" i="12"/>
  <c r="H67" i="12"/>
  <c r="A67" i="12"/>
  <c r="H66" i="12"/>
  <c r="A66" i="12"/>
  <c r="S65" i="12"/>
  <c r="H65" i="12"/>
  <c r="A65" i="12"/>
  <c r="H64" i="12"/>
  <c r="A64" i="12"/>
  <c r="S63" i="12"/>
  <c r="H63" i="12"/>
  <c r="A63" i="12"/>
  <c r="S62" i="12"/>
  <c r="H62" i="12"/>
  <c r="A62" i="12"/>
  <c r="H61" i="12"/>
  <c r="A61" i="12"/>
  <c r="H60" i="12"/>
  <c r="A60" i="12"/>
  <c r="H59" i="12"/>
  <c r="A59" i="12"/>
  <c r="H58" i="12"/>
  <c r="A58" i="12"/>
  <c r="S57" i="12"/>
  <c r="H57" i="12"/>
  <c r="A57" i="12"/>
  <c r="H56" i="12"/>
  <c r="A56" i="12"/>
  <c r="H55" i="12"/>
  <c r="A55" i="12"/>
  <c r="H54" i="12"/>
  <c r="A54" i="12"/>
  <c r="S53" i="12"/>
  <c r="H53" i="12"/>
  <c r="A53" i="12"/>
  <c r="H52" i="12"/>
  <c r="A52" i="12"/>
  <c r="H51" i="12"/>
  <c r="A51" i="12"/>
  <c r="H50" i="12"/>
  <c r="A50" i="12"/>
  <c r="H49" i="12"/>
  <c r="A49" i="12"/>
  <c r="H48" i="12"/>
  <c r="A48" i="12"/>
  <c r="H47" i="12"/>
  <c r="A47" i="12"/>
  <c r="H46" i="12"/>
  <c r="A46" i="12"/>
  <c r="H45" i="12"/>
  <c r="A45" i="12"/>
  <c r="H44" i="12"/>
  <c r="A44" i="12"/>
  <c r="H43" i="12"/>
  <c r="A43" i="12"/>
  <c r="S42" i="12"/>
  <c r="H42" i="12"/>
  <c r="A42" i="12"/>
  <c r="S41" i="12"/>
  <c r="H41" i="12"/>
  <c r="A41" i="12"/>
  <c r="H40" i="12"/>
  <c r="A40" i="12"/>
  <c r="H39" i="12"/>
  <c r="A39" i="12"/>
  <c r="H38" i="12"/>
  <c r="A38" i="12"/>
  <c r="S37" i="12"/>
  <c r="H37" i="12"/>
  <c r="A37" i="12"/>
  <c r="H36" i="12"/>
  <c r="A36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S17" i="12"/>
  <c r="H17" i="12"/>
  <c r="H16" i="12"/>
  <c r="H15" i="12"/>
  <c r="H14" i="12"/>
  <c r="S13" i="12"/>
  <c r="H13" i="12"/>
  <c r="H12" i="12"/>
  <c r="H11" i="12"/>
  <c r="H10" i="12"/>
  <c r="H9" i="12"/>
  <c r="H8" i="12"/>
  <c r="H7" i="12"/>
  <c r="H6" i="12"/>
  <c r="H5" i="12"/>
  <c r="H4" i="12"/>
  <c r="H1" i="12"/>
  <c r="A1" i="12"/>
  <c r="Z183" i="26" l="1"/>
  <c r="A188" i="26" s="1"/>
  <c r="D65" i="19"/>
  <c r="D44" i="19"/>
  <c r="D75" i="19" s="1"/>
  <c r="AB1" i="14"/>
  <c r="E44" i="19"/>
  <c r="E75" i="19" s="1"/>
  <c r="AH1" i="14"/>
  <c r="F46" i="19"/>
  <c r="F77" i="19" s="1"/>
  <c r="A104" i="26"/>
  <c r="G46" i="19"/>
  <c r="G77" i="19" s="1"/>
  <c r="AM1" i="14"/>
  <c r="D43" i="19"/>
  <c r="D74" i="19" s="1"/>
  <c r="G45" i="19"/>
  <c r="G76" i="19" s="1"/>
  <c r="G64" i="19"/>
  <c r="W163" i="26"/>
  <c r="W173" i="26"/>
  <c r="F44" i="19"/>
  <c r="F75" i="19" s="1"/>
  <c r="W183" i="26"/>
  <c r="W193" i="26"/>
  <c r="F63" i="19"/>
  <c r="B199" i="26"/>
  <c r="AH193" i="26" s="1"/>
  <c r="S12" i="19"/>
  <c r="S65" i="19" s="1"/>
  <c r="F45" i="19"/>
  <c r="F76" i="19" s="1"/>
  <c r="B169" i="26"/>
  <c r="AH163" i="26" s="1"/>
  <c r="B179" i="26"/>
  <c r="Z193" i="26"/>
  <c r="A198" i="26" s="1"/>
  <c r="Q33" i="13"/>
  <c r="Q28" i="13"/>
  <c r="Q9" i="13"/>
  <c r="Q11" i="13"/>
  <c r="Q22" i="13"/>
  <c r="Q15" i="13"/>
  <c r="Q34" i="13"/>
  <c r="Q10" i="13"/>
  <c r="Q7" i="13"/>
  <c r="Q31" i="13"/>
  <c r="Q26" i="13"/>
  <c r="Q19" i="13"/>
  <c r="Q22" i="12"/>
  <c r="Q15" i="12"/>
  <c r="Q4" i="13"/>
  <c r="Q34" i="12"/>
  <c r="Q10" i="12"/>
  <c r="Q7" i="12"/>
  <c r="Q32" i="13"/>
  <c r="Q20" i="13"/>
  <c r="Q8" i="13"/>
  <c r="Q31" i="12"/>
  <c r="Q26" i="12"/>
  <c r="Q19" i="12"/>
  <c r="Q27" i="13"/>
  <c r="Q16" i="13"/>
  <c r="Q12" i="13"/>
  <c r="Q14" i="12"/>
  <c r="Q12" i="12"/>
  <c r="Q6" i="12"/>
  <c r="Q6" i="13"/>
  <c r="Q30" i="12"/>
  <c r="Q23" i="12"/>
  <c r="Q18" i="12"/>
  <c r="Q16" i="12"/>
  <c r="Q5" i="12"/>
  <c r="Q30" i="13"/>
  <c r="Q18" i="13"/>
  <c r="Q14" i="13"/>
  <c r="Q11" i="12"/>
  <c r="Q20" i="12"/>
  <c r="Q4" i="12"/>
  <c r="Q5" i="13"/>
  <c r="Q9" i="12"/>
  <c r="Q23" i="13"/>
  <c r="Q28" i="12"/>
  <c r="Q8" i="12"/>
  <c r="Q33" i="12"/>
  <c r="Q27" i="12"/>
  <c r="Q32" i="12"/>
  <c r="Z1" i="14"/>
  <c r="Y1" i="14" s="1"/>
  <c r="AF1" i="14"/>
  <c r="AE1" i="14" s="1"/>
  <c r="X1" i="14"/>
  <c r="W1" i="14"/>
  <c r="I1" i="14"/>
  <c r="C1" i="14"/>
  <c r="B1" i="14"/>
  <c r="AN1" i="14" s="1"/>
  <c r="F1014" i="17"/>
  <c r="F1010" i="17"/>
  <c r="F1006" i="17"/>
  <c r="F1002" i="17"/>
  <c r="F998" i="17"/>
  <c r="F994" i="17"/>
  <c r="F990" i="17"/>
  <c r="F100" i="17"/>
  <c r="F96" i="17"/>
  <c r="F92" i="17"/>
  <c r="F88" i="17"/>
  <c r="F84" i="17"/>
  <c r="F80" i="17"/>
  <c r="F76" i="17"/>
  <c r="F72" i="17"/>
  <c r="F68" i="17"/>
  <c r="F64" i="17"/>
  <c r="F60" i="17"/>
  <c r="G1013" i="17"/>
  <c r="G1009" i="17"/>
  <c r="G1005" i="17"/>
  <c r="G1001" i="17"/>
  <c r="G997" i="17"/>
  <c r="G993" i="17"/>
  <c r="G989" i="17"/>
  <c r="G99" i="17"/>
  <c r="G95" i="17"/>
  <c r="G91" i="17"/>
  <c r="G87" i="17"/>
  <c r="G83" i="17"/>
  <c r="G79" i="17"/>
  <c r="G75" i="17"/>
  <c r="G71" i="17"/>
  <c r="G67" i="17"/>
  <c r="G63" i="17"/>
  <c r="G59" i="17"/>
  <c r="G55" i="17"/>
  <c r="F1013" i="17"/>
  <c r="F1009" i="17"/>
  <c r="F1005" i="17"/>
  <c r="F1001" i="17"/>
  <c r="F997" i="17"/>
  <c r="F993" i="17"/>
  <c r="F989" i="17"/>
  <c r="F99" i="17"/>
  <c r="F95" i="17"/>
  <c r="F91" i="17"/>
  <c r="G1016" i="17"/>
  <c r="G1012" i="17"/>
  <c r="G1008" i="17"/>
  <c r="G1004" i="17"/>
  <c r="G1000" i="17"/>
  <c r="G996" i="17"/>
  <c r="G992" i="17"/>
  <c r="G102" i="17"/>
  <c r="G98" i="17"/>
  <c r="G94" i="17"/>
  <c r="G90" i="17"/>
  <c r="G86" i="17"/>
  <c r="G82" i="17"/>
  <c r="G78" i="17"/>
  <c r="G74" i="17"/>
  <c r="G70" i="17"/>
  <c r="G66" i="17"/>
  <c r="G62" i="17"/>
  <c r="G1010" i="17"/>
  <c r="G1002" i="17"/>
  <c r="G994" i="17"/>
  <c r="G100" i="17"/>
  <c r="G92" i="17"/>
  <c r="F85" i="17"/>
  <c r="F78" i="17"/>
  <c r="G72" i="17"/>
  <c r="G65" i="17"/>
  <c r="F59" i="17"/>
  <c r="G54" i="17"/>
  <c r="G50" i="17"/>
  <c r="G46" i="17"/>
  <c r="G42" i="17"/>
  <c r="G38" i="17"/>
  <c r="G34" i="17"/>
  <c r="F30" i="17"/>
  <c r="F26" i="17"/>
  <c r="F22" i="17"/>
  <c r="F18" i="17"/>
  <c r="F14" i="17"/>
  <c r="F10" i="17"/>
  <c r="F6" i="17"/>
  <c r="F2" i="17"/>
  <c r="Q90" i="13"/>
  <c r="L87" i="13"/>
  <c r="L84" i="13"/>
  <c r="Q81" i="13"/>
  <c r="L78" i="13"/>
  <c r="K75" i="13"/>
  <c r="L70" i="13"/>
  <c r="K67" i="13"/>
  <c r="Q65" i="13"/>
  <c r="K64" i="13"/>
  <c r="Q61" i="13"/>
  <c r="K60" i="13"/>
  <c r="L57" i="13"/>
  <c r="L53" i="13"/>
  <c r="Q50" i="13"/>
  <c r="K49" i="13"/>
  <c r="L46" i="13"/>
  <c r="Q43" i="13"/>
  <c r="K42" i="13"/>
  <c r="L39" i="13"/>
  <c r="L36" i="13"/>
  <c r="L21" i="13"/>
  <c r="K77" i="12"/>
  <c r="Q75" i="12"/>
  <c r="L72" i="12"/>
  <c r="Q69" i="12"/>
  <c r="K66" i="12"/>
  <c r="L63" i="12"/>
  <c r="F1016" i="17"/>
  <c r="F1008" i="17"/>
  <c r="F1000" i="17"/>
  <c r="F992" i="17"/>
  <c r="F98" i="17"/>
  <c r="F90" i="17"/>
  <c r="G84" i="17"/>
  <c r="G77" i="17"/>
  <c r="F71" i="17"/>
  <c r="F65" i="17"/>
  <c r="G58" i="17"/>
  <c r="F54" i="17"/>
  <c r="F50" i="17"/>
  <c r="F46" i="17"/>
  <c r="F42" i="17"/>
  <c r="F38" i="17"/>
  <c r="F34" i="17"/>
  <c r="G29" i="17"/>
  <c r="G25" i="17"/>
  <c r="G21" i="17"/>
  <c r="G17" i="17"/>
  <c r="G13" i="17"/>
  <c r="G9" i="17"/>
  <c r="G5" i="17"/>
  <c r="G1015" i="17"/>
  <c r="G1007" i="17"/>
  <c r="G999" i="17"/>
  <c r="G991" i="17"/>
  <c r="G97" i="17"/>
  <c r="G89" i="17"/>
  <c r="F83" i="17"/>
  <c r="F77" i="17"/>
  <c r="F70" i="17"/>
  <c r="G64" i="17"/>
  <c r="F58" i="17"/>
  <c r="G53" i="17"/>
  <c r="G49" i="17"/>
  <c r="G45" i="17"/>
  <c r="G41" i="17"/>
  <c r="G37" i="17"/>
  <c r="G33" i="17"/>
  <c r="F29" i="17"/>
  <c r="F25" i="17"/>
  <c r="F21" i="17"/>
  <c r="F17" i="17"/>
  <c r="F13" i="17"/>
  <c r="F9" i="17"/>
  <c r="F5" i="17"/>
  <c r="K90" i="13"/>
  <c r="Q88" i="13"/>
  <c r="Q85" i="13"/>
  <c r="Q82" i="13"/>
  <c r="K81" i="13"/>
  <c r="Q79" i="13"/>
  <c r="L76" i="13"/>
  <c r="K73" i="13"/>
  <c r="Q71" i="13"/>
  <c r="L68" i="13"/>
  <c r="K65" i="13"/>
  <c r="Q62" i="13"/>
  <c r="K61" i="13"/>
  <c r="L58" i="13"/>
  <c r="L54" i="13"/>
  <c r="Q51" i="13"/>
  <c r="K50" i="13"/>
  <c r="Q47" i="13"/>
  <c r="Q44" i="13"/>
  <c r="K43" i="13"/>
  <c r="L40" i="13"/>
  <c r="L37" i="13"/>
  <c r="L25" i="13"/>
  <c r="L78" i="12"/>
  <c r="K75" i="12"/>
  <c r="Q73" i="12"/>
  <c r="Q70" i="12"/>
  <c r="K69" i="12"/>
  <c r="Q67" i="12"/>
  <c r="L64" i="12"/>
  <c r="Q61" i="12"/>
  <c r="L58" i="12"/>
  <c r="L55" i="12"/>
  <c r="L52" i="12"/>
  <c r="K49" i="12"/>
  <c r="K47" i="12"/>
  <c r="K45" i="12"/>
  <c r="K43" i="12"/>
  <c r="F1015" i="17"/>
  <c r="F1007" i="17"/>
  <c r="F999" i="17"/>
  <c r="F991" i="17"/>
  <c r="F97" i="17"/>
  <c r="F89" i="17"/>
  <c r="F82" i="17"/>
  <c r="G76" i="17"/>
  <c r="G69" i="17"/>
  <c r="F63" i="17"/>
  <c r="G57" i="17"/>
  <c r="F53" i="17"/>
  <c r="F49" i="17"/>
  <c r="F45" i="17"/>
  <c r="F41" i="17"/>
  <c r="F37" i="17"/>
  <c r="F33" i="17"/>
  <c r="G28" i="17"/>
  <c r="G24" i="17"/>
  <c r="G20" i="17"/>
  <c r="G16" i="17"/>
  <c r="G12" i="17"/>
  <c r="G8" i="17"/>
  <c r="G4" i="17"/>
  <c r="L88" i="13"/>
  <c r="G1014" i="17"/>
  <c r="G1006" i="17"/>
  <c r="G998" i="17"/>
  <c r="G990" i="17"/>
  <c r="G96" i="17"/>
  <c r="G88" i="17"/>
  <c r="G81" i="17"/>
  <c r="F75" i="17"/>
  <c r="F69" i="17"/>
  <c r="F62" i="17"/>
  <c r="F57" i="17"/>
  <c r="G52" i="17"/>
  <c r="G48" i="17"/>
  <c r="G44" i="17"/>
  <c r="G40" i="17"/>
  <c r="G36" i="17"/>
  <c r="F32" i="17"/>
  <c r="F28" i="17"/>
  <c r="F24" i="17"/>
  <c r="F20" i="17"/>
  <c r="F16" i="17"/>
  <c r="F12" i="17"/>
  <c r="F8" i="17"/>
  <c r="F4" i="17"/>
  <c r="K88" i="13"/>
  <c r="K85" i="13"/>
  <c r="K82" i="13"/>
  <c r="K79" i="13"/>
  <c r="Q77" i="13"/>
  <c r="Q74" i="13"/>
  <c r="K71" i="13"/>
  <c r="Q69" i="13"/>
  <c r="L66" i="13"/>
  <c r="Q63" i="13"/>
  <c r="K62" i="13"/>
  <c r="L59" i="13"/>
  <c r="L55" i="13"/>
  <c r="K51" i="13"/>
  <c r="Q48" i="13"/>
  <c r="K47" i="13"/>
  <c r="K44" i="13"/>
  <c r="Q41" i="13"/>
  <c r="Q38" i="13"/>
  <c r="Q29" i="13"/>
  <c r="L13" i="13"/>
  <c r="L79" i="12"/>
  <c r="L76" i="12"/>
  <c r="K73" i="12"/>
  <c r="Q71" i="12"/>
  <c r="K70" i="12"/>
  <c r="K67" i="12"/>
  <c r="Q65" i="12"/>
  <c r="K61" i="12"/>
  <c r="Q59" i="12"/>
  <c r="Q56" i="12"/>
  <c r="Q53" i="12"/>
  <c r="L50" i="12"/>
  <c r="F1012" i="17"/>
  <c r="F1004" i="17"/>
  <c r="F996" i="17"/>
  <c r="F102" i="17"/>
  <c r="F94" i="17"/>
  <c r="F87" i="17"/>
  <c r="F81" i="17"/>
  <c r="F74" i="17"/>
  <c r="G68" i="17"/>
  <c r="G61" i="17"/>
  <c r="G56" i="17"/>
  <c r="F52" i="17"/>
  <c r="F48" i="17"/>
  <c r="F44" i="17"/>
  <c r="F40" i="17"/>
  <c r="F36" i="17"/>
  <c r="G31" i="17"/>
  <c r="G27" i="17"/>
  <c r="G23" i="17"/>
  <c r="G19" i="17"/>
  <c r="G15" i="17"/>
  <c r="G11" i="17"/>
  <c r="G7" i="17"/>
  <c r="G3" i="17"/>
  <c r="Q89" i="13"/>
  <c r="Q86" i="13"/>
  <c r="Q83" i="13"/>
  <c r="Q80" i="13"/>
  <c r="L77" i="13"/>
  <c r="L74" i="13"/>
  <c r="L72" i="13"/>
  <c r="L69" i="13"/>
  <c r="K66" i="13"/>
  <c r="L63" i="13"/>
  <c r="K59" i="13"/>
  <c r="Q56" i="13"/>
  <c r="K55" i="13"/>
  <c r="L52" i="13"/>
  <c r="L48" i="13"/>
  <c r="Q45" i="13"/>
  <c r="L41" i="13"/>
  <c r="L38" i="13"/>
  <c r="L29" i="13"/>
  <c r="Q24" i="13"/>
  <c r="Q17" i="13"/>
  <c r="K13" i="13"/>
  <c r="Q1" i="13"/>
  <c r="K79" i="12"/>
  <c r="K76" i="12"/>
  <c r="Q74" i="12"/>
  <c r="L71" i="12"/>
  <c r="L68" i="12"/>
  <c r="L65" i="12"/>
  <c r="Q62" i="12"/>
  <c r="L59" i="12"/>
  <c r="L56" i="12"/>
  <c r="L53" i="12"/>
  <c r="K50" i="12"/>
  <c r="L48" i="12"/>
  <c r="L46" i="12"/>
  <c r="L44" i="12"/>
  <c r="G1011" i="17"/>
  <c r="G1003" i="17"/>
  <c r="G995" i="17"/>
  <c r="G101" i="17"/>
  <c r="G93" i="17"/>
  <c r="F86" i="17"/>
  <c r="G80" i="17"/>
  <c r="G73" i="17"/>
  <c r="F67" i="17"/>
  <c r="F61" i="17"/>
  <c r="F56" i="17"/>
  <c r="G51" i="17"/>
  <c r="G47" i="17"/>
  <c r="G43" i="17"/>
  <c r="G39" i="17"/>
  <c r="G35" i="17"/>
  <c r="F31" i="17"/>
  <c r="F27" i="17"/>
  <c r="F23" i="17"/>
  <c r="F19" i="17"/>
  <c r="F15" i="17"/>
  <c r="F11" i="17"/>
  <c r="F7" i="17"/>
  <c r="F3" i="17"/>
  <c r="L89" i="13"/>
  <c r="L86" i="13"/>
  <c r="L83" i="13"/>
  <c r="L80" i="13"/>
  <c r="K77" i="13"/>
  <c r="Q75" i="13"/>
  <c r="K74" i="13"/>
  <c r="K72" i="13"/>
  <c r="K69" i="13"/>
  <c r="Q67" i="13"/>
  <c r="Q64" i="13"/>
  <c r="K63" i="13"/>
  <c r="Q60" i="13"/>
  <c r="L56" i="13"/>
  <c r="K52" i="13"/>
  <c r="Q49" i="13"/>
  <c r="K48" i="13"/>
  <c r="K45" i="13"/>
  <c r="Q42" i="13"/>
  <c r="K41" i="13"/>
  <c r="K38" i="13"/>
  <c r="K29" i="13"/>
  <c r="L24" i="13"/>
  <c r="L17" i="13"/>
  <c r="L1" i="13"/>
  <c r="Q77" i="12"/>
  <c r="L74" i="12"/>
  <c r="K71" i="12"/>
  <c r="K68" i="12"/>
  <c r="K65" i="12"/>
  <c r="L62" i="12"/>
  <c r="K59" i="12"/>
  <c r="K56" i="12"/>
  <c r="Q54" i="12"/>
  <c r="K53" i="12"/>
  <c r="Q51" i="12"/>
  <c r="K48" i="12"/>
  <c r="K46" i="12"/>
  <c r="K44" i="12"/>
  <c r="Q42" i="12"/>
  <c r="K41" i="12"/>
  <c r="F1011" i="17"/>
  <c r="F1003" i="17"/>
  <c r="F995" i="17"/>
  <c r="F101" i="17"/>
  <c r="F93" i="17"/>
  <c r="G85" i="17"/>
  <c r="F79" i="17"/>
  <c r="F73" i="17"/>
  <c r="F66" i="17"/>
  <c r="G60" i="17"/>
  <c r="F55" i="17"/>
  <c r="F51" i="17"/>
  <c r="F47" i="17"/>
  <c r="F43" i="17"/>
  <c r="F39" i="17"/>
  <c r="F35" i="17"/>
  <c r="G30" i="17"/>
  <c r="G26" i="17"/>
  <c r="G22" i="17"/>
  <c r="G18" i="17"/>
  <c r="G14" i="17"/>
  <c r="G10" i="17"/>
  <c r="G6" i="17"/>
  <c r="G2" i="17"/>
  <c r="K89" i="13"/>
  <c r="Q87" i="13"/>
  <c r="K86" i="13"/>
  <c r="Q84" i="13"/>
  <c r="K83" i="13"/>
  <c r="K80" i="13"/>
  <c r="Q78" i="13"/>
  <c r="L75" i="13"/>
  <c r="Q70" i="13"/>
  <c r="L67" i="13"/>
  <c r="L85" i="13"/>
  <c r="Q59" i="13"/>
  <c r="Q39" i="13"/>
  <c r="K25" i="13"/>
  <c r="K21" i="13"/>
  <c r="K74" i="12"/>
  <c r="Q64" i="12"/>
  <c r="Q60" i="12"/>
  <c r="K58" i="12"/>
  <c r="K54" i="12"/>
  <c r="K40" i="12"/>
  <c r="Q38" i="12"/>
  <c r="K37" i="12"/>
  <c r="Q29" i="12"/>
  <c r="L13" i="12"/>
  <c r="L82" i="13"/>
  <c r="L71" i="13"/>
  <c r="Q68" i="13"/>
  <c r="L61" i="13"/>
  <c r="Q57" i="13"/>
  <c r="L43" i="13"/>
  <c r="K39" i="13"/>
  <c r="K17" i="13"/>
  <c r="Q13" i="13"/>
  <c r="L69" i="12"/>
  <c r="K64" i="12"/>
  <c r="L60" i="12"/>
  <c r="Q49" i="12"/>
  <c r="L43" i="12"/>
  <c r="L38" i="12"/>
  <c r="L29" i="12"/>
  <c r="Q24" i="12"/>
  <c r="Q17" i="12"/>
  <c r="K13" i="12"/>
  <c r="Q1" i="12"/>
  <c r="K87" i="13"/>
  <c r="L79" i="13"/>
  <c r="Q76" i="13"/>
  <c r="K68" i="13"/>
  <c r="L65" i="13"/>
  <c r="K57" i="13"/>
  <c r="Q55" i="13"/>
  <c r="L47" i="13"/>
  <c r="K24" i="13"/>
  <c r="Q76" i="12"/>
  <c r="L66" i="12"/>
  <c r="K62" i="12"/>
  <c r="K60" i="12"/>
  <c r="L51" i="12"/>
  <c r="L49" i="12"/>
  <c r="Q41" i="12"/>
  <c r="K38" i="12"/>
  <c r="K29" i="12"/>
  <c r="L24" i="12"/>
  <c r="L17" i="12"/>
  <c r="L1" i="12"/>
  <c r="L90" i="13"/>
  <c r="K84" i="13"/>
  <c r="K76" i="13"/>
  <c r="L73" i="13"/>
  <c r="Q53" i="13"/>
  <c r="L51" i="13"/>
  <c r="L49" i="13"/>
  <c r="Q40" i="13"/>
  <c r="Q36" i="13"/>
  <c r="K1" i="13"/>
  <c r="Q78" i="12"/>
  <c r="L73" i="12"/>
  <c r="Q55" i="12"/>
  <c r="K51" i="12"/>
  <c r="L41" i="12"/>
  <c r="Q39" i="12"/>
  <c r="Q36" i="12"/>
  <c r="K24" i="12"/>
  <c r="Q21" i="12"/>
  <c r="K17" i="12"/>
  <c r="K1" i="12"/>
  <c r="L81" i="13"/>
  <c r="K78" i="13"/>
  <c r="L62" i="13"/>
  <c r="L60" i="13"/>
  <c r="K58" i="13"/>
  <c r="Q46" i="13"/>
  <c r="L44" i="13"/>
  <c r="L42" i="13"/>
  <c r="L75" i="12"/>
  <c r="L70" i="12"/>
  <c r="Q63" i="12"/>
  <c r="L61" i="12"/>
  <c r="L57" i="12"/>
  <c r="L42" i="12"/>
  <c r="K39" i="12"/>
  <c r="K36" i="12"/>
  <c r="Q25" i="12"/>
  <c r="K21" i="12"/>
  <c r="L64" i="13"/>
  <c r="K56" i="13"/>
  <c r="Q54" i="13"/>
  <c r="K46" i="13"/>
  <c r="Q37" i="13"/>
  <c r="Q72" i="12"/>
  <c r="K63" i="12"/>
  <c r="K57" i="12"/>
  <c r="Q52" i="12"/>
  <c r="Q50" i="12"/>
  <c r="K42" i="12"/>
  <c r="Q40" i="12"/>
  <c r="Q37" i="12"/>
  <c r="L25" i="12"/>
  <c r="Q66" i="13"/>
  <c r="K53" i="13"/>
  <c r="Q25" i="13"/>
  <c r="Q79" i="12"/>
  <c r="L67" i="12"/>
  <c r="K52" i="12"/>
  <c r="L45" i="12"/>
  <c r="L39" i="12"/>
  <c r="L36" i="12"/>
  <c r="K25" i="12"/>
  <c r="L50" i="13"/>
  <c r="K72" i="12"/>
  <c r="Q57" i="12"/>
  <c r="L54" i="12"/>
  <c r="K36" i="13"/>
  <c r="L47" i="12"/>
  <c r="Q13" i="12"/>
  <c r="K54" i="13"/>
  <c r="K78" i="12"/>
  <c r="L40" i="12"/>
  <c r="Q21" i="13"/>
  <c r="Q58" i="12"/>
  <c r="L37" i="12"/>
  <c r="L21" i="12"/>
  <c r="L77" i="12"/>
  <c r="K40" i="13"/>
  <c r="K37" i="13"/>
  <c r="K55" i="12"/>
  <c r="Q58" i="13"/>
  <c r="K70" i="13"/>
  <c r="D7" i="19"/>
  <c r="V5" i="26"/>
  <c r="F5" i="26"/>
  <c r="R5" i="26"/>
  <c r="N4" i="26"/>
  <c r="Q5" i="26"/>
  <c r="M4" i="26"/>
  <c r="O5" i="26"/>
  <c r="N5" i="26"/>
  <c r="J5" i="26"/>
  <c r="I5" i="26"/>
  <c r="G5" i="26"/>
  <c r="E6" i="19"/>
  <c r="G8" i="19"/>
  <c r="F6" i="19"/>
  <c r="F8" i="19"/>
  <c r="E8" i="19"/>
  <c r="D8" i="19"/>
  <c r="G6" i="19"/>
  <c r="C63" i="23"/>
  <c r="C70" i="23"/>
  <c r="C49" i="23"/>
  <c r="C12" i="23"/>
  <c r="C21" i="23"/>
  <c r="C100" i="21"/>
  <c r="C64" i="21"/>
  <c r="C40" i="21"/>
  <c r="C3" i="23"/>
  <c r="C126" i="21"/>
  <c r="C91" i="21"/>
  <c r="C55" i="21"/>
  <c r="C21" i="21"/>
  <c r="C30" i="23"/>
  <c r="C132" i="21"/>
  <c r="C117" i="21"/>
  <c r="C106" i="21"/>
  <c r="C82" i="21"/>
  <c r="C70" i="21"/>
  <c r="C46" i="21"/>
  <c r="C36" i="21"/>
  <c r="C123" i="21"/>
  <c r="C112" i="21"/>
  <c r="C88" i="21"/>
  <c r="C52" i="21"/>
  <c r="C58" i="23"/>
  <c r="D2" i="22"/>
  <c r="D46" i="22" s="1"/>
  <c r="C103" i="21"/>
  <c r="C79" i="21"/>
  <c r="C67" i="21"/>
  <c r="C39" i="23"/>
  <c r="C94" i="21"/>
  <c r="C61" i="21"/>
  <c r="C27" i="21"/>
  <c r="C18" i="21"/>
  <c r="C9" i="21"/>
  <c r="C49" i="21"/>
  <c r="C33" i="21"/>
  <c r="C58" i="21"/>
  <c r="C24" i="21"/>
  <c r="C15" i="21"/>
  <c r="C120" i="21"/>
  <c r="C109" i="21"/>
  <c r="C6" i="21"/>
  <c r="C129" i="21"/>
  <c r="C97" i="21"/>
  <c r="C135" i="21"/>
  <c r="C85" i="21"/>
  <c r="C73" i="21"/>
  <c r="C43" i="21"/>
  <c r="C3" i="21"/>
  <c r="C12" i="21"/>
  <c r="C30" i="21"/>
  <c r="H2" i="21"/>
  <c r="G1" i="21"/>
  <c r="J27" i="19"/>
  <c r="I26" i="19"/>
  <c r="C40" i="19"/>
  <c r="C71" i="19" s="1"/>
  <c r="G7" i="19"/>
  <c r="F7" i="19"/>
  <c r="E7" i="19"/>
  <c r="F1" i="21"/>
  <c r="G39" i="21"/>
  <c r="F38" i="21"/>
  <c r="G62" i="19"/>
  <c r="G42" i="19"/>
  <c r="G73" i="19" s="1"/>
  <c r="E43" i="19"/>
  <c r="E74" i="19" s="1"/>
  <c r="J58" i="19"/>
  <c r="I57" i="19"/>
  <c r="C60" i="19"/>
  <c r="E66" i="19"/>
  <c r="C66" i="19"/>
  <c r="C46" i="19"/>
  <c r="C77" i="19" s="1"/>
  <c r="K45" i="19"/>
  <c r="K76" i="19" s="1"/>
  <c r="D6" i="19"/>
  <c r="D46" i="19"/>
  <c r="S13" i="19"/>
  <c r="S66" i="19" s="1"/>
  <c r="R45" i="19"/>
  <c r="R76" i="19" s="1"/>
  <c r="H77" i="21"/>
  <c r="G76" i="21"/>
  <c r="G115" i="21"/>
  <c r="F114" i="21"/>
  <c r="Q47" i="22"/>
  <c r="I47" i="22"/>
  <c r="U47" i="22"/>
  <c r="M47" i="22"/>
  <c r="E47" i="22" a="1"/>
  <c r="E47" i="22" s="1"/>
  <c r="T47" i="22"/>
  <c r="J47" i="22"/>
  <c r="S47" i="22"/>
  <c r="H47" i="22"/>
  <c r="R47" i="22"/>
  <c r="G47" i="22"/>
  <c r="P47" i="22"/>
  <c r="F47" i="22"/>
  <c r="O47" i="22"/>
  <c r="N47" i="22"/>
  <c r="U68" i="22"/>
  <c r="M68" i="22"/>
  <c r="E68" i="22"/>
  <c r="T68" i="22"/>
  <c r="L68" i="22"/>
  <c r="Q68" i="22"/>
  <c r="I68" i="22"/>
  <c r="S68" i="22"/>
  <c r="G68" i="22"/>
  <c r="R68" i="22"/>
  <c r="F68" i="22"/>
  <c r="P68" i="22"/>
  <c r="O68" i="22"/>
  <c r="N68" i="22"/>
  <c r="K68" i="22"/>
  <c r="D17" i="25"/>
  <c r="E18" i="25"/>
  <c r="T27" i="22"/>
  <c r="L27" i="22"/>
  <c r="D27" i="22"/>
  <c r="D71" i="22" s="1"/>
  <c r="S27" i="22"/>
  <c r="K27" i="22"/>
  <c r="B72" i="22"/>
  <c r="R27" i="22"/>
  <c r="J27" i="22"/>
  <c r="Q27" i="22"/>
  <c r="I27" i="22"/>
  <c r="P27" i="22"/>
  <c r="H27" i="22"/>
  <c r="O27" i="22"/>
  <c r="G27" i="22"/>
  <c r="I2" i="22"/>
  <c r="H1" i="22"/>
  <c r="D28" i="22"/>
  <c r="D72" i="22" s="1"/>
  <c r="S36" i="22"/>
  <c r="K36" i="22"/>
  <c r="R36" i="22"/>
  <c r="J36" i="22"/>
  <c r="Q36" i="22"/>
  <c r="I36" i="22"/>
  <c r="P36" i="22"/>
  <c r="H36" i="22"/>
  <c r="O36" i="22"/>
  <c r="G36" i="22"/>
  <c r="B81" i="22"/>
  <c r="D37" i="22"/>
  <c r="D81" i="22" s="1"/>
  <c r="N36" i="22"/>
  <c r="F36" i="22"/>
  <c r="D42" i="19"/>
  <c r="D73" i="19" s="1"/>
  <c r="C59" i="19"/>
  <c r="G63" i="19"/>
  <c r="E65" i="19"/>
  <c r="C41" i="19"/>
  <c r="C72" i="19" s="1"/>
  <c r="E42" i="19"/>
  <c r="E73" i="19" s="1"/>
  <c r="C64" i="19"/>
  <c r="G74" i="22"/>
  <c r="F42" i="19"/>
  <c r="F73" i="19" s="1"/>
  <c r="E27" i="22"/>
  <c r="D36" i="22"/>
  <c r="D80" i="22" s="1"/>
  <c r="H74" i="22"/>
  <c r="U62" i="22"/>
  <c r="M62" i="22"/>
  <c r="E62" i="22"/>
  <c r="T62" i="22"/>
  <c r="L62" i="22"/>
  <c r="Q62" i="22"/>
  <c r="I62" i="22"/>
  <c r="H62" i="22"/>
  <c r="S62" i="22"/>
  <c r="G62" i="22"/>
  <c r="R62" i="22"/>
  <c r="F62" i="22"/>
  <c r="P62" i="22"/>
  <c r="O62" i="22"/>
  <c r="N62" i="22"/>
  <c r="F27" i="22"/>
  <c r="E36" i="22"/>
  <c r="K47" i="22"/>
  <c r="J62" i="22"/>
  <c r="H68" i="22"/>
  <c r="M27" i="22"/>
  <c r="L36" i="22"/>
  <c r="L47" i="22"/>
  <c r="K62" i="22"/>
  <c r="J68" i="22"/>
  <c r="U74" i="22"/>
  <c r="M74" i="22"/>
  <c r="E74" i="22"/>
  <c r="T74" i="22"/>
  <c r="L74" i="22"/>
  <c r="Q74" i="22"/>
  <c r="I74" i="22"/>
  <c r="R74" i="22"/>
  <c r="F74" i="22"/>
  <c r="P74" i="22"/>
  <c r="O74" i="22"/>
  <c r="N74" i="22"/>
  <c r="K74" i="22"/>
  <c r="J74" i="22"/>
  <c r="K39" i="22"/>
  <c r="S39" i="22"/>
  <c r="B54" i="22"/>
  <c r="F65" i="22"/>
  <c r="S65" i="22"/>
  <c r="J6" i="22"/>
  <c r="R6" i="22"/>
  <c r="F9" i="22"/>
  <c r="N9" i="22"/>
  <c r="D10" i="22"/>
  <c r="D54" i="22" s="1"/>
  <c r="J12" i="22"/>
  <c r="R12" i="22"/>
  <c r="F15" i="22"/>
  <c r="N15" i="22"/>
  <c r="D16" i="22"/>
  <c r="D60" i="22" s="1"/>
  <c r="J18" i="22"/>
  <c r="R18" i="22"/>
  <c r="F21" i="22"/>
  <c r="N21" i="22"/>
  <c r="D22" i="22"/>
  <c r="D66" i="22" s="1"/>
  <c r="J33" i="22"/>
  <c r="R33" i="22"/>
  <c r="D39" i="22"/>
  <c r="D83" i="22" s="1"/>
  <c r="L39" i="22"/>
  <c r="T39" i="22"/>
  <c r="B60" i="22"/>
  <c r="G65" i="22"/>
  <c r="O86" i="22"/>
  <c r="Q65" i="22"/>
  <c r="I65" i="22"/>
  <c r="P65" i="22"/>
  <c r="H65" i="22"/>
  <c r="U65" i="22"/>
  <c r="M65" i="22"/>
  <c r="E65" i="22"/>
  <c r="B84" i="22"/>
  <c r="G3" i="22"/>
  <c r="O3" i="22"/>
  <c r="D6" i="22"/>
  <c r="D50" i="22" s="1"/>
  <c r="L6" i="22"/>
  <c r="T6" i="22"/>
  <c r="H9" i="22"/>
  <c r="P9" i="22"/>
  <c r="D12" i="22"/>
  <c r="D56" i="22" s="1"/>
  <c r="L12" i="22"/>
  <c r="T12" i="22"/>
  <c r="H15" i="22"/>
  <c r="P15" i="22"/>
  <c r="D18" i="22"/>
  <c r="D62" i="22" s="1"/>
  <c r="L18" i="22"/>
  <c r="T18" i="22"/>
  <c r="H21" i="22"/>
  <c r="P21" i="22"/>
  <c r="G30" i="22"/>
  <c r="O30" i="22"/>
  <c r="D33" i="22"/>
  <c r="D77" i="22" s="1"/>
  <c r="L33" i="22"/>
  <c r="T33" i="22"/>
  <c r="F39" i="22"/>
  <c r="N39" i="22"/>
  <c r="D40" i="22"/>
  <c r="D84" i="22" s="1"/>
  <c r="B51" i="22"/>
  <c r="K65" i="22"/>
  <c r="I9" i="22"/>
  <c r="Q9" i="22"/>
  <c r="I15" i="22"/>
  <c r="Q15" i="22"/>
  <c r="I21" i="22"/>
  <c r="Q21" i="22"/>
  <c r="G39" i="22"/>
  <c r="O39" i="22"/>
  <c r="B57" i="22"/>
  <c r="L65" i="22"/>
  <c r="B78" i="22"/>
  <c r="P86" i="22"/>
  <c r="H86" i="22"/>
  <c r="U86" i="22"/>
  <c r="M86" i="22"/>
  <c r="E86" i="22"/>
  <c r="T86" i="22"/>
  <c r="L86" i="22"/>
  <c r="Q86" i="22"/>
  <c r="I86" i="22"/>
  <c r="B11" i="26"/>
  <c r="AI3" i="26"/>
  <c r="I3" i="22"/>
  <c r="F6" i="22"/>
  <c r="N6" i="22"/>
  <c r="J9" i="22"/>
  <c r="F12" i="22"/>
  <c r="N12" i="22"/>
  <c r="J15" i="22"/>
  <c r="F18" i="22"/>
  <c r="N18" i="22"/>
  <c r="D19" i="22"/>
  <c r="D63" i="22" s="1"/>
  <c r="J21" i="22"/>
  <c r="I30" i="22"/>
  <c r="F33" i="22"/>
  <c r="N33" i="22"/>
  <c r="H39" i="22"/>
  <c r="N65" i="22"/>
  <c r="G86" i="22"/>
  <c r="H48" i="23"/>
  <c r="I2" i="23"/>
  <c r="H1" i="23"/>
  <c r="D2" i="25"/>
  <c r="E3" i="25"/>
  <c r="I3" i="26"/>
  <c r="U3" i="26"/>
  <c r="X4" i="26"/>
  <c r="O4" i="26"/>
  <c r="G4" i="26"/>
  <c r="T4" i="26"/>
  <c r="L4" i="26"/>
  <c r="S4" i="26"/>
  <c r="K4" i="26"/>
  <c r="Q4" i="26"/>
  <c r="F24" i="26"/>
  <c r="AB24" i="26"/>
  <c r="Y24" i="26"/>
  <c r="X24" i="26"/>
  <c r="AB34" i="26"/>
  <c r="Y34" i="26"/>
  <c r="X34" i="26"/>
  <c r="F34" i="26"/>
  <c r="AB67" i="26"/>
  <c r="X67" i="26"/>
  <c r="F67" i="26"/>
  <c r="AH183" i="26"/>
  <c r="J3" i="26"/>
  <c r="V3" i="26"/>
  <c r="F4" i="26"/>
  <c r="R4" i="26"/>
  <c r="AB25" i="26"/>
  <c r="X25" i="26"/>
  <c r="Y35" i="26"/>
  <c r="F35" i="26"/>
  <c r="AB35" i="26"/>
  <c r="AB44" i="26"/>
  <c r="X44" i="26"/>
  <c r="F44" i="26"/>
  <c r="AB68" i="26"/>
  <c r="Y68" i="26"/>
  <c r="X68" i="26"/>
  <c r="F68" i="26"/>
  <c r="AB104" i="26"/>
  <c r="Y104" i="26"/>
  <c r="X104" i="26"/>
  <c r="F104" i="26"/>
  <c r="W103" i="26" s="1"/>
  <c r="Y123" i="26"/>
  <c r="X123" i="26"/>
  <c r="F123" i="26"/>
  <c r="F144" i="26"/>
  <c r="AB144" i="26"/>
  <c r="Y144" i="26"/>
  <c r="X144" i="26"/>
  <c r="AB154" i="26"/>
  <c r="Y154" i="26"/>
  <c r="X154" i="26"/>
  <c r="F154" i="26"/>
  <c r="L3" i="26"/>
  <c r="Y3" i="26"/>
  <c r="H4" i="26"/>
  <c r="U4" i="26"/>
  <c r="Y16" i="26"/>
  <c r="X16" i="26"/>
  <c r="F16" i="26"/>
  <c r="F25" i="26"/>
  <c r="X35" i="26"/>
  <c r="Y44" i="26"/>
  <c r="AB54" i="26"/>
  <c r="X54" i="26"/>
  <c r="F54" i="26"/>
  <c r="B71" i="26"/>
  <c r="AH63" i="26"/>
  <c r="AI63" i="26"/>
  <c r="F73" i="26"/>
  <c r="W73" i="26" s="1"/>
  <c r="AB73" i="26"/>
  <c r="B79" i="26" s="1"/>
  <c r="Y73" i="26"/>
  <c r="X73" i="26"/>
  <c r="C2" i="25"/>
  <c r="C17" i="25"/>
  <c r="M3" i="26"/>
  <c r="I4" i="26"/>
  <c r="V4" i="26"/>
  <c r="AB16" i="26"/>
  <c r="Y25" i="26"/>
  <c r="X26" i="26"/>
  <c r="F26" i="26"/>
  <c r="X45" i="26"/>
  <c r="AB45" i="26"/>
  <c r="Y45" i="26"/>
  <c r="Y46" i="26"/>
  <c r="F46" i="26"/>
  <c r="Y54" i="26"/>
  <c r="AB83" i="26"/>
  <c r="B89" i="26" s="1"/>
  <c r="X83" i="26"/>
  <c r="F83" i="26"/>
  <c r="W83" i="26" s="1"/>
  <c r="Y114" i="26"/>
  <c r="X114" i="26"/>
  <c r="F114" i="26"/>
  <c r="W113" i="26" s="1"/>
  <c r="AB123" i="26"/>
  <c r="B129" i="26" s="1"/>
  <c r="AB133" i="26"/>
  <c r="B139" i="26" s="1"/>
  <c r="Y133" i="26"/>
  <c r="X133" i="26"/>
  <c r="F133" i="26"/>
  <c r="AB156" i="26"/>
  <c r="Y156" i="26"/>
  <c r="X156" i="26"/>
  <c r="F156" i="26"/>
  <c r="N3" i="26"/>
  <c r="J4" i="26"/>
  <c r="Y4" i="26"/>
  <c r="A14" i="26"/>
  <c r="Z33" i="26"/>
  <c r="A38" i="26" s="1"/>
  <c r="A34" i="26"/>
  <c r="X43" i="26"/>
  <c r="F43" i="26"/>
  <c r="AB43" i="26"/>
  <c r="B49" i="26" s="1"/>
  <c r="Y43" i="26"/>
  <c r="X46" i="26"/>
  <c r="F55" i="26"/>
  <c r="AB55" i="26"/>
  <c r="Y55" i="26"/>
  <c r="X55" i="26"/>
  <c r="Y64" i="26"/>
  <c r="F64" i="26"/>
  <c r="Y83" i="26"/>
  <c r="F94" i="26"/>
  <c r="AB94" i="26"/>
  <c r="Y94" i="26"/>
  <c r="X94" i="26"/>
  <c r="Y143" i="26"/>
  <c r="X143" i="26"/>
  <c r="F143" i="26"/>
  <c r="AB143" i="26"/>
  <c r="B149" i="26" s="1"/>
  <c r="Q3" i="26"/>
  <c r="X14" i="26"/>
  <c r="AB14" i="26"/>
  <c r="Y14" i="26"/>
  <c r="AB26" i="26"/>
  <c r="AB46" i="26"/>
  <c r="AB47" i="26"/>
  <c r="Y47" i="26"/>
  <c r="X47" i="26"/>
  <c r="F47" i="26"/>
  <c r="X48" i="26"/>
  <c r="AB48" i="26"/>
  <c r="Y48" i="26"/>
  <c r="X53" i="26"/>
  <c r="F53" i="26"/>
  <c r="AB53" i="26"/>
  <c r="B59" i="26" s="1"/>
  <c r="Y53" i="26"/>
  <c r="X64" i="26"/>
  <c r="Y93" i="26"/>
  <c r="F93" i="26"/>
  <c r="AB93" i="26"/>
  <c r="X153" i="26"/>
  <c r="F153" i="26"/>
  <c r="AB153" i="26"/>
  <c r="B159" i="26" s="1"/>
  <c r="S3" i="26"/>
  <c r="K3" i="26"/>
  <c r="X3" i="26"/>
  <c r="P3" i="26"/>
  <c r="H3" i="26"/>
  <c r="O3" i="26"/>
  <c r="G3" i="26"/>
  <c r="R3" i="26"/>
  <c r="AB13" i="26"/>
  <c r="B19" i="26" s="1"/>
  <c r="F13" i="26"/>
  <c r="Y23" i="26"/>
  <c r="F23" i="26"/>
  <c r="AB23" i="26"/>
  <c r="B29" i="26" s="1"/>
  <c r="AB64" i="26"/>
  <c r="AB65" i="26"/>
  <c r="Y65" i="26"/>
  <c r="X65" i="26"/>
  <c r="F65" i="26"/>
  <c r="X134" i="26"/>
  <c r="AB134" i="26"/>
  <c r="Y134" i="26"/>
  <c r="Y153" i="26"/>
  <c r="F3" i="26"/>
  <c r="T3" i="26"/>
  <c r="P4" i="26"/>
  <c r="AC4" i="26"/>
  <c r="AE4" i="26" s="1"/>
  <c r="X13" i="26"/>
  <c r="Y57" i="26"/>
  <c r="X57" i="26"/>
  <c r="F57" i="26"/>
  <c r="Y63" i="26"/>
  <c r="X63" i="26"/>
  <c r="Y66" i="26"/>
  <c r="F66" i="26"/>
  <c r="AB66" i="26"/>
  <c r="X84" i="26"/>
  <c r="AB84" i="26"/>
  <c r="Y84" i="26"/>
  <c r="AB113" i="26"/>
  <c r="Y113" i="26"/>
  <c r="X113" i="26"/>
  <c r="F134" i="26"/>
  <c r="AH173" i="26"/>
  <c r="I1" i="28"/>
  <c r="J2" i="28"/>
  <c r="K5" i="26"/>
  <c r="S5" i="26"/>
  <c r="AB124" i="26"/>
  <c r="AB155" i="26"/>
  <c r="X157" i="26"/>
  <c r="Z163" i="26"/>
  <c r="A168" i="26" s="1"/>
  <c r="L5" i="26"/>
  <c r="T5" i="26"/>
  <c r="AB33" i="26"/>
  <c r="B39" i="26" s="1"/>
  <c r="Y157" i="26"/>
  <c r="A174" i="26"/>
  <c r="M5" i="26"/>
  <c r="U5" i="26"/>
  <c r="AB103" i="26"/>
  <c r="AB157" i="26"/>
  <c r="H5" i="26"/>
  <c r="P5" i="26"/>
  <c r="X49" i="26"/>
  <c r="X56" i="26"/>
  <c r="X74" i="26"/>
  <c r="F124" i="26"/>
  <c r="F155" i="26"/>
  <c r="W13" i="26" l="1"/>
  <c r="W143" i="26"/>
  <c r="W123" i="26"/>
  <c r="W93" i="26"/>
  <c r="W63" i="26"/>
  <c r="W153" i="26"/>
  <c r="U80" i="22"/>
  <c r="M80" i="22"/>
  <c r="E80" i="22"/>
  <c r="T80" i="22"/>
  <c r="L80" i="22"/>
  <c r="Q80" i="22"/>
  <c r="I80" i="22"/>
  <c r="P80" i="22"/>
  <c r="O80" i="22"/>
  <c r="N80" i="22"/>
  <c r="K80" i="22"/>
  <c r="J80" i="22"/>
  <c r="H80" i="22"/>
  <c r="S80" i="22"/>
  <c r="R80" i="22"/>
  <c r="G80" i="22"/>
  <c r="F80" i="22"/>
  <c r="B109" i="26"/>
  <c r="B107" i="26"/>
  <c r="AF103" i="26" s="1"/>
  <c r="Z113" i="26"/>
  <c r="A118" i="26" s="1"/>
  <c r="A114" i="26"/>
  <c r="B119" i="26"/>
  <c r="B117" i="26"/>
  <c r="AF113" i="26" s="1"/>
  <c r="Z63" i="26"/>
  <c r="A68" i="26" s="1"/>
  <c r="A64" i="26"/>
  <c r="W3" i="26"/>
  <c r="AI153" i="26"/>
  <c r="B161" i="26"/>
  <c r="AH153" i="26"/>
  <c r="AI53" i="26"/>
  <c r="AH53" i="26"/>
  <c r="B61" i="26"/>
  <c r="AI143" i="26"/>
  <c r="B151" i="26"/>
  <c r="AH143" i="26"/>
  <c r="W33" i="26"/>
  <c r="D59" i="19"/>
  <c r="D39" i="19"/>
  <c r="D70" i="19" s="1"/>
  <c r="F60" i="19"/>
  <c r="F40" i="19"/>
  <c r="F71" i="19" s="1"/>
  <c r="D61" i="19"/>
  <c r="D41" i="19"/>
  <c r="D72" i="19" s="1"/>
  <c r="Z133" i="26"/>
  <c r="A138" i="26" s="1"/>
  <c r="A134" i="26"/>
  <c r="U50" i="22"/>
  <c r="M50" i="22"/>
  <c r="E50" i="22"/>
  <c r="T50" i="22"/>
  <c r="L50" i="22"/>
  <c r="Q50" i="22"/>
  <c r="I50" i="22"/>
  <c r="K50" i="22"/>
  <c r="J50" i="22"/>
  <c r="H50" i="22"/>
  <c r="S50" i="22"/>
  <c r="G50" i="22"/>
  <c r="R50" i="22"/>
  <c r="F50" i="22"/>
  <c r="P50" i="22"/>
  <c r="O50" i="22"/>
  <c r="N50" i="22"/>
  <c r="E17" i="25"/>
  <c r="F18" i="25"/>
  <c r="AI133" i="26"/>
  <c r="B141" i="26"/>
  <c r="AH133" i="26"/>
  <c r="W53" i="26"/>
  <c r="E41" i="19"/>
  <c r="E72" i="19" s="1"/>
  <c r="E61" i="19"/>
  <c r="J2" i="22"/>
  <c r="I1" i="22"/>
  <c r="AI23" i="26"/>
  <c r="AH23" i="26"/>
  <c r="B31" i="26"/>
  <c r="B99" i="26"/>
  <c r="B97" i="26"/>
  <c r="AF93" i="26" s="1"/>
  <c r="A144" i="26"/>
  <c r="Z143" i="26"/>
  <c r="A148" i="26" s="1"/>
  <c r="W43" i="26"/>
  <c r="AI123" i="26"/>
  <c r="B131" i="26"/>
  <c r="AH123" i="26"/>
  <c r="B81" i="26"/>
  <c r="AI73" i="26"/>
  <c r="AH73" i="26"/>
  <c r="A4" i="26"/>
  <c r="Z3" i="26"/>
  <c r="A8" i="26" s="1"/>
  <c r="T83" i="22"/>
  <c r="L83" i="22"/>
  <c r="Q83" i="22"/>
  <c r="I83" i="22"/>
  <c r="P83" i="22"/>
  <c r="H83" i="22"/>
  <c r="U83" i="22"/>
  <c r="M83" i="22"/>
  <c r="E83" i="22"/>
  <c r="K83" i="22"/>
  <c r="J83" i="22"/>
  <c r="G83" i="22"/>
  <c r="F83" i="22"/>
  <c r="S83" i="22"/>
  <c r="R83" i="22"/>
  <c r="O83" i="22"/>
  <c r="N83" i="22"/>
  <c r="Q71" i="22"/>
  <c r="I71" i="22"/>
  <c r="P71" i="22"/>
  <c r="H71" i="22"/>
  <c r="U71" i="22"/>
  <c r="M71" i="22"/>
  <c r="E71" i="22"/>
  <c r="L71" i="22"/>
  <c r="K71" i="22"/>
  <c r="J71" i="22"/>
  <c r="T71" i="22"/>
  <c r="G71" i="22"/>
  <c r="S71" i="22"/>
  <c r="F71" i="22"/>
  <c r="R71" i="22"/>
  <c r="O71" i="22"/>
  <c r="N71" i="22"/>
  <c r="F59" i="19"/>
  <c r="F39" i="19"/>
  <c r="F70" i="19" s="1"/>
  <c r="G27" i="19"/>
  <c r="AI83" i="26"/>
  <c r="B91" i="26"/>
  <c r="AH83" i="26"/>
  <c r="AI43" i="26"/>
  <c r="B51" i="26"/>
  <c r="AH43" i="26"/>
  <c r="Z73" i="26"/>
  <c r="A78" i="26" s="1"/>
  <c r="A74" i="26"/>
  <c r="E2" i="25"/>
  <c r="F3" i="25"/>
  <c r="F41" i="19"/>
  <c r="F72" i="19" s="1"/>
  <c r="F61" i="19"/>
  <c r="AI33" i="26"/>
  <c r="B41" i="26"/>
  <c r="AH33" i="26"/>
  <c r="W23" i="26"/>
  <c r="H47" i="23"/>
  <c r="I1" i="23"/>
  <c r="Q53" i="22"/>
  <c r="I53" i="22"/>
  <c r="P53" i="22"/>
  <c r="H53" i="22"/>
  <c r="U53" i="22"/>
  <c r="M53" i="22"/>
  <c r="E53" i="22"/>
  <c r="R53" i="22"/>
  <c r="O53" i="22"/>
  <c r="N53" i="22"/>
  <c r="L53" i="22"/>
  <c r="K53" i="22"/>
  <c r="J53" i="22"/>
  <c r="T53" i="22"/>
  <c r="S53" i="22"/>
  <c r="G53" i="22"/>
  <c r="F53" i="22"/>
  <c r="I77" i="21"/>
  <c r="H76" i="21"/>
  <c r="G38" i="21"/>
  <c r="H39" i="21"/>
  <c r="K27" i="19"/>
  <c r="J26" i="19"/>
  <c r="G41" i="19"/>
  <c r="G72" i="19" s="1"/>
  <c r="G61" i="19"/>
  <c r="A83" i="20"/>
  <c r="Z83" i="26"/>
  <c r="A88" i="26" s="1"/>
  <c r="A84" i="26"/>
  <c r="Z153" i="26"/>
  <c r="A158" i="26" s="1"/>
  <c r="A154" i="26"/>
  <c r="H115" i="21"/>
  <c r="G114" i="21"/>
  <c r="Z93" i="26"/>
  <c r="A98" i="26" s="1"/>
  <c r="A94" i="26"/>
  <c r="E27" i="19"/>
  <c r="E59" i="19"/>
  <c r="E58" i="19" s="1"/>
  <c r="H2" i="19"/>
  <c r="E39" i="19"/>
  <c r="E70" i="19" s="1"/>
  <c r="A44" i="26"/>
  <c r="Z43" i="26"/>
  <c r="A48" i="26" s="1"/>
  <c r="G60" i="19"/>
  <c r="G40" i="19"/>
  <c r="G71" i="19" s="1"/>
  <c r="J1" i="28"/>
  <c r="K2" i="28"/>
  <c r="A24" i="26"/>
  <c r="Z23" i="26"/>
  <c r="A28" i="26" s="1"/>
  <c r="I48" i="23"/>
  <c r="J2" i="23"/>
  <c r="Q77" i="22"/>
  <c r="I77" i="22"/>
  <c r="P77" i="22"/>
  <c r="H77" i="22"/>
  <c r="U77" i="22"/>
  <c r="M77" i="22"/>
  <c r="E77" i="22"/>
  <c r="K77" i="22"/>
  <c r="J77" i="22"/>
  <c r="T77" i="22"/>
  <c r="G77" i="22"/>
  <c r="S77" i="22"/>
  <c r="F77" i="22"/>
  <c r="R77" i="22"/>
  <c r="O77" i="22"/>
  <c r="N77" i="22"/>
  <c r="L77" i="22"/>
  <c r="Q59" i="22"/>
  <c r="I59" i="22"/>
  <c r="P59" i="22"/>
  <c r="H59" i="22"/>
  <c r="U59" i="22"/>
  <c r="M59" i="22"/>
  <c r="E59" i="22"/>
  <c r="O59" i="22"/>
  <c r="N59" i="22"/>
  <c r="L59" i="22"/>
  <c r="K59" i="22"/>
  <c r="J59" i="22"/>
  <c r="T59" i="22"/>
  <c r="G59" i="22"/>
  <c r="S59" i="22"/>
  <c r="R59" i="22"/>
  <c r="F59" i="22"/>
  <c r="D60" i="19"/>
  <c r="D40" i="19"/>
  <c r="D71" i="19" s="1"/>
  <c r="B21" i="26"/>
  <c r="AH13" i="26"/>
  <c r="AI13" i="26"/>
  <c r="A54" i="26"/>
  <c r="Z53" i="26"/>
  <c r="A58" i="26" s="1"/>
  <c r="W133" i="26"/>
  <c r="Z123" i="26"/>
  <c r="A128" i="26" s="1"/>
  <c r="A124" i="26"/>
  <c r="U56" i="22"/>
  <c r="M56" i="22"/>
  <c r="E56" i="22"/>
  <c r="T56" i="22"/>
  <c r="L56" i="22"/>
  <c r="Q56" i="22"/>
  <c r="I56" i="22"/>
  <c r="J56" i="22"/>
  <c r="H56" i="22"/>
  <c r="S56" i="22"/>
  <c r="G56" i="22"/>
  <c r="R56" i="22"/>
  <c r="F56" i="22"/>
  <c r="P56" i="22"/>
  <c r="O56" i="22"/>
  <c r="N56" i="22"/>
  <c r="K56" i="22"/>
  <c r="D77" i="19"/>
  <c r="R46" i="19"/>
  <c r="R77" i="19" s="1"/>
  <c r="K46" i="19"/>
  <c r="K77" i="19" s="1"/>
  <c r="K58" i="19"/>
  <c r="J57" i="19"/>
  <c r="E60" i="19"/>
  <c r="E40" i="19"/>
  <c r="E71" i="19" s="1"/>
  <c r="I2" i="21"/>
  <c r="H1" i="21"/>
  <c r="G39" i="19"/>
  <c r="G70" i="19" s="1"/>
  <c r="G59" i="19"/>
  <c r="L19" i="13" l="1"/>
  <c r="L16" i="13"/>
  <c r="B10" i="25"/>
  <c r="G58" i="19"/>
  <c r="I115" i="21"/>
  <c r="H114" i="21"/>
  <c r="L27" i="19"/>
  <c r="K26" i="19"/>
  <c r="L15" i="12"/>
  <c r="L18" i="13"/>
  <c r="B6" i="25"/>
  <c r="J2" i="21"/>
  <c r="I1" i="21"/>
  <c r="K1" i="28"/>
  <c r="L2" i="28"/>
  <c r="I39" i="21"/>
  <c r="H38" i="21"/>
  <c r="L14" i="12"/>
  <c r="L11" i="13"/>
  <c r="B12" i="25"/>
  <c r="AH113" i="26"/>
  <c r="B121" i="26"/>
  <c r="AI113" i="26"/>
  <c r="B26" i="25"/>
  <c r="A141" i="20"/>
  <c r="L16" i="12"/>
  <c r="L15" i="13"/>
  <c r="B21" i="25"/>
  <c r="B27" i="25"/>
  <c r="B8" i="25"/>
  <c r="B11" i="25"/>
  <c r="B28" i="25"/>
  <c r="B7" i="25"/>
  <c r="B22" i="25"/>
  <c r="B9" i="25"/>
  <c r="B24" i="25"/>
  <c r="H53" i="19"/>
  <c r="R5" i="19"/>
  <c r="F2" i="25"/>
  <c r="G3" i="25"/>
  <c r="L18" i="12"/>
  <c r="L19" i="12"/>
  <c r="L20" i="12"/>
  <c r="L12" i="13"/>
  <c r="AH93" i="26"/>
  <c r="B101" i="26"/>
  <c r="L22" i="13" s="1"/>
  <c r="AI93" i="26"/>
  <c r="F17" i="25"/>
  <c r="G18" i="25"/>
  <c r="J77" i="21"/>
  <c r="I76" i="21"/>
  <c r="L20" i="13"/>
  <c r="L14" i="13"/>
  <c r="K57" i="19"/>
  <c r="L58" i="19"/>
  <c r="J48" i="23"/>
  <c r="K2" i="23"/>
  <c r="L11" i="12"/>
  <c r="B13" i="25"/>
  <c r="J1" i="22"/>
  <c r="K2" i="22"/>
  <c r="AH103" i="26"/>
  <c r="B111" i="26"/>
  <c r="L26" i="12" s="1"/>
  <c r="AI103" i="26"/>
  <c r="I47" i="23"/>
  <c r="J1" i="23"/>
  <c r="L12" i="12"/>
  <c r="B25" i="25"/>
  <c r="B23" i="25"/>
  <c r="L23" i="13" l="1"/>
  <c r="J47" i="23"/>
  <c r="K1" i="23"/>
  <c r="L30" i="12"/>
  <c r="L57" i="19"/>
  <c r="M58" i="19"/>
  <c r="L27" i="12"/>
  <c r="B29" i="25"/>
  <c r="B14" i="25"/>
  <c r="J115" i="21"/>
  <c r="I114" i="21"/>
  <c r="L23" i="12"/>
  <c r="H18" i="25"/>
  <c r="G17" i="25"/>
  <c r="B5" i="25"/>
  <c r="L30" i="13"/>
  <c r="L22" i="12"/>
  <c r="I38" i="21"/>
  <c r="J39" i="21"/>
  <c r="K2" i="21"/>
  <c r="J1" i="21"/>
  <c r="B20" i="25"/>
  <c r="L28" i="13"/>
  <c r="L31" i="13"/>
  <c r="J76" i="21"/>
  <c r="K77" i="21"/>
  <c r="B4" i="25"/>
  <c r="L27" i="13"/>
  <c r="G2" i="25"/>
  <c r="H3" i="25"/>
  <c r="L26" i="13"/>
  <c r="M27" i="19"/>
  <c r="L26" i="19"/>
  <c r="K1" i="22"/>
  <c r="L2" i="22"/>
  <c r="L2" i="23"/>
  <c r="K48" i="23"/>
  <c r="M2" i="28"/>
  <c r="M1" i="28" s="1"/>
  <c r="L1" i="28"/>
  <c r="L28" i="12"/>
  <c r="L31" i="12"/>
  <c r="B19" i="25"/>
  <c r="I3" i="25" l="1"/>
  <c r="H2" i="25"/>
  <c r="L2" i="21"/>
  <c r="K1" i="21"/>
  <c r="N58" i="19"/>
  <c r="M57" i="19"/>
  <c r="L48" i="23"/>
  <c r="M2" i="23"/>
  <c r="K39" i="21"/>
  <c r="J38" i="21"/>
  <c r="N27" i="19"/>
  <c r="M26" i="19"/>
  <c r="M2" i="22"/>
  <c r="L1" i="22"/>
  <c r="H17" i="25"/>
  <c r="I18" i="25"/>
  <c r="K115" i="21"/>
  <c r="J114" i="21"/>
  <c r="K76" i="21"/>
  <c r="L77" i="21"/>
  <c r="K47" i="23"/>
  <c r="L1" i="23"/>
  <c r="J18" i="25" l="1"/>
  <c r="I17" i="25"/>
  <c r="O58" i="19"/>
  <c r="N57" i="19"/>
  <c r="M48" i="23"/>
  <c r="N2" i="23"/>
  <c r="M2" i="21"/>
  <c r="L1" i="21"/>
  <c r="N2" i="22"/>
  <c r="M1" i="22"/>
  <c r="L47" i="23"/>
  <c r="M1" i="23"/>
  <c r="M77" i="21"/>
  <c r="L76" i="21"/>
  <c r="N26" i="19"/>
  <c r="O27" i="19"/>
  <c r="L115" i="21"/>
  <c r="K114" i="21"/>
  <c r="L39" i="21"/>
  <c r="K38" i="21"/>
  <c r="J3" i="25"/>
  <c r="I2" i="25"/>
  <c r="N48" i="23" l="1"/>
  <c r="O2" i="23"/>
  <c r="M39" i="21"/>
  <c r="L38" i="21"/>
  <c r="P58" i="19"/>
  <c r="O57" i="19"/>
  <c r="O26" i="19"/>
  <c r="P27" i="19"/>
  <c r="N2" i="21"/>
  <c r="M1" i="21"/>
  <c r="K3" i="25"/>
  <c r="J2" i="25"/>
  <c r="M47" i="23"/>
  <c r="N1" i="23"/>
  <c r="N77" i="21"/>
  <c r="M76" i="21"/>
  <c r="M115" i="21"/>
  <c r="L114" i="21"/>
  <c r="O2" i="22"/>
  <c r="N1" i="22"/>
  <c r="K18" i="25"/>
  <c r="J17" i="25"/>
  <c r="Q58" i="19" l="1"/>
  <c r="P57" i="19"/>
  <c r="L18" i="25"/>
  <c r="K17" i="25"/>
  <c r="N76" i="21"/>
  <c r="O77" i="21"/>
  <c r="P2" i="22"/>
  <c r="O1" i="22"/>
  <c r="M38" i="21"/>
  <c r="N39" i="21"/>
  <c r="P26" i="19"/>
  <c r="Q27" i="19"/>
  <c r="N47" i="23"/>
  <c r="O1" i="23"/>
  <c r="O48" i="23"/>
  <c r="P2" i="23"/>
  <c r="L3" i="25"/>
  <c r="K2" i="25"/>
  <c r="N115" i="21"/>
  <c r="M114" i="21"/>
  <c r="O2" i="21"/>
  <c r="N1" i="21"/>
  <c r="P77" i="21" l="1"/>
  <c r="O76" i="21"/>
  <c r="Q2" i="22"/>
  <c r="P1" i="22"/>
  <c r="P2" i="21"/>
  <c r="O1" i="21"/>
  <c r="O47" i="23"/>
  <c r="P1" i="23"/>
  <c r="M18" i="25"/>
  <c r="L17" i="25"/>
  <c r="R27" i="19"/>
  <c r="Q26" i="19"/>
  <c r="O115" i="21"/>
  <c r="N114" i="21"/>
  <c r="O39" i="21"/>
  <c r="N38" i="21"/>
  <c r="P48" i="23"/>
  <c r="Q2" i="23"/>
  <c r="M3" i="25"/>
  <c r="L2" i="25"/>
  <c r="R58" i="19"/>
  <c r="Q57" i="19"/>
  <c r="Q2" i="21" l="1"/>
  <c r="P1" i="21"/>
  <c r="R2" i="22"/>
  <c r="Q1" i="22"/>
  <c r="S58" i="19"/>
  <c r="R57" i="19"/>
  <c r="M2" i="25"/>
  <c r="N3" i="25"/>
  <c r="P47" i="23"/>
  <c r="Q1" i="23"/>
  <c r="P39" i="21"/>
  <c r="O38" i="21"/>
  <c r="P115" i="21"/>
  <c r="O114" i="21"/>
  <c r="S27" i="19"/>
  <c r="R26" i="19"/>
  <c r="Q48" i="23"/>
  <c r="R2" i="23"/>
  <c r="M17" i="25"/>
  <c r="N18" i="25"/>
  <c r="Q77" i="21"/>
  <c r="P76" i="21"/>
  <c r="N2" i="25" l="1"/>
  <c r="O3" i="25"/>
  <c r="R77" i="21"/>
  <c r="Q76" i="21"/>
  <c r="T27" i="19"/>
  <c r="S26" i="19"/>
  <c r="S57" i="19"/>
  <c r="T58" i="19"/>
  <c r="Q39" i="21"/>
  <c r="P38" i="21"/>
  <c r="Q115" i="21"/>
  <c r="P114" i="21"/>
  <c r="N17" i="25"/>
  <c r="O18" i="25"/>
  <c r="R1" i="22"/>
  <c r="S2" i="22"/>
  <c r="R48" i="23"/>
  <c r="S2" i="23"/>
  <c r="Q47" i="23"/>
  <c r="R1" i="23"/>
  <c r="R2" i="21"/>
  <c r="Q1" i="21"/>
  <c r="T57" i="19" l="1"/>
  <c r="U58" i="19"/>
  <c r="U27" i="19"/>
  <c r="T26" i="19"/>
  <c r="R115" i="21"/>
  <c r="Q114" i="21"/>
  <c r="T2" i="23"/>
  <c r="S48" i="23"/>
  <c r="S1" i="22"/>
  <c r="T2" i="22"/>
  <c r="P18" i="25"/>
  <c r="O17" i="25"/>
  <c r="S2" i="21"/>
  <c r="R1" i="21"/>
  <c r="R47" i="23"/>
  <c r="S1" i="23"/>
  <c r="S77" i="21"/>
  <c r="R76" i="21"/>
  <c r="O2" i="25"/>
  <c r="P3" i="25"/>
  <c r="R39" i="21"/>
  <c r="Q38" i="21"/>
  <c r="P17" i="25" l="1"/>
  <c r="Q18" i="25"/>
  <c r="S47" i="23"/>
  <c r="T1" i="23"/>
  <c r="T48" i="23"/>
  <c r="U2" i="23"/>
  <c r="S39" i="21"/>
  <c r="R38" i="21"/>
  <c r="T2" i="21"/>
  <c r="S1" i="21"/>
  <c r="S115" i="21"/>
  <c r="R114" i="21"/>
  <c r="Q3" i="25"/>
  <c r="P2" i="25"/>
  <c r="V27" i="19"/>
  <c r="U26" i="19"/>
  <c r="F46" i="22"/>
  <c r="T1" i="22"/>
  <c r="U57" i="19"/>
  <c r="V58" i="19"/>
  <c r="T77" i="21"/>
  <c r="S76" i="21"/>
  <c r="V2" i="23" l="1"/>
  <c r="U48" i="23"/>
  <c r="T115" i="21"/>
  <c r="S114" i="21"/>
  <c r="V26" i="19"/>
  <c r="H38" i="19"/>
  <c r="Q2" i="25"/>
  <c r="R3" i="25"/>
  <c r="Q17" i="25"/>
  <c r="R18" i="25"/>
  <c r="T39" i="21"/>
  <c r="S38" i="21"/>
  <c r="U77" i="21"/>
  <c r="T76" i="21"/>
  <c r="H69" i="19"/>
  <c r="V57" i="19"/>
  <c r="T47" i="23"/>
  <c r="U1" i="23"/>
  <c r="G46" i="22"/>
  <c r="F45" i="22"/>
  <c r="U2" i="21"/>
  <c r="T1" i="21"/>
  <c r="I38" i="19" l="1"/>
  <c r="H37" i="19"/>
  <c r="H46" i="22"/>
  <c r="G45" i="22"/>
  <c r="U115" i="21"/>
  <c r="T114" i="21"/>
  <c r="S3" i="25"/>
  <c r="R2" i="25"/>
  <c r="V2" i="21"/>
  <c r="U1" i="21"/>
  <c r="U39" i="21"/>
  <c r="T38" i="21"/>
  <c r="U47" i="23"/>
  <c r="V1" i="23"/>
  <c r="S18" i="25"/>
  <c r="R17" i="25"/>
  <c r="I69" i="19"/>
  <c r="H68" i="19"/>
  <c r="V77" i="21"/>
  <c r="U76" i="21"/>
  <c r="V48" i="23"/>
  <c r="W2" i="23"/>
  <c r="V47" i="23" l="1"/>
  <c r="W1" i="23"/>
  <c r="V115" i="21"/>
  <c r="U114" i="21"/>
  <c r="W48" i="23"/>
  <c r="X2" i="23"/>
  <c r="W77" i="21"/>
  <c r="V76" i="21"/>
  <c r="V39" i="21"/>
  <c r="U38" i="21"/>
  <c r="I46" i="22"/>
  <c r="H45" i="22"/>
  <c r="T3" i="25"/>
  <c r="S2" i="25"/>
  <c r="T18" i="25"/>
  <c r="S17" i="25"/>
  <c r="J69" i="19"/>
  <c r="I68" i="19"/>
  <c r="W2" i="21"/>
  <c r="V1" i="21"/>
  <c r="J38" i="19"/>
  <c r="I37" i="19"/>
  <c r="U3" i="25" l="1"/>
  <c r="T2" i="25"/>
  <c r="U18" i="25"/>
  <c r="T17" i="25"/>
  <c r="Y2" i="23"/>
  <c r="X48" i="23"/>
  <c r="J46" i="22"/>
  <c r="I45" i="22"/>
  <c r="W115" i="21"/>
  <c r="V114" i="21"/>
  <c r="W47" i="23"/>
  <c r="X1" i="23"/>
  <c r="X77" i="21"/>
  <c r="W76" i="21"/>
  <c r="K38" i="19"/>
  <c r="J37" i="19"/>
  <c r="X2" i="21"/>
  <c r="W1" i="21"/>
  <c r="K69" i="19"/>
  <c r="J68" i="19"/>
  <c r="W39" i="21"/>
  <c r="V38" i="21"/>
  <c r="J45" i="22" l="1"/>
  <c r="K46" i="22"/>
  <c r="L69" i="19"/>
  <c r="K68" i="19"/>
  <c r="X47" i="23"/>
  <c r="Y1" i="23"/>
  <c r="L38" i="19"/>
  <c r="K37" i="19"/>
  <c r="W38" i="21"/>
  <c r="X39" i="21"/>
  <c r="Y77" i="21"/>
  <c r="X76" i="21"/>
  <c r="Y48" i="23"/>
  <c r="Z2" i="23"/>
  <c r="V18" i="25"/>
  <c r="U17" i="25"/>
  <c r="Y2" i="21"/>
  <c r="X1" i="21"/>
  <c r="X115" i="21"/>
  <c r="W114" i="21"/>
  <c r="V3" i="25"/>
  <c r="U2" i="25"/>
  <c r="Z48" i="23" l="1"/>
  <c r="AA2" i="23"/>
  <c r="V17" i="25"/>
  <c r="W18" i="25"/>
  <c r="Y47" i="23"/>
  <c r="Z1" i="23"/>
  <c r="Y39" i="21"/>
  <c r="X38" i="21"/>
  <c r="M38" i="19"/>
  <c r="L37" i="19"/>
  <c r="V2" i="25"/>
  <c r="W3" i="25"/>
  <c r="Y115" i="21"/>
  <c r="X114" i="21"/>
  <c r="Z77" i="21"/>
  <c r="Y76" i="21"/>
  <c r="L68" i="19"/>
  <c r="M69" i="19"/>
  <c r="K45" i="22"/>
  <c r="L46" i="22"/>
  <c r="Z2" i="21"/>
  <c r="Y1" i="21"/>
  <c r="Y38" i="21" l="1"/>
  <c r="Z39" i="21"/>
  <c r="AA2" i="21"/>
  <c r="Z1" i="21"/>
  <c r="AA48" i="23"/>
  <c r="AB2" i="23"/>
  <c r="AA77" i="21"/>
  <c r="Z76" i="21"/>
  <c r="Z47" i="23"/>
  <c r="AA1" i="23"/>
  <c r="Z115" i="21"/>
  <c r="Y114" i="21"/>
  <c r="M46" i="22"/>
  <c r="L45" i="22"/>
  <c r="W2" i="25"/>
  <c r="X3" i="25"/>
  <c r="X18" i="25"/>
  <c r="W17" i="25"/>
  <c r="N69" i="19"/>
  <c r="M68" i="19"/>
  <c r="N38" i="19"/>
  <c r="M37" i="19"/>
  <c r="Y3" i="25" l="1"/>
  <c r="X2" i="25"/>
  <c r="N68" i="19"/>
  <c r="O69" i="19"/>
  <c r="AA115" i="21"/>
  <c r="Z114" i="21"/>
  <c r="AB2" i="21"/>
  <c r="AA1" i="21"/>
  <c r="AA76" i="21"/>
  <c r="AB77" i="21"/>
  <c r="O38" i="19"/>
  <c r="N37" i="19"/>
  <c r="AA47" i="23"/>
  <c r="AB1" i="23"/>
  <c r="AA39" i="21"/>
  <c r="Z38" i="21"/>
  <c r="AB48" i="23"/>
  <c r="AC2" i="23"/>
  <c r="N46" i="22"/>
  <c r="M45" i="22"/>
  <c r="X17" i="25"/>
  <c r="Y18" i="25"/>
  <c r="Y17" i="25" l="1"/>
  <c r="Z18" i="25"/>
  <c r="AB115" i="21"/>
  <c r="AA114" i="21"/>
  <c r="AB39" i="21"/>
  <c r="AA38" i="21"/>
  <c r="P69" i="19"/>
  <c r="O68" i="19"/>
  <c r="O37" i="19"/>
  <c r="P38" i="19"/>
  <c r="AC2" i="21"/>
  <c r="AB1" i="21"/>
  <c r="AB47" i="23"/>
  <c r="AC1" i="23"/>
  <c r="AD2" i="23"/>
  <c r="AC48" i="23"/>
  <c r="O46" i="22"/>
  <c r="N45" i="22"/>
  <c r="AC77" i="21"/>
  <c r="AB76" i="21"/>
  <c r="Y2" i="25"/>
  <c r="Z3" i="25"/>
  <c r="AC39" i="21" l="1"/>
  <c r="AB38" i="21"/>
  <c r="AD48" i="23"/>
  <c r="AE2" i="23"/>
  <c r="Z2" i="25"/>
  <c r="AA3" i="25"/>
  <c r="AC115" i="21"/>
  <c r="AB114" i="21"/>
  <c r="AC47" i="23"/>
  <c r="AD1" i="23"/>
  <c r="AD77" i="21"/>
  <c r="AC76" i="21"/>
  <c r="P37" i="19"/>
  <c r="Q38" i="19"/>
  <c r="Z17" i="25"/>
  <c r="AA18" i="25"/>
  <c r="Q69" i="19"/>
  <c r="P68" i="19"/>
  <c r="AD2" i="21"/>
  <c r="AC1" i="21"/>
  <c r="P46" i="22"/>
  <c r="O45" i="22"/>
  <c r="AB3" i="25" l="1"/>
  <c r="AA2" i="25"/>
  <c r="AB18" i="25"/>
  <c r="AA17" i="25"/>
  <c r="AD76" i="21"/>
  <c r="AE77" i="21"/>
  <c r="AE48" i="23"/>
  <c r="AF2" i="23"/>
  <c r="AD115" i="21"/>
  <c r="AC114" i="21"/>
  <c r="R38" i="19"/>
  <c r="Q37" i="19"/>
  <c r="Q46" i="22"/>
  <c r="P45" i="22"/>
  <c r="AE2" i="21"/>
  <c r="AD1" i="21"/>
  <c r="AD47" i="23"/>
  <c r="AE1" i="23"/>
  <c r="R69" i="19"/>
  <c r="Q68" i="19"/>
  <c r="AC38" i="21"/>
  <c r="AD39" i="21"/>
  <c r="AE39" i="21" l="1"/>
  <c r="AD38" i="21"/>
  <c r="S69" i="19"/>
  <c r="R68" i="19"/>
  <c r="AC18" i="25"/>
  <c r="AB17" i="25"/>
  <c r="AG2" i="23"/>
  <c r="AF48" i="23"/>
  <c r="AF2" i="21"/>
  <c r="AE1" i="21"/>
  <c r="AF77" i="21"/>
  <c r="AE76" i="21"/>
  <c r="R46" i="22"/>
  <c r="Q45" i="22"/>
  <c r="S38" i="19"/>
  <c r="R37" i="19"/>
  <c r="AE47" i="23"/>
  <c r="AF1" i="23"/>
  <c r="AE115" i="21"/>
  <c r="AD114" i="21"/>
  <c r="AC3" i="25"/>
  <c r="AB2" i="25"/>
  <c r="AF39" i="21" l="1"/>
  <c r="AE38" i="21"/>
  <c r="AG48" i="23"/>
  <c r="AH2" i="23"/>
  <c r="R45" i="22"/>
  <c r="S46" i="22"/>
  <c r="AG77" i="21"/>
  <c r="AF76" i="21"/>
  <c r="T69" i="19"/>
  <c r="S68" i="19"/>
  <c r="AG2" i="21"/>
  <c r="AF1" i="21"/>
  <c r="T38" i="19"/>
  <c r="S37" i="19"/>
  <c r="AD3" i="25"/>
  <c r="AC2" i="25"/>
  <c r="AD18" i="25"/>
  <c r="AC17" i="25"/>
  <c r="AF115" i="21"/>
  <c r="AE114" i="21"/>
  <c r="AF47" i="23"/>
  <c r="AG1" i="23"/>
  <c r="AG47" i="23" l="1"/>
  <c r="AH1" i="23"/>
  <c r="T46" i="22"/>
  <c r="S45" i="22"/>
  <c r="AH48" i="23"/>
  <c r="AI2" i="23"/>
  <c r="AE3" i="25"/>
  <c r="AD2" i="25"/>
  <c r="U38" i="19"/>
  <c r="T37" i="19"/>
  <c r="AH77" i="21"/>
  <c r="AG76" i="21"/>
  <c r="AG115" i="21"/>
  <c r="AF114" i="21"/>
  <c r="AH2" i="21"/>
  <c r="AG1" i="21"/>
  <c r="AE18" i="25"/>
  <c r="AD17" i="25"/>
  <c r="T68" i="19"/>
  <c r="U69" i="19"/>
  <c r="AG39" i="21"/>
  <c r="AF38" i="21"/>
  <c r="AI2" i="21" l="1"/>
  <c r="AH1" i="21"/>
  <c r="AH39" i="21"/>
  <c r="AG38" i="21"/>
  <c r="V69" i="19"/>
  <c r="U68" i="19"/>
  <c r="AH76" i="21"/>
  <c r="AI77" i="21"/>
  <c r="U46" i="22"/>
  <c r="U45" i="22" s="1"/>
  <c r="T45" i="22"/>
  <c r="AE2" i="25"/>
  <c r="AF3" i="25"/>
  <c r="AI48" i="23"/>
  <c r="AJ2" i="23"/>
  <c r="AH115" i="21"/>
  <c r="AG114" i="21"/>
  <c r="AH47" i="23"/>
  <c r="AI1" i="23"/>
  <c r="AF18" i="25"/>
  <c r="AE17" i="25"/>
  <c r="V38" i="19"/>
  <c r="U37" i="19"/>
  <c r="AG3" i="25" l="1"/>
  <c r="AG2" i="25" s="1"/>
  <c r="AF2" i="25"/>
  <c r="W38" i="19"/>
  <c r="W37" i="19" s="1"/>
  <c r="V37" i="19"/>
  <c r="AI115" i="21"/>
  <c r="AH114" i="21"/>
  <c r="AJ48" i="23"/>
  <c r="AK2" i="23"/>
  <c r="AF17" i="25"/>
  <c r="AG18" i="25"/>
  <c r="AG17" i="25" s="1"/>
  <c r="AI76" i="21"/>
  <c r="AJ77" i="21"/>
  <c r="AJ76" i="21" s="1"/>
  <c r="W69" i="19"/>
  <c r="W68" i="19" s="1"/>
  <c r="V68" i="19"/>
  <c r="AI39" i="21"/>
  <c r="AH38" i="21"/>
  <c r="AI47" i="23"/>
  <c r="AJ1" i="23"/>
  <c r="AJ2" i="21"/>
  <c r="AJ1" i="21" s="1"/>
  <c r="AI1" i="21"/>
  <c r="AJ39" i="21" l="1"/>
  <c r="AJ38" i="21" s="1"/>
  <c r="AI38" i="21"/>
  <c r="AJ115" i="21"/>
  <c r="AJ114" i="21" s="1"/>
  <c r="AI114" i="21"/>
  <c r="AL2" i="23"/>
  <c r="AL48" i="23" s="1"/>
  <c r="AK48" i="23"/>
  <c r="AJ47" i="23"/>
  <c r="AK1" i="23"/>
  <c r="AK47" i="23" l="1"/>
  <c r="AL1" i="23"/>
  <c r="AL47" i="23" s="1"/>
  <c r="B181" i="26"/>
  <c r="AJ173" i="26"/>
  <c r="B180" i="26"/>
  <c r="AI173" i="26"/>
  <c r="K35" i="12"/>
  <c r="K35" i="13"/>
  <c r="B201" i="26"/>
  <c r="AJ193" i="26"/>
  <c r="B200" i="26"/>
  <c r="AI193" i="26"/>
  <c r="L9" i="12"/>
  <c r="L32" i="12"/>
  <c r="AI163" i="26"/>
  <c r="L9" i="13"/>
  <c r="L10" i="12"/>
  <c r="L32" i="13"/>
  <c r="L34" i="13"/>
  <c r="B171" i="26"/>
  <c r="L33" i="13"/>
  <c r="L10" i="13"/>
  <c r="L33" i="12"/>
  <c r="AJ163" i="26"/>
  <c r="B170" i="26"/>
  <c r="L34" i="12"/>
  <c r="AI183" i="26"/>
  <c r="AJ183" i="26"/>
  <c r="B190" i="26"/>
  <c r="B191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8" authorId="0" shapeId="0" xr:uid="{00000000-0006-0000-0D00-000002000000}">
      <text>
        <r>
          <rPr>
            <sz val="10"/>
            <color rgb="FF000000"/>
            <rFont val="Arial"/>
            <scheme val="minor"/>
          </rPr>
          <t>se a escala é par ou impar</t>
        </r>
      </text>
    </comment>
    <comment ref="X8" authorId="0" shapeId="0" xr:uid="{00000000-0006-0000-0D00-000001000000}">
      <text>
        <r>
          <rPr>
            <sz val="10"/>
            <color rgb="FF000000"/>
            <rFont val="Arial"/>
            <scheme val="minor"/>
          </rPr>
          <t>situaçõ do feriado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tc={b4367c59-c27d-4621-899d-6263025d9f7a}</author>
    <author/>
    <author>tc={6f0b07b0-d9ef-425f-88b2-a6bcd5d126ca}</author>
    <author>tc={7cf1aa61-bd49-428c-9d15-833c17733fba}</author>
    <author>tc={127f6cff-46a6-4864-b025-e0acc4187da3}</author>
    <author>tc={604f630c-78c9-4abc-ae41-fdaea3c3bdf0}</author>
    <author>tc={79b85aa9-91c8-4cdd-b8e6-0d3a6217cc45}</author>
    <author>tc={88865812-c25a-447e-836d-538e551ebb3f}</author>
    <author>tc={cf0b73bb-6da0-46b8-9a6d-434facf4fa33}</author>
    <author>tc={38a66f7f-61ab-42fc-9e5b-6f60c4415c62}</author>
    <author>tc={51782a21-4f72-4911-b44c-fe85b57d3c02}</author>
    <author>tc={90fb7f33-838a-45a5-aeca-0ecf932f2122}</author>
    <author>tc={ae0906c3-abca-408e-a722-28b024a9dea1}</author>
    <author>tc={da599be6-5d07-4f83-824b-78207eff218e}</author>
    <author>tc={f91fdaaf-d0ce-473d-a4bb-4f801ed05fb6}</author>
    <author>tc={5fba38b2-2a2c-497f-8aba-bbe0a1e617b9}</author>
    <author>tc={1d214238-6795-4d8f-a6bc-e4d499030221}</author>
    <author>tc={77ace735-3181-459d-bd76-02e5c82d6ab2}</author>
    <author>tc={ec3cac96-082d-4b2d-abb6-c0d084dd8700}</author>
    <author>tc={4cbd97f3-7700-4200-8c58-cab3020032dc}</author>
    <author>tc={4a8f1272-2115-4027-b390-94864fe96e9b}</author>
    <author>tc={64fd605e-bd7e-4f8b-b0b0-46bf0c8942f3}</author>
    <author>tc={abcc3f2f-0ee4-4e28-b452-a17ac27174b3}</author>
    <author>tc={b8752ce5-1b11-4918-9ab0-7ed3bb3cc768}</author>
    <author>tc={b4f526c0-51ce-42d3-b763-6b6b4e79552f}</author>
    <author>tc={ef8db592-02b1-4687-8de3-1cc3a9e06051}</author>
    <author>tc={ebed371c-aad5-4bca-bcc7-40930ae10d40}</author>
  </authors>
  <commentList>
    <comment ref="G8" authorId="0" shapeId="0" xr:uid="{B4367C59-C27D-4621-899D-6263025D9F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Vania Schimel</t>
      </text>
    </comment>
    <comment ref="J8" authorId="1" shapeId="0" xr:uid="{00000000-0006-0000-1A00-000001000000}">
      <text>
        <r>
          <rPr>
            <sz val="10"/>
            <color rgb="FF000000"/>
            <rFont val="Arial"/>
            <scheme val="minor"/>
          </rPr>
          <t xml:space="preserve">compensação do CONDOMINIO
</t>
        </r>
      </text>
    </comment>
    <comment ref="N9" authorId="2" shapeId="0" xr:uid="{6F0B07B0-D9EF-425F-88B2-A6BCD5D126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Gabriela Arruda - Faltou
Tatiana - Faltou</t>
      </text>
    </comment>
    <comment ref="W9" authorId="1" shapeId="0" xr:uid="{00000000-0006-0000-1A00-000004000000}">
      <text>
        <r>
          <rPr>
            <sz val="10"/>
            <color rgb="FF000000"/>
            <rFont val="Arial"/>
            <scheme val="minor"/>
          </rPr>
          <t xml:space="preserve">compensação do CONDOMINIO
</t>
        </r>
      </text>
    </comment>
    <comment ref="N10" authorId="3" shapeId="0" xr:uid="{7CF1AA61-BD49-428C-9D15-833C17733F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Michele - Faltou
Conceição cobriu</t>
      </text>
    </comment>
    <comment ref="Q10" authorId="1" shapeId="0" xr:uid="{00000000-0006-0000-1A00-000002000000}">
      <text>
        <r>
          <rPr>
            <sz val="10"/>
            <color rgb="FF000000"/>
            <rFont val="Arial"/>
            <scheme val="minor"/>
          </rPr>
          <t xml:space="preserve">compensação do CONDOMINIO
</t>
        </r>
      </text>
    </comment>
    <comment ref="G11" authorId="4" shapeId="0" xr:uid="{127F6CFF-46A6-4864-B025-E0ACC4187D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Michele</t>
      </text>
    </comment>
    <comment ref="K11" authorId="5" shapeId="0" xr:uid="{604F630C-78C9-4ABC-AE41-FDAEA3C3BD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Atestado - Imaculada cobriu</t>
      </text>
    </comment>
    <comment ref="M11" authorId="6" shapeId="0" xr:uid="{79B85AA9-91C8-4CDD-B8E6-0D3A6217CC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 - Imaculada cobriu</t>
      </text>
    </comment>
    <comment ref="N11" authorId="7" shapeId="0" xr:uid="{88865812-C25A-447E-836D-538E551EBB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 - Mirelle cobriu</t>
      </text>
    </comment>
    <comment ref="O11" authorId="8" shapeId="0" xr:uid="{CF0B73BB-6DA0-46B8-9A6D-434FACF4FA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 - Mirelle cobriu</t>
      </text>
    </comment>
    <comment ref="P11" authorId="9" shapeId="0" xr:uid="{38A66F7F-61AB-42FC-9E5B-6F60C4415C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Atestado - Conceição vai cobrir</t>
      </text>
    </comment>
    <comment ref="Q11" authorId="10" shapeId="0" xr:uid="{51782A21-4F72-4911-B44C-FE85B57D3C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Atestado - Conceição vai cobrir</t>
      </text>
    </comment>
    <comment ref="U11" authorId="1" shapeId="0" xr:uid="{00000000-0006-0000-1A00-000003000000}">
      <text>
        <r>
          <rPr>
            <sz val="10"/>
            <color rgb="FF000000"/>
            <rFont val="Arial"/>
            <scheme val="minor"/>
          </rPr>
          <t xml:space="preserve">compensação do CONDOMINIO
</t>
        </r>
      </text>
    </comment>
    <comment ref="X14" authorId="11" shapeId="0" xr:uid="{90FB7F33-838A-45A5-AECA-0ECF932F21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</t>
      </text>
    </comment>
    <comment ref="N20" authorId="12" shapeId="0" xr:uid="{AE0906C3-ABCA-408E-A722-28B024A9DE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Raquel Samuel</t>
      </text>
    </comment>
    <comment ref="G21" authorId="13" shapeId="0" xr:uid="{DA599BE6-5D07-4F83-824B-78207EFF21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HANNA - Faltou 
Imaculada cobriu</t>
      </text>
    </comment>
    <comment ref="M22" authorId="14" shapeId="0" xr:uid="{F91FDAAF-D0CE-473D-A4BB-4F801ED05F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Vania Schimel faltou - Monica Cobriu</t>
      </text>
    </comment>
    <comment ref="H30" authorId="15" shapeId="0" xr:uid="{5FBA38B2-2A2C-497F-8ABA-BBE0A1E617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</t>
      </text>
    </comment>
    <comment ref="M32" authorId="16" shapeId="0" xr:uid="{1D214238-6795-4D8F-A6BC-E4D4990302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 - Jose Jorge Cobriu</t>
      </text>
    </comment>
    <comment ref="N32" authorId="17" shapeId="0" xr:uid="{77ACE735-3181-459D-BD76-02E5C82D6A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 - Thais vai cobrir</t>
      </text>
    </comment>
    <comment ref="H35" authorId="18" shapeId="0" xr:uid="{EC3CAC96-082D-4B2D-ABB6-C0D084DD87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</t>
      </text>
    </comment>
    <comment ref="H36" authorId="19" shapeId="0" xr:uid="{4CBD97F3-7700-4200-8C58-CAB3020032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</t>
      </text>
    </comment>
    <comment ref="H37" authorId="20" shapeId="0" xr:uid="{4A8F1272-2115-4027-B390-94864FE96E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</t>
      </text>
    </comment>
    <comment ref="J48" authorId="21" shapeId="0" xr:uid="{64FD605E-BD7E-4F8B-B0B0-46BF0C8942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Atestado</t>
      </text>
    </comment>
    <comment ref="N55" authorId="22" shapeId="0" xr:uid="{ABCC3F2F-0EE4-4E28-B452-A17AC27174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 - Monica vai fazer dia 03</t>
      </text>
    </comment>
    <comment ref="Q55" authorId="23" shapeId="0" xr:uid="{B8752CE5-1B11-4918-9AB0-7ED3BB3CC7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Compensando falta no dia 31/12</t>
      </text>
    </comment>
    <comment ref="M60" authorId="24" shapeId="0" xr:uid="{B4F526C0-51CE-42D3-B763-6B6B4E7955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LIMPEZA FOI REMANEJADA</t>
      </text>
    </comment>
    <comment ref="K75" authorId="25" shapeId="0" xr:uid="{EF8DB592-02B1-4687-8DE3-1CC3A9E060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Rodrigo vai treinar junto de 07:00 ás 12:00</t>
      </text>
    </comment>
    <comment ref="M76" authorId="26" shapeId="0" xr:uid="{EBED371C-AAD5-4BCA-BCC7-40930AE10D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Vanderlei passou mal - Jorge Amorim cobriu</t>
      </text>
    </comment>
  </commentList>
</comments>
</file>

<file path=xl/sharedStrings.xml><?xml version="1.0" encoding="utf-8"?>
<sst xmlns="http://schemas.openxmlformats.org/spreadsheetml/2006/main" count="16356" uniqueCount="3012">
  <si>
    <t>ADRIANA DE JESUS BRITO</t>
  </si>
  <si>
    <t>10167303732</t>
  </si>
  <si>
    <t>Mensalista</t>
  </si>
  <si>
    <t>Limpador</t>
  </si>
  <si>
    <t>FC0277</t>
  </si>
  <si>
    <t>01016730/03732 - RJ</t>
  </si>
  <si>
    <t>FÉRIAS</t>
  </si>
  <si>
    <t>N/A</t>
  </si>
  <si>
    <t>RUA MANOEL LUIZ FERREIRA</t>
  </si>
  <si>
    <t>PORTEIRO</t>
  </si>
  <si>
    <t>DIURNO</t>
  </si>
  <si>
    <t>A  - 12 por 36</t>
  </si>
  <si>
    <t>0</t>
  </si>
  <si>
    <t>UNICO</t>
  </si>
  <si>
    <t>CARANGOLA</t>
  </si>
  <si>
    <t>25715-300</t>
  </si>
  <si>
    <t>RJ</t>
  </si>
  <si>
    <t>ANDERSON FARIAS FERREIRA</t>
  </si>
  <si>
    <t>07921684700</t>
  </si>
  <si>
    <t>FC0260</t>
  </si>
  <si>
    <t>Quitandinha</t>
  </si>
  <si>
    <t>Cesta Gd</t>
  </si>
  <si>
    <t>COB ESCALA</t>
  </si>
  <si>
    <t>Bernardo</t>
  </si>
  <si>
    <t>AVENIDA AMARAL PEIXOTO</t>
  </si>
  <si>
    <t>895</t>
  </si>
  <si>
    <t>QUITANDINHA</t>
  </si>
  <si>
    <t>25651-010</t>
  </si>
  <si>
    <t>LIMPADOR</t>
  </si>
  <si>
    <t>ELAZIR DE SOUZA LUIZ DA SILVA</t>
  </si>
  <si>
    <t>B - 44 horas</t>
  </si>
  <si>
    <t>81513763768</t>
  </si>
  <si>
    <t>Horista</t>
  </si>
  <si>
    <t>AG1416</t>
  </si>
  <si>
    <t>08151376/03768 - RJ</t>
  </si>
  <si>
    <t>Alto da Serra</t>
  </si>
  <si>
    <t>08:20 às 16:40</t>
  </si>
  <si>
    <t>FOLGA</t>
  </si>
  <si>
    <t xml:space="preserve">RUA PEDRO IVO </t>
  </si>
  <si>
    <t>S/N</t>
  </si>
  <si>
    <t>MORIN</t>
  </si>
  <si>
    <t>25630-480</t>
  </si>
  <si>
    <t>GILCINEIA PACHECO DA PENHA DO NASCIMENTO</t>
  </si>
  <si>
    <t>ESCALA PAR</t>
  </si>
  <si>
    <t>ESCALA IMPAR</t>
  </si>
  <si>
    <t>12935946790</t>
  </si>
  <si>
    <t>30:00 hs</t>
  </si>
  <si>
    <t>FC0140</t>
  </si>
  <si>
    <t>Nova Friburgo</t>
  </si>
  <si>
    <t>-</t>
  </si>
  <si>
    <t>C - menos de 44h</t>
  </si>
  <si>
    <t>RUA RUFINO SIQUEIRA, 49</t>
  </si>
  <si>
    <t>49</t>
  </si>
  <si>
    <t>PARQUE DAS FLORES</t>
  </si>
  <si>
    <t>28635-500</t>
  </si>
  <si>
    <t>.06</t>
  </si>
  <si>
    <t>IMACULADA CONCEICAO DE OLIVEIRA</t>
  </si>
  <si>
    <t>70946949620</t>
  </si>
  <si>
    <t>Roteiro ou Contagem</t>
  </si>
  <si>
    <t>24:00 hs</t>
  </si>
  <si>
    <t>SEM COBERT</t>
  </si>
  <si>
    <t>FC0148</t>
  </si>
  <si>
    <t>07094694/09620 - RJ</t>
  </si>
  <si>
    <t>Seg, Qua e Sex - 08:00 às 12:00 - Intervalo: N/A - Pausa: N/A - Folga: N/A</t>
  </si>
  <si>
    <t>08:00 às 12:00</t>
  </si>
  <si>
    <t>8:00 às 12:00</t>
  </si>
  <si>
    <t>ESTRADA VELHA DA ESTRELA</t>
  </si>
  <si>
    <t>3830</t>
  </si>
  <si>
    <t>ALTO DA SERRA</t>
  </si>
  <si>
    <t>25635-114</t>
  </si>
  <si>
    <t>JORGE DA SILVA AMORIM</t>
  </si>
  <si>
    <t>00673403777</t>
  </si>
  <si>
    <t>Portaria</t>
  </si>
  <si>
    <t>AG1399</t>
  </si>
  <si>
    <t>00067340/03777 - RJ</t>
  </si>
  <si>
    <t>z</t>
  </si>
  <si>
    <t>Coloque dados na planilha de disponibilidade</t>
  </si>
  <si>
    <t>SERVIDÃO NELSON BARBOSA</t>
  </si>
  <si>
    <t>76</t>
  </si>
  <si>
    <t>TAQUARA</t>
  </si>
  <si>
    <t>25645-250</t>
  </si>
  <si>
    <t>KEVIN ALBERTO NEVES LOBO</t>
  </si>
  <si>
    <t>21101815752</t>
  </si>
  <si>
    <t>20:00 HS</t>
  </si>
  <si>
    <t>FC0248</t>
  </si>
  <si>
    <t>02110181/05752 - RJ</t>
  </si>
  <si>
    <t>RUA FELIPE CAMARAO</t>
  </si>
  <si>
    <t>310</t>
  </si>
  <si>
    <t>RETIRO</t>
  </si>
  <si>
    <t>25680-995</t>
  </si>
  <si>
    <t>LIZANDRA MARIA TOMAZ</t>
  </si>
  <si>
    <t>15725027708</t>
  </si>
  <si>
    <t>AG037</t>
  </si>
  <si>
    <t>MANUTENCIONISTA</t>
  </si>
  <si>
    <t>FC0234</t>
  </si>
  <si>
    <t>RUA OCACIR MEDEIROS</t>
  </si>
  <si>
    <t>25</t>
  </si>
  <si>
    <t>LIBERDADE</t>
  </si>
  <si>
    <t>25850-000</t>
  </si>
  <si>
    <t>LUIS ANDRE DE AMORIM</t>
  </si>
  <si>
    <t>00672652781</t>
  </si>
  <si>
    <t>FC0166</t>
  </si>
  <si>
    <t>Seg à Sex - 08:30 às 17:00 / Sáb - 08:30 às 16:00 - Intervalo: 12h - 13h - Pausa: N/A - Folga: Domingos</t>
  </si>
  <si>
    <t>00067265/02781 - RJ</t>
  </si>
  <si>
    <t>08:30 às 17:00</t>
  </si>
  <si>
    <t>08:30 às 16:00</t>
  </si>
  <si>
    <t>Indique que faz a cobertura</t>
  </si>
  <si>
    <t>RUA ONOFRE DOS SANTOS</t>
  </si>
  <si>
    <t>2579</t>
  </si>
  <si>
    <t>MARCIA DE SOUZA VIEIRA CANDIDO</t>
  </si>
  <si>
    <t>03278461789</t>
  </si>
  <si>
    <t>FC0112</t>
  </si>
  <si>
    <t>00327846/01789 - RJ</t>
  </si>
  <si>
    <t>Três Rios</t>
  </si>
  <si>
    <t>Movimente esse colaborador para a área de atestados</t>
  </si>
  <si>
    <t>RUA A</t>
  </si>
  <si>
    <t>191</t>
  </si>
  <si>
    <t>HABITAT</t>
  </si>
  <si>
    <t>25807-050</t>
  </si>
  <si>
    <t>AG005</t>
  </si>
  <si>
    <t>MARLENE APARECIDA RABELO</t>
  </si>
  <si>
    <t>00426122763</t>
  </si>
  <si>
    <t>FC0299</t>
  </si>
  <si>
    <t>Seg à Sex - 08:00 às 17:00 / Sáb 08:00 às 12:00 - Intervalo: 12h - 13h - Pausa: N/A - Folga: Domingos</t>
  </si>
  <si>
    <t>08:00 às 17:00</t>
  </si>
  <si>
    <t xml:space="preserve">FOLGA </t>
  </si>
  <si>
    <t>RUA BREJAU PX CASA JAPONES</t>
  </si>
  <si>
    <t>BOA UNIAO</t>
  </si>
  <si>
    <t>25950-001</t>
  </si>
  <si>
    <t>NESLANIA DE OLIVEIRA CHAGAS</t>
  </si>
  <si>
    <t>10845778790</t>
  </si>
  <si>
    <t>FC0274</t>
  </si>
  <si>
    <t>Miguel Pereira</t>
  </si>
  <si>
    <t>RUA ALBERTINA DA ROCHA VALE</t>
  </si>
  <si>
    <t xml:space="preserve">311 </t>
  </si>
  <si>
    <t>JOAO PROVENZANO</t>
  </si>
  <si>
    <t>26910-000</t>
  </si>
  <si>
    <t>ROSANA MEDAS OZORIO JOAQUIM</t>
  </si>
  <si>
    <t>12175111725</t>
  </si>
  <si>
    <t>29:00 hs</t>
  </si>
  <si>
    <t>AG1223</t>
  </si>
  <si>
    <t>12 por 36 - 07:00 às 19:00 - Intervalo: Pago aos dom. e feriados - Pausa: 16h - 16h15 - Folga: N/A</t>
  </si>
  <si>
    <t>07:00 às 19:00</t>
  </si>
  <si>
    <t>NR32</t>
  </si>
  <si>
    <t>RUA SATURNINO TEIXEIRA DA SILVA</t>
  </si>
  <si>
    <t>6</t>
  </si>
  <si>
    <t xml:space="preserve">VALVERDE </t>
  </si>
  <si>
    <t>25780-000</t>
  </si>
  <si>
    <t>ROSINETE REIS DA SILVA</t>
  </si>
  <si>
    <t>05595077719</t>
  </si>
  <si>
    <t>AG1371</t>
  </si>
  <si>
    <t>Nova Iguaçu</t>
  </si>
  <si>
    <t>RUA ITAOCA</t>
  </si>
  <si>
    <t>10</t>
  </si>
  <si>
    <t>PARQUE SÃO CARLOS</t>
  </si>
  <si>
    <t>25051-670</t>
  </si>
  <si>
    <t>SANDRA HELENA GABY DA FONSECA</t>
  </si>
  <si>
    <t>NOTURNO</t>
  </si>
  <si>
    <t>04509504764</t>
  </si>
  <si>
    <t>20:00 hs</t>
  </si>
  <si>
    <t>FC0287</t>
  </si>
  <si>
    <t>00450950/04764 - RJ</t>
  </si>
  <si>
    <t>12 por 36 - 19:00 às 07:00 - Intervalo: Pago todos as noites - Pausa: 04h - 04h15 - Folga: N/A</t>
  </si>
  <si>
    <t>19:00 às 07:00</t>
  </si>
  <si>
    <t>RUA PARAIBA</t>
  </si>
  <si>
    <t>OLARIA</t>
  </si>
  <si>
    <t>28610-000</t>
  </si>
  <si>
    <t>SILVANA HELENA MONTES</t>
  </si>
  <si>
    <t>01961253755</t>
  </si>
  <si>
    <t>AG1414</t>
  </si>
  <si>
    <t>00196125/03755 - RJ</t>
  </si>
  <si>
    <t>Centro</t>
  </si>
  <si>
    <t>RUA WALDEMAR FERREIRA DA SILVA</t>
  </si>
  <si>
    <t>8</t>
  </si>
  <si>
    <t>CAXAMBU</t>
  </si>
  <si>
    <t>25615-024</t>
  </si>
  <si>
    <t>STEFANI NEPOMUCENO OLIVEIRA</t>
  </si>
  <si>
    <t>16507140767</t>
  </si>
  <si>
    <t>FC0314</t>
  </si>
  <si>
    <t>01650714/00767 - RJ</t>
  </si>
  <si>
    <t>Retire esse colaborador da planilha de disponibilidade</t>
  </si>
  <si>
    <t>RUA BRASILIA</t>
  </si>
  <si>
    <t>385</t>
  </si>
  <si>
    <t>SANTA CECILIA</t>
  </si>
  <si>
    <t>TALITA NEVES DOS SANTOS DA SILVA</t>
  </si>
  <si>
    <t>06476773771</t>
  </si>
  <si>
    <t>FC0258</t>
  </si>
  <si>
    <t>00647677/03771 - RJ</t>
  </si>
  <si>
    <t>RUA VASSOURAS</t>
  </si>
  <si>
    <t>24</t>
  </si>
  <si>
    <t>25650-500</t>
  </si>
  <si>
    <t>TATIANA LOURENCO EDUARDO DE PAULA</t>
  </si>
  <si>
    <t>13412228702</t>
  </si>
  <si>
    <t>08:00 hs</t>
  </si>
  <si>
    <t>FC0298</t>
  </si>
  <si>
    <t>01341222/08702 - RJ</t>
  </si>
  <si>
    <t>R01</t>
  </si>
  <si>
    <t>.01</t>
  </si>
  <si>
    <t>RUA M</t>
  </si>
  <si>
    <t>45</t>
  </si>
  <si>
    <t>CANTAGALO</t>
  </si>
  <si>
    <t>28500-000</t>
  </si>
  <si>
    <t>WILLIAM COSTA DA SILVA</t>
  </si>
  <si>
    <t>13966675714</t>
  </si>
  <si>
    <t>31:20 hs</t>
  </si>
  <si>
    <t>FC0050</t>
  </si>
  <si>
    <t>Araras</t>
  </si>
  <si>
    <t>R02</t>
  </si>
  <si>
    <t>.02</t>
  </si>
  <si>
    <t>VILA ANTONIO DOS SANTOS</t>
  </si>
  <si>
    <t>1022</t>
  </si>
  <si>
    <t xml:space="preserve">ESTRADA DA SUADADE </t>
  </si>
  <si>
    <t>25610-430</t>
  </si>
  <si>
    <t>ANDREA SOUZA DOS SANTOS</t>
  </si>
  <si>
    <t>90138643768</t>
  </si>
  <si>
    <t>Intermitente</t>
  </si>
  <si>
    <t>00:00 hs</t>
  </si>
  <si>
    <t>FC0210</t>
  </si>
  <si>
    <t>09013864/03768 - RJ</t>
  </si>
  <si>
    <t>R03</t>
  </si>
  <si>
    <t>.03</t>
  </si>
  <si>
    <t>RUA ALVARO MACEDO</t>
  </si>
  <si>
    <t>84</t>
  </si>
  <si>
    <t>LUZ</t>
  </si>
  <si>
    <t>26260-555</t>
  </si>
  <si>
    <t>ANNA KLARA DE OLIVEIRA DA COSTA PINTO</t>
  </si>
  <si>
    <t>06438455776</t>
  </si>
  <si>
    <t>FC0168</t>
  </si>
  <si>
    <t>00643845/05776 - RJ</t>
  </si>
  <si>
    <t>RUA AMAPA</t>
  </si>
  <si>
    <t>28</t>
  </si>
  <si>
    <t>28620-250</t>
  </si>
  <si>
    <t>R04</t>
  </si>
  <si>
    <t>CLAUDIA REGINA VIEIRA</t>
  </si>
  <si>
    <t>.04</t>
  </si>
  <si>
    <t>10067660738</t>
  </si>
  <si>
    <t>FC0104</t>
  </si>
  <si>
    <t>4</t>
  </si>
  <si>
    <t>PARQUE SAO CARLOS</t>
  </si>
  <si>
    <t>26051-670</t>
  </si>
  <si>
    <t>FLAVIA PAULA MARIOSA HERCULANO</t>
  </si>
  <si>
    <t>12764812760</t>
  </si>
  <si>
    <t>FC0270</t>
  </si>
  <si>
    <t>01276481/02760 - RJ</t>
  </si>
  <si>
    <t>MC002</t>
  </si>
  <si>
    <t>RUA FELICIANO LIMA</t>
  </si>
  <si>
    <t>245</t>
  </si>
  <si>
    <t>PONTE DAS GARÇAS</t>
  </si>
  <si>
    <t>25821-060</t>
  </si>
  <si>
    <t>GABRIELA DOS SANTOS FREITAS</t>
  </si>
  <si>
    <t>17058647755</t>
  </si>
  <si>
    <t>Seg à Qui - 08:00 às 18:00 / Sex - 08:00 às 17:00 - Intervalo: 12h - 13h - Pausa: 17h - 17h15 - Folga: Sab e Dom</t>
  </si>
  <si>
    <t>FC0312</t>
  </si>
  <si>
    <t>01705864/07755 - RJ</t>
  </si>
  <si>
    <t>Xerem</t>
  </si>
  <si>
    <t>07:00 às 17:00</t>
  </si>
  <si>
    <t>07:00 às 16:00</t>
  </si>
  <si>
    <t>R05</t>
  </si>
  <si>
    <t>.05</t>
  </si>
  <si>
    <t>RUA D. NACY GERVASIO</t>
  </si>
  <si>
    <t>LT 31</t>
  </si>
  <si>
    <t>SANTA CRUZ DA SERRA</t>
  </si>
  <si>
    <t>25240-460</t>
  </si>
  <si>
    <t>GILSON PALHARES DE SOUZA</t>
  </si>
  <si>
    <t>09740085750</t>
  </si>
  <si>
    <t>FC0189</t>
  </si>
  <si>
    <t>R06</t>
  </si>
  <si>
    <t>VILA MARIA DA GLORIA  FERNANDES SCHMITT</t>
  </si>
  <si>
    <t>1560</t>
  </si>
  <si>
    <t>25635-500</t>
  </si>
  <si>
    <t>JAQUELINE SAMPAIO BOMFIM</t>
  </si>
  <si>
    <t>05459688795</t>
  </si>
  <si>
    <t>FC0221</t>
  </si>
  <si>
    <t>00545968/08795 - RJ</t>
  </si>
  <si>
    <t>Rio de Janeiro</t>
  </si>
  <si>
    <t>RUA JEQUITIBA BRANCO</t>
  </si>
  <si>
    <t>CAMPO GRANDE</t>
  </si>
  <si>
    <t>R07</t>
  </si>
  <si>
    <t>25042-500</t>
  </si>
  <si>
    <t>LARISSA DA SILVA HENRIQUE</t>
  </si>
  <si>
    <t>.07</t>
  </si>
  <si>
    <t>22691762785</t>
  </si>
  <si>
    <t>FC0251</t>
  </si>
  <si>
    <t>02269176/02785 - RJ</t>
  </si>
  <si>
    <t>RUA GEORGE AKZEL</t>
  </si>
  <si>
    <t>319</t>
  </si>
  <si>
    <t>AG007</t>
  </si>
  <si>
    <t>INDEPENDENCIA</t>
  </si>
  <si>
    <t>25645-312</t>
  </si>
  <si>
    <t>MARCIANA MIRANDA DA SILVA MENDONCA</t>
  </si>
  <si>
    <t>04388610780</t>
  </si>
  <si>
    <t>FC0249</t>
  </si>
  <si>
    <t>Seg à Sex - 08:00 às 16:40 / Sáb - 08:00 às 14:40 - Intervalo: 12h - 13h - Pausa: N/A - Folga: Domingos</t>
  </si>
  <si>
    <t>08:00 às 16:40</t>
  </si>
  <si>
    <t>8:00 às 14:40</t>
  </si>
  <si>
    <t>RUA CONQUISTA</t>
  </si>
  <si>
    <t>CAMPO DO COELHO</t>
  </si>
  <si>
    <t>28605-270</t>
  </si>
  <si>
    <t>RODRIGO DE SOUZA BARROSO</t>
  </si>
  <si>
    <t>14452094708</t>
  </si>
  <si>
    <t>FC0127</t>
  </si>
  <si>
    <t>01445209/04708 - RJ</t>
  </si>
  <si>
    <t>R08</t>
  </si>
  <si>
    <t>.08</t>
  </si>
  <si>
    <t>RUA GEORGE LAND</t>
  </si>
  <si>
    <t>85</t>
  </si>
  <si>
    <t>QUISSAMA</t>
  </si>
  <si>
    <t>25615-112</t>
  </si>
  <si>
    <t>SERGIO LUIS SOARES</t>
  </si>
  <si>
    <t>00672465752</t>
  </si>
  <si>
    <t>R09</t>
  </si>
  <si>
    <t>.09</t>
  </si>
  <si>
    <t>Aux. Jardineiro</t>
  </si>
  <si>
    <t>FC0217</t>
  </si>
  <si>
    <t>00067246/05752 - RJ</t>
  </si>
  <si>
    <t>RUA NOSSA SENHORA DAS GRAÇAS</t>
  </si>
  <si>
    <t>19</t>
  </si>
  <si>
    <t>MOSELA</t>
  </si>
  <si>
    <t>25675-111</t>
  </si>
  <si>
    <t>SORAYA D EÇA CAMPOS</t>
  </si>
  <si>
    <t>04409879707</t>
  </si>
  <si>
    <t>R10</t>
  </si>
  <si>
    <t>AG1310</t>
  </si>
  <si>
    <t>.10</t>
  </si>
  <si>
    <t>RUA PASCHOAL ARCANJO MORELLI</t>
  </si>
  <si>
    <t>384</t>
  </si>
  <si>
    <t>JAGUARA</t>
  </si>
  <si>
    <t>TATIANA DE OLIVEIRA ARAUJO</t>
  </si>
  <si>
    <t>17347377781</t>
  </si>
  <si>
    <t>R11</t>
  </si>
  <si>
    <t>FC0199</t>
  </si>
  <si>
    <t>01734737/07781 - RJ</t>
  </si>
  <si>
    <t>.11</t>
  </si>
  <si>
    <t>ESTRADA JERONIMO FERREIRA ALVES</t>
  </si>
  <si>
    <t>1710</t>
  </si>
  <si>
    <t>ITAIPAVA</t>
  </si>
  <si>
    <t>25740-040</t>
  </si>
  <si>
    <t>TAYANE LIBERATO</t>
  </si>
  <si>
    <t>21286958725</t>
  </si>
  <si>
    <t>FC0068</t>
  </si>
  <si>
    <t>R12</t>
  </si>
  <si>
    <t>.12</t>
  </si>
  <si>
    <t>RUA BAURU</t>
  </si>
  <si>
    <t>171</t>
  </si>
  <si>
    <t>VILA DE CAVA</t>
  </si>
  <si>
    <t>26051-620</t>
  </si>
  <si>
    <t>VANESSA ELENA DE ARAUJO ANTONIO</t>
  </si>
  <si>
    <t>14285325799</t>
  </si>
  <si>
    <t>FC0032</t>
  </si>
  <si>
    <t>FC001a</t>
  </si>
  <si>
    <t>RUA DECIO DE OLIVEIRA</t>
  </si>
  <si>
    <t>5</t>
  </si>
  <si>
    <t>XEREM</t>
  </si>
  <si>
    <t>25250-620</t>
  </si>
  <si>
    <t>Seg à Sex - 07:12 às 17:00 - Intervalo: 11:30h - 12:30 - Pausa:  N/A - Folga: Sáb e Dom</t>
  </si>
  <si>
    <t>JONATAN PAIVA DA SILVA</t>
  </si>
  <si>
    <t>07:12 às 17:00</t>
  </si>
  <si>
    <t>17972333785</t>
  </si>
  <si>
    <t>FC0229</t>
  </si>
  <si>
    <t>RUA SARGENTO BOENING</t>
  </si>
  <si>
    <t>834</t>
  </si>
  <si>
    <t>FC001b</t>
  </si>
  <si>
    <t>SARGENTO BOENING</t>
  </si>
  <si>
    <t>25635-412</t>
  </si>
  <si>
    <t>ALEXSANDRO PERONI VIEIRA</t>
  </si>
  <si>
    <t>13710302781</t>
  </si>
  <si>
    <t>44:00 hs</t>
  </si>
  <si>
    <t>FC0005</t>
  </si>
  <si>
    <t>Itaipava</t>
  </si>
  <si>
    <t>R13</t>
  </si>
  <si>
    <t>.13</t>
  </si>
  <si>
    <t>RUA HERMOGENIO SILVA</t>
  </si>
  <si>
    <t>1923</t>
  </si>
  <si>
    <t>25715-060</t>
  </si>
  <si>
    <t>AMARILDO PONTES DOS SANTOS</t>
  </si>
  <si>
    <t>76799158734</t>
  </si>
  <si>
    <t>AG0910</t>
  </si>
  <si>
    <t>09929262/00040 - RJ</t>
  </si>
  <si>
    <t>Sapucaia</t>
  </si>
  <si>
    <t>R14</t>
  </si>
  <si>
    <t>.14</t>
  </si>
  <si>
    <t>RUA JUVENAL PORTUGAL</t>
  </si>
  <si>
    <t>375</t>
  </si>
  <si>
    <t>ANTA</t>
  </si>
  <si>
    <t>25882-000</t>
  </si>
  <si>
    <t>ANA LUCIA BARRETO FELIZARDO DA SILVA</t>
  </si>
  <si>
    <t>00670010766</t>
  </si>
  <si>
    <t>AG0951</t>
  </si>
  <si>
    <t>JARDINEIRO</t>
  </si>
  <si>
    <t xml:space="preserve"> Qua (Quinzenal) - 08:00 às 17:00 - Intervalo: 12h - 13h - Pausa: N/A - Folga: N/A</t>
  </si>
  <si>
    <t>RUA PAULINO AFONSO</t>
  </si>
  <si>
    <t>CENTRO</t>
  </si>
  <si>
    <t>25680-003</t>
  </si>
  <si>
    <t>ANA PAULA DOS SANTOS XAVIER</t>
  </si>
  <si>
    <t>07595815762</t>
  </si>
  <si>
    <t>MC0059</t>
  </si>
  <si>
    <t>Paraiba do Sul</t>
  </si>
  <si>
    <t>R15</t>
  </si>
  <si>
    <t>.15</t>
  </si>
  <si>
    <t xml:space="preserve">RUA FERNANDO BARROS FRANCO </t>
  </si>
  <si>
    <t>17</t>
  </si>
  <si>
    <t>LAVA PES</t>
  </si>
  <si>
    <t>CARLOS HENRIQUE DA FONSECA BARBOSA</t>
  </si>
  <si>
    <t>00606949712</t>
  </si>
  <si>
    <t>Manutenção</t>
  </si>
  <si>
    <t>FC0185</t>
  </si>
  <si>
    <t>00060694/09712 - RJ</t>
  </si>
  <si>
    <t>AG065</t>
  </si>
  <si>
    <t>Seg à Sáb - 08:20 às 16:40 - intervalo: 13h - 14h - Pausa: N/A - Folga: Domingo</t>
  </si>
  <si>
    <t>ESTRADA DO PALMITAL</t>
  </si>
  <si>
    <t>833</t>
  </si>
  <si>
    <t>NOGUEIRA</t>
  </si>
  <si>
    <t>25730-500</t>
  </si>
  <si>
    <t>CELMA MARIA DA SILVA</t>
  </si>
  <si>
    <t>00035872748</t>
  </si>
  <si>
    <t>AG0907</t>
  </si>
  <si>
    <t>RUA VIRGILIO DE SA PEREIRA JUNIOR</t>
  </si>
  <si>
    <t>648</t>
  </si>
  <si>
    <t>ROSEIRAL</t>
  </si>
  <si>
    <t>25715-200</t>
  </si>
  <si>
    <t>CLAUDIO MARCIO ARAUJO SILVA</t>
  </si>
  <si>
    <t>09741937717</t>
  </si>
  <si>
    <t>MC0032</t>
  </si>
  <si>
    <t>Seg à Qui - 06:30 às 16:30 / Sex - 06:30 às 15:30 - Intervalo: 11h - 12h - Pausa: 16h - 16h15 - Folga: Sab e Dom</t>
  </si>
  <si>
    <t>06:30 às 15:30</t>
  </si>
  <si>
    <t>RUA CORONEL VEIGA</t>
  </si>
  <si>
    <t>890</t>
  </si>
  <si>
    <t>CORONEL VEIGA</t>
  </si>
  <si>
    <t>25655-158</t>
  </si>
  <si>
    <t>CREUSA JUREMA DOS SANTOS</t>
  </si>
  <si>
    <t>044260447-58</t>
  </si>
  <si>
    <t>AG0142</t>
  </si>
  <si>
    <t>00007301/00101 - RJ</t>
  </si>
  <si>
    <t>12 por 36 - 19:00 às 07:00 - Intervalo: 00h - 01h - Pausa: 04h - 04h15 - Folga: N/A</t>
  </si>
  <si>
    <t>20:00 às 8:00</t>
  </si>
  <si>
    <t>RUA FERNANDES VIEIRA</t>
  </si>
  <si>
    <t>SN</t>
  </si>
  <si>
    <t>25600-000</t>
  </si>
  <si>
    <t>DAIANA DA SILVA</t>
  </si>
  <si>
    <t>06028094790</t>
  </si>
  <si>
    <t>FC0042</t>
  </si>
  <si>
    <t>00602809/04790 - RJ</t>
  </si>
  <si>
    <t>ESTRADA DO GENTIO</t>
  </si>
  <si>
    <t>95</t>
  </si>
  <si>
    <t>25745-010</t>
  </si>
  <si>
    <t>DENILSON FRANCISCO DA SILVA CORREA</t>
  </si>
  <si>
    <t>MC001</t>
  </si>
  <si>
    <t>86963163715</t>
  </si>
  <si>
    <t>AG1377</t>
  </si>
  <si>
    <t>05295654/00040 - RJ</t>
  </si>
  <si>
    <t>Qua e Sex - 14:00 às 18:00 - Intervalo: N/A - Pausa: N/A - Folga: N/A</t>
  </si>
  <si>
    <t>RUA ATILIO MAROTTI</t>
  </si>
  <si>
    <t>1380</t>
  </si>
  <si>
    <t>QUART. BRASILEIRO</t>
  </si>
  <si>
    <t>25680-290</t>
  </si>
  <si>
    <t>R16</t>
  </si>
  <si>
    <t>ELIZABETH DA SILVA VIEIRA</t>
  </si>
  <si>
    <t>14454655740</t>
  </si>
  <si>
    <t>.16</t>
  </si>
  <si>
    <t>AG0640</t>
  </si>
  <si>
    <t>00048388/00152 - RJ</t>
  </si>
  <si>
    <t>R17</t>
  </si>
  <si>
    <t>.17</t>
  </si>
  <si>
    <t>RUA DR. THOUZET</t>
  </si>
  <si>
    <t>25655-363</t>
  </si>
  <si>
    <t>ERICA LOPES DA SILVA ALEXANDRE</t>
  </si>
  <si>
    <t>05625719730</t>
  </si>
  <si>
    <t>AG0922</t>
  </si>
  <si>
    <t>06032403/00050 - RJ</t>
  </si>
  <si>
    <t>RUA PROFESSOR CARDOSO FONTES</t>
  </si>
  <si>
    <t>426</t>
  </si>
  <si>
    <t>CASTELANEA</t>
  </si>
  <si>
    <t>25640-036</t>
  </si>
  <si>
    <t>JORGE HENRIQUE LEITE PEREIRA</t>
  </si>
  <si>
    <t>79942741704</t>
  </si>
  <si>
    <t>AG1427</t>
  </si>
  <si>
    <t>07994274/01704 - RJ</t>
  </si>
  <si>
    <t>RUA ANGELO JOAO BRAND</t>
  </si>
  <si>
    <t>0227</t>
  </si>
  <si>
    <t>25645-240</t>
  </si>
  <si>
    <t>JOZIMAR COSTA DA SILVA</t>
  </si>
  <si>
    <t>004407647-93</t>
  </si>
  <si>
    <t>R18</t>
  </si>
  <si>
    <t>AG0311</t>
  </si>
  <si>
    <t>00024581/00095 - RJ</t>
  </si>
  <si>
    <t>.18</t>
  </si>
  <si>
    <t>RUA WILSON DE ARAUJO</t>
  </si>
  <si>
    <t>1008</t>
  </si>
  <si>
    <t>JUCELIA SANTOS BRAGA</t>
  </si>
  <si>
    <t>42951216572</t>
  </si>
  <si>
    <t>AG0972</t>
  </si>
  <si>
    <t>R19</t>
  </si>
  <si>
    <t>.19</t>
  </si>
  <si>
    <t>R20</t>
  </si>
  <si>
    <t>.20</t>
  </si>
  <si>
    <t>RUA JOAQUIM GOMENSORO</t>
  </si>
  <si>
    <t>224</t>
  </si>
  <si>
    <t>VALPARAISO</t>
  </si>
  <si>
    <t>25655-447</t>
  </si>
  <si>
    <t>LUIS CLAUDIO DE LIMA</t>
  </si>
  <si>
    <t>85079120797</t>
  </si>
  <si>
    <t>FC0086</t>
  </si>
  <si>
    <t>,</t>
  </si>
  <si>
    <t>RUA JOAO AMANCIO DE SOUZA COUTINHO</t>
  </si>
  <si>
    <t>CORREAS</t>
  </si>
  <si>
    <t>25720-210</t>
  </si>
  <si>
    <t>LUIZ DA COSTA LEONIDIO</t>
  </si>
  <si>
    <t>65149157791</t>
  </si>
  <si>
    <t>AG0716</t>
  </si>
  <si>
    <t>21388/374 - RJ</t>
  </si>
  <si>
    <t>RUA BERNARDO COUTINHO</t>
  </si>
  <si>
    <t>4570</t>
  </si>
  <si>
    <t>ARARAS</t>
  </si>
  <si>
    <t>25725-032</t>
  </si>
  <si>
    <t>OSMAR BARRIOLA DOS SANTOS</t>
  </si>
  <si>
    <t>03025526777</t>
  </si>
  <si>
    <t>AG0976</t>
  </si>
  <si>
    <t>08789735/00040 - RJ</t>
  </si>
  <si>
    <t>RUA GERALDO SOARES</t>
  </si>
  <si>
    <t>07</t>
  </si>
  <si>
    <t>ANA LUCIA FRAGA</t>
  </si>
  <si>
    <t>07921516742</t>
  </si>
  <si>
    <t>Gestão</t>
  </si>
  <si>
    <t>AG0770</t>
  </si>
  <si>
    <t>Ter e Qui  - 08:00 às 17:00 - Intervalo: 12h às 13h - Pausa: N/A - Folga: N/A</t>
  </si>
  <si>
    <t>RUA ANTONIO SOARES PINTO</t>
  </si>
  <si>
    <t>25640-010</t>
  </si>
  <si>
    <t>ANYA OLIVEIRA FONTOURA</t>
  </si>
  <si>
    <t>00442217382</t>
  </si>
  <si>
    <t>Outros</t>
  </si>
  <si>
    <t>AG1334</t>
  </si>
  <si>
    <t>00044221/07382 - RJ</t>
  </si>
  <si>
    <t xml:space="preserve">RUA VICENTE LINHARES </t>
  </si>
  <si>
    <t>654</t>
  </si>
  <si>
    <t>ALDEOTA</t>
  </si>
  <si>
    <t>60135-270</t>
  </si>
  <si>
    <t>CE</t>
  </si>
  <si>
    <t>BERNARDO DE SOUZA RAMOS LAGO</t>
  </si>
  <si>
    <t>81112459715</t>
  </si>
  <si>
    <t>AG0835</t>
  </si>
  <si>
    <t>08111245/09715 - RJ</t>
  </si>
  <si>
    <t>Sáb  08:00 às 12:00 - Intervalo: N/A - Pausa: N/A - Folga: N/A</t>
  </si>
  <si>
    <t>205</t>
  </si>
  <si>
    <t>BRENDA NASCIMENTO NICOLAU</t>
  </si>
  <si>
    <t>18101692754</t>
  </si>
  <si>
    <t>AG0855</t>
  </si>
  <si>
    <t>01810169/02754 - RJ</t>
  </si>
  <si>
    <t>SERVIDÃO JOAQUIM AFONSO DA SILVA</t>
  </si>
  <si>
    <t>13</t>
  </si>
  <si>
    <t>VALE DO CARANGOLA</t>
  </si>
  <si>
    <t>25715-391</t>
  </si>
  <si>
    <t>CINTIA RIBEIRO DE MATTOS COSTA</t>
  </si>
  <si>
    <t>Qui - 14:00 às 16:30 - Intervalo: 12h - 13h - Pausa: N/A - Folga: Sáb, Dom e Fer</t>
  </si>
  <si>
    <t>12688270702</t>
  </si>
  <si>
    <t>AG1361</t>
  </si>
  <si>
    <t>00014109/00145 - RJ</t>
  </si>
  <si>
    <t>CAMINHO MONTE FLORIDO</t>
  </si>
  <si>
    <t>279</t>
  </si>
  <si>
    <t>ESTRADA DA SAUDADE</t>
  </si>
  <si>
    <t>25615-241</t>
  </si>
  <si>
    <t>LUANA DOS SANTOS OLIVEIRA</t>
  </si>
  <si>
    <t>CODIGO</t>
  </si>
  <si>
    <t>COD CLIENTE</t>
  </si>
  <si>
    <t>05850041702</t>
  </si>
  <si>
    <t>CATEGORIA DE POSTO</t>
  </si>
  <si>
    <t xml:space="preserve">TURNO </t>
  </si>
  <si>
    <t>CONDI ÇÃO</t>
  </si>
  <si>
    <t>TIPO ESCALA</t>
  </si>
  <si>
    <t>QUANT.</t>
  </si>
  <si>
    <t>AG1457</t>
  </si>
  <si>
    <t>ROTEIRO</t>
  </si>
  <si>
    <t>CONTRATO</t>
  </si>
  <si>
    <t>LOCALIZAÇÃO</t>
  </si>
  <si>
    <t>CESTA BASICA</t>
  </si>
  <si>
    <t>INSALUB / PERICULOSIDADE</t>
  </si>
  <si>
    <t>NR EXIGIDA</t>
  </si>
  <si>
    <t>FERIADOS</t>
  </si>
  <si>
    <t>supervisor</t>
  </si>
  <si>
    <t>DESCRIÇÃO DA ESCALA - dia da semana + horario</t>
  </si>
  <si>
    <t>HORAS DIÁRIAS</t>
  </si>
  <si>
    <t>seg</t>
  </si>
  <si>
    <t>ter</t>
  </si>
  <si>
    <t>qua</t>
  </si>
  <si>
    <t>qui</t>
  </si>
  <si>
    <t>sex</t>
  </si>
  <si>
    <t>sab</t>
  </si>
  <si>
    <t>dom</t>
  </si>
  <si>
    <t>translado</t>
  </si>
  <si>
    <t>ESCALA JAN</t>
  </si>
  <si>
    <t>ESCALA FEV</t>
  </si>
  <si>
    <t>ESCALA MAR</t>
  </si>
  <si>
    <t>ESCALA ABR</t>
  </si>
  <si>
    <t>ESCALA MAI</t>
  </si>
  <si>
    <t>ESCALA JUN</t>
  </si>
  <si>
    <t>ESCALA JUL</t>
  </si>
  <si>
    <t>ESCALA AGO</t>
  </si>
  <si>
    <t>ESCALA SET</t>
  </si>
  <si>
    <t>ESCALA OUT</t>
  </si>
  <si>
    <t>ESCALA NOV</t>
  </si>
  <si>
    <t>ESCALA DEZ</t>
  </si>
  <si>
    <t>SERVIDÃO CARISIO VIGATO</t>
  </si>
  <si>
    <t>712</t>
  </si>
  <si>
    <t>ITAMARATI</t>
  </si>
  <si>
    <t>25710-097</t>
  </si>
  <si>
    <t>MARCELO DA COSTA FONSECA</t>
  </si>
  <si>
    <t>04143110784</t>
  </si>
  <si>
    <t>FC001</t>
  </si>
  <si>
    <t>FC0062</t>
  </si>
  <si>
    <t>Seg, Qua e Sex - 09:00 às 18:00 - Intervalo: 13h - 14h - Pausa: N/A - Folga: N/A</t>
  </si>
  <si>
    <t>09:00 às 18:00</t>
  </si>
  <si>
    <t>RUA DR. LIPOLD</t>
  </si>
  <si>
    <t>200</t>
  </si>
  <si>
    <t>25715-250</t>
  </si>
  <si>
    <t>MONICA MACHADO DE SOUZA</t>
  </si>
  <si>
    <t>02911100700</t>
  </si>
  <si>
    <t>MC0039</t>
  </si>
  <si>
    <t>FC003</t>
  </si>
  <si>
    <t>RUA SAO SEBASTIAO</t>
  </si>
  <si>
    <t>90</t>
  </si>
  <si>
    <t>INDAIA</t>
  </si>
  <si>
    <t>25645-045</t>
  </si>
  <si>
    <t>COB CONTRATO</t>
  </si>
  <si>
    <t>RENATA CRISTINA MUNSTEIN DA SILVA</t>
  </si>
  <si>
    <t>Ter e Qui - 07:30 às 11:30 - Intervalo: N/A - Pausa: N/A - Folga: N/A</t>
  </si>
  <si>
    <t>07906702751</t>
  </si>
  <si>
    <t>07:30 às 11:30</t>
  </si>
  <si>
    <t>AG1127</t>
  </si>
  <si>
    <t>00790670/02751 - RJ</t>
  </si>
  <si>
    <t>FC004</t>
  </si>
  <si>
    <t>ESTRADA DO PARAISO</t>
  </si>
  <si>
    <t>326</t>
  </si>
  <si>
    <t>ROGERIO FERREIRA DE OLIVEIRA</t>
  </si>
  <si>
    <t>08293890754</t>
  </si>
  <si>
    <t>MC0078</t>
  </si>
  <si>
    <t>00829389/00754 - RJ</t>
  </si>
  <si>
    <t>Dom - 09:00 às 22:00 - Intervalo: 13h - 14h - Pausa: 17h - 17h15 - Folga: 7º Dom</t>
  </si>
  <si>
    <t>09:00 às 22:00</t>
  </si>
  <si>
    <t>Seg à Dom - 22:00 às 06:20 - intervalo: 02h - 03h - Pausa: N/A - Folga: Quintas e 4º Dom</t>
  </si>
  <si>
    <t>22:00 às 06:20</t>
  </si>
  <si>
    <t>RUA I</t>
  </si>
  <si>
    <t>60</t>
  </si>
  <si>
    <t>25680-710</t>
  </si>
  <si>
    <t>SILVANA DE ALMEIDA PACHECO</t>
  </si>
  <si>
    <t>00450760731</t>
  </si>
  <si>
    <t>AG0971</t>
  </si>
  <si>
    <t>00045076/00731 - RJ</t>
  </si>
  <si>
    <t>LADEIRA GUILHERME WILBERT</t>
  </si>
  <si>
    <t>23</t>
  </si>
  <si>
    <t>25670-140</t>
  </si>
  <si>
    <t>Quintas - 22:00 às 06:20 - intervalo: 02h - 03h - Pausa: N/A - Folga: N/A</t>
  </si>
  <si>
    <t>WILIAM DA SILVA CARVALHO</t>
  </si>
  <si>
    <t>13681576700</t>
  </si>
  <si>
    <t>MC0068</t>
  </si>
  <si>
    <t>01368157/06700 - RJ</t>
  </si>
  <si>
    <t>FC008</t>
  </si>
  <si>
    <t>Seg à Sex - 07:30 às 16:30 / Sáb - 07:30 às 11:30 - Intervalo: 12h - 13h - Pausa: N/A - Folga: Domingos</t>
  </si>
  <si>
    <t xml:space="preserve">LADEIRA NELSON MARCELINO DE CARVALHO </t>
  </si>
  <si>
    <t>257</t>
  </si>
  <si>
    <t>07:30 às 16:30</t>
  </si>
  <si>
    <t>25680-540</t>
  </si>
  <si>
    <t>ADRIANA DE FATIMA DE JESUS</t>
  </si>
  <si>
    <t>AG0477</t>
  </si>
  <si>
    <t>SERVIDÃO SEBASTIÃO PLACIDINO DE CARVALHO</t>
  </si>
  <si>
    <t>34</t>
  </si>
  <si>
    <t>25715-410</t>
  </si>
  <si>
    <t>ALESSANDRA DE ASSUMPÇÃO CHAVES</t>
  </si>
  <si>
    <t>10171922786</t>
  </si>
  <si>
    <t>AG0840</t>
  </si>
  <si>
    <t>Dom - 07:00 às 19:00 - Intervalo: 11h - 12h - Pausa: 16h - 16h15 - Folga: 7º Dom</t>
  </si>
  <si>
    <t>Seg à Sex - 09:00 às 18:00 - Intervalo: 13h - 14h - Pausa: N/A - Folga: Sáb, Dom e Fer</t>
  </si>
  <si>
    <t>RUA SERROLANDIA</t>
  </si>
  <si>
    <t>PACIENCIA</t>
  </si>
  <si>
    <t>23585-370</t>
  </si>
  <si>
    <t>ALEX BORGES NOGUEIRA</t>
  </si>
  <si>
    <t>10626168716</t>
  </si>
  <si>
    <t>AG0997</t>
  </si>
  <si>
    <t>eduzido</t>
  </si>
  <si>
    <t>Cesta Pq</t>
  </si>
  <si>
    <t>Sáb - 18:00 às 07:00 / Dom e Feriados - 19:00 às 07:00 - Intervalo: 22h - 23h - Pausa: 03h - 03h15 - Folga: N/A</t>
  </si>
  <si>
    <t>SERVIDÃO ARLINDO TEIVO SOARES</t>
  </si>
  <si>
    <t>106</t>
  </si>
  <si>
    <t>25720-001</t>
  </si>
  <si>
    <t>ALINE DE SOUZA SOARES</t>
  </si>
  <si>
    <t>17306410750</t>
  </si>
  <si>
    <t>18:00 às 07:00</t>
  </si>
  <si>
    <t>FC0179</t>
  </si>
  <si>
    <t xml:space="preserve">SERVIDÃO ANTONIO RAMOS DOS SANTOS </t>
  </si>
  <si>
    <t>36</t>
  </si>
  <si>
    <t>25715-000</t>
  </si>
  <si>
    <t>FC009a</t>
  </si>
  <si>
    <t>ALINE VIANA COUTO</t>
  </si>
  <si>
    <t>13080452712</t>
  </si>
  <si>
    <t>AG0921</t>
  </si>
  <si>
    <t>20% INSALUB</t>
  </si>
  <si>
    <t>Seg à Sex - 14:00 às 16:00 - Intervalo: N/A - Pausa: N/A - Folga: N/A</t>
  </si>
  <si>
    <t>14:00 às 16:00</t>
  </si>
  <si>
    <t>AMANDA MAXIMIANA DA SILVA</t>
  </si>
  <si>
    <t>18193580702</t>
  </si>
  <si>
    <t>AG1068</t>
  </si>
  <si>
    <t xml:space="preserve"> Sáb - 10:00 às 12:00- Intervalo: N/A - Pausa: N/A - Folga: N/A</t>
  </si>
  <si>
    <t xml:space="preserve">RUA ANTONIA </t>
  </si>
  <si>
    <t>PRACA SECA</t>
  </si>
  <si>
    <t>21320-050</t>
  </si>
  <si>
    <t>ANA PAULA MAYWORM DA SILVA</t>
  </si>
  <si>
    <t>16199044703</t>
  </si>
  <si>
    <t>FC0311</t>
  </si>
  <si>
    <t>10:00 às 12:00</t>
  </si>
  <si>
    <t>01619904/04703 - RJ</t>
  </si>
  <si>
    <t>RUA JOAQUIM JOAO DE OLIVEIRA</t>
  </si>
  <si>
    <t>220</t>
  </si>
  <si>
    <t>CASCATINHA</t>
  </si>
  <si>
    <t>25710-229</t>
  </si>
  <si>
    <t>ANDERSON DOS SANTOS MACHADO</t>
  </si>
  <si>
    <t>FC009b</t>
  </si>
  <si>
    <t>09824275738</t>
  </si>
  <si>
    <t>AG0786</t>
  </si>
  <si>
    <t>Seg à Sex - 07:00 às 16:00 / Sáb - 07:00 às 11:00 - Intervalo: 12h - 13h - Pausa: N/A - Folga: Domingos</t>
  </si>
  <si>
    <t>7:00 às 11:00</t>
  </si>
  <si>
    <t>RUA ELYZIO ALVES</t>
  </si>
  <si>
    <t>250</t>
  </si>
  <si>
    <t>25615-071</t>
  </si>
  <si>
    <t>ANDRELINO DOS SANTOS BARCELOS</t>
  </si>
  <si>
    <t>09829595757</t>
  </si>
  <si>
    <t>AG1276</t>
  </si>
  <si>
    <t>FC009c</t>
  </si>
  <si>
    <t>RUA CORONEL AZEVEDO JUNIOR</t>
  </si>
  <si>
    <t>1069</t>
  </si>
  <si>
    <t>CHATUBA</t>
  </si>
  <si>
    <t>26587-335</t>
  </si>
  <si>
    <t>ANTONIO MARCOS MACHADO DESIDERIO</t>
  </si>
  <si>
    <t>14087548783</t>
  </si>
  <si>
    <t>MC0008</t>
  </si>
  <si>
    <t>Seg à Sex - 13:45 às 15:45 - Intervalo: N/A - Pausa: N/A - Folga: N/A</t>
  </si>
  <si>
    <t>13:45 ás 15:45</t>
  </si>
  <si>
    <t>13:45 às 15:45</t>
  </si>
  <si>
    <t>RUA JOAO BALTER</t>
  </si>
  <si>
    <t>QUARTEIRAO BRASILEIR</t>
  </si>
  <si>
    <t>25680-250</t>
  </si>
  <si>
    <t>ARIANA ANDRADE ARCANJO</t>
  </si>
  <si>
    <t>14770897723</t>
  </si>
  <si>
    <t>AG1233</t>
  </si>
  <si>
    <t>Sáb - 09:00 às 11:00 - Intervalo: N/A - Pausa: N/A - Folga: N/A</t>
  </si>
  <si>
    <t xml:space="preserve">RUA MANOEL FRANCISCO DE PAULA </t>
  </si>
  <si>
    <t>SIMERIA</t>
  </si>
  <si>
    <t>25645-705</t>
  </si>
  <si>
    <t>09:00 às 11:00</t>
  </si>
  <si>
    <t>BARBARA DUARTE</t>
  </si>
  <si>
    <t>15701554708</t>
  </si>
  <si>
    <t>AG1374</t>
  </si>
  <si>
    <t>15701554/00748 - RJ</t>
  </si>
  <si>
    <t>FC009d</t>
  </si>
  <si>
    <t>Seg à Sáb - 06:30 às 11:30 - Intervalo: N/A - Pausa: N/A - Folga: N/A</t>
  </si>
  <si>
    <t>ESTRADA MINISTRO SALGADO FILHO</t>
  </si>
  <si>
    <t>4115</t>
  </si>
  <si>
    <t>VALE DO CUIABA</t>
  </si>
  <si>
    <t>25745-690</t>
  </si>
  <si>
    <t>BEATRIZ NOEMIA DA SILVA ROCHA DOS SANTOS ADRIANO</t>
  </si>
  <si>
    <t>16109168750</t>
  </si>
  <si>
    <t>FC0305</t>
  </si>
  <si>
    <t>00646839/02764 - RJ</t>
  </si>
  <si>
    <t>FC009e</t>
  </si>
  <si>
    <t>TRAVESSA CANDIDO BORSATO</t>
  </si>
  <si>
    <t>720</t>
  </si>
  <si>
    <t>25716-231</t>
  </si>
  <si>
    <t>BIANCA MARIA ALVES DE JESUS</t>
  </si>
  <si>
    <t>21914353781</t>
  </si>
  <si>
    <t>AG1450</t>
  </si>
  <si>
    <t>Seg à Sex - 06:30 às 15:30 / Sáb - 07:00 às 11:00  - Intervalo: 11:00 - 12:00 - Pausa: N/A -  Folga: Dom e Fer</t>
  </si>
  <si>
    <t>ESTRADA UNIAO INDUSTRIA</t>
  </si>
  <si>
    <t>2501</t>
  </si>
  <si>
    <t>25720-062</t>
  </si>
  <si>
    <t>BRUNO ANDRE DE SOUZA</t>
  </si>
  <si>
    <t>14436091708</t>
  </si>
  <si>
    <t>FC0313</t>
  </si>
  <si>
    <t>01443609/01708 - RJ</t>
  </si>
  <si>
    <t>Seg à Sex 08:00 ás 17:00 /  Sáb 08:00 às 12:00 - Intervalo 13:00 -14:00 - Pausa N/A - Folga: Dom e Fer</t>
  </si>
  <si>
    <t>RUA PROFESSOR JOSE REUTHER</t>
  </si>
  <si>
    <t>165</t>
  </si>
  <si>
    <t>25670-011</t>
  </si>
  <si>
    <t>CARLOS EDUARDO MONTEIRO BRANDAO</t>
  </si>
  <si>
    <t>04466505799</t>
  </si>
  <si>
    <t>MC0103</t>
  </si>
  <si>
    <t>00446550/05799 - RJ</t>
  </si>
  <si>
    <t>FC009f</t>
  </si>
  <si>
    <t>Vale Refeição</t>
  </si>
  <si>
    <t>Seg à Sáb - 07:00 às 12:00 - Intervalo: N/A - Pausa: N/A - Folga: Domingos</t>
  </si>
  <si>
    <t xml:space="preserve">ESTRADA RIO NEGRO </t>
  </si>
  <si>
    <t>POSSE</t>
  </si>
  <si>
    <t>25600-001</t>
  </si>
  <si>
    <t>CARMEN LUCIA SCHMITZ</t>
  </si>
  <si>
    <t>02293583732</t>
  </si>
  <si>
    <t>AG1091</t>
  </si>
  <si>
    <t>FC009g</t>
  </si>
  <si>
    <t>Seg à Qui - 07:00 às 16:00 / Sex - 07:00 às 15:00 / Sáb - 07:00 às 12:00 - Intervalo: 11h - 12h - Pausa: N/A - Folga: Domingos</t>
  </si>
  <si>
    <t>07:00 às 15:00</t>
  </si>
  <si>
    <t>7:00 às 12:00</t>
  </si>
  <si>
    <t>ESTRADA VICENZO RIVETTI</t>
  </si>
  <si>
    <t>505</t>
  </si>
  <si>
    <t>25716-363</t>
  </si>
  <si>
    <t>CASSIANO SIESS PEREIRA</t>
  </si>
  <si>
    <t>17343476785</t>
  </si>
  <si>
    <t>AG1436</t>
  </si>
  <si>
    <t>FC009h</t>
  </si>
  <si>
    <t>Seg à Sex - 07:00 às 11:00 / Sáb - 08:00 às 10:00 - Intervalo: N/A - Pausa: N/A - Folga: Domingo</t>
  </si>
  <si>
    <t>07:00 às 11:00</t>
  </si>
  <si>
    <t>8:00 às 10:00</t>
  </si>
  <si>
    <t>RUA CAPITAO AMANCIO DE SOUZA COUTINHO</t>
  </si>
  <si>
    <t>CLEBER MARTINS SCHMIDT</t>
  </si>
  <si>
    <t>08665698710</t>
  </si>
  <si>
    <t>MC0002</t>
  </si>
  <si>
    <t>FC009i</t>
  </si>
  <si>
    <t>Seg à Sáb - 07:00 às 12:00 - Intervalo: N/A - Pausa: N/A - Folga: Domingo</t>
  </si>
  <si>
    <t>07:00 às 12:00</t>
  </si>
  <si>
    <t>RUA RIO GRANDE DO NORTE</t>
  </si>
  <si>
    <t>35</t>
  </si>
  <si>
    <t>25650-480</t>
  </si>
  <si>
    <t>CRISTIANE DEMELVOU</t>
  </si>
  <si>
    <t>05645917774</t>
  </si>
  <si>
    <t>FC0236</t>
  </si>
  <si>
    <t>FC009j</t>
  </si>
  <si>
    <t>PETRÓPOLIS</t>
  </si>
  <si>
    <t>Seg à Qui - 06:30 às 15:30 /  Sex - 06:30 às 14:30 / Sáb - 07:00 às 12:00 - Intervalo: 12h - 13h - Pausa: N/A - Folga: Domingos</t>
  </si>
  <si>
    <t>RUA VITAL BRASIL</t>
  </si>
  <si>
    <t>123</t>
  </si>
  <si>
    <t>SAO SEBASTIAO</t>
  </si>
  <si>
    <t>CRISTINA APARECIDA DE SOUZA DEOLINDO</t>
  </si>
  <si>
    <t>981943727-04</t>
  </si>
  <si>
    <t>AG0479</t>
  </si>
  <si>
    <t>FC009k</t>
  </si>
  <si>
    <t>RUA LUIZ XAVIER</t>
  </si>
  <si>
    <t>78</t>
  </si>
  <si>
    <t>25645-090</t>
  </si>
  <si>
    <t>DANIEL DE SOUSA BARBOZA</t>
  </si>
  <si>
    <t>13536048706</t>
  </si>
  <si>
    <t>MC0075</t>
  </si>
  <si>
    <t>01353604/08706 - RJ</t>
  </si>
  <si>
    <t>FC009l</t>
  </si>
  <si>
    <t>RUA CACILDA BECKER</t>
  </si>
  <si>
    <t>2006</t>
  </si>
  <si>
    <t>25645-260</t>
  </si>
  <si>
    <t>Seg à Sex - 07:00 às 12:00 - Intervalo: N/A - Pausa: N/A - Folga: Sab e Dom</t>
  </si>
  <si>
    <t>DANIEL GOMES DE MELLO</t>
  </si>
  <si>
    <t>12299230718</t>
  </si>
  <si>
    <t>MC0105</t>
  </si>
  <si>
    <t>1011</t>
  </si>
  <si>
    <t>DIEGO NICACIO DE CASTRO</t>
  </si>
  <si>
    <t>11933858737</t>
  </si>
  <si>
    <t>FC009m</t>
  </si>
  <si>
    <t>MC0106</t>
  </si>
  <si>
    <t>01193385/08737 - RJ</t>
  </si>
  <si>
    <t>Bingen</t>
  </si>
  <si>
    <t>Seg, Qua e Sex - 07:00 às 13:00 - Intervalo: N/A - Pausa: N/A - Folga: N/A</t>
  </si>
  <si>
    <t>RUA ALBERTO ECKHARDT</t>
  </si>
  <si>
    <t>CASTRIOTO</t>
  </si>
  <si>
    <t>25665-330</t>
  </si>
  <si>
    <t>EDNA APARECIDA DOS SANTOS</t>
  </si>
  <si>
    <t>05569637761</t>
  </si>
  <si>
    <t>FC0264</t>
  </si>
  <si>
    <t>00556963/07761 - RJ</t>
  </si>
  <si>
    <t>25715-363</t>
  </si>
  <si>
    <t>ELI MEDEIROS DA SILVA SANTANA</t>
  </si>
  <si>
    <t>12798640792</t>
  </si>
  <si>
    <t>AG1325</t>
  </si>
  <si>
    <t>Ter e Qui - 07:00 às 11:00 - Intervalo: N/A - Pausa: N/A - Folga: N/A</t>
  </si>
  <si>
    <t>RUA 3, QD K LOTE</t>
  </si>
  <si>
    <t>50</t>
  </si>
  <si>
    <t>MADAME MACHADO</t>
  </si>
  <si>
    <t>25750-000</t>
  </si>
  <si>
    <t>ELIAS GONCALVES DE MELLO SANTOS</t>
  </si>
  <si>
    <t>15751083725</t>
  </si>
  <si>
    <t>MC0100</t>
  </si>
  <si>
    <t>RUA PAULISTA</t>
  </si>
  <si>
    <t>175</t>
  </si>
  <si>
    <t>25640-293</t>
  </si>
  <si>
    <t>Sáb - 07:00 às 12:00 - Intervalo: N/A - Pausa: N/A - Folga: N/A</t>
  </si>
  <si>
    <t>ELIEL NOVAES DOS SANTOS</t>
  </si>
  <si>
    <t>16940322728</t>
  </si>
  <si>
    <t>FC0279</t>
  </si>
  <si>
    <t>01694032/02728 - RJ</t>
  </si>
  <si>
    <t>256</t>
  </si>
  <si>
    <t>FABIO DE OLIVEIRA SENRA</t>
  </si>
  <si>
    <t>FC009n</t>
  </si>
  <si>
    <t>01606837770</t>
  </si>
  <si>
    <t>FC0045</t>
  </si>
  <si>
    <t>Morin</t>
  </si>
  <si>
    <t>VILA LUIZ CARLOS SOARES</t>
  </si>
  <si>
    <t>1063</t>
  </si>
  <si>
    <t>25625-077</t>
  </si>
  <si>
    <t>FERNANDA DE SOUSA GONÇALVES</t>
  </si>
  <si>
    <t>10047116706</t>
  </si>
  <si>
    <t>FC0150</t>
  </si>
  <si>
    <t>01004711/06706 - RJ</t>
  </si>
  <si>
    <t>FC009o</t>
  </si>
  <si>
    <t>RUA VICENZO RIVETTI</t>
  </si>
  <si>
    <t>FLAVIO DE OLIVEIRA SAMPAIO</t>
  </si>
  <si>
    <t>15458916727</t>
  </si>
  <si>
    <t>MC0108</t>
  </si>
  <si>
    <t>01545891/06727 - RJ</t>
  </si>
  <si>
    <t>RUA ANTONIO DE MEDEIROS</t>
  </si>
  <si>
    <t>1705</t>
  </si>
  <si>
    <t>25645-262</t>
  </si>
  <si>
    <t>GIVANILDO SOARES DE MATOS</t>
  </si>
  <si>
    <t>07407973792</t>
  </si>
  <si>
    <t>FC0013</t>
  </si>
  <si>
    <t>RUA JOAO DE DEUS</t>
  </si>
  <si>
    <t>850</t>
  </si>
  <si>
    <t>25680-192</t>
  </si>
  <si>
    <t>HERNANE DOS SANTOS CLIMAS</t>
  </si>
  <si>
    <t>05417704709</t>
  </si>
  <si>
    <t>FC009p</t>
  </si>
  <si>
    <t>MC0093</t>
  </si>
  <si>
    <t>00541770/04709 - RJ</t>
  </si>
  <si>
    <t>RUA BAHIA</t>
  </si>
  <si>
    <t>982</t>
  </si>
  <si>
    <t>25650-190</t>
  </si>
  <si>
    <t>JAQUELINE DOS SANTOS SILVA</t>
  </si>
  <si>
    <t>COB EXTRA</t>
  </si>
  <si>
    <t>11753144710</t>
  </si>
  <si>
    <t>FC0306</t>
  </si>
  <si>
    <t>01175314/04710 - RJ</t>
  </si>
  <si>
    <t>Seg à Sáb - 07:00 às 15:20 - Intervalo: 11h - 12h - Pausa: N/A - Folga: Domingos</t>
  </si>
  <si>
    <t>07:00 às 15:20</t>
  </si>
  <si>
    <t>7:00 às 15:20</t>
  </si>
  <si>
    <t>JHONNY EDUARDO ALMEIDA VALADARES</t>
  </si>
  <si>
    <t>21044506750</t>
  </si>
  <si>
    <t>FC0302</t>
  </si>
  <si>
    <t>02104450/06750 - RJ</t>
  </si>
  <si>
    <t>RUA HENRIQUE PAIXAO</t>
  </si>
  <si>
    <t>1531</t>
  </si>
  <si>
    <t>ESPERANCA</t>
  </si>
  <si>
    <t>25151-121</t>
  </si>
  <si>
    <t>JORGE CARLOS DA SILVA</t>
  </si>
  <si>
    <t>FC009q</t>
  </si>
  <si>
    <t>00123457769</t>
  </si>
  <si>
    <t>FC0121</t>
  </si>
  <si>
    <t>00012345/07769 - RJ</t>
  </si>
  <si>
    <t>RUA JOAO MOREIRA</t>
  </si>
  <si>
    <t>25650-064</t>
  </si>
  <si>
    <t>JOSE FERNANDO CORREA</t>
  </si>
  <si>
    <t>Seg à Sex - 07:00 às 16:00 / Sáb - 07:00 às 11:00 - Intervalo:12:00 às 13:00 - Pausa: N/A - Folga: Domingo</t>
  </si>
  <si>
    <t>03325345700</t>
  </si>
  <si>
    <t>AG0924</t>
  </si>
  <si>
    <t>RUA PARA</t>
  </si>
  <si>
    <t>138</t>
  </si>
  <si>
    <t>25730-510</t>
  </si>
  <si>
    <t>JOSE JORGE MANGIA</t>
  </si>
  <si>
    <t>019622987-10</t>
  </si>
  <si>
    <t>FC009r</t>
  </si>
  <si>
    <t>AG0111</t>
  </si>
  <si>
    <t>NR35</t>
  </si>
  <si>
    <t>LADEIRA NELSON MARCIANO DE CARVALHO</t>
  </si>
  <si>
    <t>235</t>
  </si>
  <si>
    <t>JOSE ROBERTO ALVES</t>
  </si>
  <si>
    <t>10801884799</t>
  </si>
  <si>
    <t>FC0267</t>
  </si>
  <si>
    <t>01080188/04799 - RJ</t>
  </si>
  <si>
    <t>SERVIDÃO LOURIVAL PEREIRA DE SA</t>
  </si>
  <si>
    <t>140</t>
  </si>
  <si>
    <t>DUARTE DA SILVEIRA</t>
  </si>
  <si>
    <t>25660-000</t>
  </si>
  <si>
    <t>JOSE ROBERTO MALHEIROS</t>
  </si>
  <si>
    <t>02118389779</t>
  </si>
  <si>
    <t>AG1237</t>
  </si>
  <si>
    <t>FC009s</t>
  </si>
  <si>
    <t>Seg, Qua e Sex 07:00 às 11:00, Ter e Qui 07:00 às 13:00 e Sáb 07:00 às 12:00  - Intervalo: N/A - Pausa: N/A - Folga: Dom</t>
  </si>
  <si>
    <t xml:space="preserve">RUA JOSE DA GAMA MACHADO </t>
  </si>
  <si>
    <t>25745-700</t>
  </si>
  <si>
    <t>JOSEMAR DE SOUZA ARAUJO</t>
  </si>
  <si>
    <t>40909177864</t>
  </si>
  <si>
    <t>FC0014</t>
  </si>
  <si>
    <t>4090917/7864 - RJ</t>
  </si>
  <si>
    <t>FC009t</t>
  </si>
  <si>
    <t>VILA JOSE NOLASCO DA SILVA</t>
  </si>
  <si>
    <t>54</t>
  </si>
  <si>
    <t>25720-449</t>
  </si>
  <si>
    <t>JUÇARA RAMOS DA SILVA</t>
  </si>
  <si>
    <t>12089650770</t>
  </si>
  <si>
    <t>FC0146</t>
  </si>
  <si>
    <t>Valparaiso</t>
  </si>
  <si>
    <t>RUA APARECIDA</t>
  </si>
  <si>
    <t>62</t>
  </si>
  <si>
    <t>25685-191</t>
  </si>
  <si>
    <t>KAUA DE SOUZA SCARDINO</t>
  </si>
  <si>
    <t>06551370764</t>
  </si>
  <si>
    <t>FC0300</t>
  </si>
  <si>
    <t>FC009u</t>
  </si>
  <si>
    <t>RUA ALBERTO MARTINS</t>
  </si>
  <si>
    <t>203</t>
  </si>
  <si>
    <t>FLORESTA</t>
  </si>
  <si>
    <t>25615-110</t>
  </si>
  <si>
    <t>LEANDRO MARTINS MERENCIANO CARVALHO</t>
  </si>
  <si>
    <t>09795778706</t>
  </si>
  <si>
    <t>FC0308</t>
  </si>
  <si>
    <t>00979577/08706 - RJ</t>
  </si>
  <si>
    <t>RUA SAO TOMAZ DE AQUINO</t>
  </si>
  <si>
    <t>210</t>
  </si>
  <si>
    <t>25715-070</t>
  </si>
  <si>
    <t>LENILDA BEZERRA DA SILVA</t>
  </si>
  <si>
    <t>06091097741</t>
  </si>
  <si>
    <t>FC0120</t>
  </si>
  <si>
    <t>00609109/07741 - RJ</t>
  </si>
  <si>
    <t>1054</t>
  </si>
  <si>
    <t>25680-388</t>
  </si>
  <si>
    <t>LISANETE VENANCIO DA SILVA</t>
  </si>
  <si>
    <t>03340891745</t>
  </si>
  <si>
    <t>FC010</t>
  </si>
  <si>
    <t>AG0729</t>
  </si>
  <si>
    <t>RUA FERROVIARIOS</t>
  </si>
  <si>
    <t>02</t>
  </si>
  <si>
    <t>25635-051</t>
  </si>
  <si>
    <t>LUAN AGUIAR DE SOUZA MACHADO</t>
  </si>
  <si>
    <t>Seg, Qua e Sex - 12:00 às 16:00 - Intervalo: N/A - Pausa: N/A - Folga: N/A</t>
  </si>
  <si>
    <t>17250754742</t>
  </si>
  <si>
    <t>FC0087</t>
  </si>
  <si>
    <t>12:00 às 16:00</t>
  </si>
  <si>
    <t>ESTRADA MACHADO FAGUNDES</t>
  </si>
  <si>
    <t>237</t>
  </si>
  <si>
    <t>25716-001</t>
  </si>
  <si>
    <t xml:space="preserve">LUANA VITORIA DA SILVA </t>
  </si>
  <si>
    <t>22711399702</t>
  </si>
  <si>
    <t>FC0048</t>
  </si>
  <si>
    <t>02271139/09702 - RJ</t>
  </si>
  <si>
    <t>RUA LUIZ WINTER</t>
  </si>
  <si>
    <t>1120</t>
  </si>
  <si>
    <t>25665-431</t>
  </si>
  <si>
    <t>LUCIANO MELGUIDES MIRANDA</t>
  </si>
  <si>
    <t>14915437795</t>
  </si>
  <si>
    <t>FC0286</t>
  </si>
  <si>
    <t>RUA DOS EUCALIPTOS</t>
  </si>
  <si>
    <t>18</t>
  </si>
  <si>
    <t>25635-414</t>
  </si>
  <si>
    <t>LUIS FERNANDO HAELER</t>
  </si>
  <si>
    <t>85795810797</t>
  </si>
  <si>
    <t>AG1016</t>
  </si>
  <si>
    <t>Ter e Qui - 12:00 às 16:00 - Intervalo: N/A - Pausa: N/A - Folga: N/A</t>
  </si>
  <si>
    <t>RUA AUGUSTO DA SILVA</t>
  </si>
  <si>
    <t/>
  </si>
  <si>
    <t xml:space="preserve">ESTRADA DA SAUDADE </t>
  </si>
  <si>
    <t>25610-340</t>
  </si>
  <si>
    <t>LUIS HENRIQUE DA ROCHA</t>
  </si>
  <si>
    <t>03324271703</t>
  </si>
  <si>
    <t>FC0226</t>
  </si>
  <si>
    <t>FC011</t>
  </si>
  <si>
    <t>RUA PEDRO NAVA</t>
  </si>
  <si>
    <t>11</t>
  </si>
  <si>
    <t>25710-130</t>
  </si>
  <si>
    <t>LUIS HENRIQUE NEVES FURTADO DA COSTA</t>
  </si>
  <si>
    <t>22732734799</t>
  </si>
  <si>
    <t>FC0261</t>
  </si>
  <si>
    <t>COMPENSAÇÃO</t>
  </si>
  <si>
    <t>02273273/04799 - RJ</t>
  </si>
  <si>
    <t>Seg à Dom - 08:00 às 16:20 - Intervalo: 12h - 13h - Pausa: N/A - Folga: Sáb e Dom alternado</t>
  </si>
  <si>
    <t>08:00 às 16:20</t>
  </si>
  <si>
    <t>LADEIRA ORLINDO DE ANDRADE</t>
  </si>
  <si>
    <t>25680-510</t>
  </si>
  <si>
    <t>LUIZ ANTONIO DA SILVA</t>
  </si>
  <si>
    <t>77201728768</t>
  </si>
  <si>
    <t>AG0838</t>
  </si>
  <si>
    <t>RUA SA FREIRE</t>
  </si>
  <si>
    <t>1010</t>
  </si>
  <si>
    <t xml:space="preserve">FIGUEIRAS </t>
  </si>
  <si>
    <t>26051-810</t>
  </si>
  <si>
    <t>MARCELA DOS SANTOS</t>
  </si>
  <si>
    <t>16540761716</t>
  </si>
  <si>
    <t>FC0292</t>
  </si>
  <si>
    <t>01654076/01716 - RJ</t>
  </si>
  <si>
    <t>MARCIO PEREIRA ALVES</t>
  </si>
  <si>
    <t>10933703783</t>
  </si>
  <si>
    <t>MC0084</t>
  </si>
  <si>
    <t>RUA GERALDO PERGENTINO DE OLIVEIRA</t>
  </si>
  <si>
    <t>25745-701</t>
  </si>
  <si>
    <t>MARCO ANTONIO DE OLIVEIRA</t>
  </si>
  <si>
    <t>07745767741</t>
  </si>
  <si>
    <t>AG1100</t>
  </si>
  <si>
    <t>00034290/00117 - RJ</t>
  </si>
  <si>
    <t>FC014</t>
  </si>
  <si>
    <t>RUA CASTRIOTO</t>
  </si>
  <si>
    <t>1556</t>
  </si>
  <si>
    <t>25615-142</t>
  </si>
  <si>
    <t>MARCOS VINICIUS FERREIRA SANTIAGO</t>
  </si>
  <si>
    <t>09083680703</t>
  </si>
  <si>
    <t>Seg, Qua, Qui e Sex: 08:00 às 11:30 - Intervalo: N/A - Pausa: N/A - Folga: Sáb e Dom</t>
  </si>
  <si>
    <t>FC0073</t>
  </si>
  <si>
    <t>00908368/00703 - RJ</t>
  </si>
  <si>
    <t>08:00 às 11:30</t>
  </si>
  <si>
    <t>AVENIDA MARCIANO MAGALHÃES</t>
  </si>
  <si>
    <t>20</t>
  </si>
  <si>
    <t>25630-405</t>
  </si>
  <si>
    <t>MARIA DA CONCEICAO DA COSTA</t>
  </si>
  <si>
    <t>07127661707</t>
  </si>
  <si>
    <t>AG0673</t>
  </si>
  <si>
    <t>00063222/00062 - MG</t>
  </si>
  <si>
    <t>VILA JACOB KLING</t>
  </si>
  <si>
    <t>247</t>
  </si>
  <si>
    <t>25680-000</t>
  </si>
  <si>
    <t>MARIA DO SOCORRO PEREIRA DE LIMA</t>
  </si>
  <si>
    <t>Ter: 08:00 às 11:30 / Sáb 08:00 às 12:30 - Intervalo: N/A - Pausa: N/A - Folga:  Dom</t>
  </si>
  <si>
    <t>74641905487</t>
  </si>
  <si>
    <t>AG1355</t>
  </si>
  <si>
    <t>07464190/05487 - RJ</t>
  </si>
  <si>
    <t>RUA DOUTOR MARIO PINHEIRO</t>
  </si>
  <si>
    <t>56</t>
  </si>
  <si>
    <t>VILA FLUMINENSE</t>
  </si>
  <si>
    <t>26060-200</t>
  </si>
  <si>
    <t>MARIA LORENA DE ARAUJO DOS SANTOS</t>
  </si>
  <si>
    <t>FC016</t>
  </si>
  <si>
    <t>16252803782</t>
  </si>
  <si>
    <t>FC0235</t>
  </si>
  <si>
    <t>Seg e Qui - 08:00 às 12:00 - Intervalo: N/A - Pausa: N/A - Folga: N/A</t>
  </si>
  <si>
    <t>RUA 8</t>
  </si>
  <si>
    <t>05</t>
  </si>
  <si>
    <t>MARIA REGINA SOARES DE OLIVEIRA DE FREITAS</t>
  </si>
  <si>
    <t>08988467736</t>
  </si>
  <si>
    <t>AG0941</t>
  </si>
  <si>
    <t>05730266/00030 - RJ</t>
  </si>
  <si>
    <t>Qui  - 08:00 às 12:00 - Intervalo: N/A - Pausa: N/A - Folga: N/A</t>
  </si>
  <si>
    <t>ESTRADA JERONIMO F. ALVES</t>
  </si>
  <si>
    <t>MARIANA DOS SANTOS DE OLIVEIRA</t>
  </si>
  <si>
    <t>06468392764</t>
  </si>
  <si>
    <t>FC0304</t>
  </si>
  <si>
    <t>01610916/08750 - RJ</t>
  </si>
  <si>
    <t>FC017</t>
  </si>
  <si>
    <t>Seg à Sex - 07:30 às 11:30 - Intervalo: N/A - Pausa: N/A - Folga: N/A</t>
  </si>
  <si>
    <t xml:space="preserve">RUA ALFREDO SCHILICK </t>
  </si>
  <si>
    <t>719</t>
  </si>
  <si>
    <t>CHACARA FLORA</t>
  </si>
  <si>
    <t>25635-201</t>
  </si>
  <si>
    <t>MATEUS DOS SANTOS GOMES GONZAGA</t>
  </si>
  <si>
    <t>06654537793</t>
  </si>
  <si>
    <t>FC0239</t>
  </si>
  <si>
    <t>RUA CEARA</t>
  </si>
  <si>
    <t>25651-270</t>
  </si>
  <si>
    <t>MAURICIO RIBEIRO DA ROCHA</t>
  </si>
  <si>
    <t>08416627703</t>
  </si>
  <si>
    <t>MC0096</t>
  </si>
  <si>
    <t>Sáb - 07:30 às 11:30 - Intervalo: N/A - Pausa: N/A - Folga: N/A</t>
  </si>
  <si>
    <t>ESTRADA NOSSA SENHORA DA GLORIA</t>
  </si>
  <si>
    <t>158</t>
  </si>
  <si>
    <t>GLORIA</t>
  </si>
  <si>
    <t>25720-265</t>
  </si>
  <si>
    <t xml:space="preserve">MONICA DE ANDRADE FERNANDES </t>
  </si>
  <si>
    <t>108854547-58</t>
  </si>
  <si>
    <t>AG0403</t>
  </si>
  <si>
    <t>FC018</t>
  </si>
  <si>
    <t>Ter - 14:00 às 17:00 - Intervalo: N/A - Pausa: N/A - Folga: N/A</t>
  </si>
  <si>
    <t>RUA MANUEL FRANCISCO DE PAULA</t>
  </si>
  <si>
    <t>MONIQUE ELIEZER</t>
  </si>
  <si>
    <t>15332883722</t>
  </si>
  <si>
    <t>FC0289</t>
  </si>
  <si>
    <t>FC020</t>
  </si>
  <si>
    <t>RUA ALFREDO SCHILICK</t>
  </si>
  <si>
    <t>364</t>
  </si>
  <si>
    <t>CHÁCARA FLORA</t>
  </si>
  <si>
    <t>MONIQUE MEDEIROS PLANZ</t>
  </si>
  <si>
    <t>06123474782</t>
  </si>
  <si>
    <t>Seg à Sex - 07:40 às 17:00 - Sáb e Dom Alternados - 07:40 às 17:00 - Intervalo: 12h - 14h - Pausa: N/A - Folga: Sáb e Dom Alternados</t>
  </si>
  <si>
    <t>FC0280</t>
  </si>
  <si>
    <t>07:40 às 17:00</t>
  </si>
  <si>
    <t>00612347/04782 - RJ</t>
  </si>
  <si>
    <t>RUA DA CONQUISTA</t>
  </si>
  <si>
    <t>1270</t>
  </si>
  <si>
    <t>25715-366</t>
  </si>
  <si>
    <t>NELCILEA TAVARES RABELO</t>
  </si>
  <si>
    <t>61262149355</t>
  </si>
  <si>
    <t>AG1147</t>
  </si>
  <si>
    <t>Sáb e Dom Alternados - 07:40 às 17:00 - Intervalo: 12h - 14h - Pausa: N/A - Folga: N/A</t>
  </si>
  <si>
    <t>FC022</t>
  </si>
  <si>
    <t>RUA ESPERANCA</t>
  </si>
  <si>
    <t>89A</t>
  </si>
  <si>
    <t xml:space="preserve">RECREIO </t>
  </si>
  <si>
    <t>22795-135</t>
  </si>
  <si>
    <t>NICHOLAS DO VALLE DE SOUZA</t>
  </si>
  <si>
    <t>20790205793</t>
  </si>
  <si>
    <t>FC0295</t>
  </si>
  <si>
    <t>02079020/05793 - RJ</t>
  </si>
  <si>
    <t>Sex - 08:00 às 12:00 - Intervalo: N/A - Pausa: N/A - Folga: N/A</t>
  </si>
  <si>
    <t>RUA VEREADOR JOAO FERREIRA DE CASTRO</t>
  </si>
  <si>
    <t>789</t>
  </si>
  <si>
    <t>25630-280</t>
  </si>
  <si>
    <t>NILZETE SIQUEIRA DOS SANTOS</t>
  </si>
  <si>
    <t>00663935156</t>
  </si>
  <si>
    <t>MC0083</t>
  </si>
  <si>
    <t>FC023</t>
  </si>
  <si>
    <t>RUA ANA BARBOSA PEREIRA</t>
  </si>
  <si>
    <t>100</t>
  </si>
  <si>
    <t>PORTAO VERMELHO</t>
  </si>
  <si>
    <t>25808-200</t>
  </si>
  <si>
    <t xml:space="preserve">NIVALDO DE SOUZA MENEZES </t>
  </si>
  <si>
    <t>87833603791</t>
  </si>
  <si>
    <t>AG0999</t>
  </si>
  <si>
    <t xml:space="preserve">Seg à Sex - 08:00 às 17:00, Sáb 08:00 às 12:00 - Intervalo: 12h - 13h - Pausa: N/A - Folga: Dom </t>
  </si>
  <si>
    <t>ESTRADA UNIÃO E INDUSTRIA</t>
  </si>
  <si>
    <t>605</t>
  </si>
  <si>
    <t>25715-131</t>
  </si>
  <si>
    <t>PALOMA MARIA GONÇALVES SAMPAIO</t>
  </si>
  <si>
    <t>10089871740</t>
  </si>
  <si>
    <t>FC0111</t>
  </si>
  <si>
    <t>01008987/01740 - RJ</t>
  </si>
  <si>
    <t>ESTRADA DO INDEPENDENCIA</t>
  </si>
  <si>
    <t>2252</t>
  </si>
  <si>
    <t>25645-343</t>
  </si>
  <si>
    <t>PAULO CEZAR PEREIRA</t>
  </si>
  <si>
    <t>00245393765</t>
  </si>
  <si>
    <t>AG0950</t>
  </si>
  <si>
    <t>ESTRADA PALMITAL</t>
  </si>
  <si>
    <t>849</t>
  </si>
  <si>
    <t>12 por 36 - 08:00 às 20:00 - Intervalo: 00h - 01h - Pausa: 04h - 04h15 - Folga: N/A</t>
  </si>
  <si>
    <t>PEDRO HENRIQUE HORTENCIO EVANGELISTA</t>
  </si>
  <si>
    <t>06446765746</t>
  </si>
  <si>
    <t>MC0099</t>
  </si>
  <si>
    <t>00644676/05746 - RJ</t>
  </si>
  <si>
    <t>08:00 às 20:00</t>
  </si>
  <si>
    <t>RUA PEDRO IVO</t>
  </si>
  <si>
    <t>504</t>
  </si>
  <si>
    <t>RAQUEL DORIGO DE ARAUJO MARTINS DE SOUZA</t>
  </si>
  <si>
    <t>12056713748</t>
  </si>
  <si>
    <t>MC0076</t>
  </si>
  <si>
    <t>01205671/03748 - RJ</t>
  </si>
  <si>
    <t>RUA MARIO GELLI</t>
  </si>
  <si>
    <t>242</t>
  </si>
  <si>
    <t>25665-455</t>
  </si>
  <si>
    <t>RAQUEL SAMUEL DA SILVA</t>
  </si>
  <si>
    <t>114593537-06</t>
  </si>
  <si>
    <t>AG0457</t>
  </si>
  <si>
    <t>RUA WALDEMAR VIEIRA AFONSO</t>
  </si>
  <si>
    <t>32</t>
  </si>
  <si>
    <t>25715-402</t>
  </si>
  <si>
    <t>RENAN DE OLIVEIRA</t>
  </si>
  <si>
    <t>12 por 36 - 20:00 às 08:00 - Intervalo: 00h - 01h - Pausa: 04h - 04h15 - Folga: N/A</t>
  </si>
  <si>
    <t>10640148794</t>
  </si>
  <si>
    <t>20:00 às 08:00</t>
  </si>
  <si>
    <t>AG0861</t>
  </si>
  <si>
    <t>1924</t>
  </si>
  <si>
    <t>RENATA DA CONCEICAO DOS SANTOS</t>
  </si>
  <si>
    <t>08565399702</t>
  </si>
  <si>
    <t>AG0746</t>
  </si>
  <si>
    <t>RENATA DOS SANTOS MACHADO</t>
  </si>
  <si>
    <t>12383025720</t>
  </si>
  <si>
    <t>FC0281</t>
  </si>
  <si>
    <t>01238302/05720 - RJ</t>
  </si>
  <si>
    <t>FC024</t>
  </si>
  <si>
    <t>Seg, Qua e Sex - 08:00 às 17:00 - Intervalo: 12h - 13h - Pausa: N/A - Folga: N/A</t>
  </si>
  <si>
    <t>ROBERTA DOS SANTOS MACHADO</t>
  </si>
  <si>
    <t>12113574730</t>
  </si>
  <si>
    <t>FC0309</t>
  </si>
  <si>
    <t>01211357/04730 - RJ</t>
  </si>
  <si>
    <t>FC032</t>
  </si>
  <si>
    <t>LOTEAMENTO VISTA ALEGRE</t>
  </si>
  <si>
    <t>2</t>
  </si>
  <si>
    <t>ROGERIO DE SOUZA BARBOSA</t>
  </si>
  <si>
    <t>15640626780</t>
  </si>
  <si>
    <t>FC0291</t>
  </si>
  <si>
    <t>Quarteirão Brasileiro</t>
  </si>
  <si>
    <t>Seg, Qua e Sex - 08:30 às 11:30 - Intervalo: N/A - Pausa: N/A - Folga: Dom e Fer</t>
  </si>
  <si>
    <t>08:30 às 11:30</t>
  </si>
  <si>
    <t>RUA PROFESSOR JOAO DE DEUS</t>
  </si>
  <si>
    <t>638</t>
  </si>
  <si>
    <t>ROSELI PEREIRA DOS SANTOS</t>
  </si>
  <si>
    <t>03626616770</t>
  </si>
  <si>
    <t>FC0219</t>
  </si>
  <si>
    <t>00362661/06770 - RJ</t>
  </si>
  <si>
    <t>FC033</t>
  </si>
  <si>
    <t>SERVIDÃO ELZA BARBOSA</t>
  </si>
  <si>
    <t>25680-400</t>
  </si>
  <si>
    <t>Seg a Sex- 13:10 às 14:10 - Intervalo: N/A - Pausa: N/A - Folga: N/A</t>
  </si>
  <si>
    <t>RUY SUPIMPA</t>
  </si>
  <si>
    <t>08043335729</t>
  </si>
  <si>
    <t>AG0949</t>
  </si>
  <si>
    <t>RUA OTTO REYMARUS</t>
  </si>
  <si>
    <t>403</t>
  </si>
  <si>
    <t>25635-142</t>
  </si>
  <si>
    <t>SAIONARA GONCALVES DE SOUZA FERNANDES</t>
  </si>
  <si>
    <t>06535450708</t>
  </si>
  <si>
    <t>FC0301</t>
  </si>
  <si>
    <t>FC034</t>
  </si>
  <si>
    <t>SERVIDÃO MARIA DE LOURDES ESPINDOLA SOUZA</t>
  </si>
  <si>
    <t>SAMIRA BEZERRA DA SILVA</t>
  </si>
  <si>
    <t>16825954717</t>
  </si>
  <si>
    <t>FC0296</t>
  </si>
  <si>
    <t>765</t>
  </si>
  <si>
    <t>Qui - 09:00 às 13:00 - Intervalo: N/A - Pausa: N/A - Folga: N/A</t>
  </si>
  <si>
    <t>SERGIO LUIZ DOS SANTOS ROCHA</t>
  </si>
  <si>
    <t>71240560710</t>
  </si>
  <si>
    <t>MC0058</t>
  </si>
  <si>
    <t>07124056/00710 - RJ</t>
  </si>
  <si>
    <t>RUA PEDRO JOSE MULLER</t>
  </si>
  <si>
    <t>306</t>
  </si>
  <si>
    <t>25640-220</t>
  </si>
  <si>
    <t>SIMONE CRISTINA RODRIGUES</t>
  </si>
  <si>
    <t>09710979760</t>
  </si>
  <si>
    <t>AG0930</t>
  </si>
  <si>
    <t>Teresópolis</t>
  </si>
  <si>
    <t>FC038</t>
  </si>
  <si>
    <t>MISTO</t>
  </si>
  <si>
    <t>ESTRADA BREJAU</t>
  </si>
  <si>
    <t>3</t>
  </si>
  <si>
    <t>GRANJA MAFRA</t>
  </si>
  <si>
    <t>25980-330</t>
  </si>
  <si>
    <t>TARSO PESSURNO NUNES DA SILVA</t>
  </si>
  <si>
    <t>91902614704</t>
  </si>
  <si>
    <t>FC0164</t>
  </si>
  <si>
    <t>09190261/04704 - RJ</t>
  </si>
  <si>
    <t xml:space="preserve">Seg à Qui - 21:00 às 05:20 - Intervalo: 1h - 2h - Sáb e Dom  09:00 às 21:00 - Intervalo: 1h - 2h - Pausa: N/A - Folga: Sex e 2º Dom - </t>
  </si>
  <si>
    <t>21:00 às 05:20</t>
  </si>
  <si>
    <t>AVENIDA GENERAL MARCIANO MAGALHÃES</t>
  </si>
  <si>
    <t>1071</t>
  </si>
  <si>
    <t>25630-025</t>
  </si>
  <si>
    <t>THAINA SANTOS DA COSTA</t>
  </si>
  <si>
    <t>13381951742</t>
  </si>
  <si>
    <t>FC0275</t>
  </si>
  <si>
    <t>01338195/01742 - RJ</t>
  </si>
  <si>
    <t>09:00 às 21:00</t>
  </si>
  <si>
    <t>THALIANA CHRIST CARIUS</t>
  </si>
  <si>
    <t>12146025760</t>
  </si>
  <si>
    <t>FC0273</t>
  </si>
  <si>
    <t>Sex e Sáb - 21:00 às 09:00 - Intervalo: 01h - 02h / Dom - 21:00 às 05:20 - Intervalo: 1h - 2h - Pausa: N/A - Folga: N/A</t>
  </si>
  <si>
    <t>VILA MARIA DA GLORIA FERNANDES SCHMIDT</t>
  </si>
  <si>
    <t>VALERIA DA SILVA LACERDA</t>
  </si>
  <si>
    <t>07679884773</t>
  </si>
  <si>
    <t>AG1169</t>
  </si>
  <si>
    <t>ESTRADA DO CONTORNO</t>
  </si>
  <si>
    <t>KM 81</t>
  </si>
  <si>
    <t>CAPELA</t>
  </si>
  <si>
    <t>25730-760</t>
  </si>
  <si>
    <t>VANDERLEI JUSTINO DE ANDRADE</t>
  </si>
  <si>
    <t>05197200758</t>
  </si>
  <si>
    <t>AG0873</t>
  </si>
  <si>
    <t>FC041</t>
  </si>
  <si>
    <t>VANIA SCHIMEL</t>
  </si>
  <si>
    <t>02726064728</t>
  </si>
  <si>
    <t>2ª e 4ª Ter - 08:00 às 17:00 - Intervalo: 12h - 13h - Pausa: N/A - Folga: N/A</t>
  </si>
  <si>
    <t>AG0826</t>
  </si>
  <si>
    <t>RUA ALMIRANTE SALDANHA</t>
  </si>
  <si>
    <t>285</t>
  </si>
  <si>
    <t>CREMERIE</t>
  </si>
  <si>
    <t>25645-230</t>
  </si>
  <si>
    <t>VERA LUCIA VIEIRA DOS SANTOS</t>
  </si>
  <si>
    <t>000347597-27</t>
  </si>
  <si>
    <t>AG0471</t>
  </si>
  <si>
    <t>RUA JUIZ CASTRO E SILVA</t>
  </si>
  <si>
    <t>137</t>
  </si>
  <si>
    <t>25720-002</t>
  </si>
  <si>
    <t>VICTOR DOUGLAS COSTA FALQUE TEIXEIRA</t>
  </si>
  <si>
    <t>19473155794</t>
  </si>
  <si>
    <t>MC0097</t>
  </si>
  <si>
    <t>01947315/05794 - RJ</t>
  </si>
  <si>
    <t>1ª e 3ª Qua - 08:00 às 12:00 - Intervalo: N/A - Pausa: N/A - Folga: N/A</t>
  </si>
  <si>
    <t>RUA JOSE XAVIER</t>
  </si>
  <si>
    <t>1607</t>
  </si>
  <si>
    <t>PEDRO DO RIO</t>
  </si>
  <si>
    <t>25755-250</t>
  </si>
  <si>
    <t>VITORIA DE ASCENCAO DAS CANDEIAS</t>
  </si>
  <si>
    <t>06419688760</t>
  </si>
  <si>
    <t>FC0242</t>
  </si>
  <si>
    <t>SERVIDÃO ELISA MUSSEL PEIXOTO</t>
  </si>
  <si>
    <t>93</t>
  </si>
  <si>
    <t>25615-070</t>
  </si>
  <si>
    <t>WENDEL AUGUSTO DA SILVA</t>
  </si>
  <si>
    <t>03253681718</t>
  </si>
  <si>
    <t>MC0042</t>
  </si>
  <si>
    <t>FC042</t>
  </si>
  <si>
    <t>Seg - 08:00 às 11:00 - Intervalo: N/A - Pausa: N/A - Folga: N/A</t>
  </si>
  <si>
    <t>1708</t>
  </si>
  <si>
    <t>WESLEY MONTEIRO SAMPAIO</t>
  </si>
  <si>
    <t>15747289705</t>
  </si>
  <si>
    <t>MC0102</t>
  </si>
  <si>
    <t>01574728/09705 - RJ</t>
  </si>
  <si>
    <t>WILIAN COSTA LIMA</t>
  </si>
  <si>
    <t>09617569779</t>
  </si>
  <si>
    <t>FC0294</t>
  </si>
  <si>
    <t>00961756/09779 - RJ</t>
  </si>
  <si>
    <t>FC045</t>
  </si>
  <si>
    <t>ESTRADA DA INDEPENDENCIA</t>
  </si>
  <si>
    <t>1163</t>
  </si>
  <si>
    <t>YURI FACHINI</t>
  </si>
  <si>
    <t>05926481929</t>
  </si>
  <si>
    <t>MC0107</t>
  </si>
  <si>
    <t>00592648/01929 - RJ</t>
  </si>
  <si>
    <t>Seg à Sáb - 09:00 às 17:20 - Intervalo: 12h - 13h - Pausa: N/A - Folga: Folga Sáb e Dom Alternado</t>
  </si>
  <si>
    <t>09:00 às 17:20</t>
  </si>
  <si>
    <t>RUA JERONIMO ALVES</t>
  </si>
  <si>
    <t>25740-035</t>
  </si>
  <si>
    <t>Tipo de Contratação</t>
  </si>
  <si>
    <t>Horas Contratadas</t>
  </si>
  <si>
    <t>Categoria de CARGO</t>
  </si>
  <si>
    <t>Localização</t>
  </si>
  <si>
    <t>Admissão</t>
  </si>
  <si>
    <t>Seg à Sáb - 09:00 às 17:20 - Intervalo: 13h - 14h - Pausa: N/A - Folga: Folga Sáb e Dom Alternado</t>
  </si>
  <si>
    <t>Seg a Sáb - 09:00 às 17:20 - Intervalo: 13h - 14h - Pausa: N/A - Folga: Folga Sáb e Dom Alternado</t>
  </si>
  <si>
    <t>Seg à Sáb - 09:00 às 17:20 - Intervalo: 13h - 14h - Pausa: N/A - Folga: Domingos</t>
  </si>
  <si>
    <t>Seg à Sex - 09:00 às 18:00 / Sáb - 09:00 às 13:00 - Intervalo: 13h - 14h - Pausa: N/A - Folga: Domingos</t>
  </si>
  <si>
    <t>09:00 às 13:00</t>
  </si>
  <si>
    <t>12 por 36 - 08:00 às 20:00 - Intervalo: 12h - 13h - Pausa: 16h - 16h15 - Folga: N/A</t>
  </si>
  <si>
    <t>AG013 - LD-B/5</t>
  </si>
  <si>
    <t>Seg à Qui - 08:00 às 18:00 / Sex - 09:00 às 18:00 - Intervalo: 13h - 14h - Pausa: 11h - 11h15 - Folga: Sáb e Dom</t>
  </si>
  <si>
    <t>AG065 - PNFA/U</t>
  </si>
  <si>
    <t>AG045 - LD-C/1</t>
  </si>
  <si>
    <t>ZELAD</t>
  </si>
  <si>
    <t>AG011 - LD-B/1</t>
  </si>
  <si>
    <t>AG045 - LD-B/3</t>
  </si>
  <si>
    <t>AG029 - LD-B/4</t>
  </si>
  <si>
    <t>FC047</t>
  </si>
  <si>
    <t>AG050 - PN-A/1</t>
  </si>
  <si>
    <t>TOP HOUSE</t>
  </si>
  <si>
    <t>Seg à Sex - 08:00 às 12:00 - Intervalo: N/A - Pausa: N/A - Folga: N/A</t>
  </si>
  <si>
    <t>AG009c - LD-C/1</t>
  </si>
  <si>
    <t>FC048</t>
  </si>
  <si>
    <t>Seg à Sex - 10:00 às 18:20 / Sáb e Dom Alternados - 10:00 às 18:20 - Intervalo: 13h - 14h - Pausa: N/A - Folga: Sáb / Dom Alternados</t>
  </si>
  <si>
    <t>10:00 às 18:20</t>
  </si>
  <si>
    <t>AG013 - LD-B/4</t>
  </si>
  <si>
    <t>Sáb e Dom Alternados - 10:00 às 18:20 - Intervalo: 13h - 14h - Pausa: N/A - Folga: Escala de Feriados</t>
  </si>
  <si>
    <t>AG005 - LD-B/U</t>
  </si>
  <si>
    <t>JOSE ROBERTO AMARAL DA SILVA</t>
  </si>
  <si>
    <t>MC003 - PN-A/2</t>
  </si>
  <si>
    <t>COL - CENTRO-OESTE LOGÍSTICA</t>
  </si>
  <si>
    <t>Seg (Mensal) - 08:00 às 17:00 - Intervalo: 12h - 13h - Pausa: N/A - Folga: N/A</t>
  </si>
  <si>
    <t>AG038 - PM-C/U</t>
  </si>
  <si>
    <t>Cesta PQ</t>
  </si>
  <si>
    <t>AG029 - ENCAR</t>
  </si>
  <si>
    <t>Seg à Qui - 06:00 às 16:00 / Sex - 06:00 às 15:00 - Intervalo: 12h - 13h - Pausa: 10h - 10h15 - Folga: Sab e Dom</t>
  </si>
  <si>
    <t>MC003 - PD-A/1</t>
  </si>
  <si>
    <t>AG029 - LD-B/6</t>
  </si>
  <si>
    <t>Seg à Sex - 06:00 às 16:00 / Sáb - 07:00 às 11:00 - Intervalo: 11h - 13h - Pausa: 09h - 09h15 - Folga: Domingos</t>
  </si>
  <si>
    <t>AG009l - LD-C/U</t>
  </si>
  <si>
    <t>C. CORREAS - SUS</t>
  </si>
  <si>
    <t>AG029 - LD-B/2</t>
  </si>
  <si>
    <t>Seg à Qui - 06:00 às 16:00 / Sex - 06:00 às 15:00 - Intervalo: 11h - 12h - Pausa: 09h - 09h15 - Folga: Sáb e Dom</t>
  </si>
  <si>
    <t>FC001 - LD-B/U</t>
  </si>
  <si>
    <t>VIZOO</t>
  </si>
  <si>
    <t>FC002 - LD-B/U</t>
  </si>
  <si>
    <t>FC050</t>
  </si>
  <si>
    <t>FC048 - LD-C/2</t>
  </si>
  <si>
    <t>AG009d - LD-C/U</t>
  </si>
  <si>
    <t>FC052</t>
  </si>
  <si>
    <t xml:space="preserve"> </t>
  </si>
  <si>
    <t>Ter (Quinzenal) - 08:00 às 12:00 - Intervalo: N/A - Pausa: N/A - Folga: N/A</t>
  </si>
  <si>
    <t>AG047 - LD-C/U</t>
  </si>
  <si>
    <t>FC053</t>
  </si>
  <si>
    <t>FC054</t>
  </si>
  <si>
    <t>Qui (Quinzenal) - 08:00 às 12:00 - Intervalo: N/A - Pausa: N/A - Folga: N/A</t>
  </si>
  <si>
    <t>DADOS DO POSTO</t>
  </si>
  <si>
    <t>FC055</t>
  </si>
  <si>
    <t>DESCRIÇÃO DA ESCALA</t>
  </si>
  <si>
    <t>ESCALA DE PORTARIA</t>
  </si>
  <si>
    <t>COBERTURA DE FERIADO CONTRATUAL</t>
  </si>
  <si>
    <t>NRs</t>
  </si>
  <si>
    <t>NR do contrato</t>
  </si>
  <si>
    <t>NR do funcion</t>
  </si>
  <si>
    <t>Empresa</t>
  </si>
  <si>
    <t>Empresa do contrato</t>
  </si>
  <si>
    <t>Matricula do Funcion</t>
  </si>
  <si>
    <t>Ter (Quinzenal) - 08:00 às 17:00 - Intervalo: 12h - 13h - Pausa: N/A - Folga: N/A</t>
  </si>
  <si>
    <t>Horas</t>
  </si>
  <si>
    <t>Horas do posto ou roteiro</t>
  </si>
  <si>
    <t>Horas Contrata das do funcion</t>
  </si>
  <si>
    <t>PRIMEIRO dia das Férias</t>
  </si>
  <si>
    <t>Dia do RETORNO</t>
  </si>
  <si>
    <t>QUEM FAZ A COBERTURA</t>
  </si>
  <si>
    <t>FC062 - LD-B/1</t>
  </si>
  <si>
    <t>FC057</t>
  </si>
  <si>
    <t>AG037 - LD-B/U</t>
  </si>
  <si>
    <t>AG062 - LDEB/1</t>
  </si>
  <si>
    <t>Seg à Sex - 13:30 às 17:30 - Intervalo: N/A - Pausa: N/A - Folga: Dom e Fer</t>
  </si>
  <si>
    <t>AG011 - LD-B/4</t>
  </si>
  <si>
    <t>Seg à Sex - 06:30 às 15:30 / Sáb - 07:00 às 11:00  - Intervalo: 10h30 - 11h30 - Pausa: N/A - Folga: Domingos</t>
  </si>
  <si>
    <t>FC059</t>
  </si>
  <si>
    <t>AG023 - LD-B/2</t>
  </si>
  <si>
    <t>Qua e Sex - 08:00 às 17:00 - Intervalo: 12h às 13h - Pausa: N/A - Folga: N/A</t>
  </si>
  <si>
    <t>Seg à Sex - 08:00 às 17:00 / Sáb - 08:00 às 12:00 - Intervalo: 12h - 13h - Pausa: N/A - Folga: Domingos</t>
  </si>
  <si>
    <t>FC062</t>
  </si>
  <si>
    <t>ENCAR</t>
  </si>
  <si>
    <t>Seg à Dom - 07:45 às 16:35 - Intervalo: 11:30h - 13h - Pausa: N/A - Folga: Sáb e Dom alternado</t>
  </si>
  <si>
    <t>FC077 - LD-B/U</t>
  </si>
  <si>
    <t>AG009e - LD-B/U</t>
  </si>
  <si>
    <t>C. CORREAS - MATRIZ</t>
  </si>
  <si>
    <t>AG029 - LD-B/7</t>
  </si>
  <si>
    <t>AG063 - LD-C/U</t>
  </si>
  <si>
    <t>AG017 - LD-C/U</t>
  </si>
  <si>
    <t>FC048 - PD-A/2</t>
  </si>
  <si>
    <t>FC074 - LD-A/1</t>
  </si>
  <si>
    <t>Seg à Sex - 11:00 às 19:20, Sáb/Dom - 10:00 às 18:20 - Intervalo: 15h - 16h - Pausa: N/A - Folga: Sáb e Dom alternado</t>
  </si>
  <si>
    <t>11:00 às 19:20</t>
  </si>
  <si>
    <t>FC011 - LD-B/1</t>
  </si>
  <si>
    <t>AG050 - LD-C/U</t>
  </si>
  <si>
    <t>AG023 - PN-A/2</t>
  </si>
  <si>
    <t>AG005 - PD-A/2</t>
  </si>
  <si>
    <t>Seg à Sex - 13:30 às 15:20 - Intervalo: N/A - Pausa: N/A - Folga: N/A</t>
  </si>
  <si>
    <t>AG062 - LD-B/2</t>
  </si>
  <si>
    <t>Sáb e Dom alternados - 08:00 às 16:20 - Intervalo: 12h - 13h - Pausa: N/A - Folga: Sáb e Dom alternado</t>
  </si>
  <si>
    <t>FC048 - PN-A/1</t>
  </si>
  <si>
    <t>MC002 - LD-B/U</t>
  </si>
  <si>
    <t>ÁGUAS DA CONDESSA</t>
  </si>
  <si>
    <t>FC063</t>
  </si>
  <si>
    <t>Seg, Qua e Sex - 13:30 às 16:15 - Intervalo: N/A - Pausa: N/A - Folga: N/A</t>
  </si>
  <si>
    <t>AG019 - LD-B/U</t>
  </si>
  <si>
    <t>FINNA FORMA</t>
  </si>
  <si>
    <t>Seg à Sex - 08:00 às 17:00 / Sáb - 09:00 às 13:00 - Intervalo: 12h - 13h - Pausa: N/A - Folga: Dom e Feriados</t>
  </si>
  <si>
    <t>FC064</t>
  </si>
  <si>
    <t>FC066</t>
  </si>
  <si>
    <t>AG062 - LD-B/8</t>
  </si>
  <si>
    <t>Seg à Qui - 07:00 às 17:00 / Sex - 07:00 às 16:00 - Intervalo: 11h - 12h - Pausa: N/A - Folga: Dom e Fer</t>
  </si>
  <si>
    <t>FC068</t>
  </si>
  <si>
    <t>FC045 - LD-B/1</t>
  </si>
  <si>
    <t>Seg - 13:00 às 17:00 - Intervalo: N/A - Pausa: N/A - Folga: N/A</t>
  </si>
  <si>
    <t>13:00 às 17:00</t>
  </si>
  <si>
    <t>FC069</t>
  </si>
  <si>
    <t>Seg a Sáb 08:00 às 12:00 - Intervalo: N/A - Pausa: N/A - Folga: Domi</t>
  </si>
  <si>
    <t>FC074</t>
  </si>
  <si>
    <t>FC017 - LD-C/1</t>
  </si>
  <si>
    <t>12 por 36 - 09:00 às 21:00 - Intervalo: 13h - 14h - Pausa: 18h - 18h15 - Folga: N/A</t>
  </si>
  <si>
    <t>09:00 ás 21:00</t>
  </si>
  <si>
    <t>FC075</t>
  </si>
  <si>
    <t>AG011 - LD-B/2</t>
  </si>
  <si>
    <t>Seg à Qui - 07:00 às 17:00 / Sex - 07:00 às 16:00 - Intervalo: 12h - 13h - Pausa: N/A - Folga: Domingos</t>
  </si>
  <si>
    <t>FC062 - LDEC/2</t>
  </si>
  <si>
    <t>AG007 - LD-B/U</t>
  </si>
  <si>
    <t>Ter e Qui - 13:30 às 17:30 - Intervalo: N/A - Pausa: N/A - Folga: N/A</t>
  </si>
  <si>
    <t>FC076</t>
  </si>
  <si>
    <t xml:space="preserve"> Qui (Quinzenal) - 08:00 às 17:00 - Intervalo: 12h - 13h - Pausa: N/A - Folga: N/A</t>
  </si>
  <si>
    <t>FC077</t>
  </si>
  <si>
    <t>MARIA REGINA SOARES</t>
  </si>
  <si>
    <t>FC063 - LD-C/U</t>
  </si>
  <si>
    <t>Seg à Qui - 08:00 às 18:00 / Sex - 08:00 às 17:00 - Intervalo: 12h - 13h - Pausa: N/A - Folga: Dom e Fer</t>
  </si>
  <si>
    <t>08:00 às 18:00</t>
  </si>
  <si>
    <t>MC003</t>
  </si>
  <si>
    <t>AG029 - LD-B/3</t>
  </si>
  <si>
    <t>Seg à Sex - 06:00 às 16:00 / Sáb - 07:00 às 11:00 - Intervalo: 12h - 14h - Pausa: 10h - 10h15 - Folga: Domingos</t>
  </si>
  <si>
    <t>FC009e - LD-B/1</t>
  </si>
  <si>
    <t>AG029 - LD-B/5</t>
  </si>
  <si>
    <t>AG045 - MD-B/U</t>
  </si>
  <si>
    <t>MC005</t>
  </si>
  <si>
    <t>Sex - 08:00 às 17:00 - Intervalo: 12h - 13h - Pausa: N/A - Folga: N/A</t>
  </si>
  <si>
    <t>FC062 - LD-B/2</t>
  </si>
  <si>
    <t>AG029 - JD-C/U</t>
  </si>
  <si>
    <t>Seg à Sex - 06:00 às 10:00 - Intervalo: N/A - Pausa: N/A - Folga: Sab e Dom</t>
  </si>
  <si>
    <t>AG029 - LD-B/8</t>
  </si>
  <si>
    <t>AG029 - JD-B/U</t>
  </si>
  <si>
    <t>FC020 - LD-B/U</t>
  </si>
  <si>
    <t>AG029 - LN-B/2</t>
  </si>
  <si>
    <t>Seg à Dom - 21:40 às 06:00 - Intervalo: 01h - 02h - Pausa: N/A - Folga: Sab e Dom alternados</t>
  </si>
  <si>
    <t>AG029 - LD-B/1</t>
  </si>
  <si>
    <t>Seg à Qui - 06:00 às 16:00 / Sex - 06:00 às 15:00 - Intervalo: 12h - 13h - Pausa: 10h - 10h15 - Folga: Sáb e Dom</t>
  </si>
  <si>
    <t>AG029 - LN-B/1</t>
  </si>
  <si>
    <t>FC009a - LD-C/1</t>
  </si>
  <si>
    <t>FC009r - LD-C/U</t>
  </si>
  <si>
    <t>AG045 - LD-B/1</t>
  </si>
  <si>
    <t>FC017 - LD-C/2</t>
  </si>
  <si>
    <t>FC050 - LD-C/U</t>
  </si>
  <si>
    <t>FC062 - LDEC/1</t>
  </si>
  <si>
    <t>AG062 - LD-B/6</t>
  </si>
  <si>
    <t>FC045 - PD-A/4</t>
  </si>
  <si>
    <t>FC045 - PD-A/2</t>
  </si>
  <si>
    <t>FC009c - LD-C/1</t>
  </si>
  <si>
    <t>FC009d - LD-C/U</t>
  </si>
  <si>
    <t>FC042 - LD-C/U</t>
  </si>
  <si>
    <t>AG014 - MD-C/U</t>
  </si>
  <si>
    <t>FC068 - LD-C/U</t>
  </si>
  <si>
    <t>MC005 - LD-C/U</t>
  </si>
  <si>
    <t>FC048 - PD-A/1</t>
  </si>
  <si>
    <t>FC045 - PN-A/3</t>
  </si>
  <si>
    <t>FC045 - PN-A/1</t>
  </si>
  <si>
    <t>FC008 - PD-C/1</t>
  </si>
  <si>
    <t>FC008 - PD-C/2</t>
  </si>
  <si>
    <t>AG013 - LDEB/U</t>
  </si>
  <si>
    <t>FC011 - LD-B/3</t>
  </si>
  <si>
    <t>codigo_cliente</t>
  </si>
  <si>
    <t>razao_social</t>
  </si>
  <si>
    <t>cnpj</t>
  </si>
  <si>
    <t>nome_responsavel</t>
  </si>
  <si>
    <t>telefone_responsavel</t>
  </si>
  <si>
    <t>cep</t>
  </si>
  <si>
    <t>logradouro</t>
  </si>
  <si>
    <t>numero</t>
  </si>
  <si>
    <t>complemento</t>
  </si>
  <si>
    <t>bairro</t>
  </si>
  <si>
    <t>cidade</t>
  </si>
  <si>
    <t>uf</t>
  </si>
  <si>
    <t>gestor_operacional</t>
  </si>
  <si>
    <t>Posto do Gestor</t>
  </si>
  <si>
    <t>periodicidade_visita</t>
  </si>
  <si>
    <t>ranking_prioridades</t>
  </si>
  <si>
    <t>escopo_trabalho</t>
  </si>
  <si>
    <t>ALFA SERRANA</t>
  </si>
  <si>
    <t>28.462.927/0001-62</t>
  </si>
  <si>
    <t>Gabriela</t>
  </si>
  <si>
    <t>24 98802-3530</t>
  </si>
  <si>
    <t>25625-140</t>
  </si>
  <si>
    <t>Rua Professor Pinto Ferreira</t>
  </si>
  <si>
    <t>Petrópolis</t>
  </si>
  <si>
    <t>Brenda</t>
  </si>
  <si>
    <t>Coordenador ADM</t>
  </si>
  <si>
    <t>Bimestral</t>
  </si>
  <si>
    <t>C04</t>
  </si>
  <si>
    <t>ANAPOLY - CONDOMINIO</t>
  </si>
  <si>
    <t>17.901.124/0001-40</t>
  </si>
  <si>
    <t xml:space="preserve">Antonio </t>
  </si>
  <si>
    <t>24 98881-6144</t>
  </si>
  <si>
    <t>25710-180</t>
  </si>
  <si>
    <t>Rua Hyvio Naliato</t>
  </si>
  <si>
    <t>—</t>
  </si>
  <si>
    <t>Cascatinha</t>
  </si>
  <si>
    <t>Wiliam</t>
  </si>
  <si>
    <t>Supervisor 02</t>
  </si>
  <si>
    <t>Sob Demanda</t>
  </si>
  <si>
    <t>C13</t>
  </si>
  <si>
    <t>ARMAZENS RENATO</t>
  </si>
  <si>
    <t>31.121.320/0001-23</t>
  </si>
  <si>
    <t>Gerson Renato Sutter</t>
  </si>
  <si>
    <t>FC045 - PN-A/4</t>
  </si>
  <si>
    <t>24 99832-5321</t>
  </si>
  <si>
    <t>25625-022</t>
  </si>
  <si>
    <t>Rua Teresa</t>
  </si>
  <si>
    <t>SL 202</t>
  </si>
  <si>
    <t>Supervisor 01</t>
  </si>
  <si>
    <t>Mensal</t>
  </si>
  <si>
    <t>B06</t>
  </si>
  <si>
    <t>BRAL- MAX</t>
  </si>
  <si>
    <t>01.399.482/0001-67</t>
  </si>
  <si>
    <t>Roberta</t>
  </si>
  <si>
    <t>24 99911-7347</t>
  </si>
  <si>
    <t>25630-021</t>
  </si>
  <si>
    <t>Avenida General Marciano Magalhães</t>
  </si>
  <si>
    <t>B01</t>
  </si>
  <si>
    <t>C. CORREAS - ABC</t>
  </si>
  <si>
    <t>31.161.235/0013-22</t>
  </si>
  <si>
    <t>Alex</t>
  </si>
  <si>
    <t>24 98809-0492</t>
  </si>
  <si>
    <t>25625-026</t>
  </si>
  <si>
    <t>A01</t>
  </si>
  <si>
    <t>C. CORREAS - BAUHAUS</t>
  </si>
  <si>
    <t>31.161.235/0002-70</t>
  </si>
  <si>
    <t>25680-199</t>
  </si>
  <si>
    <t>Rua Nelson de Sá Earp</t>
  </si>
  <si>
    <t>Sobreloja</t>
  </si>
  <si>
    <t>Quinzenal</t>
  </si>
  <si>
    <t>C. CORREAS - CASCATINHA</t>
  </si>
  <si>
    <t>31.161.235/0012-41</t>
  </si>
  <si>
    <t>25655-320</t>
  </si>
  <si>
    <t>Rua Hyvio Natalino</t>
  </si>
  <si>
    <t>C. CORREAS - ITAIPAVA</t>
  </si>
  <si>
    <t>31.161.235/0011-60</t>
  </si>
  <si>
    <t>25750-226</t>
  </si>
  <si>
    <t>Estrada União e Indústria</t>
  </si>
  <si>
    <t>04.237.600/0001-29</t>
  </si>
  <si>
    <t>25730-040</t>
  </si>
  <si>
    <t>Rua Rodolfo Figueira de Melo</t>
  </si>
  <si>
    <t>Correias</t>
  </si>
  <si>
    <t>C. CORREAS - N. IGUAÇU GV</t>
  </si>
  <si>
    <t>30.808.497/0006-44</t>
  </si>
  <si>
    <t>26210-170</t>
  </si>
  <si>
    <t>Rua Getúlio Vargas</t>
  </si>
  <si>
    <t>C. CORREAS - N. IGUAÇU OT</t>
  </si>
  <si>
    <t>30.808.497/0001-30</t>
  </si>
  <si>
    <t>26210-200</t>
  </si>
  <si>
    <t>Rua Otávio Tarquino</t>
  </si>
  <si>
    <t>C. CORREAS - N. FRIBURGO COLETA</t>
  </si>
  <si>
    <t>68.665.868/0001-44</t>
  </si>
  <si>
    <t>28625-340</t>
  </si>
  <si>
    <t>Praça 1º de Maio</t>
  </si>
  <si>
    <t>Olaria</t>
  </si>
  <si>
    <t>C. CORREAS - N. FRIBURGO MATRIZ</t>
  </si>
  <si>
    <t>31.161.235/0001-99</t>
  </si>
  <si>
    <t>28613-050</t>
  </si>
  <si>
    <t>Travessa São João</t>
  </si>
  <si>
    <t>C. CORREAS - BAUHAUS KIDS</t>
  </si>
  <si>
    <t>FC008 - PN-C/U</t>
  </si>
  <si>
    <t>C. CORREAS - SJVRP</t>
  </si>
  <si>
    <t>31.161.235/0010-80</t>
  </si>
  <si>
    <t>25865-000</t>
  </si>
  <si>
    <t>Praça João Werneck</t>
  </si>
  <si>
    <t>São José do Vale do Rio Preto</t>
  </si>
  <si>
    <t>31.161.235/0009-46</t>
  </si>
  <si>
    <t>25655-010</t>
  </si>
  <si>
    <t>Rua Castro Alves</t>
  </si>
  <si>
    <t>C. CORREAS - TERESOPOLIS</t>
  </si>
  <si>
    <t>31.161.235/0014-03</t>
  </si>
  <si>
    <t>25953-160</t>
  </si>
  <si>
    <t>Praça Baltazar da Silveira</t>
  </si>
  <si>
    <t>Loja</t>
  </si>
  <si>
    <t>Várzea</t>
  </si>
  <si>
    <t>C. CORREAS - TRES RIOS - COLETA</t>
  </si>
  <si>
    <t>31.845.472/0001-79</t>
  </si>
  <si>
    <t>25802-170</t>
  </si>
  <si>
    <t>Rua Marechal Deodoro</t>
  </si>
  <si>
    <t>C. CORREAS - MIGUEL PEREIRA</t>
  </si>
  <si>
    <t>31.161.235/0017-56</t>
  </si>
  <si>
    <t>26900-000</t>
  </si>
  <si>
    <t>Avenida Roberto Silveira</t>
  </si>
  <si>
    <t>Loja B Parte</t>
  </si>
  <si>
    <t>C. CORREAS - UNIMED</t>
  </si>
  <si>
    <t>08.762.109/0001-78</t>
  </si>
  <si>
    <t>25680-040</t>
  </si>
  <si>
    <t>Rua dos Expedicionários</t>
  </si>
  <si>
    <t>C. CORREAS - XEREM</t>
  </si>
  <si>
    <t>31.161.235/0005-12</t>
  </si>
  <si>
    <t>25243-150</t>
  </si>
  <si>
    <t>Praça da Mantiqueira</t>
  </si>
  <si>
    <t>Galeria Estrela de Davi</t>
  </si>
  <si>
    <t>Xerém</t>
  </si>
  <si>
    <t>Duque de Caxias</t>
  </si>
  <si>
    <t>C. CORREAS - INCONFIDENCIA</t>
  </si>
  <si>
    <t>31.845.472/0005-00</t>
  </si>
  <si>
    <t>25680-007</t>
  </si>
  <si>
    <t>Praça da Inconfidência</t>
  </si>
  <si>
    <t>C. CORREAS - TERESÓPOLIS COLETA</t>
  </si>
  <si>
    <t>31.161.235/0019-18</t>
  </si>
  <si>
    <t>Avenida Oliveira Botelho</t>
  </si>
  <si>
    <t>Loja 2</t>
  </si>
  <si>
    <t xml:space="preserve">Alto </t>
  </si>
  <si>
    <t>C. CORREAS - RAUL DE LEONI</t>
  </si>
  <si>
    <t>31.161.235/0018-37</t>
  </si>
  <si>
    <t>25610-330</t>
  </si>
  <si>
    <t>Rua Raul de Leoni</t>
  </si>
  <si>
    <t>FC062 - LD-B/8</t>
  </si>
  <si>
    <t>C. CORREAS - PARAIBA DO SUL</t>
  </si>
  <si>
    <t>31.61.235/0016-75</t>
  </si>
  <si>
    <t>Rua Tiradentes</t>
  </si>
  <si>
    <t>Paraíba do Sul</t>
  </si>
  <si>
    <t>CDA</t>
  </si>
  <si>
    <t>09.517.232/0001-96</t>
  </si>
  <si>
    <t>Marcele</t>
  </si>
  <si>
    <t>24 98843-9433</t>
  </si>
  <si>
    <t>25963-081</t>
  </si>
  <si>
    <t>Avenida Feliciano Sodré</t>
  </si>
  <si>
    <t>Sala 211</t>
  </si>
  <si>
    <t>Varzea</t>
  </si>
  <si>
    <t>C11</t>
  </si>
  <si>
    <t>CENARIO DE MONET - RESIDENCIAL</t>
  </si>
  <si>
    <t>31.732.372/0001-36</t>
  </si>
  <si>
    <t>Robson Lepsch</t>
  </si>
  <si>
    <t>24 99267-0751</t>
  </si>
  <si>
    <t>25715-190</t>
  </si>
  <si>
    <t>Rua Visconde de Taunay</t>
  </si>
  <si>
    <t>Corrêas</t>
  </si>
  <si>
    <t>Semanal</t>
  </si>
  <si>
    <t>A08</t>
  </si>
  <si>
    <t>CORREAS MALL</t>
  </si>
  <si>
    <t>48.399.206/0001-62</t>
  </si>
  <si>
    <t>Renata Senna</t>
  </si>
  <si>
    <t>24 2242-2003</t>
  </si>
  <si>
    <t>25720-071</t>
  </si>
  <si>
    <t>C01</t>
  </si>
  <si>
    <t>MC003 - PN-A/1</t>
  </si>
  <si>
    <t>DIAS DE OLIVEIRA - CONDOMINIO</t>
  </si>
  <si>
    <t>09.604.970/0001-70</t>
  </si>
  <si>
    <t>Jose Almiro</t>
  </si>
  <si>
    <t>24 98813-6418</t>
  </si>
  <si>
    <t>25665-140</t>
  </si>
  <si>
    <t>Rua Sebastião Heinen</t>
  </si>
  <si>
    <t>Duarte Silveira</t>
  </si>
  <si>
    <t>C07</t>
  </si>
  <si>
    <t>DONA GUILHERMINA - CONDOMINIO</t>
  </si>
  <si>
    <t>SEM CONTRATO</t>
  </si>
  <si>
    <t>Telma</t>
  </si>
  <si>
    <t>24 98818-2877</t>
  </si>
  <si>
    <t>C09</t>
  </si>
  <si>
    <t>ESCRITORIO DO JOÃO</t>
  </si>
  <si>
    <t>Leonardo Sutter</t>
  </si>
  <si>
    <t>24 2231-6910</t>
  </si>
  <si>
    <t>25680-176</t>
  </si>
  <si>
    <t>Rua Professor Stroeler</t>
  </si>
  <si>
    <t>Sala 303</t>
  </si>
  <si>
    <t>C26</t>
  </si>
  <si>
    <t>FUNERÁRIA OSWALDO CRUZ</t>
  </si>
  <si>
    <t>29.671.468/0001-90</t>
  </si>
  <si>
    <t>Renan</t>
  </si>
  <si>
    <t>24 98807-7716</t>
  </si>
  <si>
    <t>25610-140</t>
  </si>
  <si>
    <t>Praça Oswaldo Cruz</t>
  </si>
  <si>
    <t>36 e 40</t>
  </si>
  <si>
    <t>B09</t>
  </si>
  <si>
    <t>GIÓIA - CONDOMINIO</t>
  </si>
  <si>
    <t>36.551.208/0001-46</t>
  </si>
  <si>
    <t>Sueli</t>
  </si>
  <si>
    <t>24 98808-3861</t>
  </si>
  <si>
    <t>25660-003</t>
  </si>
  <si>
    <t>Rua Bingen</t>
  </si>
  <si>
    <t>C17</t>
  </si>
  <si>
    <t>GREEN OFFICES - CONDOMINIO</t>
  </si>
  <si>
    <t>28.466.072/0001-48</t>
  </si>
  <si>
    <t>Ualace</t>
  </si>
  <si>
    <t>24 99309-8811</t>
  </si>
  <si>
    <t>A04</t>
  </si>
  <si>
    <t>HGL ENGENHARIA LTDA</t>
  </si>
  <si>
    <t>31.276.026/0001-90</t>
  </si>
  <si>
    <t>Daniele Haubrich</t>
  </si>
  <si>
    <t xml:space="preserve"> 24 99946-7010</t>
  </si>
  <si>
    <t>25665-453</t>
  </si>
  <si>
    <t>Rua Doutor Arthur Cruz</t>
  </si>
  <si>
    <t>C02</t>
  </si>
  <si>
    <t>FC023 - PN-A/2</t>
  </si>
  <si>
    <t>MANOEL BELERIQUE</t>
  </si>
  <si>
    <t>05.852.964/0001-81</t>
  </si>
  <si>
    <t xml:space="preserve">Adriana </t>
  </si>
  <si>
    <t>24 99233-9185</t>
  </si>
  <si>
    <t>25620-010</t>
  </si>
  <si>
    <t>Rua Dom Pedro I</t>
  </si>
  <si>
    <t>C10</t>
  </si>
  <si>
    <t>MARCA INFORMATICA</t>
  </si>
  <si>
    <t>01.886.620/0001-32</t>
  </si>
  <si>
    <t>Andrea</t>
  </si>
  <si>
    <t>24 99993-4712</t>
  </si>
  <si>
    <t>25635-530</t>
  </si>
  <si>
    <t>Sala 25</t>
  </si>
  <si>
    <t>C20</t>
  </si>
  <si>
    <t>NEW GROUP TELECOM</t>
  </si>
  <si>
    <t>12.913.472/0001-14</t>
  </si>
  <si>
    <t>Camila</t>
  </si>
  <si>
    <t>24 99278-0366</t>
  </si>
  <si>
    <t>C19</t>
  </si>
  <si>
    <t>POUSADA DE ARARAS - CONDOMINIO</t>
  </si>
  <si>
    <t>25725-022</t>
  </si>
  <si>
    <t>Estrada Bernardo Coutinho</t>
  </si>
  <si>
    <t>Lote E</t>
  </si>
  <si>
    <t>B05</t>
  </si>
  <si>
    <t>PRISCILA - CONDOMINIO</t>
  </si>
  <si>
    <t>36.440.394/0001-46</t>
  </si>
  <si>
    <t>Valdir</t>
  </si>
  <si>
    <t>24 98833-9579</t>
  </si>
  <si>
    <t>Rua Dr. Eugenio Barcellos</t>
  </si>
  <si>
    <t>C16</t>
  </si>
  <si>
    <t>REDETV</t>
  </si>
  <si>
    <t>Vivian</t>
  </si>
  <si>
    <t>24 98857-4814</t>
  </si>
  <si>
    <t>25620-030</t>
  </si>
  <si>
    <t>Rua Paulo Barbosa</t>
  </si>
  <si>
    <t>C27</t>
  </si>
  <si>
    <t>SESMARIAS - CONDOMINIO</t>
  </si>
  <si>
    <t>18.995.780/0001-12</t>
  </si>
  <si>
    <t>Vinícius Barros</t>
  </si>
  <si>
    <t>21 992514607</t>
  </si>
  <si>
    <t>Estrada do Samambaia</t>
  </si>
  <si>
    <t>Samambaia</t>
  </si>
  <si>
    <t>A02</t>
  </si>
  <si>
    <t>SULTEC</t>
  </si>
  <si>
    <t>20.251.881/0001-20</t>
  </si>
  <si>
    <t>Ana</t>
  </si>
  <si>
    <t>24 98802-3120</t>
  </si>
  <si>
    <t>C08</t>
  </si>
  <si>
    <t>TARRAFAS SHOPPING - COMERCIAL</t>
  </si>
  <si>
    <t>08.834.722/0001-53</t>
  </si>
  <si>
    <t>Claudia</t>
  </si>
  <si>
    <t>21 97223-1836</t>
  </si>
  <si>
    <t>Rua União e Indústria</t>
  </si>
  <si>
    <t>A05</t>
  </si>
  <si>
    <t>05.941.573/0001-33</t>
  </si>
  <si>
    <t>24 2232-2450</t>
  </si>
  <si>
    <t>25745-120</t>
  </si>
  <si>
    <t>Estrada Philuvio Cerqueira Rodrigues</t>
  </si>
  <si>
    <t>Área B</t>
  </si>
  <si>
    <t>B02</t>
  </si>
  <si>
    <t>VIA VISAO (MARQUESE)</t>
  </si>
  <si>
    <t>40.261.476/0001-09</t>
  </si>
  <si>
    <t>Carlos Alberto Lima da Silva</t>
  </si>
  <si>
    <t>24 99259-5083</t>
  </si>
  <si>
    <t>25620-003</t>
  </si>
  <si>
    <t>Rua do Imperador</t>
  </si>
  <si>
    <t>C23</t>
  </si>
  <si>
    <t>ÓTICA ZEISS - 16 de Março</t>
  </si>
  <si>
    <t>44.154.533/0001-01</t>
  </si>
  <si>
    <t>25620-040</t>
  </si>
  <si>
    <t>Rua Dezesseis de Março</t>
  </si>
  <si>
    <t>C24</t>
  </si>
  <si>
    <t>FC074 - LD-A/2</t>
  </si>
  <si>
    <t>VIA VISÃO ( VILAREJO )</t>
  </si>
  <si>
    <t>40.261.476/0002-81</t>
  </si>
  <si>
    <t>25750-221</t>
  </si>
  <si>
    <t>Loja A 142</t>
  </si>
  <si>
    <t>C25</t>
  </si>
  <si>
    <t>VILLAR IMPERIAL - CONDOMINIO</t>
  </si>
  <si>
    <t>28.462.489/0001-32</t>
  </si>
  <si>
    <t>Rosangela</t>
  </si>
  <si>
    <t>24 99999-1747</t>
  </si>
  <si>
    <t>25655-152</t>
  </si>
  <si>
    <t>Rua Coronel Veiga</t>
  </si>
  <si>
    <t>Valparaíso</t>
  </si>
  <si>
    <t>C06</t>
  </si>
  <si>
    <t>MC003 - PD-A/2</t>
  </si>
  <si>
    <t>JPM - ASSESSORIA</t>
  </si>
  <si>
    <t>01.532.477/0001-80</t>
  </si>
  <si>
    <t>Daniel</t>
  </si>
  <si>
    <t>24 98804-7831</t>
  </si>
  <si>
    <t>Sobrelojas 11 e 12</t>
  </si>
  <si>
    <t>C05</t>
  </si>
  <si>
    <t>QUARTEIRÃO SUIÇO - GISELE</t>
  </si>
  <si>
    <t>Gisele</t>
  </si>
  <si>
    <t>24 99965-7354</t>
  </si>
  <si>
    <t>25625-070</t>
  </si>
  <si>
    <t>Rua Barão de Águas Claras</t>
  </si>
  <si>
    <t>Quarteirão Suíço</t>
  </si>
  <si>
    <t>C28</t>
  </si>
  <si>
    <t>CENÁRIO DA MONTANHA - CONDOMINIO</t>
  </si>
  <si>
    <t>41.367.298/0001-50</t>
  </si>
  <si>
    <t>24 992670751</t>
  </si>
  <si>
    <t>A03</t>
  </si>
  <si>
    <t>DELLA LUCE</t>
  </si>
  <si>
    <t>Paulo Roberto</t>
  </si>
  <si>
    <t>24 98835-8807</t>
  </si>
  <si>
    <t>C15</t>
  </si>
  <si>
    <t>ÓTICA ZEISS - ITAIPAVA</t>
  </si>
  <si>
    <t>47.924.382/0001-03</t>
  </si>
  <si>
    <t>C22</t>
  </si>
  <si>
    <t>BARÃO DE QUARTIN - CONDOMINIO</t>
  </si>
  <si>
    <t>36.537.181/0001-37</t>
  </si>
  <si>
    <t>Magno Knibel</t>
  </si>
  <si>
    <t>24 98827-4996</t>
  </si>
  <si>
    <t>25610-320</t>
  </si>
  <si>
    <t>Rua da Imperatriz</t>
  </si>
  <si>
    <t>B08</t>
  </si>
  <si>
    <t>AL PROFI</t>
  </si>
  <si>
    <t>Raquel</t>
  </si>
  <si>
    <t>24 988235609</t>
  </si>
  <si>
    <t>25650-130</t>
  </si>
  <si>
    <t>Rua General Rondon</t>
  </si>
  <si>
    <t>C18</t>
  </si>
  <si>
    <t>SUMMIT VALPARAISO</t>
  </si>
  <si>
    <t>62.689.223/0001-65</t>
  </si>
  <si>
    <t xml:space="preserve">Renata Fialho </t>
  </si>
  <si>
    <t>11 97696-7630</t>
  </si>
  <si>
    <t>25615-130</t>
  </si>
  <si>
    <t>Rua São Norberto</t>
  </si>
  <si>
    <t>C03</t>
  </si>
  <si>
    <t>IGREJA ATITUDE</t>
  </si>
  <si>
    <t>04.121.485/0001-22</t>
  </si>
  <si>
    <t>Wilberton</t>
  </si>
  <si>
    <t>24 99211-1935</t>
  </si>
  <si>
    <t>25615-410</t>
  </si>
  <si>
    <t>Rua Quissamã</t>
  </si>
  <si>
    <t>Quissamã</t>
  </si>
  <si>
    <t>B04</t>
  </si>
  <si>
    <t>GUANAPACK</t>
  </si>
  <si>
    <t>11.790.941/0001-92</t>
  </si>
  <si>
    <t>Rayane Corrêa</t>
  </si>
  <si>
    <t>24 99259-6618</t>
  </si>
  <si>
    <t>25804-260</t>
  </si>
  <si>
    <t>Rua Isaltino Silveira</t>
  </si>
  <si>
    <t>1188 e 1322</t>
  </si>
  <si>
    <t>B03</t>
  </si>
  <si>
    <t>BYD VEICULOS</t>
  </si>
  <si>
    <t>52.728.666/0004-07</t>
  </si>
  <si>
    <t>Handerson</t>
  </si>
  <si>
    <t>24 99230-3506</t>
  </si>
  <si>
    <t>25625-180</t>
  </si>
  <si>
    <t>Rua Afrânio Melo Franco</t>
  </si>
  <si>
    <t>C21</t>
  </si>
  <si>
    <t>FC062 - ENCAR</t>
  </si>
  <si>
    <t>MASSAS CARNEIRO</t>
  </si>
  <si>
    <t>28.804.490/0001-06</t>
  </si>
  <si>
    <t>24 99946-3056</t>
  </si>
  <si>
    <t>25645-010</t>
  </si>
  <si>
    <t>Estrada da Saudade</t>
  </si>
  <si>
    <t>B07</t>
  </si>
  <si>
    <t>10.307.895/0001-65</t>
  </si>
  <si>
    <t>24 98812-9363</t>
  </si>
  <si>
    <t>25745-630</t>
  </si>
  <si>
    <t>Rodovia BR-040</t>
  </si>
  <si>
    <t>Área C</t>
  </si>
  <si>
    <t>A07</t>
  </si>
  <si>
    <t>MC004</t>
  </si>
  <si>
    <t>FAZENDA</t>
  </si>
  <si>
    <t>73.410.326/0007-56</t>
  </si>
  <si>
    <t>Almir</t>
  </si>
  <si>
    <t>15 99126-0621</t>
  </si>
  <si>
    <t>25755-320</t>
  </si>
  <si>
    <t>Estrada Retiro das Pedras</t>
  </si>
  <si>
    <t>Retiro das Pedras</t>
  </si>
  <si>
    <t>A06</t>
  </si>
  <si>
    <t xml:space="preserve">IGREJA ADVENTISTA DO SETIMO DIA </t>
  </si>
  <si>
    <t>30.097.554/0172-76</t>
  </si>
  <si>
    <t>Jurair</t>
  </si>
  <si>
    <t>24 98880-3918</t>
  </si>
  <si>
    <t>Rua Gregorio Cruzick</t>
  </si>
  <si>
    <t>Itamaraty</t>
  </si>
  <si>
    <t>C14</t>
  </si>
  <si>
    <t>MC006</t>
  </si>
  <si>
    <t>CORREIOS TERESÓPOLIS</t>
  </si>
  <si>
    <t>34.028.316/0002-94</t>
  </si>
  <si>
    <t>Milena</t>
  </si>
  <si>
    <t>21 99209-3270</t>
  </si>
  <si>
    <t>C12</t>
  </si>
  <si>
    <t>FC016 - MD-C/2</t>
  </si>
  <si>
    <t>FC041 - JD-C/U</t>
  </si>
  <si>
    <t>FC055 - JD-C/U</t>
  </si>
  <si>
    <t>FC004 - PD-C/U</t>
  </si>
  <si>
    <t>FC004 - PN-C/1</t>
  </si>
  <si>
    <t>FC048 - PN-A/2</t>
  </si>
  <si>
    <t>FC050 - PN-A/2</t>
  </si>
  <si>
    <t>Seg à Dom - 08:00 às 16:20 - Intervalo: 12h - 13h - Pausa: N/A - Folga: Sextas + 4º DOM</t>
  </si>
  <si>
    <t>AG012 - LD-B/U</t>
  </si>
  <si>
    <t>FC066 - MD-B/U</t>
  </si>
  <si>
    <t>FC003 - LD-C/U</t>
  </si>
  <si>
    <t>FC032 - LD-C/U</t>
  </si>
  <si>
    <t>FC048 - LD-C/1</t>
  </si>
  <si>
    <t>AG062 - LD-B/4</t>
  </si>
  <si>
    <t>FC057 - LD-C/U</t>
  </si>
  <si>
    <t>FC009c - LD-C/2</t>
  </si>
  <si>
    <t>AG045 - LD-B/2</t>
  </si>
  <si>
    <t>FC009l - LD-C/U</t>
  </si>
  <si>
    <t>FC062 - LD-B/6</t>
  </si>
  <si>
    <t>AG009h - LD-C/U</t>
  </si>
  <si>
    <t>FC023 - LD-B/2</t>
  </si>
  <si>
    <t>MONICA ANDRADE</t>
  </si>
  <si>
    <t>AG009q - LD-C/U</t>
  </si>
  <si>
    <t>FC009j - LD-B/U</t>
  </si>
  <si>
    <t>FC009u - LD-C/U</t>
  </si>
  <si>
    <t>FC045 - LD-B/4</t>
  </si>
  <si>
    <t>FC069 - LD-C/U</t>
  </si>
  <si>
    <t>FC045 - MD-B/2</t>
  </si>
  <si>
    <t>FC009n - LD-C/U</t>
  </si>
  <si>
    <t>AG008 - PN-C/U</t>
  </si>
  <si>
    <t>FC009i - LD-C/U</t>
  </si>
  <si>
    <t>FC045 - PN-A/2</t>
  </si>
  <si>
    <t>FC014 - LD-C/2</t>
  </si>
  <si>
    <t>FC024 - LD-C/U</t>
  </si>
  <si>
    <t>FC076 - LD-C/U</t>
  </si>
  <si>
    <t>AG009j - LD-B/U</t>
  </si>
  <si>
    <t>FC023 - LD-B/1</t>
  </si>
  <si>
    <t>FC011 - LD-B/4</t>
  </si>
  <si>
    <t>FC009g - LD-B/U</t>
  </si>
  <si>
    <t>FC045 - PD-A/1</t>
  </si>
  <si>
    <t>FC009p - LD-B/U</t>
  </si>
  <si>
    <t>exigencia_nr32</t>
  </si>
  <si>
    <t>exigencia_nr35</t>
  </si>
  <si>
    <t>FC001 - LD-C/U</t>
  </si>
  <si>
    <t>FC004 - PN-B/U</t>
  </si>
  <si>
    <t>FC009a - LD-C/2</t>
  </si>
  <si>
    <t>FC008 - LD-B/U</t>
  </si>
  <si>
    <t>FC033 - LD-C/U</t>
  </si>
  <si>
    <t>FC009b - LD-B/U</t>
  </si>
  <si>
    <t>FC047 - LD-C/U</t>
  </si>
  <si>
    <t>FC009e - LD-B/2</t>
  </si>
  <si>
    <t>FC009f - LD-C/U</t>
  </si>
  <si>
    <t>FC009h - LD-C/U</t>
  </si>
  <si>
    <t>FC009o - LD-C/U</t>
  </si>
  <si>
    <t>FC009k - LD-C/U</t>
  </si>
  <si>
    <t>FC009m - LD-C/1</t>
  </si>
  <si>
    <t>FC009m - LD-C/2</t>
  </si>
  <si>
    <t>FC009m - LD-C/3</t>
  </si>
  <si>
    <t>FC009s - LD-C/U</t>
  </si>
  <si>
    <t>FC009q - LD-B/U</t>
  </si>
  <si>
    <t>FC010 - LD-C/1</t>
  </si>
  <si>
    <t>FC009t - LD-B/U</t>
  </si>
  <si>
    <t>FC014 - LD-C/1</t>
  </si>
  <si>
    <t>FC010 - LD-C/2</t>
  </si>
  <si>
    <t>FC011 - LD-B/2</t>
  </si>
  <si>
    <t>FC075 - LD-B/1</t>
  </si>
  <si>
    <t>FC016 - LD-C/1</t>
  </si>
  <si>
    <t>FC018 - LD-C/U</t>
  </si>
  <si>
    <t>FC038 - PM-B/U</t>
  </si>
  <si>
    <t>FC020 - LD-C/1</t>
  </si>
  <si>
    <t>FC022 - LD-C/U</t>
  </si>
  <si>
    <t>AG009k - LD-C/U</t>
  </si>
  <si>
    <t>Reduzido</t>
  </si>
  <si>
    <t>FC023 - PD-A/1</t>
  </si>
  <si>
    <t>FC045 - PD-A/3</t>
  </si>
  <si>
    <t>FC023 - PD-A/2</t>
  </si>
  <si>
    <t>FC023 - PN-A/1</t>
  </si>
  <si>
    <t>FC034 - LD-C/U</t>
  </si>
  <si>
    <t>FC038 - PN-C/U</t>
  </si>
  <si>
    <t>FC041 - LD-C/U</t>
  </si>
  <si>
    <t>FC045 - LD-B/2</t>
  </si>
  <si>
    <t>FC045 - LD-B/3</t>
  </si>
  <si>
    <t>FC045 - MD-B/1</t>
  </si>
  <si>
    <t>AG020 - LD-B/U</t>
  </si>
  <si>
    <t>FC062 - LD-B/3</t>
  </si>
  <si>
    <t>FC062 - LD-B/4</t>
  </si>
  <si>
    <t>FC045 - ZELAD</t>
  </si>
  <si>
    <t>FC048 - LD-B/U</t>
  </si>
  <si>
    <t>AG062 - ENCAR</t>
  </si>
  <si>
    <t>AG023 - PD-A/1</t>
  </si>
  <si>
    <t>FC050 - PN-A/1</t>
  </si>
  <si>
    <t>Matrc</t>
  </si>
  <si>
    <t>nome</t>
  </si>
  <si>
    <t>telefone_principal</t>
  </si>
  <si>
    <t>is_whatsapp</t>
  </si>
  <si>
    <t>telefone_secundario</t>
  </si>
  <si>
    <t>Carteira de Trabalho</t>
  </si>
  <si>
    <t>CPF</t>
  </si>
  <si>
    <t>Nível de Atuação</t>
  </si>
  <si>
    <t>turno</t>
  </si>
  <si>
    <t>tipo de escala</t>
  </si>
  <si>
    <t>FC052 - LD-C/U</t>
  </si>
  <si>
    <t>status_cadastro</t>
  </si>
  <si>
    <t>Vencimento Férias</t>
  </si>
  <si>
    <t>tipo_contratacao</t>
  </si>
  <si>
    <t>horas_contratadas</t>
  </si>
  <si>
    <t>categoria_cargo</t>
  </si>
  <si>
    <t>situacao_afastamento</t>
  </si>
  <si>
    <t>data_exame_admissional_aso</t>
  </si>
  <si>
    <t>data_retorno_aso</t>
  </si>
  <si>
    <t>data_integracao</t>
  </si>
  <si>
    <t>Prazo Experiência</t>
  </si>
  <si>
    <t>possui_nr32</t>
  </si>
  <si>
    <t>vencimento_nr32</t>
  </si>
  <si>
    <t>FC053 - LD-C/U</t>
  </si>
  <si>
    <t>(24) 992071404</t>
  </si>
  <si>
    <t>01195073/05770 - RJ</t>
  </si>
  <si>
    <t>Operacional</t>
  </si>
  <si>
    <t>6x1</t>
  </si>
  <si>
    <t>FC054 - LD-C/U</t>
  </si>
  <si>
    <t>ativo</t>
  </si>
  <si>
    <t>Disponivel</t>
  </si>
  <si>
    <t>(24) 99335-0097</t>
  </si>
  <si>
    <t>FC055 - LD-C/U</t>
  </si>
  <si>
    <t>(21) 986029413</t>
  </si>
  <si>
    <t>(21) 25127712</t>
  </si>
  <si>
    <t>01017192/02786 - RJ</t>
  </si>
  <si>
    <t>FC059 - JD-C/1</t>
  </si>
  <si>
    <t>(24) 992463988</t>
  </si>
  <si>
    <t>01062616/08716 - RJ</t>
  </si>
  <si>
    <t>12x36</t>
  </si>
  <si>
    <t>(24) 99234-6446</t>
  </si>
  <si>
    <t>01371030/02781 - RJ</t>
  </si>
  <si>
    <t>INSS</t>
  </si>
  <si>
    <t>afastamento</t>
  </si>
  <si>
    <t>(24) 993227088</t>
  </si>
  <si>
    <t>01730641/00750 - RJ</t>
  </si>
  <si>
    <t>(21) 96675-0219</t>
  </si>
  <si>
    <t>01308045/02712 - RJ</t>
  </si>
  <si>
    <t>FC062 - LD-B/5</t>
  </si>
  <si>
    <t>(21) 97738-4388</t>
  </si>
  <si>
    <t>01819358/00702 - RJ</t>
  </si>
  <si>
    <t>(24) 992802008</t>
  </si>
  <si>
    <t>(24) 22710283</t>
  </si>
  <si>
    <t>FC062 - LD-B/7</t>
  </si>
  <si>
    <t>(24) 988118514</t>
  </si>
  <si>
    <t>(24) 22332719</t>
  </si>
  <si>
    <t>00067001/00766 - RJ</t>
  </si>
  <si>
    <t>(24) 992070795</t>
  </si>
  <si>
    <t>(24) 22371830</t>
  </si>
  <si>
    <t>00792151/06742 - RJ</t>
  </si>
  <si>
    <t>(24) 988246948</t>
  </si>
  <si>
    <t>(24) 22633841</t>
  </si>
  <si>
    <t>00759581/05762 - RJ</t>
  </si>
  <si>
    <t>FC064 - LD-C/U</t>
  </si>
  <si>
    <t>(24) 98804-9989</t>
  </si>
  <si>
    <t>45dd</t>
  </si>
  <si>
    <t>(24) 988149632</t>
  </si>
  <si>
    <t>00982427/05738 - RJ</t>
  </si>
  <si>
    <t>(24) 993244491</t>
  </si>
  <si>
    <t>00792168/04700 - RJ</t>
  </si>
  <si>
    <t>(21) 99204-2520</t>
  </si>
  <si>
    <t>(21) 98246-0510</t>
  </si>
  <si>
    <t>00982959/05757 - RJ</t>
  </si>
  <si>
    <t>FC075 - LD-C/U</t>
  </si>
  <si>
    <t>AG045 - LD-B/4</t>
  </si>
  <si>
    <t>(22) 98804-2125</t>
  </si>
  <si>
    <t>AG048 - PD-A/1</t>
  </si>
  <si>
    <t>(24) 992652363</t>
  </si>
  <si>
    <t>01408754/08783 - RJ</t>
  </si>
  <si>
    <t>(85) 988981020</t>
  </si>
  <si>
    <t>Fortaleza</t>
  </si>
  <si>
    <t>(24) 992427239</t>
  </si>
  <si>
    <t>(24) 20204511</t>
  </si>
  <si>
    <t>01477089/07723 - RJ</t>
  </si>
  <si>
    <t>(24) 992722114</t>
  </si>
  <si>
    <t>(24) 974024072</t>
  </si>
  <si>
    <t>(24) 22488951</t>
  </si>
  <si>
    <t>(24) 988074779</t>
  </si>
  <si>
    <t>(24) 22379380</t>
  </si>
  <si>
    <t>(24) 99298-6690</t>
  </si>
  <si>
    <t>02191435/03781 - RJ</t>
  </si>
  <si>
    <t>(24) 992549907</t>
  </si>
  <si>
    <t>(24) 22918382</t>
  </si>
  <si>
    <t>(24) 98835-5420</t>
  </si>
  <si>
    <t>(24) 98864-6605</t>
  </si>
  <si>
    <t>(24) 98870-0570</t>
  </si>
  <si>
    <t>(24) 2235-6804</t>
  </si>
  <si>
    <t>(24) 98823-2865</t>
  </si>
  <si>
    <t>(24) 99912-9606</t>
  </si>
  <si>
    <t>00229358/03732 - RJ</t>
  </si>
  <si>
    <t>(24) 981257222</t>
  </si>
  <si>
    <t>01734347/06785 - RJ</t>
  </si>
  <si>
    <t>(24) 988195587</t>
  </si>
  <si>
    <t>(24) 22457105</t>
  </si>
  <si>
    <t>00003587/02748 - RJ</t>
  </si>
  <si>
    <t>(24) 992090676</t>
  </si>
  <si>
    <t>(24) 988787288</t>
  </si>
  <si>
    <t>(21) 97708-6070</t>
  </si>
  <si>
    <t>01006766/00738 - RJ</t>
  </si>
  <si>
    <t>(24) 988226256</t>
  </si>
  <si>
    <t>(24) 22435292</t>
  </si>
  <si>
    <t>00974193/07717 - RJ</t>
  </si>
  <si>
    <t>(24) 988327751</t>
  </si>
  <si>
    <t>(24) 22351442</t>
  </si>
  <si>
    <t>00866569/08710 - RJ</t>
  </si>
  <si>
    <t>(24) 22475898</t>
  </si>
  <si>
    <t>AG048 - LD-B/U</t>
  </si>
  <si>
    <t>(24) 98833-3972</t>
  </si>
  <si>
    <t>(24) 99219-1324</t>
  </si>
  <si>
    <t>00564591/07774 - RJ</t>
  </si>
  <si>
    <t>(24) 992138158</t>
  </si>
  <si>
    <t>(24) 22488753</t>
  </si>
  <si>
    <t>09819437/02704 - RJ</t>
  </si>
  <si>
    <t>(24) 99821-9195</t>
  </si>
  <si>
    <t>(24) 98827-0244</t>
  </si>
  <si>
    <t>(24) 999897938</t>
  </si>
  <si>
    <t>(24) 99298-7407</t>
  </si>
  <si>
    <t>(24) 2247-3942</t>
  </si>
  <si>
    <t>01229923/00718 - RJ</t>
  </si>
  <si>
    <t>(24) 988356384</t>
  </si>
  <si>
    <t>(24) 99217-1971</t>
  </si>
  <si>
    <t>(24) 99253-7789</t>
  </si>
  <si>
    <t>(24) 988482989</t>
  </si>
  <si>
    <t>(24) 988588370</t>
  </si>
  <si>
    <t>(24) 993950730</t>
  </si>
  <si>
    <t>01279864/00792 - RJ</t>
  </si>
  <si>
    <t>(24) 99291-7630</t>
  </si>
  <si>
    <t>01575108/03725 - RJ</t>
  </si>
  <si>
    <t>(24) 988358078</t>
  </si>
  <si>
    <t>(24) 988269989</t>
  </si>
  <si>
    <t>(24) 981292762</t>
  </si>
  <si>
    <t>(24) 988061183</t>
  </si>
  <si>
    <t>(24) 22462330</t>
  </si>
  <si>
    <t>00160683/07770 - RJ</t>
  </si>
  <si>
    <t>AG009e - LD-B/2</t>
  </si>
  <si>
    <t>Seg à Sex 09:00 ás 18:00 /  Sáb 07:00 às 11:00 - Intervalo 13:00 -14:00 - Pausa N/A - Folga: Dom e Fer</t>
  </si>
  <si>
    <t>(24) 992588713</t>
  </si>
  <si>
    <t>(24) 22375485</t>
  </si>
  <si>
    <t>AG062 - LD-B/7</t>
  </si>
  <si>
    <t>(24) 99215-8548</t>
  </si>
  <si>
    <t>(24) 98817-9938</t>
  </si>
  <si>
    <t>(21) 99689-9988</t>
  </si>
  <si>
    <t>(22) 99822-2997</t>
  </si>
  <si>
    <t>01293594/06790 - RJ</t>
  </si>
  <si>
    <t>(24 ) 99986-5595</t>
  </si>
  <si>
    <t>00974008/05750 - RJ</t>
  </si>
  <si>
    <t>(24) 988662265</t>
  </si>
  <si>
    <t>(24) 988127386</t>
  </si>
  <si>
    <t>00740797/03792 - RJ</t>
  </si>
  <si>
    <t>(24) 99252-0865</t>
  </si>
  <si>
    <t>(21) 99778-7861</t>
  </si>
  <si>
    <t>(24) 99265-0210</t>
  </si>
  <si>
    <t>CODIGO POSTO</t>
  </si>
  <si>
    <t>(21) 965211442</t>
  </si>
  <si>
    <t>(24) 98829-5553</t>
  </si>
  <si>
    <t>(24) 992202555</t>
  </si>
  <si>
    <t>01797233/03785 - RJ</t>
  </si>
  <si>
    <t>Inativo</t>
  </si>
  <si>
    <t>(24) 98104-7902</t>
  </si>
  <si>
    <t>(24) 988085720</t>
  </si>
  <si>
    <t>(21) 982182902</t>
  </si>
  <si>
    <t>(24) 992045035</t>
  </si>
  <si>
    <t>(24) 22216445</t>
  </si>
  <si>
    <t>00332534/05700 - RJ</t>
  </si>
  <si>
    <t>(24) 22486570</t>
  </si>
  <si>
    <t>00196229/08710 - RJ</t>
  </si>
  <si>
    <t>(24) 974024698</t>
  </si>
  <si>
    <t>(24) 992468423</t>
  </si>
  <si>
    <t>00211838/09779 - RJ</t>
  </si>
  <si>
    <t>(21) 959323508</t>
  </si>
  <si>
    <t>(21) 975185698</t>
  </si>
  <si>
    <t>(21) 36538339</t>
  </si>
  <si>
    <t>AG009n - LD-C/U</t>
  </si>
  <si>
    <t>(24) 99207-5505</t>
  </si>
  <si>
    <t>(24) 2244-7830</t>
  </si>
  <si>
    <t>01208965/00770 - RJ</t>
  </si>
  <si>
    <t>(24) 988569151</t>
  </si>
  <si>
    <t>04295121/06572 - BA</t>
  </si>
  <si>
    <t>(24) 98110-9749</t>
  </si>
  <si>
    <t>00655137/00764 - RJ</t>
  </si>
  <si>
    <t>AG013 - LD-B/2</t>
  </si>
  <si>
    <t>(24) 99258-4414</t>
  </si>
  <si>
    <t>(24) 99222-2356</t>
  </si>
  <si>
    <t>(24) 99262-7842</t>
  </si>
  <si>
    <t>(24) 2242-8859</t>
  </si>
  <si>
    <t>(24) 99202-8574</t>
  </si>
  <si>
    <t>(24) 988129315</t>
  </si>
  <si>
    <t>00334089/01745 - RJ</t>
  </si>
  <si>
    <t>(24) 993054082</t>
  </si>
  <si>
    <t>01572502/07708 - RJ</t>
  </si>
  <si>
    <t>(24) 99943-1934</t>
  </si>
  <si>
    <t>01725075/04742 - RJ</t>
  </si>
  <si>
    <t>06:00 às 07:00</t>
  </si>
  <si>
    <t>07:00 às 08:00</t>
  </si>
  <si>
    <t>08:00 às 09:00</t>
  </si>
  <si>
    <t>09:00 às 10:00</t>
  </si>
  <si>
    <t>11:00 às 12:00</t>
  </si>
  <si>
    <t>13:00 às 14:00</t>
  </si>
  <si>
    <t>14:00 às 15:00</t>
  </si>
  <si>
    <t>20:00 às 21:00</t>
  </si>
  <si>
    <t>22:00 às 23:00</t>
  </si>
  <si>
    <t>(24) 98832-8421</t>
  </si>
  <si>
    <t>00585004/01702 - RJ</t>
  </si>
  <si>
    <t>(24) 99323-6766</t>
  </si>
  <si>
    <t>(24) 99328-8798</t>
  </si>
  <si>
    <t>01491543/07795 - RJ</t>
  </si>
  <si>
    <t>(24) 98848-4522</t>
  </si>
  <si>
    <t>(24) 988583112</t>
  </si>
  <si>
    <t>(24) 20205586</t>
  </si>
  <si>
    <t>08507912/00797 - RJ</t>
  </si>
  <si>
    <t>(24) 993023348</t>
  </si>
  <si>
    <t>08579581/00797 - RJ</t>
  </si>
  <si>
    <t>(24) 98863-8144</t>
  </si>
  <si>
    <t>00332427/01703 - RJ</t>
  </si>
  <si>
    <t>(24) 97402-1327</t>
  </si>
  <si>
    <t>(21) 96863-2258</t>
  </si>
  <si>
    <t>(21) 28865878</t>
  </si>
  <si>
    <t>07720172/08768 - RJ</t>
  </si>
  <si>
    <t>(24) 988261446</t>
  </si>
  <si>
    <t>(24) 99216-5490</t>
  </si>
  <si>
    <t>AG009p - LD-B/U</t>
  </si>
  <si>
    <t>(24) 99252-1108</t>
  </si>
  <si>
    <t>00414311/00784 - RJ</t>
  </si>
  <si>
    <t>(24) 99294-5508</t>
  </si>
  <si>
    <t>(24) 99329-6169</t>
  </si>
  <si>
    <t>(22) 99243-3799</t>
  </si>
  <si>
    <t>00438861/00780 - RJ</t>
  </si>
  <si>
    <t>(24) 99335-6097</t>
  </si>
  <si>
    <t>01093370/03783 - RJ</t>
  </si>
  <si>
    <t>(24) 988110196</t>
  </si>
  <si>
    <t>(24) 988352272</t>
  </si>
  <si>
    <t>(24) 22455997</t>
  </si>
  <si>
    <t>(24) 988333215</t>
  </si>
  <si>
    <t>(21) 99220-4416</t>
  </si>
  <si>
    <t>(24) 98119-2182</t>
  </si>
  <si>
    <t>01625280/03782 - RJ</t>
  </si>
  <si>
    <t>(24) 988540585</t>
  </si>
  <si>
    <t>(24) 99292-7288</t>
  </si>
  <si>
    <t>(21) 97510-5475</t>
  </si>
  <si>
    <t>00042612/02763 - RJ</t>
  </si>
  <si>
    <t>(24) 988564449</t>
  </si>
  <si>
    <t>00665453/07793 - RJ</t>
  </si>
  <si>
    <t>(24) 988806246</t>
  </si>
  <si>
    <t>00841662/07703 - RJ</t>
  </si>
  <si>
    <t>(24) 22481043</t>
  </si>
  <si>
    <t>01088545/04758 - RJ</t>
  </si>
  <si>
    <t>(24) 992078750</t>
  </si>
  <si>
    <t>00291110/00700 - RJ</t>
  </si>
  <si>
    <t>(24) 99916-6528</t>
  </si>
  <si>
    <t>01533288/03722 - RJ</t>
  </si>
  <si>
    <t>(24) 99330-5778</t>
  </si>
  <si>
    <t>(24) 2243-5208</t>
  </si>
  <si>
    <t>AG048 - PN-A/1</t>
  </si>
  <si>
    <t>(21) 99768-8761</t>
  </si>
  <si>
    <t>06126214/09355 - RJ</t>
  </si>
  <si>
    <t>(24) 98123-482</t>
  </si>
  <si>
    <t>01084577/08790 - RJ</t>
  </si>
  <si>
    <t>(24) 98823-3262</t>
  </si>
  <si>
    <t>(69) 99333-6759</t>
  </si>
  <si>
    <t>00066393/05156 - RJ</t>
  </si>
  <si>
    <t>(24) 981201002</t>
  </si>
  <si>
    <t>(24) 992699886</t>
  </si>
  <si>
    <t>08783360/03791 - RJ</t>
  </si>
  <si>
    <t>(24) 988261759</t>
  </si>
  <si>
    <t>(32) 9847-2218</t>
  </si>
  <si>
    <t>(24) 988065339</t>
  </si>
  <si>
    <t>00024539/03765 - RJ</t>
  </si>
  <si>
    <t>(24) 99278-5602</t>
  </si>
  <si>
    <t>(24) 999927154</t>
  </si>
  <si>
    <t>(24) 992655128</t>
  </si>
  <si>
    <t>(24) 22457314</t>
  </si>
  <si>
    <t>01145935/03706 - RJ</t>
  </si>
  <si>
    <t>AG009e - LD-B/1</t>
  </si>
  <si>
    <t>(24) 992258682</t>
  </si>
  <si>
    <t>01064014/08794 - RJ</t>
  </si>
  <si>
    <t>(24) 988028055</t>
  </si>
  <si>
    <t>(21) 96487-0424</t>
  </si>
  <si>
    <t>00856539/09702 - RJ</t>
  </si>
  <si>
    <t>(24) 98847-5331</t>
  </si>
  <si>
    <t>(24) 2222-2937</t>
  </si>
  <si>
    <t>(24) 97404-4846</t>
  </si>
  <si>
    <t>(24) 992192228</t>
  </si>
  <si>
    <t>(24) 22470128</t>
  </si>
  <si>
    <t>AG062</t>
  </si>
  <si>
    <t>(24) 99944-8965</t>
  </si>
  <si>
    <t>01564062/06780 - RJ</t>
  </si>
  <si>
    <t>COB MISTA</t>
  </si>
  <si>
    <t>(24) 99954-4833</t>
  </si>
  <si>
    <t>(24) 992977618</t>
  </si>
  <si>
    <t>AG050 - PD-A/1</t>
  </si>
  <si>
    <t>01217511/01725 - RJ</t>
  </si>
  <si>
    <t>(24) 992806823</t>
  </si>
  <si>
    <t>(21) 966287978</t>
  </si>
  <si>
    <t>00559507/07719 - RJ</t>
  </si>
  <si>
    <t>(24) 988318363</t>
  </si>
  <si>
    <t>(24) 22490280</t>
  </si>
  <si>
    <t>00804333/05729 - RJ</t>
  </si>
  <si>
    <t>(24) 99310-7650</t>
  </si>
  <si>
    <t>(24) 99203-4168</t>
  </si>
  <si>
    <t>00653545/00708 - RJ</t>
  </si>
  <si>
    <t>(24) 98813-5441</t>
  </si>
  <si>
    <t>01682595/04717 - RJ</t>
  </si>
  <si>
    <t>AG062 - LD-B/1</t>
  </si>
  <si>
    <t>(22) 997837514</t>
  </si>
  <si>
    <t>AG062 - LD-B/3</t>
  </si>
  <si>
    <t>(24) 993263905</t>
  </si>
  <si>
    <t>(24) 988341212</t>
  </si>
  <si>
    <t>(24) 992359747</t>
  </si>
  <si>
    <t>(24) 22911630</t>
  </si>
  <si>
    <t>(24) 974262445</t>
  </si>
  <si>
    <t>(24) 22370453</t>
  </si>
  <si>
    <t>(21) 993970760</t>
  </si>
  <si>
    <t>00971097/09760 - RJ</t>
  </si>
  <si>
    <t>(24) 992182095</t>
  </si>
  <si>
    <t>00440987/09707 - RJ</t>
  </si>
  <si>
    <t>(21) 96951-3492</t>
  </si>
  <si>
    <t>(24) 99315-5119</t>
  </si>
  <si>
    <t>(21) 98217-2448</t>
  </si>
  <si>
    <t>(24) 974000062</t>
  </si>
  <si>
    <t>(24) 98834-6966</t>
  </si>
  <si>
    <t>(21) 975983978</t>
  </si>
  <si>
    <t>02128695/08725 - RJ</t>
  </si>
  <si>
    <t>(21) 98644-2794</t>
  </si>
  <si>
    <t>(24) 993155252</t>
  </si>
  <si>
    <t>01214602/05760 - RJ</t>
  </si>
  <si>
    <t>(24) 993110872</t>
  </si>
  <si>
    <t>00767988/04773 - RJ</t>
  </si>
  <si>
    <t>(24) 992847080</t>
  </si>
  <si>
    <t>00519720/00758 - RJ</t>
  </si>
  <si>
    <t>(21) 974629840</t>
  </si>
  <si>
    <t>(21) 990508305</t>
  </si>
  <si>
    <t>01428532/05799 - RJ</t>
  </si>
  <si>
    <t>(24) 999835725</t>
  </si>
  <si>
    <t>(24) 22455256</t>
  </si>
  <si>
    <t>00272606/04728 - RJ</t>
  </si>
  <si>
    <t>(24) 999278980</t>
  </si>
  <si>
    <t>(24) 22915084</t>
  </si>
  <si>
    <t>00003475/09727 - RJ</t>
  </si>
  <si>
    <t>Alan</t>
  </si>
  <si>
    <t>(24) 99272-2032</t>
  </si>
  <si>
    <t>(24) 993188760</t>
  </si>
  <si>
    <t>00641968/08760 - RJ</t>
  </si>
  <si>
    <t>(24) 993149629</t>
  </si>
  <si>
    <t>00325368/01718 - RJ</t>
  </si>
  <si>
    <t>(24) 98111-5106</t>
  </si>
  <si>
    <t>(24) 98835-3247</t>
  </si>
  <si>
    <t>(24) 99936-8146</t>
  </si>
  <si>
    <t>(24) 98817-4519</t>
  </si>
  <si>
    <t>(24) 2020-0428</t>
  </si>
  <si>
    <t>01396667/05714 - RJ</t>
  </si>
  <si>
    <t>(24) 99942-5577</t>
  </si>
  <si>
    <t>AG023</t>
  </si>
  <si>
    <t>Seg à Sex - 06:00 às 15:00 / Sáb - 06:00 às 10:00 - Intervalo: 12h - 13h - Pausa: N/A - Folga: Domingos</t>
  </si>
  <si>
    <t>06:00 às 15:00</t>
  </si>
  <si>
    <t>06:00 às 10:00</t>
  </si>
  <si>
    <t>X</t>
  </si>
  <si>
    <t>Seg à Sex - 08:00 às 17:00/ Sáb - 08:00 às 12:00 - Intervalo: 12h - 13h - Pausa: N/A - Folga: Dom e Fer</t>
  </si>
  <si>
    <t>Seg à Sex - 07:00 às 16:00 / Sáb - 07:00 às 11:00 - Intervalo: 11h - 12h - Pausa: N/A - Folga: Dom e Fer</t>
  </si>
  <si>
    <t>AG009i - LD-C/U</t>
  </si>
  <si>
    <t>FC067</t>
  </si>
  <si>
    <t>Seg à Sex - 07:20 às 16:20/ Sáb - 07:20 às 11:20 - Intervalo: 12h - 13h - Pausa: N/A - Folga: Dom e Fer</t>
  </si>
  <si>
    <t>AG017</t>
  </si>
  <si>
    <t>AG062 - LD-B/5</t>
  </si>
  <si>
    <t>Seg à Sáb - 07:30 às 11:30 - Intervalo: N/A - Pausa: N/A - Folga: N/A</t>
  </si>
  <si>
    <t>AG014</t>
  </si>
  <si>
    <t>Seg à Sex: 08:00 às 11:30 - Intervalo: N/A - Pausa: N/A - Folga: Sáb e Dom</t>
  </si>
  <si>
    <t>Seg - 14:00 às 18:00 /  Ter à Sex 09:00 às 18:00 / Sáb - 08:00 às 17:00 - Intervalo: 13h - 14h - Pausa: N/A - Folga: Dom e Fer</t>
  </si>
  <si>
    <t>R.01</t>
  </si>
  <si>
    <t>R.01/1</t>
  </si>
  <si>
    <t>AG023 - JD-B/U</t>
  </si>
  <si>
    <t>AG011</t>
  </si>
  <si>
    <t>MC002 - PD-B/U</t>
  </si>
  <si>
    <t>AG000 - LD-C/4</t>
  </si>
  <si>
    <t>AG009b - LD-B/U</t>
  </si>
  <si>
    <t>AG023 - PN-A/1</t>
  </si>
  <si>
    <t>AG000 - LD-C/9</t>
  </si>
  <si>
    <t>ALPISERRA</t>
  </si>
  <si>
    <t>AG024</t>
  </si>
  <si>
    <t>Roteiro</t>
  </si>
  <si>
    <t>MC001 - LD-C/U</t>
  </si>
  <si>
    <t>AG050</t>
  </si>
  <si>
    <t>Seg à Sex - 08:30 às 17:00 - Intervalo: 12h - 13h - Pausa: N/A - Folga: N/A</t>
  </si>
  <si>
    <t>8:30 às 17:00</t>
  </si>
  <si>
    <t>AG032</t>
  </si>
  <si>
    <t>AG063</t>
  </si>
  <si>
    <t>Seg, Qua e Sex - 09:00 às 11:45 - Intervalo: N/A - Pausa: N/A - Folga: N/A</t>
  </si>
  <si>
    <t>09:00 às 11:45</t>
  </si>
  <si>
    <t>AG004</t>
  </si>
  <si>
    <t>AG023 - LD-B/1</t>
  </si>
  <si>
    <t>Seg à Dom - 11:00 às 19:20 - Intervalo: 15h - 16h - Pausa: N/A - Folga: Sáb e Dom alternado</t>
  </si>
  <si>
    <t>FC070 - LD-C/U</t>
  </si>
  <si>
    <t>AG021 - LD-C/2</t>
  </si>
  <si>
    <t>Seg a Sex- 13:00 às 17:00 e Sáb 08:00 às 12:00 - Intervalo: N/A - Pausa: N/A - Folga: Domi</t>
  </si>
  <si>
    <t>AG038 - PM-B/U</t>
  </si>
  <si>
    <t>AG057</t>
  </si>
  <si>
    <t>07:00 às 15:15</t>
  </si>
  <si>
    <t>07:00 às 15:45</t>
  </si>
  <si>
    <t>AG009f - LD-C/U</t>
  </si>
  <si>
    <r>
      <t xml:space="preserve">
</t>
    </r>
    <r>
      <rPr>
        <b/>
        <sz val="10"/>
        <color theme="1"/>
        <rFont val="Arial"/>
      </rPr>
      <t>X</t>
    </r>
  </si>
  <si>
    <t>AG009g - LD-B/U</t>
  </si>
  <si>
    <t>VIZOO GALPÃO</t>
  </si>
  <si>
    <t>BARÃO DE COCAIS - CONDOMINIO</t>
  </si>
  <si>
    <t>R.08/1</t>
  </si>
  <si>
    <t>BARÃO DO AMAZONAS - CONDOMINIO</t>
  </si>
  <si>
    <t>AG008 - LD-B/U</t>
  </si>
  <si>
    <t>UBATÃ - CONDOMINIO</t>
  </si>
  <si>
    <t>12:00 às 13:00</t>
  </si>
  <si>
    <t>18:00 às 19:00</t>
  </si>
  <si>
    <t>19:00 às 20:00</t>
  </si>
  <si>
    <t>21:00 às 22:00</t>
  </si>
  <si>
    <t>AG045 - ZELAD</t>
  </si>
  <si>
    <t>AG055 - LD-C/U</t>
  </si>
  <si>
    <t>AG000 - LD-C/2</t>
  </si>
  <si>
    <t>R.02/3</t>
  </si>
  <si>
    <t>2ª e 4ª Ter - 08:00 às 12:00 - Intervalo: 12h - 13h - Pausa: N/A - Folga: N/A</t>
  </si>
  <si>
    <t>AG</t>
  </si>
  <si>
    <t>AG000 - LD-C/1</t>
  </si>
  <si>
    <t>R.03/1</t>
  </si>
  <si>
    <t>Seg, Qua e Sex 08:00 às 12:00  - Intervalo: N/A - Pausa: N/A - Folga: N/A</t>
  </si>
  <si>
    <t>R.09/3</t>
  </si>
  <si>
    <t>Ter e Qui - 13:00 às 16:20 -  Intervalo: N/A - Pausa: N/A - Folga:  Dom e Fer</t>
  </si>
  <si>
    <t>R.16/6</t>
  </si>
  <si>
    <t>AG000 - LD-C/7</t>
  </si>
  <si>
    <t>R.17/1</t>
  </si>
  <si>
    <t>AG000 - LD-C/8</t>
  </si>
  <si>
    <t>R.17/3</t>
  </si>
  <si>
    <t>CLIENTE</t>
  </si>
  <si>
    <t>cesta basica</t>
  </si>
  <si>
    <t>insalubridade</t>
  </si>
  <si>
    <t>NR</t>
  </si>
  <si>
    <t>cob de feriado</t>
  </si>
  <si>
    <t xml:space="preserve">pipe? </t>
  </si>
  <si>
    <t>R.03/4</t>
  </si>
  <si>
    <t>AGEVAP</t>
  </si>
  <si>
    <t>ok</t>
  </si>
  <si>
    <t>MC</t>
  </si>
  <si>
    <t>MC002 - PN-A/1</t>
  </si>
  <si>
    <t>MC002 - PN-A/2</t>
  </si>
  <si>
    <t>R.06/2</t>
  </si>
  <si>
    <t>FC</t>
  </si>
  <si>
    <t>AG001 - LD-C/U</t>
  </si>
  <si>
    <t>R.05/1</t>
  </si>
  <si>
    <t>AG002 - JD-C/U</t>
  </si>
  <si>
    <t>ALL PRINT</t>
  </si>
  <si>
    <t>AG003 - LD-C/U</t>
  </si>
  <si>
    <t>R.04/2</t>
  </si>
  <si>
    <t>AG008</t>
  </si>
  <si>
    <t>AG004 - PN-B/U</t>
  </si>
  <si>
    <t>PETROPOLIS - RJ</t>
  </si>
  <si>
    <t>AG004 - PN-C/1</t>
  </si>
  <si>
    <t>R.10/1</t>
  </si>
  <si>
    <t>AG004 - PD-C/U</t>
  </si>
  <si>
    <t>R.10/2</t>
  </si>
  <si>
    <t>AG008 - PD-C/1</t>
  </si>
  <si>
    <t>R.15/1</t>
  </si>
  <si>
    <t>AG008 - PD-C/2</t>
  </si>
  <si>
    <t>R.15/2</t>
  </si>
  <si>
    <t>PETROPOLIS</t>
  </si>
  <si>
    <t xml:space="preserve"> Qui (Mensal) - 08:00 às 17:00 - Intervalo: 12h - 13h - Pausa: N/A - Folga: N/A</t>
  </si>
  <si>
    <t>AG009a - LD-C/1</t>
  </si>
  <si>
    <t>R.01/2</t>
  </si>
  <si>
    <t>Petropolis</t>
  </si>
  <si>
    <t>AG009a - LD-C/2</t>
  </si>
  <si>
    <t>R.02/5</t>
  </si>
  <si>
    <t>AG013 - LD-B/1</t>
  </si>
  <si>
    <t>CONDADO DE CASCAIS - CONDOMINIO</t>
  </si>
  <si>
    <t>Seg à Sex - 07:00 às 16:00 / Sáb - 07:00 às 11:00 - Intervalo: 12h - 13h - Pausa: 11h - 11h15  - Folga: Sáb e Dom altern 3x1</t>
  </si>
  <si>
    <t>F</t>
  </si>
  <si>
    <t>AG009a</t>
  </si>
  <si>
    <t>R.08/2</t>
  </si>
  <si>
    <t>AG009c - LD-C/2</t>
  </si>
  <si>
    <t>R.13/2</t>
  </si>
  <si>
    <t>Seg à Sex - 14:00 às 16:00 / Sáb - 10:00 às 12:00- Intervalo: N/A - Pausa: N/A - Folga: N/A</t>
  </si>
  <si>
    <t>AG009r - LD-C/U</t>
  </si>
  <si>
    <t>Seg à Sáb - 07:00 às 12:00 - Intervalo: N/A - Pausa: N/A - Folga: N/A</t>
  </si>
  <si>
    <t>Petrópolis-RJ</t>
  </si>
  <si>
    <t>Seg à Sex - 06:30 às 15:30 / Sáb - 07:00 às 11:00  - Intervalo: 11:00 - 12:00 - Pausa: N/A - Folga: Domingos</t>
  </si>
  <si>
    <t>AG009b</t>
  </si>
  <si>
    <t>FC073 - LD-C/U</t>
  </si>
  <si>
    <t>MIGUEL PEREIRA</t>
  </si>
  <si>
    <t>AG050 - PD-A/2</t>
  </si>
  <si>
    <t>NOVA IGUAÇU</t>
  </si>
  <si>
    <t>AG009j</t>
  </si>
  <si>
    <t>PARAIBA DO SUL</t>
  </si>
  <si>
    <t>SÃO JOSE DO VALE DO RIO PRETO</t>
  </si>
  <si>
    <t>Seg à Qui - 06:30 às 15:30 /  Sex - 06:30 às 14:30 / Sáb - 07:00 às 11:00 - Intervalo: 12h - 13h - Pausa: N/A - Folga: Domingos</t>
  </si>
  <si>
    <t>R.13/1</t>
  </si>
  <si>
    <t>AG009m - LD-C/U</t>
  </si>
  <si>
    <t>TERESOPOLIS</t>
  </si>
  <si>
    <t>AG009c</t>
  </si>
  <si>
    <t>TRES RIOS</t>
  </si>
  <si>
    <t>DUQUE DE CAXIAS</t>
  </si>
  <si>
    <t>Seg à Sex - 13:30 às 15:30 / Sáb - 10:00 às 12:00 - Intervalo: N/A - Pausa: N/A - Folga: Domingo</t>
  </si>
  <si>
    <t>AG010 - LD-C/1</t>
  </si>
  <si>
    <t>TERESÓPOLIS - RJ</t>
  </si>
  <si>
    <t>Seg a Sex - 12:00 às 16:00 - Intervalo: N/A - Pausa: N/A - Folga: N/A</t>
  </si>
  <si>
    <t>AG009r</t>
  </si>
  <si>
    <t>AG024 - LD-C/U</t>
  </si>
  <si>
    <t>AG009d</t>
  </si>
  <si>
    <t>AG009e</t>
  </si>
  <si>
    <t>AG062 - LDEC/1</t>
  </si>
  <si>
    <t>R.07/2</t>
  </si>
  <si>
    <t>Sáb e Dom Alternados - 9:00 às 16:30 - Intervalo: 13h - 14h - Pausa: N/A - Folga: Escala de Feriados</t>
  </si>
  <si>
    <t>AG011 - LD-B/3</t>
  </si>
  <si>
    <t>FC073</t>
  </si>
  <si>
    <t>Seg à Sex - 07:00 às 16:00 / Sáb - 07:00 às 11:00 - Intervalo: 12h - 13h - Pausa: 11h - 11h15 - Folga: Sáb e Dom altern 3x1</t>
  </si>
  <si>
    <t>AG013 - PD-B/3</t>
  </si>
  <si>
    <t>Seg à Sex - 10:00 às 19:00 - Intervalo: 13h - 14h - Pausa: 11h - 11h15 - Folga: Sáb e Dom</t>
  </si>
  <si>
    <t>Seg à Sex - 07:00 às 16:00 / Sáb 07:00 às 11:00 - Intervalo: 12h - 13h - Pausa: N/A - Folga: Sáb e Dom Alternado</t>
  </si>
  <si>
    <t>AG009h</t>
  </si>
  <si>
    <t>AG013 - ENCAR</t>
  </si>
  <si>
    <t>Seg à Sex - 07:00 às 16:00 / Sáb - 07:00 às 11:00 - Intervalo: 13h - 14h - Pausa: 11h - 11h15 - Folga: Domingos</t>
  </si>
  <si>
    <t>Seg à Sex - 06:00 às 15:00 / Sáb - 07:00 às 11:00 - Intervalo: 12h - 13h - Pausa: 10h - 10h15 - Folga: Sáb e Dom altern 3x1</t>
  </si>
  <si>
    <t>AG009i</t>
  </si>
  <si>
    <t>AG013 - PD-B/2</t>
  </si>
  <si>
    <t>Seg à Sex - 08:00 às 17:00 - Intervalo: 13h - 14h - Pausa: 11h - 11h15 - Folga: Sáb e Dom</t>
  </si>
  <si>
    <t>AG009f</t>
  </si>
  <si>
    <t>AG013 - LD-B/3</t>
  </si>
  <si>
    <t>Seg/Qua/Sex - 06:00 às 15:00 / Ter/Qui - 07:00 às 16:00 / Sáb - 07:00 às 11:00 - Intervalo: 13h - 14h - Pausa: 10h - 10h15 - Folga: Sáb e Dom altern 3x1</t>
  </si>
  <si>
    <t>AG014 - LD-C/2</t>
  </si>
  <si>
    <t>R.16/5</t>
  </si>
  <si>
    <t>Petrópolis - RJ,</t>
  </si>
  <si>
    <t>Sáb - 07:00 às 11:30 - Intervalo: N/A - Pausa: N/A - Folga: N/A</t>
  </si>
  <si>
    <t>AG009g</t>
  </si>
  <si>
    <t>AG014 - LD-C/1</t>
  </si>
  <si>
    <t>Seg à Sex: 08:00 às 11:30 / Sáb - 07:00 às 11:30 - Intervalo: N/A - Pausa: N/A - Folga: Sáb e Dom</t>
  </si>
  <si>
    <t>R.09/2</t>
  </si>
  <si>
    <t>Seg, Qua e Sex - 13:00 às 15:45 - Intervalo: N/A - Pausa: N/A - Folga: N/A</t>
  </si>
  <si>
    <t>AG016 - LD-C/1</t>
  </si>
  <si>
    <t>R.03/2</t>
  </si>
  <si>
    <t>FC070</t>
  </si>
  <si>
    <t>Ter e Qui - 08:00 às 12:00 - Intervalo: N/A - Pausa: N/A - Folga: N/A</t>
  </si>
  <si>
    <t>AG016 - MD-C/2</t>
  </si>
  <si>
    <t>R.16/4</t>
  </si>
  <si>
    <t>R.09/1</t>
  </si>
  <si>
    <t>AG009k</t>
  </si>
  <si>
    <t>AG018 - LD-C/U</t>
  </si>
  <si>
    <t>R.05/4</t>
  </si>
  <si>
    <t>TIPO DE CONTRATAÇÃO</t>
  </si>
  <si>
    <t>AG020 - LD-C/1</t>
  </si>
  <si>
    <t>R.05/7</t>
  </si>
  <si>
    <t>homem</t>
  </si>
  <si>
    <t>AG009l</t>
  </si>
  <si>
    <t>mulher</t>
  </si>
  <si>
    <t>GARIN</t>
  </si>
  <si>
    <t>Ter, Qui - 09:00 às 11:30 - Intervalo: N/A - Pausa: N/A - Folga: Dom e Fer</t>
  </si>
  <si>
    <t>AG022 - LD-C/U</t>
  </si>
  <si>
    <t>R.03/5</t>
  </si>
  <si>
    <t>Sáb - 08:00 às 12:00 - Intervalo: N/A - Pausa: N/A - Folga: N/A</t>
  </si>
  <si>
    <t>AG009m</t>
  </si>
  <si>
    <t>homens</t>
  </si>
  <si>
    <t>AG009n</t>
  </si>
  <si>
    <t>AG023 - PD-A/2</t>
  </si>
  <si>
    <t>m</t>
  </si>
  <si>
    <t>AG009p</t>
  </si>
  <si>
    <t>h</t>
  </si>
  <si>
    <t>TRES RIOS - RJ</t>
  </si>
  <si>
    <t>R.17/2</t>
  </si>
  <si>
    <t>AG009q</t>
  </si>
  <si>
    <t>AG030 - LD-C/U</t>
  </si>
  <si>
    <t>RESERVA</t>
  </si>
  <si>
    <t>R.06/1</t>
  </si>
  <si>
    <t>I4 - INFO4</t>
  </si>
  <si>
    <t>13:30 às 15:30</t>
  </si>
  <si>
    <t>AG010</t>
  </si>
  <si>
    <t>AG057 - LD-C/U</t>
  </si>
  <si>
    <t>R.04/3</t>
  </si>
  <si>
    <t>Seg à Sex - 13:00 às 17:00 - Intervalo: N/A - Pausa: N/A - Folga: Dom e Fer</t>
  </si>
  <si>
    <t>São Jose do Vale do Rio Preto</t>
  </si>
  <si>
    <t>AG032 - LD-C/U</t>
  </si>
  <si>
    <t>R.04/1</t>
  </si>
  <si>
    <t xml:space="preserve">Teresópolis </t>
  </si>
  <si>
    <t>AG033 - LD-C/U</t>
  </si>
  <si>
    <t>R.03/3</t>
  </si>
  <si>
    <t>Seg à Sex - 13:00 às 14:00 - Intervalo: N/A - Pausa: N/A - Folga: N/A</t>
  </si>
  <si>
    <t>AG034 - LD-C/U</t>
  </si>
  <si>
    <t>R.02/4</t>
  </si>
  <si>
    <t>Qui - 08:00 às 12:00 - Intervalo: N/A - Pausa: N/A - Folga: N/A</t>
  </si>
  <si>
    <t>AG053 - LD-C/U</t>
  </si>
  <si>
    <t>R.05/2</t>
  </si>
  <si>
    <t>AG064 - LD-C/U</t>
  </si>
  <si>
    <t>R.05/5</t>
  </si>
  <si>
    <t>AG037 - MD-B/U</t>
  </si>
  <si>
    <t>PEDRO VOGEL - CONDOMINIO</t>
  </si>
  <si>
    <t>PETRÓPOLIS - RJ</t>
  </si>
  <si>
    <t>AG038 - PN-C/U</t>
  </si>
  <si>
    <t>AG041 - LD-C/U</t>
  </si>
  <si>
    <t>R.02/2</t>
  </si>
  <si>
    <t>Petrópolis - RJ</t>
  </si>
  <si>
    <t>1ª e 3ª Ter - 08:00 às 12:00 - Intervalo: N/A - Pausa: N/A - Folga: N/A</t>
  </si>
  <si>
    <t>AG041 - JD-C/U</t>
  </si>
  <si>
    <t>R.16/2</t>
  </si>
  <si>
    <t>AG059 - JD-C/1</t>
  </si>
  <si>
    <t>R.16/1</t>
  </si>
  <si>
    <t>AG019</t>
  </si>
  <si>
    <t>Seg e Qua (Quinzenal) - 08:00 às 17:00 - Intervalo: 12h às 13h - Pausa: N/A - Folga: N/A</t>
  </si>
  <si>
    <t>AG042 - LD-C/U</t>
  </si>
  <si>
    <t>Sex - 13:30 às 17:00 - Intervalo: N/A - Pausa: N/A - Folga: N/A</t>
  </si>
  <si>
    <t>AG020</t>
  </si>
  <si>
    <t>AG045 - MD-B/1</t>
  </si>
  <si>
    <t>AG045 - MD-B/2</t>
  </si>
  <si>
    <t>AG045 - PD-A/1</t>
  </si>
  <si>
    <t>R03/1</t>
  </si>
  <si>
    <t>AG045 - PD-A/3</t>
  </si>
  <si>
    <t>R04/1</t>
  </si>
  <si>
    <t>AG045 - PD-A/2</t>
  </si>
  <si>
    <t>R05/1</t>
  </si>
  <si>
    <t>AG045 - PD-A/4</t>
  </si>
  <si>
    <t>R06/1</t>
  </si>
  <si>
    <t>AG045 - PN-A/1</t>
  </si>
  <si>
    <t>R07/1</t>
  </si>
  <si>
    <t>AG045 - PN-A/2</t>
  </si>
  <si>
    <t>AG038</t>
  </si>
  <si>
    <t>R08/1</t>
  </si>
  <si>
    <t>R09/1</t>
  </si>
  <si>
    <t>AG045 - PN-A/3</t>
  </si>
  <si>
    <t>R10/1</t>
  </si>
  <si>
    <t>AG045 - PN-A/4</t>
  </si>
  <si>
    <t>R11/1</t>
  </si>
  <si>
    <t>R12/1</t>
  </si>
  <si>
    <t>R13/1</t>
  </si>
  <si>
    <t>AG045</t>
  </si>
  <si>
    <t>R14/1</t>
  </si>
  <si>
    <t>AG048 - PD-A/2</t>
  </si>
  <si>
    <t>R15/1</t>
  </si>
  <si>
    <t>R16/1</t>
  </si>
  <si>
    <t>AG048 - PN-A/2</t>
  </si>
  <si>
    <t>AG048 - LD-C/1</t>
  </si>
  <si>
    <t>R.04/4</t>
  </si>
  <si>
    <t>AG048 - LD-C/2</t>
  </si>
  <si>
    <t>Qua - 08:00 às 17:00 - Intervalo: 12h - 13h - Pausa: N/A - Folga: N/A</t>
  </si>
  <si>
    <t>R.02</t>
  </si>
  <si>
    <t>R.02/1</t>
  </si>
  <si>
    <t>AG050 - PN-A/2</t>
  </si>
  <si>
    <t>R.07/1</t>
  </si>
  <si>
    <t>AG054 - LD-C/U</t>
  </si>
  <si>
    <t>R.05/6</t>
  </si>
  <si>
    <t>AG052 - LD-C/U</t>
  </si>
  <si>
    <t>R.05/3</t>
  </si>
  <si>
    <t>AG055 - JD-C/U</t>
  </si>
  <si>
    <t>R.16/3</t>
  </si>
  <si>
    <t>AG048</t>
  </si>
  <si>
    <t>AG055</t>
  </si>
  <si>
    <t>AG030</t>
  </si>
  <si>
    <t>AG016</t>
  </si>
  <si>
    <t>AG000</t>
  </si>
  <si>
    <t>AG001</t>
  </si>
  <si>
    <t>AG034</t>
  </si>
  <si>
    <t>total 1</t>
  </si>
  <si>
    <t>AG018</t>
  </si>
  <si>
    <t>AG053</t>
  </si>
  <si>
    <t>AG052</t>
  </si>
  <si>
    <t>AG054</t>
  </si>
  <si>
    <t>AG064</t>
  </si>
  <si>
    <t>total 4</t>
  </si>
  <si>
    <t>AG042</t>
  </si>
  <si>
    <t>AG022</t>
  </si>
  <si>
    <t>AG047</t>
  </si>
  <si>
    <t>AG033</t>
  </si>
  <si>
    <t>AG041</t>
  </si>
  <si>
    <t>total 23</t>
  </si>
  <si>
    <t>total 5</t>
  </si>
  <si>
    <t>total 6</t>
  </si>
  <si>
    <t>total 3</t>
  </si>
  <si>
    <t>total 2</t>
  </si>
  <si>
    <t xml:space="preserve"> total 3</t>
  </si>
  <si>
    <t>total 144</t>
  </si>
  <si>
    <t>seg.</t>
  </si>
  <si>
    <t>ter.</t>
  </si>
  <si>
    <t>ENCARREGADO</t>
  </si>
  <si>
    <t>qua.</t>
  </si>
  <si>
    <t>ZELADOR</t>
  </si>
  <si>
    <t>MONICA, FAZER UMA ABA DE ROTEIRO QUE TRAGA A INFORMAÇÃO E JÁ SIRVA PARA IMPRESSAO</t>
  </si>
  <si>
    <t>Contrato de Trabalho</t>
  </si>
  <si>
    <t>Deslocamento</t>
  </si>
  <si>
    <t>Horas Trabalhadas</t>
  </si>
  <si>
    <t>CONTRATO DE TRABALHO</t>
  </si>
  <si>
    <t>desloc</t>
  </si>
  <si>
    <t>0:00 hs</t>
  </si>
  <si>
    <t>22:00 hs</t>
  </si>
  <si>
    <t>Nordeste</t>
  </si>
  <si>
    <t>PROCV(A57;'ALOCAÇÃO'!D4:S143;15;FALSO())</t>
  </si>
  <si>
    <t>SOMASE('ALOCAÇÃO'!$C$55:$C$138;A166;'ALOCAÇÃO'!$F$55:$F$138)+SOMASE('ALOCAÇÃO'!$W$55:$W$138;A166;'ALOCAÇÃO'!$X$55:$X$138)</t>
  </si>
  <si>
    <t>Jardineiro</t>
  </si>
  <si>
    <t>COD.</t>
  </si>
  <si>
    <t>Sao Jose</t>
  </si>
  <si>
    <t>codigos p/ impressao</t>
  </si>
  <si>
    <t>ag005</t>
  </si>
  <si>
    <t>AG009P</t>
  </si>
  <si>
    <t>AG005 - PN-A/1</t>
  </si>
  <si>
    <t>AG029 - LD-C/U</t>
  </si>
  <si>
    <t>ag062</t>
  </si>
  <si>
    <t>AG005 - PD-A/1</t>
  </si>
  <si>
    <t>D</t>
  </si>
  <si>
    <t>COBERTURA DE ESCALA</t>
  </si>
  <si>
    <t>Horários</t>
  </si>
  <si>
    <t>N</t>
  </si>
  <si>
    <t>☀️</t>
  </si>
  <si>
    <t>🍽</t>
  </si>
  <si>
    <t>Pg aos DOM e Fe.</t>
  </si>
  <si>
    <t>🌙</t>
  </si>
  <si>
    <t>19:00 às 7:00</t>
  </si>
  <si>
    <t>AG005 - PN-A/2</t>
  </si>
  <si>
    <t>Pg todas as noites</t>
  </si>
  <si>
    <t>01:00 às 02:00</t>
  </si>
  <si>
    <t>01:</t>
  </si>
  <si>
    <t>13:00 às 20:00</t>
  </si>
  <si>
    <t>AG062 - LD-C/U</t>
  </si>
  <si>
    <t>Folga</t>
  </si>
  <si>
    <t>COB. CONTRATUAL</t>
  </si>
  <si>
    <t>AG062 - LDEC/U</t>
  </si>
  <si>
    <t>COBERTURA DE DOMINGO E FERIADO</t>
  </si>
  <si>
    <t>AG012</t>
  </si>
  <si>
    <t>AG008 - PD-C/U</t>
  </si>
  <si>
    <t>07 às 19</t>
  </si>
  <si>
    <t>OBS:  Em feriados, consultar o cliente para cobertura extra.</t>
  </si>
  <si>
    <t>18 ás 07</t>
  </si>
  <si>
    <t>19 ás 07</t>
  </si>
  <si>
    <t>pauta roteiros - manhã</t>
  </si>
  <si>
    <t>AG020 - LD-C/U</t>
  </si>
  <si>
    <t>COB. ESCALA E SEM COB</t>
  </si>
  <si>
    <t>cod</t>
  </si>
  <si>
    <t>COLABORADOR</t>
  </si>
  <si>
    <t>☀️ L</t>
  </si>
  <si>
    <t>☀️ P</t>
  </si>
  <si>
    <t>ESCALA DISPONIBILIDADE</t>
  </si>
  <si>
    <t>pauta roteiros - tarde</t>
  </si>
  <si>
    <t>AG048 - LD-C/U</t>
  </si>
  <si>
    <t>FC002</t>
  </si>
  <si>
    <t>e</t>
  </si>
  <si>
    <t>SEG</t>
  </si>
  <si>
    <t>TER</t>
  </si>
  <si>
    <t>QUA</t>
  </si>
  <si>
    <t>QUI</t>
  </si>
  <si>
    <t>SEX</t>
  </si>
  <si>
    <t>SAB</t>
  </si>
  <si>
    <t>DOM</t>
  </si>
  <si>
    <t>sub</t>
  </si>
  <si>
    <t>roteiro</t>
  </si>
  <si>
    <t>cliente</t>
  </si>
  <si>
    <t>clientes</t>
  </si>
  <si>
    <t>total trab</t>
  </si>
  <si>
    <t>dias trab</t>
  </si>
  <si>
    <t>quant final</t>
  </si>
  <si>
    <t>considerado</t>
  </si>
  <si>
    <t>Sesmarias</t>
  </si>
  <si>
    <t>Marco</t>
  </si>
  <si>
    <t>Sergio</t>
  </si>
  <si>
    <t>Gelson</t>
  </si>
  <si>
    <t>Folga]</t>
  </si>
  <si>
    <t>Roni</t>
  </si>
  <si>
    <t>Leila</t>
  </si>
  <si>
    <t>Natani</t>
  </si>
  <si>
    <t>Lenilda</t>
  </si>
  <si>
    <t>Dafila</t>
  </si>
  <si>
    <t>Green Offices</t>
  </si>
  <si>
    <t>Wendel</t>
  </si>
  <si>
    <t>Marcos</t>
  </si>
  <si>
    <t>Luan</t>
  </si>
  <si>
    <t xml:space="preserve">Luan </t>
  </si>
  <si>
    <t>Anderson</t>
  </si>
  <si>
    <t>Ruy</t>
  </si>
  <si>
    <t>Luis</t>
  </si>
  <si>
    <t>x</t>
  </si>
  <si>
    <t>Jussara</t>
  </si>
  <si>
    <t>Tamara</t>
  </si>
  <si>
    <t>Monet</t>
  </si>
  <si>
    <t>Givanildo</t>
  </si>
  <si>
    <t>Ariana</t>
  </si>
  <si>
    <t>Bianca</t>
  </si>
  <si>
    <t>Guilhermina</t>
  </si>
  <si>
    <t>--</t>
  </si>
  <si>
    <t>Lisanete</t>
  </si>
  <si>
    <t>Jucélia</t>
  </si>
  <si>
    <t>Mirelle</t>
  </si>
  <si>
    <t>----</t>
  </si>
  <si>
    <t>Jucelia</t>
  </si>
  <si>
    <t>Funerária</t>
  </si>
  <si>
    <t>Carmen</t>
  </si>
  <si>
    <t>Vera</t>
  </si>
  <si>
    <t>1)</t>
  </si>
  <si>
    <t>Gustavo</t>
  </si>
  <si>
    <t>Aposta</t>
  </si>
  <si>
    <t>Geraldo</t>
  </si>
  <si>
    <t>2)</t>
  </si>
  <si>
    <t>Marcelo</t>
  </si>
  <si>
    <t>Givanildo - 10:00</t>
  </si>
  <si>
    <t>Cida</t>
  </si>
  <si>
    <t>Fernanda</t>
  </si>
  <si>
    <t>Imaculada</t>
  </si>
  <si>
    <t>3)</t>
  </si>
  <si>
    <t>Regina</t>
  </si>
  <si>
    <t>Diego</t>
  </si>
  <si>
    <t xml:space="preserve">Dário </t>
  </si>
  <si>
    <t>4)</t>
  </si>
  <si>
    <t>Luana</t>
  </si>
  <si>
    <t>Cristina D</t>
  </si>
  <si>
    <t>5)</t>
  </si>
  <si>
    <t>Israel</t>
  </si>
  <si>
    <t>Cristina D.</t>
  </si>
  <si>
    <t>Caio</t>
  </si>
  <si>
    <t>Caio/Luis</t>
  </si>
  <si>
    <t>Dario</t>
  </si>
  <si>
    <t>6)</t>
  </si>
  <si>
    <t>Paloma</t>
  </si>
  <si>
    <t>Cristina Deolindo</t>
  </si>
  <si>
    <t xml:space="preserve">Luis/Caio </t>
  </si>
  <si>
    <t xml:space="preserve">Luis </t>
  </si>
  <si>
    <t>Luis - 10</t>
  </si>
  <si>
    <t>Luis - 10:00</t>
  </si>
  <si>
    <t>Até ás 15:00</t>
  </si>
  <si>
    <t>7)</t>
  </si>
  <si>
    <t>Robson</t>
  </si>
  <si>
    <t>Caio/Luis -10</t>
  </si>
  <si>
    <t>Caio/Luis - 11</t>
  </si>
  <si>
    <t>Alimentação</t>
  </si>
  <si>
    <t xml:space="preserve">Fernanda </t>
  </si>
  <si>
    <t>8)</t>
  </si>
  <si>
    <t>Tatiana</t>
  </si>
  <si>
    <t>Diego - 11:00</t>
  </si>
  <si>
    <t xml:space="preserve">Diego - </t>
  </si>
  <si>
    <t xml:space="preserve">Diego </t>
  </si>
  <si>
    <t>Diego - 10:00</t>
  </si>
  <si>
    <t>Dario - 11:00</t>
  </si>
  <si>
    <t>Dario - 10:00</t>
  </si>
  <si>
    <t>Sumit</t>
  </si>
  <si>
    <t>Correias Mall     Escritório</t>
  </si>
  <si>
    <t>HGL</t>
  </si>
  <si>
    <t>Zé</t>
  </si>
  <si>
    <t>recesso</t>
  </si>
  <si>
    <t>Escala Mirelle Até 15/01</t>
  </si>
  <si>
    <t>Info 4</t>
  </si>
  <si>
    <t>Conceição</t>
  </si>
  <si>
    <t>Alprofi</t>
  </si>
  <si>
    <t>---</t>
  </si>
  <si>
    <t>Anapoly</t>
  </si>
  <si>
    <t>Thais</t>
  </si>
  <si>
    <t>Monica</t>
  </si>
  <si>
    <t>Escala Monica até dia 15/01</t>
  </si>
  <si>
    <t xml:space="preserve">Villar </t>
  </si>
  <si>
    <t>VT semanal</t>
  </si>
  <si>
    <t xml:space="preserve">Lisanete </t>
  </si>
  <si>
    <t>Gioia</t>
  </si>
  <si>
    <t>TO Brasil</t>
  </si>
  <si>
    <t>Otica Marchese</t>
  </si>
  <si>
    <t>Silvana H</t>
  </si>
  <si>
    <t>Otica Zeiss 16 de Março</t>
  </si>
  <si>
    <t>Otica Via V. Itaipava</t>
  </si>
  <si>
    <t>Otica Vilarejo</t>
  </si>
  <si>
    <t>PIPERITA</t>
  </si>
  <si>
    <t>Dia 06/01 - 08:00 ás 17:00</t>
  </si>
  <si>
    <t>Raquel S</t>
  </si>
  <si>
    <t>Geraldo L</t>
  </si>
  <si>
    <t>FASE</t>
  </si>
  <si>
    <t>BRASILINE</t>
  </si>
  <si>
    <t>Insalub sem.</t>
  </si>
  <si>
    <t>11:00 ás 20:00</t>
  </si>
  <si>
    <t xml:space="preserve">Dario </t>
  </si>
  <si>
    <t>Bral-max</t>
  </si>
  <si>
    <t>Fabio</t>
  </si>
  <si>
    <t>Jorge A</t>
  </si>
  <si>
    <t>HAELER</t>
  </si>
  <si>
    <t>Vanderlei</t>
  </si>
  <si>
    <t>Thiago</t>
  </si>
  <si>
    <t>Pousada</t>
  </si>
  <si>
    <t>Paulo</t>
  </si>
  <si>
    <t>Willian</t>
  </si>
  <si>
    <t>Armazens Renato</t>
  </si>
  <si>
    <t xml:space="preserve">Jorge A </t>
  </si>
  <si>
    <t>Cassiano</t>
  </si>
  <si>
    <t>Tempo trabalhado</t>
  </si>
  <si>
    <t>Desloc.</t>
  </si>
  <si>
    <t>SOBRA</t>
  </si>
  <si>
    <t>CODIGO DE POSTO</t>
  </si>
  <si>
    <t>nome do colaborador</t>
  </si>
  <si>
    <t>localização</t>
  </si>
  <si>
    <t>AG029</t>
  </si>
  <si>
    <t>Jacqueline</t>
  </si>
  <si>
    <t>LIDER</t>
  </si>
  <si>
    <t>06:00 ás 16:00</t>
  </si>
  <si>
    <t>06:00 ás 15:00</t>
  </si>
  <si>
    <t>LD</t>
  </si>
  <si>
    <t>Anderlan</t>
  </si>
  <si>
    <t>06:00 ás 10:00</t>
  </si>
  <si>
    <t>JD1</t>
  </si>
  <si>
    <t>Francisco</t>
  </si>
  <si>
    <t>AUX DE JARDINAGEM</t>
  </si>
  <si>
    <t>07:00 ás 11:00</t>
  </si>
  <si>
    <t>JD2</t>
  </si>
  <si>
    <t>Maria Aparecida</t>
  </si>
  <si>
    <t>LIMPADOR - DIURNO 1</t>
  </si>
  <si>
    <t>D1</t>
  </si>
  <si>
    <t xml:space="preserve">Rosangela </t>
  </si>
  <si>
    <t>LIMPADOR - DIURNO 2</t>
  </si>
  <si>
    <t>D2</t>
  </si>
  <si>
    <t>LIMPADOR - DIURNO 3</t>
  </si>
  <si>
    <t>D3</t>
  </si>
  <si>
    <t>LIMPADOR - DIURNO 4</t>
  </si>
  <si>
    <t>Seg à Sex - 06:00 às 16:00 / Sáb - 07:00 às 11:00 - Intervalo: 11h - 14h - Pausa: 09h - 09h15 - Folga: Domingos</t>
  </si>
  <si>
    <t>D4</t>
  </si>
  <si>
    <t>Rodrigo</t>
  </si>
  <si>
    <t>LIMPADOR - DIURNO 5</t>
  </si>
  <si>
    <t>D5</t>
  </si>
  <si>
    <t>Fabiana</t>
  </si>
  <si>
    <t>LIMPADOR - DIURNO 6</t>
  </si>
  <si>
    <t>D6</t>
  </si>
  <si>
    <t>Beatriz</t>
  </si>
  <si>
    <t>LIMPADOR - VESPERTINO 1</t>
  </si>
  <si>
    <t>Seg à Sáb - 13:05 às 21:25 - Intervalo: 19h - 20h - Pausa: 16h - 16:15h - Folga: Sab e Dom Alternados</t>
  </si>
  <si>
    <t>13:05 ás 21:25</t>
  </si>
  <si>
    <t>V1</t>
  </si>
  <si>
    <t>Carlos Augusto</t>
  </si>
  <si>
    <t>LIMPADOR - VESPERTINO 2</t>
  </si>
  <si>
    <t>Seg à Sáb - 13:05 às 21:25 - Intervalo: 19h - 20h - Pausa: 16:15h - 16:30h - Folga: Sab e Dom Alternados</t>
  </si>
  <si>
    <t>V2</t>
  </si>
  <si>
    <t>extra</t>
  </si>
  <si>
    <t>LIMPADOR - VESPERTINO EXTRA 3</t>
  </si>
  <si>
    <t>DOMINGO - 11:00 às 15:00 - Intervalo: N/A - Pausa: N/A - Folga: N/A</t>
  </si>
  <si>
    <t>xx</t>
  </si>
  <si>
    <t>11:00 ás 15:00</t>
  </si>
  <si>
    <t>V3</t>
  </si>
  <si>
    <t>Nilson</t>
  </si>
  <si>
    <t>LIMPADOR - NOTURNO 1</t>
  </si>
  <si>
    <t>21:40 ás 06:00</t>
  </si>
  <si>
    <t>N1</t>
  </si>
  <si>
    <t>Itamar</t>
  </si>
  <si>
    <t>LIMPADOR - NOTURNO 2</t>
  </si>
  <si>
    <t>N2</t>
  </si>
  <si>
    <t>TARRAFAS</t>
  </si>
  <si>
    <t>#REF!</t>
  </si>
  <si>
    <t>25625-000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</si>
</sst>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[$R$ -416]#,##0.00"/>
    <numFmt numFmtId="166" formatCode="00"/>
    <numFmt numFmtId="167" formatCode="d/m"/>
    <numFmt numFmtId="168" formatCode="[h]&quot;:&quot;mm&quot; hs&quot;"/>
    <numFmt numFmtId="169" formatCode="d/m/yyyy"/>
    <numFmt numFmtId="171" formatCode="[h]&quot;:&quot;mm"/>
    <numFmt numFmtId="172" formatCode="dd&quot;/&quot;mm"/>
    <numFmt numFmtId="174" formatCode="&quot;INSS/ATESTADO     ---   &quot;\ 0\ &quot;Colaborador(es) Retornando&quot;"/>
    <numFmt numFmtId="178" formatCode="mmm"/>
    <numFmt numFmtId="179" formatCode="mmmm"/>
    <numFmt numFmtId="180" formatCode="ddd"/>
    <numFmt numFmtId="181" formatCode="[hh]:mm:ss"/>
    <numFmt numFmtId="182" formatCode="dd"/>
    <numFmt numFmtId="183" formatCode="[hh]&quot;:&quot;mm"/>
    <numFmt numFmtId="184" formatCode="d"/>
    <numFmt numFmtId="185" formatCode="d/mmm"/>
  </numFmts>
  <fonts count="87">
    <font>
      <sz val="10"/>
      <color rgb="FF000000"/>
      <name val="Arial"/>
      <scheme val="minor"/>
    </font>
    <font>
      <sz val="10"/>
      <color theme="1"/>
      <name val="Arial"/>
    </font>
    <font>
      <sz val="9"/>
      <color theme="1"/>
      <name val="Arial"/>
    </font>
    <font>
      <b/>
      <sz val="9"/>
      <color rgb="FF000000"/>
      <name val="Quattrocento Sans"/>
    </font>
    <font>
      <sz val="9"/>
      <color rgb="FF000000"/>
      <name val="Quattrocento Sans"/>
    </font>
    <font>
      <sz val="9"/>
      <color rgb="FFFFFFFF"/>
      <name val="Quattrocento Sans"/>
    </font>
    <font>
      <b/>
      <sz val="8"/>
      <color theme="1"/>
      <name val="Arial"/>
    </font>
    <font>
      <sz val="8"/>
      <color theme="1"/>
      <name val="Arial"/>
    </font>
    <font>
      <sz val="12"/>
      <color theme="1"/>
      <name val="Arial"/>
    </font>
    <font>
      <sz val="10"/>
      <color theme="1"/>
      <name val="Arial"/>
      <scheme val="minor"/>
    </font>
    <font>
      <sz val="10"/>
      <name val="Arial"/>
    </font>
    <font>
      <sz val="9"/>
      <color rgb="FF3B3B3B"/>
      <name val="Arial"/>
    </font>
    <font>
      <sz val="9"/>
      <color rgb="FF000000"/>
      <name val="Arial"/>
    </font>
    <font>
      <sz val="8"/>
      <color rgb="FF434343"/>
      <name val="Arial"/>
    </font>
    <font>
      <sz val="9"/>
      <color theme="1"/>
      <name val="Tahoma"/>
    </font>
    <font>
      <sz val="10"/>
      <color rgb="FF000000"/>
      <name val="Arial"/>
    </font>
    <font>
      <b/>
      <sz val="10"/>
      <color rgb="FF000000"/>
      <name val="Arial"/>
    </font>
    <font>
      <sz val="8"/>
      <color rgb="FF3B3B3B"/>
      <name val="Arial"/>
    </font>
    <font>
      <sz val="11"/>
      <color theme="1"/>
      <name val="Calibri"/>
    </font>
    <font>
      <b/>
      <sz val="9"/>
      <color theme="1"/>
      <name val="Arial"/>
    </font>
    <font>
      <b/>
      <sz val="9"/>
      <color theme="1"/>
      <name val="Quattrocento Sans"/>
    </font>
    <font>
      <sz val="10"/>
      <color theme="1"/>
      <name val="Arial"/>
    </font>
    <font>
      <b/>
      <sz val="12"/>
      <color rgb="FF3B3B3B"/>
      <name val="Arial"/>
    </font>
    <font>
      <b/>
      <sz val="9"/>
      <color rgb="FFFFFFFF"/>
      <name val="Arial"/>
    </font>
    <font>
      <b/>
      <sz val="9"/>
      <color rgb="FFFFFFFF"/>
      <name val="Quattrocento Sans"/>
    </font>
    <font>
      <sz val="10"/>
      <color theme="1"/>
      <name val="Calibri"/>
    </font>
    <font>
      <b/>
      <sz val="7"/>
      <color rgb="FF000000"/>
      <name val="Arial"/>
    </font>
    <font>
      <sz val="10"/>
      <color theme="1"/>
      <name val="&quot;Google Sans Text&quot;"/>
    </font>
    <font>
      <sz val="10"/>
      <color rgb="FF000000"/>
      <name val="&quot;ZurichCalligraphic&quot;"/>
    </font>
    <font>
      <sz val="10"/>
      <color rgb="FF000000"/>
      <name val="Google Sans Text"/>
    </font>
    <font>
      <sz val="10"/>
      <color theme="1"/>
      <name val="Google Sans"/>
    </font>
    <font>
      <b/>
      <sz val="10"/>
      <color theme="1"/>
      <name val="Arial"/>
    </font>
    <font>
      <b/>
      <sz val="10"/>
      <color rgb="FF434343"/>
      <name val="Arial"/>
    </font>
    <font>
      <b/>
      <sz val="10"/>
      <color rgb="FF3B3B3B"/>
      <name val="Arial"/>
    </font>
    <font>
      <b/>
      <sz val="8"/>
      <color rgb="FF3B3B3B"/>
      <name val="Arial"/>
    </font>
    <font>
      <b/>
      <sz val="9"/>
      <color rgb="FF000000"/>
      <name val="Arial"/>
    </font>
    <font>
      <b/>
      <i/>
      <sz val="29"/>
      <color rgb="FF000000"/>
      <name val="Roboto Serif"/>
    </font>
    <font>
      <b/>
      <sz val="11"/>
      <color rgb="FF000000"/>
      <name val="Comfortaa"/>
    </font>
    <font>
      <sz val="15"/>
      <color rgb="FF000000"/>
      <name val="Merriweather"/>
    </font>
    <font>
      <sz val="10"/>
      <color rgb="FF000000"/>
      <name val="Arial"/>
      <scheme val="minor"/>
    </font>
    <font>
      <sz val="12"/>
      <color rgb="FF111111"/>
      <name val="Arial"/>
      <scheme val="minor"/>
    </font>
    <font>
      <sz val="14"/>
      <color rgb="FF000000"/>
      <name val="Roboto Serif"/>
    </font>
    <font>
      <sz val="10"/>
      <color rgb="FF000000"/>
      <name val="Arial"/>
    </font>
    <font>
      <sz val="11"/>
      <color rgb="FF000000"/>
      <name val="Arial"/>
    </font>
    <font>
      <sz val="9"/>
      <color rgb="FF000000"/>
      <name val="Calibri"/>
    </font>
    <font>
      <sz val="15"/>
      <color theme="1"/>
      <name val="Merriweather"/>
    </font>
    <font>
      <sz val="15"/>
      <color rgb="FF000000"/>
      <name val="Arial"/>
    </font>
    <font>
      <sz val="9"/>
      <color rgb="FF000000"/>
      <name val="Merriweather"/>
    </font>
    <font>
      <sz val="10"/>
      <color rgb="FF000000"/>
      <name val="Merriweather"/>
    </font>
    <font>
      <sz val="11"/>
      <color rgb="FF000000"/>
      <name val="Calibri"/>
    </font>
    <font>
      <sz val="14"/>
      <color rgb="FF000000"/>
      <name val="Arial"/>
      <scheme val="minor"/>
    </font>
    <font>
      <b/>
      <sz val="9"/>
      <color theme="4"/>
      <name val="Quattrocento Sans"/>
    </font>
    <font>
      <b/>
      <sz val="9"/>
      <color rgb="FF1F1F1F"/>
      <name val="Quattrocento Sans"/>
    </font>
    <font>
      <sz val="9"/>
      <color rgb="FF000000"/>
      <name val="&quot;Google Sans Mono&quot;"/>
    </font>
    <font>
      <sz val="9"/>
      <color rgb="FF1F1F1F"/>
      <name val="&quot;Google Sans&quot;"/>
    </font>
    <font>
      <sz val="11"/>
      <color rgb="FF1F1F1F"/>
      <name val="&quot;Google Sans&quot;"/>
    </font>
    <font>
      <b/>
      <i/>
      <sz val="32"/>
      <color theme="1"/>
      <name val="Roboto Serif"/>
    </font>
    <font>
      <sz val="10"/>
      <color theme="1"/>
      <name val="Merriweather"/>
    </font>
    <font>
      <sz val="12"/>
      <color theme="1"/>
      <name val="Merriweather"/>
    </font>
    <font>
      <sz val="8"/>
      <color theme="1"/>
      <name val="Calibri"/>
    </font>
    <font>
      <sz val="9"/>
      <color theme="1"/>
      <name val="Merriweather"/>
    </font>
    <font>
      <sz val="20"/>
      <color theme="1"/>
      <name val="Roboto Serif"/>
    </font>
    <font>
      <sz val="17"/>
      <color theme="1"/>
      <name val="Roboto Serif"/>
    </font>
    <font>
      <b/>
      <sz val="15"/>
      <color theme="1"/>
      <name val="Roboto Serif"/>
    </font>
    <font>
      <sz val="11"/>
      <color theme="1"/>
      <name val="Roboto Serif"/>
    </font>
    <font>
      <sz val="9"/>
      <color rgb="FF000000"/>
      <name val="Arial"/>
      <scheme val="minor"/>
    </font>
    <font>
      <b/>
      <sz val="11"/>
      <color theme="1"/>
      <name val="Arial"/>
      <scheme val="minor"/>
    </font>
    <font>
      <sz val="14"/>
      <color theme="1"/>
      <name val="Merriweather"/>
    </font>
    <font>
      <sz val="16"/>
      <color theme="1"/>
      <name val="Arial"/>
    </font>
    <font>
      <b/>
      <sz val="10"/>
      <color theme="1"/>
      <name val="Arial"/>
    </font>
    <font>
      <b/>
      <i/>
      <sz val="30"/>
      <color theme="1"/>
      <name val="Roboto Serif"/>
    </font>
    <font>
      <sz val="11"/>
      <color theme="1"/>
      <name val="Merriweather"/>
    </font>
    <font>
      <b/>
      <sz val="15"/>
      <color theme="1"/>
      <name val="Merriweather"/>
    </font>
    <font>
      <sz val="13"/>
      <color theme="1"/>
      <name val="Merriweather"/>
    </font>
    <font>
      <sz val="8"/>
      <color theme="1"/>
      <name val="Merriweather"/>
    </font>
    <font>
      <b/>
      <i/>
      <sz val="29"/>
      <color theme="1"/>
      <name val="Roboto Serif"/>
    </font>
    <font>
      <b/>
      <i/>
      <sz val="15"/>
      <color theme="1"/>
      <name val="Roboto Serif"/>
    </font>
    <font>
      <sz val="11"/>
      <color theme="1"/>
      <name val="Arial"/>
    </font>
    <font>
      <sz val="30"/>
      <color rgb="FFFFFFFF"/>
      <name val="Merriweather"/>
    </font>
    <font>
      <b/>
      <sz val="11"/>
      <color theme="1"/>
      <name val="Arial"/>
    </font>
    <font>
      <sz val="9"/>
      <color theme="1"/>
      <name val="Calibri"/>
    </font>
    <font>
      <b/>
      <sz val="7"/>
      <color theme="1"/>
      <name val="Comfortaa"/>
    </font>
    <font>
      <sz val="10"/>
      <color theme="1"/>
      <name val="Comfortaa"/>
    </font>
    <font>
      <sz val="14"/>
      <color rgb="FF000000"/>
      <name val="Calibri"/>
    </font>
    <font>
      <sz val="8"/>
      <color rgb="FFFFFFFF"/>
      <name val="Arial"/>
    </font>
    <font>
      <sz val="10"/>
      <color rgb="FF3B3B3B"/>
      <name val="Arial"/>
    </font>
    <font>
      <sz val="10"/>
      <color rgb="FFFFFFFF"/>
      <name val="Arial"/>
    </font>
  </fonts>
  <fills count="31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CFDFF"/>
        <bgColor rgb="FFFCFDFF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6FA8DC"/>
        <bgColor rgb="FF6FA8DC"/>
      </patternFill>
    </fill>
    <fill>
      <patternFill patternType="solid">
        <fgColor rgb="FF274E13"/>
        <bgColor rgb="FF274E1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6B26B"/>
        <bgColor rgb="FFF6B26B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F2F2F2"/>
        <bgColor rgb="FFF2F2F2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000000"/>
      </top>
      <bottom/>
      <diagonal/>
    </border>
  </borders>
  <cellStyleXfs count="1">
    <xf numFmtId="0" fontId="0" fillId="0" borderId="0"/>
  </cellStyleXfs>
  <cellXfs count="568">
    <xf numFmtId="0" fontId="0" fillId="0" borderId="0" xfId="0"/>
    <xf numFmtId="0" fontId="1" fillId="0" borderId="0" xfId="0" applyFont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vertical="center"/>
    </xf>
    <xf numFmtId="0" fontId="4" fillId="5" borderId="3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68" fontId="12" fillId="6" borderId="7" xfId="0" applyNumberFormat="1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 wrapText="1"/>
    </xf>
    <xf numFmtId="20" fontId="7" fillId="6" borderId="7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20" fontId="7" fillId="6" borderId="4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168" fontId="12" fillId="6" borderId="4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166" fontId="2" fillId="6" borderId="4" xfId="0" applyNumberFormat="1" applyFont="1" applyFill="1" applyBorder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164" fontId="1" fillId="6" borderId="2" xfId="0" applyNumberFormat="1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46" fontId="12" fillId="6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19" fillId="10" borderId="2" xfId="0" applyFont="1" applyFill="1" applyBorder="1" applyAlignment="1">
      <alignment horizontal="center" vertical="center" wrapText="1"/>
    </xf>
    <xf numFmtId="0" fontId="19" fillId="10" borderId="4" xfId="0" applyFont="1" applyFill="1" applyBorder="1" applyAlignment="1">
      <alignment horizontal="center" vertical="center" wrapText="1"/>
    </xf>
    <xf numFmtId="166" fontId="19" fillId="10" borderId="4" xfId="0" applyNumberFormat="1" applyFont="1" applyFill="1" applyBorder="1" applyAlignment="1">
      <alignment horizontal="center" vertical="center" wrapText="1"/>
    </xf>
    <xf numFmtId="0" fontId="19" fillId="10" borderId="5" xfId="0" applyFont="1" applyFill="1" applyBorder="1" applyAlignment="1">
      <alignment horizontal="center" vertical="center" wrapText="1"/>
    </xf>
    <xf numFmtId="0" fontId="19" fillId="10" borderId="4" xfId="0" applyFont="1" applyFill="1" applyBorder="1" applyAlignment="1">
      <alignment horizontal="left" vertical="center" wrapText="1"/>
    </xf>
    <xf numFmtId="0" fontId="19" fillId="10" borderId="10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20" fontId="7" fillId="6" borderId="10" xfId="0" applyNumberFormat="1" applyFont="1" applyFill="1" applyBorder="1" applyAlignment="1">
      <alignment horizontal="center" vertical="center" wrapText="1"/>
    </xf>
    <xf numFmtId="168" fontId="4" fillId="4" borderId="4" xfId="0" applyNumberFormat="1" applyFont="1" applyFill="1" applyBorder="1" applyAlignment="1">
      <alignment horizontal="center" vertical="center"/>
    </xf>
    <xf numFmtId="0" fontId="19" fillId="10" borderId="0" xfId="0" applyFont="1" applyFill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horizontal="center" vertical="center"/>
    </xf>
    <xf numFmtId="46" fontId="12" fillId="3" borderId="4" xfId="0" applyNumberFormat="1" applyFont="1" applyFill="1" applyBorder="1" applyAlignment="1">
      <alignment horizontal="center" vertical="center"/>
    </xf>
    <xf numFmtId="20" fontId="7" fillId="3" borderId="4" xfId="0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20" fontId="7" fillId="3" borderId="7" xfId="0" applyNumberFormat="1" applyFont="1" applyFill="1" applyBorder="1" applyAlignment="1">
      <alignment horizontal="center" vertical="center" wrapText="1"/>
    </xf>
    <xf numFmtId="168" fontId="12" fillId="3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2" fillId="0" borderId="4" xfId="0" applyNumberFormat="1" applyFont="1" applyBorder="1" applyAlignment="1">
      <alignment vertical="center"/>
    </xf>
    <xf numFmtId="0" fontId="11" fillId="3" borderId="7" xfId="0" applyFont="1" applyFill="1" applyBorder="1" applyAlignment="1">
      <alignment horizontal="center" vertical="center" wrapText="1"/>
    </xf>
    <xf numFmtId="46" fontId="12" fillId="3" borderId="7" xfId="0" applyNumberFormat="1" applyFont="1" applyFill="1" applyBorder="1" applyAlignment="1">
      <alignment horizontal="center" vertical="center"/>
    </xf>
    <xf numFmtId="171" fontId="2" fillId="0" borderId="4" xfId="0" applyNumberFormat="1" applyFont="1" applyBorder="1" applyAlignment="1">
      <alignment vertical="center"/>
    </xf>
    <xf numFmtId="20" fontId="7" fillId="6" borderId="5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9" fillId="0" borderId="4" xfId="0" applyFont="1" applyBorder="1"/>
    <xf numFmtId="0" fontId="13" fillId="3" borderId="4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textRotation="90" wrapText="1"/>
    </xf>
    <xf numFmtId="0" fontId="17" fillId="6" borderId="0" xfId="0" applyFont="1" applyFill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9" fillId="0" borderId="0" xfId="0" applyFont="1"/>
    <xf numFmtId="178" fontId="19" fillId="10" borderId="4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9" fontId="1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center"/>
    </xf>
    <xf numFmtId="164" fontId="9" fillId="0" borderId="0" xfId="0" applyNumberFormat="1" applyFont="1" applyAlignment="1">
      <alignment vertical="center"/>
    </xf>
    <xf numFmtId="165" fontId="9" fillId="6" borderId="0" xfId="0" applyNumberFormat="1" applyFont="1" applyFill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7" fillId="17" borderId="0" xfId="0" applyFont="1" applyFill="1"/>
    <xf numFmtId="0" fontId="29" fillId="6" borderId="0" xfId="0" applyFont="1" applyFill="1"/>
    <xf numFmtId="0" fontId="9" fillId="6" borderId="0" xfId="0" applyFont="1" applyFill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30" fillId="0" borderId="0" xfId="0" applyFont="1" applyAlignment="1">
      <alignment vertical="center"/>
    </xf>
    <xf numFmtId="0" fontId="9" fillId="17" borderId="0" xfId="0" applyFont="1" applyFill="1" applyAlignment="1">
      <alignment vertical="center"/>
    </xf>
    <xf numFmtId="0" fontId="9" fillId="17" borderId="0" xfId="0" applyFont="1" applyFill="1" applyAlignment="1">
      <alignment horizontal="center" vertical="center"/>
    </xf>
    <xf numFmtId="0" fontId="29" fillId="0" borderId="0" xfId="0" applyFont="1"/>
    <xf numFmtId="0" fontId="27" fillId="17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9" fillId="16" borderId="5" xfId="0" applyFont="1" applyFill="1" applyBorder="1" applyAlignment="1">
      <alignment horizontal="center" vertical="center" wrapText="1"/>
    </xf>
    <xf numFmtId="46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68" fontId="2" fillId="0" borderId="2" xfId="0" applyNumberFormat="1" applyFont="1" applyBorder="1" applyAlignment="1">
      <alignment vertical="center"/>
    </xf>
    <xf numFmtId="9" fontId="2" fillId="0" borderId="2" xfId="0" applyNumberFormat="1" applyFont="1" applyBorder="1" applyAlignment="1">
      <alignment horizontal="center" vertical="center"/>
    </xf>
    <xf numFmtId="0" fontId="18" fillId="6" borderId="0" xfId="0" applyFont="1" applyFill="1" applyAlignment="1">
      <alignment vertical="center"/>
    </xf>
    <xf numFmtId="0" fontId="18" fillId="17" borderId="0" xfId="0" applyFont="1" applyFill="1" applyAlignment="1">
      <alignment vertical="center"/>
    </xf>
    <xf numFmtId="0" fontId="25" fillId="6" borderId="4" xfId="0" applyFont="1" applyFill="1" applyBorder="1"/>
    <xf numFmtId="14" fontId="25" fillId="6" borderId="4" xfId="0" applyNumberFormat="1" applyFont="1" applyFill="1" applyBorder="1" applyAlignment="1">
      <alignment horizontal="center" vertical="top"/>
    </xf>
    <xf numFmtId="14" fontId="25" fillId="6" borderId="4" xfId="0" applyNumberFormat="1" applyFont="1" applyFill="1" applyBorder="1" applyAlignment="1">
      <alignment vertical="top"/>
    </xf>
    <xf numFmtId="0" fontId="25" fillId="6" borderId="4" xfId="0" applyFont="1" applyFill="1" applyBorder="1" applyAlignment="1">
      <alignment vertical="top"/>
    </xf>
    <xf numFmtId="0" fontId="25" fillId="6" borderId="4" xfId="0" applyFont="1" applyFill="1" applyBorder="1" applyAlignment="1">
      <alignment horizontal="left" vertical="top"/>
    </xf>
    <xf numFmtId="168" fontId="25" fillId="6" borderId="4" xfId="0" applyNumberFormat="1" applyFont="1" applyFill="1" applyBorder="1"/>
    <xf numFmtId="168" fontId="25" fillId="6" borderId="4" xfId="0" applyNumberFormat="1" applyFont="1" applyFill="1" applyBorder="1" applyAlignment="1">
      <alignment horizontal="center"/>
    </xf>
    <xf numFmtId="14" fontId="25" fillId="6" borderId="4" xfId="0" applyNumberFormat="1" applyFont="1" applyFill="1" applyBorder="1"/>
    <xf numFmtId="0" fontId="25" fillId="6" borderId="0" xfId="0" applyFont="1" applyFill="1"/>
    <xf numFmtId="0" fontId="25" fillId="6" borderId="4" xfId="0" applyFont="1" applyFill="1" applyBorder="1" applyAlignment="1">
      <alignment horizontal="center"/>
    </xf>
    <xf numFmtId="0" fontId="25" fillId="6" borderId="4" xfId="0" applyFont="1" applyFill="1" applyBorder="1" applyAlignment="1">
      <alignment horizontal="center" vertical="top"/>
    </xf>
    <xf numFmtId="169" fontId="25" fillId="6" borderId="4" xfId="0" applyNumberFormat="1" applyFont="1" applyFill="1" applyBorder="1"/>
    <xf numFmtId="0" fontId="9" fillId="6" borderId="0" xfId="0" applyFont="1" applyFill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4" fontId="18" fillId="6" borderId="0" xfId="0" applyNumberFormat="1" applyFont="1" applyFill="1"/>
    <xf numFmtId="0" fontId="18" fillId="6" borderId="0" xfId="0" applyFont="1" applyFill="1"/>
    <xf numFmtId="0" fontId="14" fillId="6" borderId="11" xfId="0" applyFont="1" applyFill="1" applyBorder="1" applyAlignment="1">
      <alignment vertical="top"/>
    </xf>
    <xf numFmtId="0" fontId="18" fillId="6" borderId="0" xfId="0" applyFont="1" applyFill="1" applyAlignment="1">
      <alignment horizontal="center"/>
    </xf>
    <xf numFmtId="14" fontId="14" fillId="6" borderId="11" xfId="0" applyNumberFormat="1" applyFont="1" applyFill="1" applyBorder="1" applyAlignment="1">
      <alignment vertical="top"/>
    </xf>
    <xf numFmtId="0" fontId="14" fillId="6" borderId="12" xfId="0" applyFont="1" applyFill="1" applyBorder="1" applyAlignment="1">
      <alignment vertical="top"/>
    </xf>
    <xf numFmtId="14" fontId="14" fillId="6" borderId="12" xfId="0" applyNumberFormat="1" applyFont="1" applyFill="1" applyBorder="1" applyAlignment="1">
      <alignment vertical="top"/>
    </xf>
    <xf numFmtId="0" fontId="9" fillId="6" borderId="0" xfId="0" applyFont="1" applyFill="1" applyAlignment="1">
      <alignment horizontal="center"/>
    </xf>
    <xf numFmtId="167" fontId="2" fillId="10" borderId="0" xfId="0" applyNumberFormat="1" applyFont="1" applyFill="1" applyAlignment="1">
      <alignment horizontal="center" vertical="center" wrapText="1"/>
    </xf>
    <xf numFmtId="178" fontId="19" fillId="10" borderId="2" xfId="0" applyNumberFormat="1" applyFont="1" applyFill="1" applyBorder="1" applyAlignment="1">
      <alignment horizontal="center" vertical="center" wrapText="1"/>
    </xf>
    <xf numFmtId="178" fontId="19" fillId="10" borderId="0" xfId="0" applyNumberFormat="1" applyFont="1" applyFill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46" fontId="12" fillId="3" borderId="2" xfId="0" applyNumberFormat="1" applyFont="1" applyFill="1" applyBorder="1" applyAlignment="1">
      <alignment horizontal="center" vertical="center"/>
    </xf>
    <xf numFmtId="20" fontId="12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168" fontId="12" fillId="6" borderId="2" xfId="0" applyNumberFormat="1" applyFont="1" applyFill="1" applyBorder="1" applyAlignment="1">
      <alignment horizontal="center" vertical="center"/>
    </xf>
    <xf numFmtId="0" fontId="31" fillId="6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 wrapText="1"/>
    </xf>
    <xf numFmtId="0" fontId="1" fillId="19" borderId="4" xfId="0" applyFont="1" applyFill="1" applyBorder="1" applyAlignment="1">
      <alignment vertical="center"/>
    </xf>
    <xf numFmtId="0" fontId="15" fillId="19" borderId="4" xfId="0" applyFont="1" applyFill="1" applyBorder="1" applyAlignment="1">
      <alignment horizontal="center" vertical="center" wrapText="1"/>
    </xf>
    <xf numFmtId="0" fontId="21" fillId="19" borderId="4" xfId="0" applyFont="1" applyFill="1" applyBorder="1" applyAlignment="1">
      <alignment horizontal="left" vertical="center"/>
    </xf>
    <xf numFmtId="0" fontId="12" fillId="19" borderId="4" xfId="0" applyFont="1" applyFill="1" applyBorder="1" applyAlignment="1">
      <alignment horizontal="center" vertical="center"/>
    </xf>
    <xf numFmtId="0" fontId="11" fillId="19" borderId="4" xfId="0" applyFont="1" applyFill="1" applyBorder="1" applyAlignment="1">
      <alignment horizontal="center" vertical="center" wrapText="1"/>
    </xf>
    <xf numFmtId="0" fontId="12" fillId="19" borderId="4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168" fontId="11" fillId="19" borderId="4" xfId="0" applyNumberFormat="1" applyFont="1" applyFill="1" applyBorder="1" applyAlignment="1">
      <alignment horizontal="center" vertical="center"/>
    </xf>
    <xf numFmtId="168" fontId="11" fillId="19" borderId="4" xfId="0" applyNumberFormat="1" applyFont="1" applyFill="1" applyBorder="1" applyAlignment="1">
      <alignment horizontal="left" vertical="center"/>
    </xf>
    <xf numFmtId="0" fontId="22" fillId="19" borderId="4" xfId="0" applyFont="1" applyFill="1" applyBorder="1" applyAlignment="1">
      <alignment horizontal="center" vertical="center"/>
    </xf>
    <xf numFmtId="172" fontId="8" fillId="19" borderId="4" xfId="0" applyNumberFormat="1" applyFont="1" applyFill="1" applyBorder="1" applyAlignment="1">
      <alignment horizontal="center" vertical="center"/>
    </xf>
    <xf numFmtId="0" fontId="21" fillId="19" borderId="4" xfId="0" applyFont="1" applyFill="1" applyBorder="1" applyAlignment="1">
      <alignment horizontal="center" vertical="center"/>
    </xf>
    <xf numFmtId="168" fontId="11" fillId="19" borderId="4" xfId="0" applyNumberFormat="1" applyFont="1" applyFill="1" applyBorder="1" applyAlignment="1">
      <alignment horizontal="center" vertical="center" wrapText="1"/>
    </xf>
    <xf numFmtId="46" fontId="12" fillId="19" borderId="4" xfId="0" applyNumberFormat="1" applyFont="1" applyFill="1" applyBorder="1" applyAlignment="1">
      <alignment horizontal="center" vertical="center" wrapText="1"/>
    </xf>
    <xf numFmtId="20" fontId="12" fillId="19" borderId="4" xfId="0" applyNumberFormat="1" applyFont="1" applyFill="1" applyBorder="1" applyAlignment="1">
      <alignment horizontal="center" vertical="center" wrapText="1"/>
    </xf>
    <xf numFmtId="168" fontId="12" fillId="19" borderId="4" xfId="0" applyNumberFormat="1" applyFont="1" applyFill="1" applyBorder="1" applyAlignment="1">
      <alignment horizontal="center" vertical="center" wrapText="1"/>
    </xf>
    <xf numFmtId="0" fontId="32" fillId="6" borderId="4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33" fillId="6" borderId="4" xfId="0" applyFont="1" applyFill="1" applyBorder="1" applyAlignment="1">
      <alignment horizontal="center" vertical="center" wrapText="1"/>
    </xf>
    <xf numFmtId="46" fontId="11" fillId="19" borderId="4" xfId="0" applyNumberFormat="1" applyFont="1" applyFill="1" applyBorder="1" applyAlignment="1">
      <alignment horizontal="center" vertical="center"/>
    </xf>
    <xf numFmtId="14" fontId="14" fillId="6" borderId="0" xfId="0" applyNumberFormat="1" applyFont="1" applyFill="1" applyAlignment="1">
      <alignment vertical="top"/>
    </xf>
    <xf numFmtId="0" fontId="6" fillId="3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34" fillId="3" borderId="4" xfId="0" applyFont="1" applyFill="1" applyBorder="1" applyAlignment="1">
      <alignment horizontal="center" vertical="center" wrapText="1"/>
    </xf>
    <xf numFmtId="171" fontId="12" fillId="19" borderId="4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/>
    </xf>
    <xf numFmtId="0" fontId="1" fillId="19" borderId="0" xfId="0" applyFont="1" applyFill="1" applyAlignment="1">
      <alignment vertical="center"/>
    </xf>
    <xf numFmtId="0" fontId="15" fillId="19" borderId="0" xfId="0" applyFont="1" applyFill="1" applyAlignment="1">
      <alignment horizontal="center" vertical="center" wrapText="1"/>
    </xf>
    <xf numFmtId="0" fontId="21" fillId="19" borderId="0" xfId="0" applyFont="1" applyFill="1" applyAlignment="1">
      <alignment horizontal="left" vertical="center"/>
    </xf>
    <xf numFmtId="0" fontId="12" fillId="19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 wrapText="1"/>
    </xf>
    <xf numFmtId="0" fontId="12" fillId="19" borderId="0" xfId="0" applyFont="1" applyFill="1" applyAlignment="1">
      <alignment horizontal="center" vertical="center" wrapText="1"/>
    </xf>
    <xf numFmtId="0" fontId="11" fillId="19" borderId="0" xfId="0" applyFont="1" applyFill="1" applyAlignment="1">
      <alignment horizontal="center" vertical="center"/>
    </xf>
    <xf numFmtId="168" fontId="11" fillId="19" borderId="0" xfId="0" applyNumberFormat="1" applyFont="1" applyFill="1" applyAlignment="1">
      <alignment horizontal="center" vertical="center"/>
    </xf>
    <xf numFmtId="168" fontId="11" fillId="19" borderId="0" xfId="0" applyNumberFormat="1" applyFont="1" applyFill="1" applyAlignment="1">
      <alignment horizontal="left" vertical="center"/>
    </xf>
    <xf numFmtId="0" fontId="22" fillId="19" borderId="0" xfId="0" applyFont="1" applyFill="1" applyAlignment="1">
      <alignment horizontal="center" vertical="center"/>
    </xf>
    <xf numFmtId="172" fontId="8" fillId="19" borderId="0" xfId="0" applyNumberFormat="1" applyFont="1" applyFill="1" applyAlignment="1">
      <alignment horizontal="center" vertical="center"/>
    </xf>
    <xf numFmtId="0" fontId="21" fillId="19" borderId="0" xfId="0" applyFont="1" applyFill="1" applyAlignment="1">
      <alignment horizontal="center" vertical="center"/>
    </xf>
    <xf numFmtId="168" fontId="11" fillId="19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3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179" fontId="36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166" fontId="38" fillId="0" borderId="0" xfId="0" applyNumberFormat="1" applyFont="1" applyAlignment="1">
      <alignment horizontal="center" vertical="center"/>
    </xf>
    <xf numFmtId="0" fontId="39" fillId="0" borderId="0" xfId="0" applyFont="1"/>
    <xf numFmtId="179" fontId="36" fillId="0" borderId="1" xfId="0" applyNumberFormat="1" applyFont="1" applyBorder="1" applyAlignment="1">
      <alignment horizontal="center" vertical="center"/>
    </xf>
    <xf numFmtId="180" fontId="40" fillId="0" borderId="0" xfId="0" applyNumberFormat="1" applyFont="1" applyAlignment="1">
      <alignment horizontal="left"/>
    </xf>
    <xf numFmtId="179" fontId="36" fillId="0" borderId="3" xfId="0" applyNumberFormat="1" applyFont="1" applyBorder="1" applyAlignment="1">
      <alignment horizontal="center" vertical="center"/>
    </xf>
    <xf numFmtId="179" fontId="36" fillId="0" borderId="6" xfId="0" applyNumberFormat="1" applyFont="1" applyBorder="1" applyAlignment="1">
      <alignment horizontal="center" vertical="center"/>
    </xf>
    <xf numFmtId="179" fontId="41" fillId="0" borderId="3" xfId="0" applyNumberFormat="1" applyFont="1" applyBorder="1" applyAlignment="1">
      <alignment horizontal="center" vertical="center" wrapText="1"/>
    </xf>
    <xf numFmtId="179" fontId="41" fillId="0" borderId="6" xfId="0" applyNumberFormat="1" applyFont="1" applyBorder="1" applyAlignment="1">
      <alignment horizontal="center" vertical="center" wrapText="1"/>
    </xf>
    <xf numFmtId="172" fontId="9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2" fillId="6" borderId="4" xfId="0" applyFont="1" applyFill="1" applyBorder="1" applyAlignment="1">
      <alignment horizontal="center" vertical="center"/>
    </xf>
    <xf numFmtId="171" fontId="43" fillId="0" borderId="4" xfId="0" applyNumberFormat="1" applyFont="1" applyBorder="1" applyAlignment="1">
      <alignment horizontal="left" vertical="center"/>
    </xf>
    <xf numFmtId="0" fontId="44" fillId="18" borderId="4" xfId="0" applyFont="1" applyFill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166" fontId="45" fillId="0" borderId="4" xfId="0" applyNumberFormat="1" applyFont="1" applyBorder="1" applyAlignment="1">
      <alignment horizontal="center" vertical="center"/>
    </xf>
    <xf numFmtId="0" fontId="47" fillId="0" borderId="0" xfId="0" applyFont="1" applyAlignment="1">
      <alignment vertical="top"/>
    </xf>
    <xf numFmtId="0" fontId="47" fillId="0" borderId="13" xfId="0" applyFont="1" applyBorder="1" applyAlignment="1">
      <alignment vertical="top"/>
    </xf>
    <xf numFmtId="180" fontId="48" fillId="3" borderId="7" xfId="0" applyNumberFormat="1" applyFont="1" applyFill="1" applyBorder="1" applyAlignment="1">
      <alignment horizontal="center" vertical="center"/>
    </xf>
    <xf numFmtId="180" fontId="48" fillId="0" borderId="7" xfId="0" applyNumberFormat="1" applyFont="1" applyBorder="1" applyAlignment="1">
      <alignment horizontal="center" vertical="center"/>
    </xf>
    <xf numFmtId="46" fontId="47" fillId="0" borderId="0" xfId="0" applyNumberFormat="1" applyFont="1" applyAlignment="1">
      <alignment vertical="top"/>
    </xf>
    <xf numFmtId="181" fontId="47" fillId="0" borderId="0" xfId="0" applyNumberFormat="1" applyFont="1" applyAlignment="1">
      <alignment vertical="top"/>
    </xf>
    <xf numFmtId="182" fontId="48" fillId="0" borderId="5" xfId="0" applyNumberFormat="1" applyFont="1" applyBorder="1" applyAlignment="1">
      <alignment horizontal="center" vertical="center"/>
    </xf>
    <xf numFmtId="0" fontId="42" fillId="6" borderId="0" xfId="0" applyFont="1" applyFill="1" applyAlignment="1">
      <alignment horizontal="center" vertical="center"/>
    </xf>
    <xf numFmtId="171" fontId="44" fillId="0" borderId="4" xfId="0" applyNumberFormat="1" applyFont="1" applyBorder="1" applyAlignment="1">
      <alignment horizontal="left" vertical="center" wrapText="1"/>
    </xf>
    <xf numFmtId="171" fontId="49" fillId="0" borderId="4" xfId="0" applyNumberFormat="1" applyFont="1" applyBorder="1" applyAlignment="1">
      <alignment horizontal="left" vertical="center" wrapText="1"/>
    </xf>
    <xf numFmtId="171" fontId="42" fillId="6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23" fillId="15" borderId="7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24" fillId="15" borderId="7" xfId="0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 textRotation="90" wrapText="1"/>
    </xf>
    <xf numFmtId="174" fontId="3" fillId="5" borderId="1" xfId="0" applyNumberFormat="1" applyFont="1" applyFill="1" applyBorder="1" applyAlignment="1">
      <alignment horizontal="left" vertical="center"/>
    </xf>
    <xf numFmtId="0" fontId="42" fillId="0" borderId="0" xfId="0" applyFont="1" applyAlignment="1">
      <alignment horizontal="left"/>
    </xf>
    <xf numFmtId="0" fontId="43" fillId="0" borderId="0" xfId="0" applyFont="1"/>
    <xf numFmtId="0" fontId="50" fillId="0" borderId="3" xfId="0" applyFont="1" applyBorder="1" applyAlignment="1">
      <alignment vertical="center" wrapText="1"/>
    </xf>
    <xf numFmtId="0" fontId="50" fillId="0" borderId="6" xfId="0" applyFont="1" applyBorder="1" applyAlignment="1">
      <alignment vertical="center" wrapText="1"/>
    </xf>
    <xf numFmtId="0" fontId="39" fillId="0" borderId="8" xfId="0" applyFont="1" applyBorder="1"/>
    <xf numFmtId="166" fontId="3" fillId="5" borderId="1" xfId="0" applyNumberFormat="1" applyFont="1" applyFill="1" applyBorder="1" applyAlignment="1">
      <alignment horizontal="left" vertical="center"/>
    </xf>
    <xf numFmtId="0" fontId="51" fillId="4" borderId="4" xfId="0" applyFont="1" applyFill="1" applyBorder="1" applyAlignment="1">
      <alignment horizontal="left" vertical="center"/>
    </xf>
    <xf numFmtId="0" fontId="42" fillId="0" borderId="8" xfId="0" applyFont="1" applyBorder="1" applyAlignment="1">
      <alignment horizontal="left"/>
    </xf>
    <xf numFmtId="0" fontId="43" fillId="0" borderId="8" xfId="0" applyFont="1" applyBorder="1"/>
    <xf numFmtId="0" fontId="51" fillId="4" borderId="7" xfId="0" applyFont="1" applyFill="1" applyBorder="1" applyAlignment="1">
      <alignment horizontal="left" vertical="center"/>
    </xf>
    <xf numFmtId="171" fontId="46" fillId="20" borderId="4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right" vertical="center" wrapText="1"/>
    </xf>
    <xf numFmtId="168" fontId="3" fillId="9" borderId="4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0" fillId="4" borderId="5" xfId="0" applyFont="1" applyFill="1" applyBorder="1" applyAlignment="1">
      <alignment horizontal="left" vertical="center"/>
    </xf>
    <xf numFmtId="0" fontId="20" fillId="4" borderId="4" xfId="0" applyFont="1" applyFill="1" applyBorder="1" applyAlignment="1">
      <alignment horizontal="left" vertical="center"/>
    </xf>
    <xf numFmtId="0" fontId="52" fillId="4" borderId="4" xfId="0" applyFont="1" applyFill="1" applyBorder="1" applyAlignment="1">
      <alignment horizontal="left" vertical="center"/>
    </xf>
    <xf numFmtId="0" fontId="35" fillId="0" borderId="4" xfId="0" applyFont="1" applyBorder="1" applyAlignment="1">
      <alignment horizontal="center" vertical="center"/>
    </xf>
    <xf numFmtId="0" fontId="53" fillId="6" borderId="0" xfId="0" applyFont="1" applyFill="1"/>
    <xf numFmtId="0" fontId="54" fillId="6" borderId="0" xfId="0" applyFont="1" applyFill="1"/>
    <xf numFmtId="0" fontId="55" fillId="6" borderId="0" xfId="0" applyFont="1" applyFill="1"/>
    <xf numFmtId="168" fontId="4" fillId="4" borderId="4" xfId="0" applyNumberFormat="1" applyFont="1" applyFill="1" applyBorder="1" applyAlignment="1">
      <alignment horizontal="left" vertical="center"/>
    </xf>
    <xf numFmtId="174" fontId="3" fillId="4" borderId="4" xfId="0" applyNumberFormat="1" applyFont="1" applyFill="1" applyBorder="1" applyAlignment="1">
      <alignment horizontal="left" vertical="center"/>
    </xf>
    <xf numFmtId="180" fontId="57" fillId="0" borderId="7" xfId="0" applyNumberFormat="1" applyFont="1" applyBorder="1" applyAlignment="1">
      <alignment horizontal="center" vertical="center"/>
    </xf>
    <xf numFmtId="180" fontId="57" fillId="3" borderId="7" xfId="0" applyNumberFormat="1" applyFont="1" applyFill="1" applyBorder="1" applyAlignment="1">
      <alignment horizontal="center" vertical="center"/>
    </xf>
    <xf numFmtId="180" fontId="57" fillId="12" borderId="7" xfId="0" applyNumberFormat="1" applyFont="1" applyFill="1" applyBorder="1" applyAlignment="1">
      <alignment horizontal="center" vertical="center"/>
    </xf>
    <xf numFmtId="0" fontId="57" fillId="20" borderId="0" xfId="0" applyFont="1" applyFill="1" applyAlignment="1">
      <alignment horizontal="center" vertical="center"/>
    </xf>
    <xf numFmtId="182" fontId="57" fillId="0" borderId="5" xfId="0" applyNumberFormat="1" applyFont="1" applyBorder="1" applyAlignment="1">
      <alignment horizontal="center" vertical="center"/>
    </xf>
    <xf numFmtId="182" fontId="57" fillId="12" borderId="5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59" fillId="0" borderId="7" xfId="0" applyFont="1" applyBorder="1" applyAlignment="1">
      <alignment horizontal="center" vertical="center" wrapText="1"/>
    </xf>
    <xf numFmtId="0" fontId="60" fillId="20" borderId="0" xfId="0" applyFont="1" applyFill="1" applyAlignment="1">
      <alignment vertical="center"/>
    </xf>
    <xf numFmtId="0" fontId="60" fillId="0" borderId="0" xfId="0" applyFont="1" applyAlignment="1">
      <alignment vertical="center" wrapText="1"/>
    </xf>
    <xf numFmtId="0" fontId="60" fillId="0" borderId="0" xfId="0" applyFont="1" applyAlignment="1">
      <alignment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60" fillId="0" borderId="0" xfId="0" applyFont="1" applyAlignment="1">
      <alignment vertical="center" textRotation="90"/>
    </xf>
    <xf numFmtId="179" fontId="61" fillId="0" borderId="15" xfId="0" applyNumberFormat="1" applyFont="1" applyBorder="1" applyAlignment="1">
      <alignment horizontal="center" vertical="center"/>
    </xf>
    <xf numFmtId="180" fontId="57" fillId="3" borderId="0" xfId="0" applyNumberFormat="1" applyFont="1" applyFill="1" applyAlignment="1">
      <alignment horizontal="center" vertical="center"/>
    </xf>
    <xf numFmtId="179" fontId="61" fillId="0" borderId="0" xfId="0" applyNumberFormat="1" applyFont="1" applyAlignment="1">
      <alignment horizontal="center" vertical="center"/>
    </xf>
    <xf numFmtId="179" fontId="61" fillId="0" borderId="17" xfId="0" applyNumberFormat="1" applyFont="1" applyBorder="1" applyAlignment="1">
      <alignment horizontal="center" vertical="center"/>
    </xf>
    <xf numFmtId="179" fontId="61" fillId="0" borderId="8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top"/>
    </xf>
    <xf numFmtId="0" fontId="59" fillId="8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/>
    </xf>
    <xf numFmtId="0" fontId="59" fillId="0" borderId="0" xfId="0" applyFont="1" applyAlignment="1">
      <alignment horizontal="center" vertical="center" wrapText="1"/>
    </xf>
    <xf numFmtId="0" fontId="60" fillId="0" borderId="0" xfId="0" applyFont="1" applyAlignment="1">
      <alignment vertical="top"/>
    </xf>
    <xf numFmtId="0" fontId="1" fillId="0" borderId="0" xfId="0" applyFont="1"/>
    <xf numFmtId="0" fontId="59" fillId="18" borderId="0" xfId="0" applyFont="1" applyFill="1" applyAlignment="1">
      <alignment horizontal="center" vertical="center" wrapText="1"/>
    </xf>
    <xf numFmtId="0" fontId="9" fillId="0" borderId="15" xfId="0" applyFont="1" applyBorder="1"/>
    <xf numFmtId="179" fontId="62" fillId="0" borderId="15" xfId="0" applyNumberFormat="1" applyFont="1" applyBorder="1" applyAlignment="1">
      <alignment horizontal="center" vertical="center"/>
    </xf>
    <xf numFmtId="0" fontId="64" fillId="0" borderId="15" xfId="0" applyFont="1" applyBorder="1" applyAlignment="1">
      <alignment horizontal="center" vertical="center"/>
    </xf>
    <xf numFmtId="180" fontId="57" fillId="3" borderId="15" xfId="0" applyNumberFormat="1" applyFont="1" applyFill="1" applyBorder="1" applyAlignment="1">
      <alignment horizontal="center" vertical="center"/>
    </xf>
    <xf numFmtId="180" fontId="57" fillId="0" borderId="15" xfId="0" applyNumberFormat="1" applyFont="1" applyBorder="1" applyAlignment="1">
      <alignment horizontal="center" vertical="center"/>
    </xf>
    <xf numFmtId="180" fontId="57" fillId="3" borderId="4" xfId="0" applyNumberFormat="1" applyFont="1" applyFill="1" applyBorder="1" applyAlignment="1">
      <alignment horizontal="center" vertical="center"/>
    </xf>
    <xf numFmtId="180" fontId="57" fillId="0" borderId="4" xfId="0" applyNumberFormat="1" applyFont="1" applyBorder="1" applyAlignment="1">
      <alignment horizontal="center" vertical="center"/>
    </xf>
    <xf numFmtId="180" fontId="57" fillId="12" borderId="4" xfId="0" applyNumberFormat="1" applyFont="1" applyFill="1" applyBorder="1" applyAlignment="1">
      <alignment horizontal="center" vertical="center"/>
    </xf>
    <xf numFmtId="0" fontId="57" fillId="3" borderId="0" xfId="0" applyFont="1" applyFill="1" applyAlignment="1">
      <alignment horizontal="center" vertical="center"/>
    </xf>
    <xf numFmtId="182" fontId="57" fillId="0" borderId="0" xfId="0" applyNumberFormat="1" applyFont="1" applyAlignment="1">
      <alignment horizontal="center" vertical="center"/>
    </xf>
    <xf numFmtId="0" fontId="65" fillId="6" borderId="7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/>
    </xf>
    <xf numFmtId="0" fontId="65" fillId="6" borderId="0" xfId="0" applyFont="1" applyFill="1" applyAlignment="1">
      <alignment horizontal="center" vertical="center"/>
    </xf>
    <xf numFmtId="0" fontId="66" fillId="0" borderId="0" xfId="0" applyFont="1" applyAlignment="1">
      <alignment horizontal="right"/>
    </xf>
    <xf numFmtId="0" fontId="66" fillId="0" borderId="0" xfId="0" applyFont="1"/>
    <xf numFmtId="179" fontId="56" fillId="0" borderId="0" xfId="0" applyNumberFormat="1" applyFont="1" applyAlignment="1">
      <alignment horizontal="center" vertical="center"/>
    </xf>
    <xf numFmtId="180" fontId="57" fillId="18" borderId="18" xfId="0" applyNumberFormat="1" applyFont="1" applyFill="1" applyBorder="1" applyAlignment="1">
      <alignment horizontal="center" vertical="center"/>
    </xf>
    <xf numFmtId="180" fontId="57" fillId="0" borderId="18" xfId="0" applyNumberFormat="1" applyFont="1" applyBorder="1" applyAlignment="1">
      <alignment horizontal="center" vertical="center"/>
    </xf>
    <xf numFmtId="184" fontId="57" fillId="18" borderId="18" xfId="0" applyNumberFormat="1" applyFont="1" applyFill="1" applyBorder="1" applyAlignment="1">
      <alignment horizontal="center" vertical="center"/>
    </xf>
    <xf numFmtId="184" fontId="57" fillId="0" borderId="18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top"/>
    </xf>
    <xf numFmtId="0" fontId="19" fillId="0" borderId="20" xfId="0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center"/>
    </xf>
    <xf numFmtId="0" fontId="12" fillId="18" borderId="0" xfId="0" applyFont="1" applyFill="1"/>
    <xf numFmtId="0" fontId="8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8" fillId="0" borderId="18" xfId="0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" fillId="18" borderId="18" xfId="0" applyFont="1" applyFill="1" applyBorder="1"/>
    <xf numFmtId="0" fontId="2" fillId="0" borderId="18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69" fillId="18" borderId="18" xfId="0" applyFont="1" applyFill="1" applyBorder="1"/>
    <xf numFmtId="0" fontId="15" fillId="6" borderId="0" xfId="0" applyFont="1" applyFill="1" applyAlignment="1">
      <alignment horizontal="center" vertical="center"/>
    </xf>
    <xf numFmtId="0" fontId="68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70" fillId="0" borderId="18" xfId="0" applyFont="1" applyBorder="1" applyAlignment="1">
      <alignment horizontal="center" vertical="center"/>
    </xf>
    <xf numFmtId="180" fontId="57" fillId="13" borderId="18" xfId="0" applyNumberFormat="1" applyFont="1" applyFill="1" applyBorder="1" applyAlignment="1">
      <alignment horizontal="center" vertical="center"/>
    </xf>
    <xf numFmtId="184" fontId="57" fillId="13" borderId="18" xfId="0" applyNumberFormat="1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top"/>
    </xf>
    <xf numFmtId="0" fontId="60" fillId="13" borderId="0" xfId="0" applyFont="1" applyFill="1" applyAlignment="1">
      <alignment vertical="top"/>
    </xf>
    <xf numFmtId="0" fontId="2" fillId="0" borderId="20" xfId="0" applyFont="1" applyBorder="1" applyAlignment="1">
      <alignment horizontal="left" vertical="top"/>
    </xf>
    <xf numFmtId="0" fontId="2" fillId="0" borderId="0" xfId="0" applyFont="1" applyAlignment="1">
      <alignment vertical="center" wrapText="1"/>
    </xf>
    <xf numFmtId="179" fontId="75" fillId="0" borderId="0" xfId="0" applyNumberFormat="1" applyFont="1" applyAlignment="1">
      <alignment horizontal="center" vertical="center"/>
    </xf>
    <xf numFmtId="0" fontId="76" fillId="0" borderId="0" xfId="0" applyFont="1" applyAlignment="1">
      <alignment horizontal="left" vertical="center"/>
    </xf>
    <xf numFmtId="0" fontId="60" fillId="18" borderId="0" xfId="0" applyFont="1" applyFill="1" applyAlignment="1">
      <alignment vertical="top"/>
    </xf>
    <xf numFmtId="180" fontId="57" fillId="0" borderId="0" xfId="0" applyNumberFormat="1" applyFont="1" applyAlignment="1">
      <alignment horizontal="center" vertical="center"/>
    </xf>
    <xf numFmtId="0" fontId="77" fillId="0" borderId="4" xfId="0" applyFont="1" applyBorder="1" applyAlignment="1">
      <alignment horizontal="left" vertical="center"/>
    </xf>
    <xf numFmtId="0" fontId="59" fillId="22" borderId="7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 textRotation="90" wrapText="1"/>
    </xf>
    <xf numFmtId="0" fontId="77" fillId="10" borderId="4" xfId="0" applyFont="1" applyFill="1" applyBorder="1" applyAlignment="1">
      <alignment horizontal="left" vertical="center"/>
    </xf>
    <xf numFmtId="0" fontId="59" fillId="10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59" fillId="10" borderId="4" xfId="0" applyFont="1" applyFill="1" applyBorder="1" applyAlignment="1">
      <alignment horizontal="center" vertical="center" wrapText="1"/>
    </xf>
    <xf numFmtId="0" fontId="60" fillId="20" borderId="0" xfId="0" applyFont="1" applyFill="1" applyAlignment="1">
      <alignment vertical="top"/>
    </xf>
    <xf numFmtId="0" fontId="67" fillId="0" borderId="0" xfId="0" applyFont="1" applyAlignment="1">
      <alignment horizontal="center"/>
    </xf>
    <xf numFmtId="0" fontId="19" fillId="18" borderId="18" xfId="0" applyFont="1" applyFill="1" applyBorder="1" applyAlignment="1">
      <alignment horizontal="left" vertical="center"/>
    </xf>
    <xf numFmtId="0" fontId="67" fillId="20" borderId="0" xfId="0" applyFont="1" applyFill="1" applyAlignment="1">
      <alignment horizontal="center"/>
    </xf>
    <xf numFmtId="0" fontId="78" fillId="0" borderId="0" xfId="0" applyFont="1" applyAlignment="1">
      <alignment horizontal="center" vertical="center"/>
    </xf>
    <xf numFmtId="181" fontId="78" fillId="0" borderId="0" xfId="0" applyNumberFormat="1" applyFont="1" applyAlignment="1">
      <alignment horizontal="center" vertical="center"/>
    </xf>
    <xf numFmtId="167" fontId="75" fillId="0" borderId="3" xfId="0" applyNumberFormat="1" applyFont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49" fillId="23" borderId="0" xfId="0" applyFont="1" applyFill="1" applyAlignment="1">
      <alignment vertical="center"/>
    </xf>
    <xf numFmtId="0" fontId="79" fillId="0" borderId="4" xfId="0" applyFont="1" applyBorder="1" applyAlignment="1">
      <alignment horizontal="center" vertical="center"/>
    </xf>
    <xf numFmtId="180" fontId="49" fillId="0" borderId="4" xfId="0" applyNumberFormat="1" applyFont="1" applyBorder="1" applyAlignment="1">
      <alignment horizontal="center" vertical="center"/>
    </xf>
    <xf numFmtId="180" fontId="49" fillId="23" borderId="4" xfId="0" applyNumberFormat="1" applyFont="1" applyFill="1" applyBorder="1" applyAlignment="1">
      <alignment horizontal="center" vertical="center"/>
    </xf>
    <xf numFmtId="185" fontId="49" fillId="0" borderId="4" xfId="0" applyNumberFormat="1" applyFont="1" applyBorder="1" applyAlignment="1">
      <alignment horizontal="center" vertical="center"/>
    </xf>
    <xf numFmtId="185" fontId="49" fillId="0" borderId="6" xfId="0" applyNumberFormat="1" applyFont="1" applyBorder="1" applyAlignment="1">
      <alignment horizontal="center" vertical="center"/>
    </xf>
    <xf numFmtId="185" fontId="49" fillId="23" borderId="6" xfId="0" applyNumberFormat="1" applyFont="1" applyFill="1" applyBorder="1" applyAlignment="1">
      <alignment horizontal="center" vertical="center"/>
    </xf>
    <xf numFmtId="166" fontId="1" fillId="6" borderId="4" xfId="0" applyNumberFormat="1" applyFont="1" applyFill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24" borderId="6" xfId="0" applyFont="1" applyFill="1" applyBorder="1" applyAlignment="1">
      <alignment horizontal="center" vertical="center"/>
    </xf>
    <xf numFmtId="0" fontId="18" fillId="24" borderId="6" xfId="0" applyFont="1" applyFill="1" applyBorder="1" applyAlignment="1">
      <alignment horizontal="center"/>
    </xf>
    <xf numFmtId="0" fontId="18" fillId="23" borderId="6" xfId="0" applyFont="1" applyFill="1" applyBorder="1" applyAlignment="1">
      <alignment horizontal="center"/>
    </xf>
    <xf numFmtId="0" fontId="49" fillId="10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/>
    </xf>
    <xf numFmtId="0" fontId="18" fillId="23" borderId="2" xfId="0" applyFont="1" applyFill="1" applyBorder="1" applyAlignment="1">
      <alignment horizontal="center"/>
    </xf>
    <xf numFmtId="0" fontId="49" fillId="20" borderId="2" xfId="0" applyFont="1" applyFill="1" applyBorder="1" applyAlignment="1">
      <alignment horizontal="center" vertical="center"/>
    </xf>
    <xf numFmtId="0" fontId="49" fillId="24" borderId="2" xfId="0" applyFont="1" applyFill="1" applyBorder="1" applyAlignment="1">
      <alignment horizontal="center" vertical="center"/>
    </xf>
    <xf numFmtId="20" fontId="59" fillId="0" borderId="4" xfId="0" applyNumberFormat="1" applyFont="1" applyBorder="1" applyAlignment="1">
      <alignment horizontal="center" vertical="center" wrapText="1"/>
    </xf>
    <xf numFmtId="0" fontId="18" fillId="24" borderId="2" xfId="0" applyFont="1" applyFill="1" applyBorder="1" applyAlignment="1">
      <alignment horizontal="center"/>
    </xf>
    <xf numFmtId="20" fontId="59" fillId="18" borderId="4" xfId="0" applyNumberFormat="1" applyFont="1" applyFill="1" applyBorder="1" applyAlignment="1">
      <alignment horizontal="center" vertical="center" wrapText="1"/>
    </xf>
    <xf numFmtId="0" fontId="49" fillId="25" borderId="2" xfId="0" applyFont="1" applyFill="1" applyBorder="1" applyAlignment="1">
      <alignment horizontal="center" vertical="center"/>
    </xf>
    <xf numFmtId="0" fontId="49" fillId="23" borderId="2" xfId="0" applyFont="1" applyFill="1" applyBorder="1" applyAlignment="1">
      <alignment horizontal="center" vertical="center"/>
    </xf>
    <xf numFmtId="0" fontId="49" fillId="5" borderId="2" xfId="0" applyFont="1" applyFill="1" applyBorder="1" applyAlignment="1">
      <alignment horizontal="center" vertical="center"/>
    </xf>
    <xf numFmtId="0" fontId="49" fillId="26" borderId="2" xfId="0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49" fillId="17" borderId="2" xfId="0" applyFont="1" applyFill="1" applyBorder="1" applyAlignment="1">
      <alignment horizontal="center" vertical="center"/>
    </xf>
    <xf numFmtId="171" fontId="77" fillId="0" borderId="7" xfId="0" applyNumberFormat="1" applyFont="1" applyBorder="1" applyAlignment="1">
      <alignment horizontal="center" vertical="center" wrapText="1"/>
    </xf>
    <xf numFmtId="0" fontId="49" fillId="10" borderId="6" xfId="0" applyFont="1" applyFill="1" applyBorder="1" applyAlignment="1">
      <alignment horizontal="center" vertical="center"/>
    </xf>
    <xf numFmtId="0" fontId="80" fillId="0" borderId="4" xfId="0" applyFont="1" applyBorder="1" applyAlignment="1">
      <alignment horizontal="left" vertical="center" wrapText="1"/>
    </xf>
    <xf numFmtId="0" fontId="49" fillId="23" borderId="6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43" fillId="0" borderId="4" xfId="0" applyFont="1" applyBorder="1" applyAlignment="1">
      <alignment horizontal="left" vertical="center"/>
    </xf>
    <xf numFmtId="171" fontId="77" fillId="0" borderId="4" xfId="0" applyNumberFormat="1" applyFont="1" applyBorder="1" applyAlignment="1">
      <alignment horizontal="left" vertical="center"/>
    </xf>
    <xf numFmtId="0" fontId="42" fillId="27" borderId="4" xfId="0" applyFont="1" applyFill="1" applyBorder="1" applyAlignment="1">
      <alignment horizontal="center" vertical="center"/>
    </xf>
    <xf numFmtId="20" fontId="1" fillId="6" borderId="4" xfId="0" applyNumberFormat="1" applyFont="1" applyFill="1" applyBorder="1" applyAlignment="1">
      <alignment horizontal="center" vertical="center"/>
    </xf>
    <xf numFmtId="46" fontId="77" fillId="0" borderId="4" xfId="0" applyNumberFormat="1" applyFont="1" applyBorder="1" applyAlignment="1">
      <alignment horizontal="left" vertical="center"/>
    </xf>
    <xf numFmtId="0" fontId="49" fillId="0" borderId="4" xfId="0" applyFont="1" applyBorder="1" applyAlignment="1">
      <alignment horizontal="center" vertical="center"/>
    </xf>
    <xf numFmtId="0" fontId="49" fillId="17" borderId="6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9" fillId="28" borderId="0" xfId="0" applyFont="1" applyFill="1" applyAlignment="1">
      <alignment horizontal="center" vertical="center"/>
    </xf>
    <xf numFmtId="0" fontId="49" fillId="23" borderId="0" xfId="0" applyFont="1" applyFill="1" applyAlignment="1">
      <alignment horizontal="center" vertical="center"/>
    </xf>
    <xf numFmtId="0" fontId="49" fillId="28" borderId="6" xfId="0" applyFont="1" applyFill="1" applyBorder="1" applyAlignment="1">
      <alignment horizontal="center" vertical="center"/>
    </xf>
    <xf numFmtId="0" fontId="49" fillId="28" borderId="2" xfId="0" applyFont="1" applyFill="1" applyBorder="1" applyAlignment="1">
      <alignment horizontal="center" vertical="center"/>
    </xf>
    <xf numFmtId="0" fontId="49" fillId="14" borderId="6" xfId="0" applyFont="1" applyFill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171" fontId="77" fillId="0" borderId="10" xfId="0" applyNumberFormat="1" applyFont="1" applyBorder="1" applyAlignment="1">
      <alignment horizontal="center" vertical="center" wrapText="1"/>
    </xf>
    <xf numFmtId="0" fontId="49" fillId="18" borderId="2" xfId="0" applyFont="1" applyFill="1" applyBorder="1" applyAlignment="1">
      <alignment horizontal="center" vertical="center"/>
    </xf>
    <xf numFmtId="0" fontId="80" fillId="0" borderId="1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/>
    </xf>
    <xf numFmtId="0" fontId="49" fillId="9" borderId="6" xfId="0" applyFont="1" applyFill="1" applyBorder="1" applyAlignment="1">
      <alignment horizontal="center" vertical="center"/>
    </xf>
    <xf numFmtId="0" fontId="49" fillId="9" borderId="2" xfId="0" applyFont="1" applyFill="1" applyBorder="1" applyAlignment="1">
      <alignment horizontal="center" vertical="center"/>
    </xf>
    <xf numFmtId="0" fontId="49" fillId="24" borderId="6" xfId="0" applyFont="1" applyFill="1" applyBorder="1" applyAlignment="1">
      <alignment horizontal="center" vertical="center" wrapText="1"/>
    </xf>
    <xf numFmtId="0" fontId="49" fillId="2" borderId="0" xfId="0" applyFont="1" applyFill="1" applyAlignment="1">
      <alignment horizontal="center" vertical="center"/>
    </xf>
    <xf numFmtId="0" fontId="49" fillId="24" borderId="0" xfId="0" applyFont="1" applyFill="1" applyAlignment="1">
      <alignment horizontal="center" vertical="center" wrapText="1"/>
    </xf>
    <xf numFmtId="0" fontId="80" fillId="7" borderId="4" xfId="0" applyFont="1" applyFill="1" applyBorder="1" applyAlignment="1">
      <alignment horizontal="center" vertical="center" wrapText="1"/>
    </xf>
    <xf numFmtId="0" fontId="82" fillId="7" borderId="16" xfId="0" applyFont="1" applyFill="1" applyBorder="1" applyAlignment="1">
      <alignment horizontal="center" vertical="center"/>
    </xf>
    <xf numFmtId="0" fontId="49" fillId="18" borderId="4" xfId="0" applyFont="1" applyFill="1" applyBorder="1" applyAlignment="1">
      <alignment horizontal="center" vertical="center"/>
    </xf>
    <xf numFmtId="0" fontId="49" fillId="2" borderId="4" xfId="0" applyFont="1" applyFill="1" applyBorder="1" applyAlignment="1">
      <alignment horizontal="center" vertical="center"/>
    </xf>
    <xf numFmtId="0" fontId="49" fillId="17" borderId="4" xfId="0" applyFont="1" applyFill="1" applyBorder="1" applyAlignment="1">
      <alignment horizontal="center" vertical="center"/>
    </xf>
    <xf numFmtId="0" fontId="49" fillId="3" borderId="4" xfId="0" applyFont="1" applyFill="1" applyBorder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0" fontId="49" fillId="29" borderId="4" xfId="0" applyFont="1" applyFill="1" applyBorder="1" applyAlignment="1">
      <alignment horizontal="center" vertical="center"/>
    </xf>
    <xf numFmtId="0" fontId="49" fillId="6" borderId="0" xfId="0" applyFont="1" applyFill="1" applyAlignment="1">
      <alignment horizontal="center" vertical="center"/>
    </xf>
    <xf numFmtId="0" fontId="49" fillId="25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 wrapText="1"/>
    </xf>
    <xf numFmtId="0" fontId="49" fillId="6" borderId="6" xfId="0" applyFont="1" applyFill="1" applyBorder="1" applyAlignment="1">
      <alignment horizontal="center" vertical="center"/>
    </xf>
    <xf numFmtId="0" fontId="49" fillId="6" borderId="2" xfId="0" applyFont="1" applyFill="1" applyBorder="1" applyAlignment="1">
      <alignment horizontal="center" vertical="center"/>
    </xf>
    <xf numFmtId="21" fontId="77" fillId="0" borderId="4" xfId="0" applyNumberFormat="1" applyFont="1" applyBorder="1" applyAlignment="1">
      <alignment horizontal="left" vertical="center"/>
    </xf>
    <xf numFmtId="0" fontId="83" fillId="24" borderId="0" xfId="0" applyFont="1" applyFill="1" applyAlignment="1">
      <alignment horizontal="center" vertical="center"/>
    </xf>
    <xf numFmtId="0" fontId="80" fillId="0" borderId="6" xfId="0" applyFont="1" applyBorder="1" applyAlignment="1">
      <alignment horizontal="center" vertical="center" wrapText="1"/>
    </xf>
    <xf numFmtId="171" fontId="82" fillId="0" borderId="6" xfId="0" applyNumberFormat="1" applyFont="1" applyBorder="1" applyAlignment="1">
      <alignment horizontal="center" vertical="center" wrapText="1"/>
    </xf>
    <xf numFmtId="0" fontId="49" fillId="30" borderId="6" xfId="0" applyFont="1" applyFill="1" applyBorder="1" applyAlignment="1">
      <alignment horizontal="center" vertical="center"/>
    </xf>
    <xf numFmtId="0" fontId="49" fillId="30" borderId="2" xfId="0" applyFont="1" applyFill="1" applyBorder="1" applyAlignment="1">
      <alignment horizontal="center" vertical="center"/>
    </xf>
    <xf numFmtId="0" fontId="49" fillId="26" borderId="6" xfId="0" applyFont="1" applyFill="1" applyBorder="1" applyAlignment="1">
      <alignment horizontal="center" vertical="center"/>
    </xf>
    <xf numFmtId="0" fontId="9" fillId="26" borderId="4" xfId="0" applyFont="1" applyFill="1" applyBorder="1"/>
    <xf numFmtId="0" fontId="49" fillId="2" borderId="2" xfId="0" applyFont="1" applyFill="1" applyBorder="1" applyAlignment="1">
      <alignment horizontal="center" vertical="center"/>
    </xf>
    <xf numFmtId="0" fontId="49" fillId="18" borderId="6" xfId="0" applyFont="1" applyFill="1" applyBorder="1" applyAlignment="1">
      <alignment horizontal="center" vertical="center"/>
    </xf>
    <xf numFmtId="0" fontId="49" fillId="20" borderId="4" xfId="0" applyFont="1" applyFill="1" applyBorder="1" applyAlignment="1">
      <alignment horizontal="center" vertical="center"/>
    </xf>
    <xf numFmtId="0" fontId="49" fillId="20" borderId="6" xfId="0" applyFont="1" applyFill="1" applyBorder="1" applyAlignment="1">
      <alignment horizontal="center" vertical="center"/>
    </xf>
    <xf numFmtId="0" fontId="49" fillId="28" borderId="4" xfId="0" applyFont="1" applyFill="1" applyBorder="1" applyAlignment="1">
      <alignment horizontal="center" vertical="center"/>
    </xf>
    <xf numFmtId="0" fontId="9" fillId="18" borderId="4" xfId="0" applyFont="1" applyFill="1" applyBorder="1"/>
    <xf numFmtId="0" fontId="49" fillId="26" borderId="4" xfId="0" applyFont="1" applyFill="1" applyBorder="1" applyAlignment="1">
      <alignment horizontal="center" vertical="center"/>
    </xf>
    <xf numFmtId="0" fontId="49" fillId="10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/>
    </xf>
    <xf numFmtId="0" fontId="9" fillId="23" borderId="4" xfId="0" applyFont="1" applyFill="1" applyBorder="1" applyAlignment="1">
      <alignment horizontal="center"/>
    </xf>
    <xf numFmtId="0" fontId="49" fillId="23" borderId="4" xfId="0" applyFont="1" applyFill="1" applyBorder="1" applyAlignment="1">
      <alignment horizontal="center" vertical="center"/>
    </xf>
    <xf numFmtId="0" fontId="49" fillId="14" borderId="4" xfId="0" applyFont="1" applyFill="1" applyBorder="1" applyAlignment="1">
      <alignment horizontal="center" vertical="center"/>
    </xf>
    <xf numFmtId="0" fontId="49" fillId="11" borderId="0" xfId="0" applyFont="1" applyFill="1" applyAlignment="1">
      <alignment vertical="center"/>
    </xf>
    <xf numFmtId="0" fontId="7" fillId="9" borderId="1" xfId="0" applyFont="1" applyFill="1" applyBorder="1" applyAlignment="1">
      <alignment horizontal="center" vertical="center" wrapText="1"/>
    </xf>
    <xf numFmtId="171" fontId="82" fillId="9" borderId="6" xfId="0" applyNumberFormat="1" applyFont="1" applyFill="1" applyBorder="1" applyAlignment="1">
      <alignment horizontal="center" vertical="center" wrapText="1"/>
    </xf>
    <xf numFmtId="171" fontId="77" fillId="0" borderId="5" xfId="0" applyNumberFormat="1" applyFont="1" applyBorder="1" applyAlignment="1">
      <alignment horizontal="center" vertical="center" wrapText="1"/>
    </xf>
    <xf numFmtId="0" fontId="60" fillId="9" borderId="0" xfId="0" applyFont="1" applyFill="1" applyAlignment="1">
      <alignment vertical="top"/>
    </xf>
    <xf numFmtId="0" fontId="77" fillId="0" borderId="0" xfId="0" applyFont="1"/>
    <xf numFmtId="0" fontId="59" fillId="9" borderId="4" xfId="0" applyFont="1" applyFill="1" applyBorder="1" applyAlignment="1">
      <alignment horizontal="center" vertical="center" wrapText="1"/>
    </xf>
    <xf numFmtId="0" fontId="59" fillId="18" borderId="4" xfId="0" applyFont="1" applyFill="1" applyBorder="1" applyAlignment="1">
      <alignment horizontal="center" vertical="center" wrapText="1"/>
    </xf>
    <xf numFmtId="171" fontId="1" fillId="6" borderId="4" xfId="0" applyNumberFormat="1" applyFont="1" applyFill="1" applyBorder="1" applyAlignment="1">
      <alignment horizontal="center" vertical="center"/>
    </xf>
    <xf numFmtId="20" fontId="77" fillId="0" borderId="4" xfId="0" applyNumberFormat="1" applyFont="1" applyBorder="1" applyAlignment="1">
      <alignment horizontal="left" vertical="center"/>
    </xf>
    <xf numFmtId="0" fontId="7" fillId="10" borderId="4" xfId="0" applyFont="1" applyFill="1" applyBorder="1" applyAlignment="1">
      <alignment horizontal="center" vertical="center" wrapText="1"/>
    </xf>
    <xf numFmtId="0" fontId="84" fillId="10" borderId="0" xfId="0" applyFont="1" applyFill="1" applyAlignment="1">
      <alignment horizontal="center" vertical="center" wrapText="1"/>
    </xf>
    <xf numFmtId="180" fontId="7" fillId="3" borderId="0" xfId="0" applyNumberFormat="1" applyFont="1" applyFill="1" applyAlignment="1">
      <alignment horizontal="center" vertical="center" wrapText="1"/>
    </xf>
    <xf numFmtId="167" fontId="7" fillId="13" borderId="0" xfId="0" applyNumberFormat="1" applyFont="1" applyFill="1" applyAlignment="1">
      <alignment horizontal="center" vertical="center" wrapText="1"/>
    </xf>
    <xf numFmtId="167" fontId="7" fillId="10" borderId="0" xfId="0" applyNumberFormat="1" applyFont="1" applyFill="1" applyAlignment="1">
      <alignment horizontal="center" vertical="center" wrapText="1"/>
    </xf>
    <xf numFmtId="0" fontId="7" fillId="6" borderId="2" xfId="0" applyFont="1" applyFill="1" applyBorder="1" applyAlignment="1">
      <alignment vertical="center"/>
    </xf>
    <xf numFmtId="0" fontId="7" fillId="6" borderId="4" xfId="0" applyFont="1" applyFill="1" applyBorder="1" applyAlignment="1">
      <alignment vertical="center"/>
    </xf>
    <xf numFmtId="0" fontId="84" fillId="6" borderId="0" xfId="0" applyFont="1" applyFill="1" applyAlignment="1">
      <alignment vertical="center"/>
    </xf>
    <xf numFmtId="0" fontId="7" fillId="6" borderId="2" xfId="0" applyFont="1" applyFill="1" applyBorder="1" applyAlignment="1">
      <alignment vertical="center" wrapText="1"/>
    </xf>
    <xf numFmtId="0" fontId="1" fillId="0" borderId="2" xfId="0" applyFont="1" applyBorder="1"/>
    <xf numFmtId="0" fontId="1" fillId="0" borderId="4" xfId="0" applyFont="1" applyBorder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11" fillId="6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vertical="center"/>
    </xf>
    <xf numFmtId="0" fontId="85" fillId="6" borderId="0" xfId="0" applyFont="1" applyFill="1" applyAlignment="1">
      <alignment horizontal="center" vertical="center" wrapText="1"/>
    </xf>
    <xf numFmtId="0" fontId="86" fillId="6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 wrapText="1"/>
    </xf>
    <xf numFmtId="20" fontId="7" fillId="6" borderId="0" xfId="0" applyNumberFormat="1" applyFont="1" applyFill="1" applyAlignment="1">
      <alignment vertical="center"/>
    </xf>
    <xf numFmtId="0" fontId="1" fillId="9" borderId="4" xfId="0" applyFont="1" applyFill="1" applyBorder="1"/>
    <xf numFmtId="0" fontId="1" fillId="0" borderId="6" xfId="0" applyFont="1" applyBorder="1"/>
    <xf numFmtId="0" fontId="1" fillId="18" borderId="6" xfId="0" applyFont="1" applyFill="1" applyBorder="1"/>
    <xf numFmtId="0" fontId="1" fillId="9" borderId="5" xfId="0" applyFont="1" applyFill="1" applyBorder="1"/>
    <xf numFmtId="0" fontId="1" fillId="18" borderId="2" xfId="0" applyFont="1" applyFill="1" applyBorder="1"/>
    <xf numFmtId="0" fontId="9" fillId="9" borderId="0" xfId="0" applyFont="1" applyFill="1"/>
    <xf numFmtId="0" fontId="0" fillId="0" borderId="0" xfId="0"/>
    <xf numFmtId="0" fontId="10" fillId="0" borderId="3" xfId="0" applyFont="1" applyBorder="1"/>
    <xf numFmtId="0" fontId="10" fillId="0" borderId="6" xfId="0" applyFont="1" applyBorder="1"/>
    <xf numFmtId="0" fontId="2" fillId="6" borderId="7" xfId="0" applyFont="1" applyFill="1" applyBorder="1" applyAlignment="1">
      <alignment horizontal="center" vertical="center"/>
    </xf>
    <xf numFmtId="0" fontId="10" fillId="0" borderId="10" xfId="0" applyFont="1" applyBorder="1"/>
    <xf numFmtId="0" fontId="10" fillId="0" borderId="5" xfId="0" applyFont="1" applyBorder="1"/>
    <xf numFmtId="0" fontId="2" fillId="0" borderId="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171" fontId="46" fillId="2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46" fillId="20" borderId="1" xfId="0" applyFont="1" applyFill="1" applyBorder="1" applyAlignment="1">
      <alignment horizontal="center" vertical="center"/>
    </xf>
    <xf numFmtId="179" fontId="36" fillId="0" borderId="1" xfId="0" applyNumberFormat="1" applyFont="1" applyBorder="1" applyAlignment="1">
      <alignment horizontal="center" vertical="center"/>
    </xf>
    <xf numFmtId="0" fontId="59" fillId="18" borderId="7" xfId="0" applyFont="1" applyFill="1" applyBorder="1" applyAlignment="1">
      <alignment horizontal="center" vertical="center" wrapText="1"/>
    </xf>
    <xf numFmtId="0" fontId="59" fillId="0" borderId="7" xfId="0" applyFont="1" applyBorder="1" applyAlignment="1">
      <alignment horizontal="center" vertical="center" wrapText="1"/>
    </xf>
    <xf numFmtId="0" fontId="59" fillId="12" borderId="7" xfId="0" applyFont="1" applyFill="1" applyBorder="1" applyAlignment="1">
      <alignment horizontal="center" vertical="center" textRotation="90" wrapText="1"/>
    </xf>
    <xf numFmtId="0" fontId="59" fillId="0" borderId="7" xfId="0" applyFont="1" applyBorder="1" applyAlignment="1">
      <alignment horizontal="center" vertical="center" textRotation="90" wrapText="1"/>
    </xf>
    <xf numFmtId="0" fontId="58" fillId="0" borderId="7" xfId="0" applyFont="1" applyBorder="1" applyAlignment="1">
      <alignment horizontal="center" vertical="center" wrapText="1"/>
    </xf>
    <xf numFmtId="171" fontId="19" fillId="0" borderId="1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10" fillId="0" borderId="2" xfId="0" applyFont="1" applyBorder="1"/>
    <xf numFmtId="179" fontId="56" fillId="0" borderId="14" xfId="0" applyNumberFormat="1" applyFont="1" applyBorder="1" applyAlignment="1">
      <alignment horizontal="center" vertical="center"/>
    </xf>
    <xf numFmtId="0" fontId="10" fillId="0" borderId="15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8" xfId="0" applyFont="1" applyBorder="1"/>
    <xf numFmtId="183" fontId="19" fillId="0" borderId="1" xfId="0" applyNumberFormat="1" applyFont="1" applyBorder="1" applyAlignment="1">
      <alignment horizontal="center" vertical="center"/>
    </xf>
    <xf numFmtId="171" fontId="19" fillId="0" borderId="14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20" fontId="19" fillId="0" borderId="1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top"/>
    </xf>
    <xf numFmtId="0" fontId="59" fillId="12" borderId="7" xfId="0" applyFont="1" applyFill="1" applyBorder="1" applyAlignment="1">
      <alignment horizontal="center" vertical="center" wrapText="1"/>
    </xf>
    <xf numFmtId="179" fontId="62" fillId="0" borderId="1" xfId="0" applyNumberFormat="1" applyFont="1" applyBorder="1" applyAlignment="1">
      <alignment horizontal="center" vertical="center"/>
    </xf>
    <xf numFmtId="179" fontId="63" fillId="0" borderId="14" xfId="0" applyNumberFormat="1" applyFont="1" applyBorder="1" applyAlignment="1">
      <alignment horizontal="center" vertical="center"/>
    </xf>
    <xf numFmtId="0" fontId="65" fillId="6" borderId="1" xfId="0" applyFont="1" applyFill="1" applyBorder="1" applyAlignment="1">
      <alignment horizontal="center" vertical="center"/>
    </xf>
    <xf numFmtId="179" fontId="63" fillId="0" borderId="1" xfId="0" applyNumberFormat="1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/>
    </xf>
    <xf numFmtId="0" fontId="60" fillId="18" borderId="19" xfId="0" applyFont="1" applyFill="1" applyBorder="1" applyAlignment="1">
      <alignment vertical="top"/>
    </xf>
    <xf numFmtId="0" fontId="10" fillId="0" borderId="23" xfId="0" applyFont="1" applyBorder="1"/>
    <xf numFmtId="0" fontId="60" fillId="0" borderId="19" xfId="0" applyFont="1" applyBorder="1" applyAlignment="1">
      <alignment vertical="top"/>
    </xf>
    <xf numFmtId="0" fontId="60" fillId="18" borderId="22" xfId="0" applyFont="1" applyFill="1" applyBorder="1" applyAlignment="1">
      <alignment vertical="top"/>
    </xf>
    <xf numFmtId="0" fontId="58" fillId="21" borderId="19" xfId="0" applyFont="1" applyFill="1" applyBorder="1" applyAlignment="1">
      <alignment horizontal="center" vertical="center" textRotation="90" wrapText="1"/>
    </xf>
    <xf numFmtId="0" fontId="10" fillId="0" borderId="22" xfId="0" applyFont="1" applyBorder="1"/>
    <xf numFmtId="0" fontId="2" fillId="0" borderId="19" xfId="0" applyFont="1" applyBorder="1" applyAlignment="1">
      <alignment horizontal="center" vertical="center" wrapText="1"/>
    </xf>
    <xf numFmtId="0" fontId="60" fillId="0" borderId="22" xfId="0" applyFont="1" applyBorder="1" applyAlignment="1">
      <alignment vertical="top"/>
    </xf>
    <xf numFmtId="0" fontId="71" fillId="18" borderId="22" xfId="0" applyFont="1" applyFill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wrapText="1"/>
    </xf>
    <xf numFmtId="0" fontId="71" fillId="0" borderId="22" xfId="0" applyFont="1" applyBorder="1" applyAlignment="1">
      <alignment horizontal="center" vertical="center" textRotation="90"/>
    </xf>
    <xf numFmtId="0" fontId="60" fillId="13" borderId="22" xfId="0" applyFont="1" applyFill="1" applyBorder="1" applyAlignment="1">
      <alignment vertical="top"/>
    </xf>
    <xf numFmtId="0" fontId="72" fillId="0" borderId="19" xfId="0" applyFont="1" applyBorder="1" applyAlignment="1">
      <alignment horizontal="center" vertical="center"/>
    </xf>
    <xf numFmtId="0" fontId="74" fillId="0" borderId="19" xfId="0" applyFont="1" applyBorder="1" applyAlignment="1">
      <alignment horizontal="center" vertical="center" textRotation="90"/>
    </xf>
    <xf numFmtId="0" fontId="74" fillId="18" borderId="19" xfId="0" applyFont="1" applyFill="1" applyBorder="1" applyAlignment="1">
      <alignment horizontal="center" vertical="center" textRotation="90"/>
    </xf>
    <xf numFmtId="0" fontId="19" fillId="0" borderId="24" xfId="0" applyFont="1" applyBorder="1" applyAlignment="1">
      <alignment horizontal="center" vertical="center"/>
    </xf>
    <xf numFmtId="0" fontId="10" fillId="0" borderId="26" xfId="0" applyFont="1" applyBorder="1"/>
    <xf numFmtId="0" fontId="2" fillId="0" borderId="14" xfId="0" applyFont="1" applyBorder="1" applyAlignment="1">
      <alignment vertical="center" wrapText="1"/>
    </xf>
    <xf numFmtId="0" fontId="74" fillId="13" borderId="19" xfId="0" applyFont="1" applyFill="1" applyBorder="1" applyAlignment="1">
      <alignment horizontal="center" vertical="center" textRotation="90"/>
    </xf>
    <xf numFmtId="0" fontId="2" fillId="0" borderId="26" xfId="0" applyFont="1" applyBorder="1" applyAlignment="1">
      <alignment horizontal="center" vertical="center" wrapText="1"/>
    </xf>
    <xf numFmtId="0" fontId="10" fillId="0" borderId="29" xfId="0" applyFont="1" applyBorder="1"/>
    <xf numFmtId="0" fontId="8" fillId="0" borderId="19" xfId="0" applyFont="1" applyBorder="1" applyAlignment="1">
      <alignment horizontal="left" vertical="center" wrapText="1"/>
    </xf>
    <xf numFmtId="0" fontId="60" fillId="13" borderId="19" xfId="0" applyFont="1" applyFill="1" applyBorder="1" applyAlignment="1">
      <alignment vertical="top"/>
    </xf>
    <xf numFmtId="0" fontId="73" fillId="21" borderId="19" xfId="0" applyFont="1" applyFill="1" applyBorder="1" applyAlignment="1">
      <alignment horizontal="center" vertical="center" textRotation="90" wrapText="1"/>
    </xf>
    <xf numFmtId="0" fontId="2" fillId="0" borderId="19" xfId="0" applyFont="1" applyBorder="1" applyAlignment="1">
      <alignment horizontal="left" vertical="top"/>
    </xf>
    <xf numFmtId="0" fontId="60" fillId="18" borderId="30" xfId="0" applyFont="1" applyFill="1" applyBorder="1" applyAlignment="1">
      <alignment vertical="top"/>
    </xf>
    <xf numFmtId="0" fontId="60" fillId="0" borderId="30" xfId="0" applyFont="1" applyBorder="1" applyAlignment="1">
      <alignment vertical="top"/>
    </xf>
    <xf numFmtId="0" fontId="19" fillId="0" borderId="20" xfId="0" applyFont="1" applyBorder="1" applyAlignment="1">
      <alignment horizontal="center" vertical="center"/>
    </xf>
    <xf numFmtId="0" fontId="10" fillId="0" borderId="21" xfId="0" applyFont="1" applyBorder="1"/>
    <xf numFmtId="0" fontId="60" fillId="0" borderId="26" xfId="0" applyFont="1" applyBorder="1" applyAlignment="1">
      <alignment vertical="top"/>
    </xf>
    <xf numFmtId="0" fontId="67" fillId="18" borderId="7" xfId="0" applyFont="1" applyFill="1" applyBorder="1" applyAlignment="1">
      <alignment horizontal="center" vertical="center"/>
    </xf>
    <xf numFmtId="0" fontId="60" fillId="18" borderId="26" xfId="0" applyFont="1" applyFill="1" applyBorder="1" applyAlignment="1">
      <alignment vertical="top"/>
    </xf>
    <xf numFmtId="0" fontId="67" fillId="18" borderId="31" xfId="0" applyFont="1" applyFill="1" applyBorder="1" applyAlignment="1">
      <alignment horizontal="center" vertical="center"/>
    </xf>
    <xf numFmtId="0" fontId="67" fillId="0" borderId="31" xfId="0" applyFont="1" applyBorder="1" applyAlignment="1">
      <alignment horizontal="center" vertical="center"/>
    </xf>
    <xf numFmtId="0" fontId="60" fillId="18" borderId="0" xfId="0" applyFont="1" applyFill="1" applyAlignment="1">
      <alignment vertical="top"/>
    </xf>
    <xf numFmtId="0" fontId="10" fillId="0" borderId="28" xfId="0" applyFont="1" applyBorder="1"/>
    <xf numFmtId="0" fontId="60" fillId="13" borderId="30" xfId="0" applyFont="1" applyFill="1" applyBorder="1" applyAlignment="1">
      <alignment vertical="top"/>
    </xf>
    <xf numFmtId="0" fontId="2" fillId="0" borderId="24" xfId="0" applyFont="1" applyBorder="1" applyAlignment="1">
      <alignment horizontal="left" vertical="top"/>
    </xf>
    <xf numFmtId="0" fontId="10" fillId="0" borderId="27" xfId="0" applyFont="1" applyBorder="1"/>
    <xf numFmtId="0" fontId="60" fillId="18" borderId="25" xfId="0" applyFont="1" applyFill="1" applyBorder="1" applyAlignment="1">
      <alignment vertical="top"/>
    </xf>
    <xf numFmtId="0" fontId="60" fillId="13" borderId="26" xfId="0" applyFont="1" applyFill="1" applyBorder="1" applyAlignment="1">
      <alignment vertical="top"/>
    </xf>
    <xf numFmtId="0" fontId="67" fillId="21" borderId="19" xfId="0" applyFont="1" applyFill="1" applyBorder="1" applyAlignment="1">
      <alignment horizontal="center" vertical="center" textRotation="90" wrapText="1"/>
    </xf>
    <xf numFmtId="179" fontId="70" fillId="0" borderId="24" xfId="0" applyNumberFormat="1" applyFont="1" applyBorder="1" applyAlignment="1">
      <alignment horizontal="center" vertical="center"/>
    </xf>
    <xf numFmtId="0" fontId="10" fillId="0" borderId="25" xfId="0" applyFont="1" applyBorder="1"/>
    <xf numFmtId="0" fontId="2" fillId="0" borderId="22" xfId="0" applyFont="1" applyBorder="1" applyAlignment="1">
      <alignment horizontal="left" vertical="top"/>
    </xf>
    <xf numFmtId="0" fontId="74" fillId="6" borderId="19" xfId="0" applyFont="1" applyFill="1" applyBorder="1" applyAlignment="1">
      <alignment horizontal="center" vertical="center" textRotation="90"/>
    </xf>
    <xf numFmtId="179" fontId="75" fillId="0" borderId="1" xfId="0" applyNumberFormat="1" applyFont="1" applyBorder="1" applyAlignment="1">
      <alignment horizontal="center" vertical="center"/>
    </xf>
    <xf numFmtId="0" fontId="81" fillId="0" borderId="14" xfId="0" applyFont="1" applyBorder="1" applyAlignment="1">
      <alignment horizontal="center" vertical="center" wrapText="1"/>
    </xf>
    <xf numFmtId="171" fontId="77" fillId="0" borderId="7" xfId="0" applyNumberFormat="1" applyFont="1" applyBorder="1" applyAlignment="1">
      <alignment horizontal="center" vertical="center" textRotation="90" wrapText="1"/>
    </xf>
    <xf numFmtId="0" fontId="49" fillId="0" borderId="7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24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142875</xdr:colOff>
      <xdr:row>32</xdr:row>
      <xdr:rowOff>95250</xdr:rowOff>
    </xdr:from>
    <xdr:to>
      <xdr:col>18</xdr:col>
      <xdr:colOff>142875</xdr:colOff>
      <xdr:row>38</xdr:row>
      <xdr:rowOff>38100</xdr:rowOff>
    </xdr:to>
    <xdr:sp macro="" textlink="">
      <xdr:nvSpPr>
        <xdr:cNvPr id="4102" name="Text Box 6" hidden="1">
          <a:extLst>
            <a:ext uri="{FF2B5EF4-FFF2-40B4-BE49-F238E27FC236}">
              <a16:creationId xmlns:a16="http://schemas.microsoft.com/office/drawing/2014/main" id="{52461BCF-EAEB-2383-1675-7BF75AA463F3}"/>
            </a:ext>
          </a:extLst>
        </xdr:cNvPr>
        <xdr:cNvSpPr txBox="1">
          <a:spLocks noChangeArrowheads="1"/>
        </xdr:cNvSpPr>
      </xdr:nvSpPr>
      <xdr:spPr bwMode="auto">
        <a:xfrm>
          <a:off x="12058650" y="6038850"/>
          <a:ext cx="3352800" cy="1085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lh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lho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renda Nascimento" id="{B6CAA47F-1AD0-45C3-B89D-4E1F213B5651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" dT="2024-12-23T17:55:08.00" personId="{B6CAA47F-1AD0-45C3-B89D-4E1F213B5651}" id="{B4367C59-C27D-4621-899D-6263025D9F7A}">
    <text>Vania Schimel</text>
  </threadedComment>
  <threadedComment ref="N9" dT="2024-12-19T13:32:31.00" personId="{B6CAA47F-1AD0-45C3-B89D-4E1F213B5651}" id="{6F0B07B0-D9EF-425F-88B2-A6BCD5D126CA}">
    <text>Gabriela Arruda - Faltou
Tatiana - Faltou</text>
  </threadedComment>
  <threadedComment ref="N10" dT="2024-12-23T18:01:12.00" personId="{B6CAA47F-1AD0-45C3-B89D-4E1F213B5651}" id="{7CF1AA61-BD49-428C-9D15-833C17733FBA}">
    <text>Michele - Faltou
Conceição cobriu</text>
  </threadedComment>
  <threadedComment ref="G11" dT="2024-12-23T17:55:21.00" personId="{B6CAA47F-1AD0-45C3-B89D-4E1F213B5651}" id="{127F6CFF-46A6-4864-B025-E0ACC4187DA3}">
    <text>Michele</text>
  </threadedComment>
  <threadedComment ref="K11" dT="2024-12-27T18:14:28.00" personId="{B6CAA47F-1AD0-45C3-B89D-4E1F213B5651}" id="{604F630C-78C9-4ABC-AE41-FDAEA3C3BDF0}">
    <text>Atestado - Imaculada cobriu</text>
  </threadedComment>
  <threadedComment ref="M11" dT="2024-12-30T11:43:53.00" personId="{B6CAA47F-1AD0-45C3-B89D-4E1F213B5651}" id="{79B85AA9-91C8-4CDD-B8E6-0D3A6217CC45}">
    <text>Faltou - Imaculada cobriu</text>
  </threadedComment>
  <threadedComment ref="N11" dT="2024-12-30T20:42:41.00" personId="{B6CAA47F-1AD0-45C3-B89D-4E1F213B5651}" id="{88865812-C25A-447E-836D-538E551EBB3F}">
    <text>Faltou - Mirelle cobriu</text>
  </threadedComment>
  <threadedComment ref="O11" dT="2024-12-30T20:41:56.00" personId="{B6CAA47F-1AD0-45C3-B89D-4E1F213B5651}" id="{CF0B73BB-6DA0-46B8-9A6D-434FACF4FA33}">
    <text>Faltou - Mirelle cobriu</text>
  </threadedComment>
  <threadedComment ref="P11" dT="2024-12-31T12:21:36.00" personId="{B6CAA47F-1AD0-45C3-B89D-4E1F213B5651}" id="{38A66F7F-61AB-42FC-9E5B-6F60C4415C62}">
    <text>Atestado - Conceição vai cobrir</text>
  </threadedComment>
  <threadedComment ref="Q11" dT="2024-12-31T12:21:54.00" personId="{B6CAA47F-1AD0-45C3-B89D-4E1F213B5651}" id="{51782A21-4F72-4911-B44C-FE85B57D3C02}">
    <text>Atestado - Conceição vai cobrir</text>
  </threadedComment>
  <threadedComment ref="X14" dT="2024-12-31T13:49:10.00" personId="{B6CAA47F-1AD0-45C3-B89D-4E1F213B5651}" id="{90FB7F33-838A-45A5-AECA-0ECF932F2122}">
    <text>EXTRA</text>
  </threadedComment>
  <threadedComment ref="N20" dT="2024-12-19T16:09:09.00" personId="{B6CAA47F-1AD0-45C3-B89D-4E1F213B5651}" id="{AE0906C3-ABCA-408E-A722-28B024A9DEA1}">
    <text>Raquel Samuel</text>
  </threadedComment>
  <threadedComment ref="G21" dT="2024-12-19T16:08:37.00" personId="{B6CAA47F-1AD0-45C3-B89D-4E1F213B5651}" id="{DA599BE6-5D07-4F83-824B-78207EFF218E}">
    <text>HANNA - Faltou 
Imaculada cobriu</text>
  </threadedComment>
  <threadedComment ref="M22" dT="2024-12-19T16:09:01.00" personId="{B6CAA47F-1AD0-45C3-B89D-4E1F213B5651}" id="{F91FDAAF-D0CE-473D-A4BB-4F801ED05FB6}">
    <text>Vania Schimel faltou - Monica Cobriu</text>
  </threadedComment>
  <threadedComment ref="H30" dT="2024-12-27T16:18:55.00" personId="{B6CAA47F-1AD0-45C3-B89D-4E1F213B5651}" id="{5FBA38B2-2A2C-497F-8ABA-BBE0A1E617B9}">
    <text>FALTOU</text>
  </threadedComment>
  <threadedComment ref="M32" dT="2024-12-30T13:23:42.00" personId="{B6CAA47F-1AD0-45C3-B89D-4E1F213B5651}" id="{1D214238-6795-4D8F-A6BC-E4D499030221}">
    <text>Faltou - Jose Jorge Cobriu</text>
  </threadedComment>
  <threadedComment ref="N32" dT="2024-12-30T20:50:12.00" personId="{B6CAA47F-1AD0-45C3-B89D-4E1F213B5651}" id="{77ACE735-3181-459D-BD76-02E5C82D6AB2}">
    <text>Faltou - Thais vai cobrir</text>
  </threadedComment>
  <threadedComment ref="H35" dT="2024-12-27T16:19:03.00" personId="{B6CAA47F-1AD0-45C3-B89D-4E1F213B5651}" id="{EC3CAC96-082D-4B2D-ABB6-C0D084DD8700}">
    <text>FALTOU</text>
  </threadedComment>
  <threadedComment ref="H36" dT="2024-12-27T16:19:13.00" personId="{B6CAA47F-1AD0-45C3-B89D-4E1F213B5651}" id="{4CBD97F3-7700-4200-8C58-CAB3020032DC}">
    <text>FALTOU</text>
  </threadedComment>
  <threadedComment ref="H37" dT="2024-12-27T16:19:21.00" personId="{B6CAA47F-1AD0-45C3-B89D-4E1F213B5651}" id="{4A8F1272-2115-4027-B390-94864FE96E9B}">
    <text>FALTOU</text>
  </threadedComment>
  <threadedComment ref="J48" dT="2024-12-27T16:40:33.00" personId="{B6CAA47F-1AD0-45C3-B89D-4E1F213B5651}" id="{64FD605E-BD7E-4F8B-B0B0-46BF0C8942F3}">
    <text>Atestado</text>
  </threadedComment>
  <threadedComment ref="N55" dT="2024-12-31T13:39:25.00" personId="{B6CAA47F-1AD0-45C3-B89D-4E1F213B5651}" id="{ABCC3F2F-0EE4-4E28-B452-A17AC27174B3}">
    <text>Faltou - Monica vai fazer dia 03</text>
  </threadedComment>
  <threadedComment ref="Q55" dT="2024-12-31T13:40:01.00" personId="{B6CAA47F-1AD0-45C3-B89D-4E1F213B5651}" id="{B8752CE5-1B11-4918-9AB0-7ED3BB3CC768}">
    <text>Compensando falta no dia 31/12</text>
  </threadedComment>
  <threadedComment ref="M60" dT="2024-12-30T13:28:31.00" personId="{B6CAA47F-1AD0-45C3-B89D-4E1F213B5651}" id="{B4F526C0-51CE-42D3-B763-6B6B4E79552F}">
    <text>LIMPEZA FOI REMANEJADA</text>
  </threadedComment>
  <threadedComment ref="K75" dT="2024-12-23T19:16:20.00" personId="{B6CAA47F-1AD0-45C3-B89D-4E1F213B5651}" id="{EF8DB592-02B1-4687-8DE3-1CC3A9E06051}">
    <text>Rodrigo vai treinar junto de 07:00 ás 12:00</text>
  </threadedComment>
  <threadedComment ref="M76" dT="2024-12-30T13:21:07.00" personId="{B6CAA47F-1AD0-45C3-B89D-4E1F213B5651}" id="{EBED371C-AAD5-4BCA-BCC7-40930AE10D40}">
    <text>Vanderlei passou mal - Jorge Amorim cobriu</text>
  </threadedComment>
</ThreadedComment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975"/>
  <sheetViews>
    <sheetView tabSelected="1" workbookViewId="0">
      <selection activeCell="C54" sqref="C54"/>
    </sheetView>
  </sheetViews>
  <sheetFormatPr defaultColWidth="12.5703125" defaultRowHeight="15" customHeight="1"/>
  <cols>
    <col min="2" max="2" width="36.140625" customWidth="1"/>
    <col min="3" max="3" width="18.28515625" customWidth="1"/>
    <col min="4" max="4" width="23.42578125" customWidth="1"/>
    <col min="5" max="5" width="13.85546875" customWidth="1"/>
    <col min="7" max="7" width="29.42578125" customWidth="1"/>
    <col min="12" max="12" width="7" customWidth="1"/>
    <col min="14" max="16" width="15.140625" customWidth="1"/>
    <col min="17" max="17" width="13.7109375" customWidth="1"/>
  </cols>
  <sheetData>
    <row r="1" spans="1:27" ht="30.75" customHeight="1">
      <c r="A1" s="81" t="s">
        <v>1565</v>
      </c>
      <c r="B1" s="81" t="s">
        <v>1566</v>
      </c>
      <c r="C1" s="81" t="s">
        <v>1567</v>
      </c>
      <c r="D1" s="81" t="s">
        <v>1568</v>
      </c>
      <c r="E1" s="81" t="s">
        <v>1569</v>
      </c>
      <c r="F1" s="81" t="s">
        <v>1570</v>
      </c>
      <c r="G1" s="81" t="s">
        <v>1571</v>
      </c>
      <c r="H1" s="81" t="s">
        <v>1572</v>
      </c>
      <c r="I1" s="81" t="s">
        <v>1573</v>
      </c>
      <c r="J1" s="81" t="s">
        <v>1574</v>
      </c>
      <c r="K1" s="81" t="s">
        <v>1575</v>
      </c>
      <c r="L1" s="81" t="s">
        <v>1576</v>
      </c>
      <c r="M1" s="81" t="s">
        <v>1577</v>
      </c>
      <c r="N1" s="81" t="s">
        <v>1578</v>
      </c>
      <c r="O1" s="81" t="s">
        <v>1579</v>
      </c>
      <c r="P1" s="81" t="s">
        <v>1580</v>
      </c>
      <c r="Q1" s="81" t="s">
        <v>1581</v>
      </c>
      <c r="R1" s="81"/>
      <c r="S1" s="82"/>
      <c r="T1" s="81"/>
      <c r="U1" s="81"/>
      <c r="V1" s="81"/>
      <c r="W1" s="81"/>
      <c r="X1" s="81"/>
      <c r="Y1" s="81"/>
      <c r="Z1" s="81"/>
      <c r="AA1" s="81"/>
    </row>
    <row r="2" spans="1:27" ht="17.25" customHeight="1">
      <c r="A2" s="6" t="s">
        <v>606</v>
      </c>
      <c r="B2" s="6" t="s">
        <v>1582</v>
      </c>
      <c r="C2" s="6" t="s">
        <v>1583</v>
      </c>
      <c r="D2" s="6" t="s">
        <v>1584</v>
      </c>
      <c r="E2" s="83" t="s">
        <v>1585</v>
      </c>
      <c r="F2" s="84" t="s">
        <v>1586</v>
      </c>
      <c r="G2" s="84" t="s">
        <v>1587</v>
      </c>
      <c r="H2" s="85">
        <v>36</v>
      </c>
      <c r="I2" s="84"/>
      <c r="J2" s="84" t="s">
        <v>171</v>
      </c>
      <c r="K2" s="84" t="s">
        <v>1588</v>
      </c>
      <c r="L2" s="84" t="s">
        <v>16</v>
      </c>
      <c r="M2" s="6" t="s">
        <v>1589</v>
      </c>
      <c r="N2" s="86" t="s">
        <v>1590</v>
      </c>
      <c r="O2" s="86" t="s">
        <v>1591</v>
      </c>
      <c r="P2" s="86" t="s">
        <v>1592</v>
      </c>
      <c r="Q2" s="87">
        <v>3151.66</v>
      </c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7.25" customHeight="1">
      <c r="A3" s="6" t="s">
        <v>616</v>
      </c>
      <c r="B3" s="6" t="s">
        <v>1593</v>
      </c>
      <c r="C3" s="6" t="s">
        <v>1594</v>
      </c>
      <c r="D3" s="6" t="s">
        <v>1595</v>
      </c>
      <c r="E3" s="83" t="s">
        <v>1596</v>
      </c>
      <c r="F3" s="84" t="s">
        <v>1597</v>
      </c>
      <c r="G3" s="84" t="s">
        <v>1598</v>
      </c>
      <c r="H3" s="85">
        <v>786</v>
      </c>
      <c r="I3" s="84" t="s">
        <v>1599</v>
      </c>
      <c r="J3" s="84" t="s">
        <v>1600</v>
      </c>
      <c r="K3" s="84" t="s">
        <v>1588</v>
      </c>
      <c r="L3" s="84" t="s">
        <v>16</v>
      </c>
      <c r="M3" s="86" t="s">
        <v>1601</v>
      </c>
      <c r="N3" s="86" t="s">
        <v>1602</v>
      </c>
      <c r="O3" s="86" t="s">
        <v>1603</v>
      </c>
      <c r="P3" s="86" t="s">
        <v>1604</v>
      </c>
      <c r="Q3" s="87">
        <v>1262.47</v>
      </c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7.25" customHeight="1">
      <c r="A4" s="6" t="s">
        <v>628</v>
      </c>
      <c r="B4" s="6" t="s">
        <v>1605</v>
      </c>
      <c r="C4" s="6" t="s">
        <v>1606</v>
      </c>
      <c r="D4" s="6" t="s">
        <v>1607</v>
      </c>
      <c r="E4" s="83" t="s">
        <v>1609</v>
      </c>
      <c r="F4" s="84" t="s">
        <v>1610</v>
      </c>
      <c r="G4" s="84" t="s">
        <v>1611</v>
      </c>
      <c r="H4" s="85">
        <v>1566</v>
      </c>
      <c r="I4" s="84" t="s">
        <v>1612</v>
      </c>
      <c r="J4" s="84" t="s">
        <v>35</v>
      </c>
      <c r="K4" s="84" t="s">
        <v>1588</v>
      </c>
      <c r="L4" s="84" t="s">
        <v>16</v>
      </c>
      <c r="M4" s="86" t="s">
        <v>23</v>
      </c>
      <c r="N4" s="86" t="s">
        <v>1613</v>
      </c>
      <c r="O4" s="86" t="s">
        <v>1614</v>
      </c>
      <c r="P4" s="86" t="s">
        <v>1615</v>
      </c>
      <c r="Q4" s="87">
        <v>7623.01</v>
      </c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7.25" customHeight="1">
      <c r="A5" s="6" t="s">
        <v>654</v>
      </c>
      <c r="B5" s="6" t="s">
        <v>1616</v>
      </c>
      <c r="C5" s="6" t="s">
        <v>1617</v>
      </c>
      <c r="D5" s="6" t="s">
        <v>1618</v>
      </c>
      <c r="E5" s="83" t="s">
        <v>1619</v>
      </c>
      <c r="F5" s="84" t="s">
        <v>1620</v>
      </c>
      <c r="G5" s="84" t="s">
        <v>1621</v>
      </c>
      <c r="H5" s="85">
        <v>61</v>
      </c>
      <c r="I5" s="84" t="s">
        <v>1599</v>
      </c>
      <c r="J5" s="84" t="s">
        <v>884</v>
      </c>
      <c r="K5" s="84" t="s">
        <v>1588</v>
      </c>
      <c r="L5" s="84" t="s">
        <v>16</v>
      </c>
      <c r="M5" s="86" t="s">
        <v>23</v>
      </c>
      <c r="N5" s="86" t="s">
        <v>1613</v>
      </c>
      <c r="O5" s="86" t="s">
        <v>1614</v>
      </c>
      <c r="P5" s="86" t="s">
        <v>1622</v>
      </c>
      <c r="Q5" s="87">
        <v>15382.41</v>
      </c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7.25" customHeight="1">
      <c r="A6" s="6" t="s">
        <v>689</v>
      </c>
      <c r="B6" s="6" t="s">
        <v>1623</v>
      </c>
      <c r="C6" s="88" t="s">
        <v>1624</v>
      </c>
      <c r="D6" s="6" t="s">
        <v>1625</v>
      </c>
      <c r="E6" s="83" t="s">
        <v>1626</v>
      </c>
      <c r="F6" s="84" t="s">
        <v>1627</v>
      </c>
      <c r="G6" s="84" t="s">
        <v>1611</v>
      </c>
      <c r="H6" s="85">
        <v>1515</v>
      </c>
      <c r="I6" s="84">
        <v>203</v>
      </c>
      <c r="J6" s="84" t="s">
        <v>35</v>
      </c>
      <c r="K6" s="84" t="s">
        <v>1588</v>
      </c>
      <c r="L6" s="84" t="s">
        <v>16</v>
      </c>
      <c r="M6" s="86" t="s">
        <v>23</v>
      </c>
      <c r="N6" s="86" t="s">
        <v>1613</v>
      </c>
      <c r="O6" s="86" t="s">
        <v>1614</v>
      </c>
      <c r="P6" s="86" t="s">
        <v>1628</v>
      </c>
      <c r="Q6" s="87">
        <v>1892.48</v>
      </c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7.25" customHeight="1">
      <c r="A7" s="6" t="s">
        <v>713</v>
      </c>
      <c r="B7" s="6" t="s">
        <v>1629</v>
      </c>
      <c r="C7" s="6" t="s">
        <v>1630</v>
      </c>
      <c r="D7" s="6" t="s">
        <v>1625</v>
      </c>
      <c r="E7" s="83" t="s">
        <v>1626</v>
      </c>
      <c r="F7" s="84" t="s">
        <v>1631</v>
      </c>
      <c r="G7" s="84" t="s">
        <v>1632</v>
      </c>
      <c r="H7" s="85">
        <v>95</v>
      </c>
      <c r="I7" s="84" t="s">
        <v>1633</v>
      </c>
      <c r="J7" s="84" t="s">
        <v>171</v>
      </c>
      <c r="K7" s="84" t="s">
        <v>1588</v>
      </c>
      <c r="L7" s="84" t="s">
        <v>16</v>
      </c>
      <c r="M7" s="86" t="s">
        <v>23</v>
      </c>
      <c r="N7" s="86" t="s">
        <v>1613</v>
      </c>
      <c r="O7" s="86" t="s">
        <v>1634</v>
      </c>
      <c r="P7" s="86" t="s">
        <v>1628</v>
      </c>
      <c r="Q7" s="87">
        <v>4442.71</v>
      </c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7.25" customHeight="1">
      <c r="A8" s="6" t="s">
        <v>724</v>
      </c>
      <c r="B8" s="6" t="s">
        <v>1635</v>
      </c>
      <c r="C8" s="88" t="s">
        <v>1636</v>
      </c>
      <c r="D8" s="6" t="s">
        <v>1625</v>
      </c>
      <c r="E8" s="83" t="s">
        <v>1626</v>
      </c>
      <c r="F8" s="84" t="s">
        <v>1637</v>
      </c>
      <c r="G8" s="84" t="s">
        <v>1638</v>
      </c>
      <c r="H8" s="85">
        <v>110</v>
      </c>
      <c r="I8" s="84" t="s">
        <v>1599</v>
      </c>
      <c r="J8" s="84" t="s">
        <v>1600</v>
      </c>
      <c r="K8" s="84" t="s">
        <v>1588</v>
      </c>
      <c r="L8" s="84" t="s">
        <v>16</v>
      </c>
      <c r="M8" s="86" t="s">
        <v>23</v>
      </c>
      <c r="N8" s="86" t="s">
        <v>1613</v>
      </c>
      <c r="O8" s="86" t="s">
        <v>1614</v>
      </c>
      <c r="P8" s="86" t="s">
        <v>1628</v>
      </c>
      <c r="Q8" s="87">
        <v>2182.29</v>
      </c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7.25" customHeight="1">
      <c r="A9" s="6" t="s">
        <v>750</v>
      </c>
      <c r="B9" s="6" t="s">
        <v>1639</v>
      </c>
      <c r="C9" s="88" t="s">
        <v>1640</v>
      </c>
      <c r="D9" s="6" t="s">
        <v>1625</v>
      </c>
      <c r="E9" s="83" t="s">
        <v>1626</v>
      </c>
      <c r="F9" s="84" t="s">
        <v>1641</v>
      </c>
      <c r="G9" s="84" t="s">
        <v>1642</v>
      </c>
      <c r="H9" s="85">
        <v>10126</v>
      </c>
      <c r="I9" s="84" t="s">
        <v>1599</v>
      </c>
      <c r="J9" s="84" t="s">
        <v>368</v>
      </c>
      <c r="K9" s="84" t="s">
        <v>1588</v>
      </c>
      <c r="L9" s="84" t="s">
        <v>16</v>
      </c>
      <c r="M9" s="86" t="s">
        <v>23</v>
      </c>
      <c r="N9" s="86" t="s">
        <v>1613</v>
      </c>
      <c r="O9" s="86" t="s">
        <v>1634</v>
      </c>
      <c r="P9" s="86" t="s">
        <v>1628</v>
      </c>
      <c r="Q9" s="87">
        <v>3358.65</v>
      </c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7.25" customHeight="1">
      <c r="A10" s="6" t="s">
        <v>760</v>
      </c>
      <c r="B10" s="6" t="s">
        <v>1474</v>
      </c>
      <c r="C10" s="6" t="s">
        <v>1643</v>
      </c>
      <c r="D10" s="6" t="s">
        <v>1625</v>
      </c>
      <c r="E10" s="83" t="s">
        <v>1626</v>
      </c>
      <c r="F10" s="84" t="s">
        <v>1644</v>
      </c>
      <c r="G10" s="84" t="s">
        <v>1645</v>
      </c>
      <c r="H10" s="85">
        <v>17</v>
      </c>
      <c r="I10" s="84" t="s">
        <v>1599</v>
      </c>
      <c r="J10" s="84" t="s">
        <v>1646</v>
      </c>
      <c r="K10" s="84" t="s">
        <v>1588</v>
      </c>
      <c r="L10" s="84" t="s">
        <v>16</v>
      </c>
      <c r="M10" s="86" t="s">
        <v>23</v>
      </c>
      <c r="N10" s="86" t="s">
        <v>1613</v>
      </c>
      <c r="O10" s="86" t="s">
        <v>1634</v>
      </c>
      <c r="P10" s="86" t="s">
        <v>1628</v>
      </c>
      <c r="Q10" s="87">
        <v>9347.07</v>
      </c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7.25" customHeight="1">
      <c r="A11" s="6" t="s">
        <v>783</v>
      </c>
      <c r="B11" s="6" t="s">
        <v>1647</v>
      </c>
      <c r="C11" s="89" t="s">
        <v>1648</v>
      </c>
      <c r="D11" s="6" t="s">
        <v>1625</v>
      </c>
      <c r="E11" s="83" t="s">
        <v>1626</v>
      </c>
      <c r="F11" s="84" t="s">
        <v>1649</v>
      </c>
      <c r="G11" s="84" t="s">
        <v>1650</v>
      </c>
      <c r="H11" s="85">
        <v>109</v>
      </c>
      <c r="I11" s="84" t="s">
        <v>1599</v>
      </c>
      <c r="J11" s="84" t="s">
        <v>171</v>
      </c>
      <c r="K11" s="84" t="s">
        <v>151</v>
      </c>
      <c r="L11" s="84" t="s">
        <v>16</v>
      </c>
      <c r="M11" s="86" t="s">
        <v>23</v>
      </c>
      <c r="N11" s="86" t="s">
        <v>1613</v>
      </c>
      <c r="O11" s="86" t="s">
        <v>1614</v>
      </c>
      <c r="P11" s="86" t="s">
        <v>1628</v>
      </c>
      <c r="Q11" s="87">
        <v>3825.6</v>
      </c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7.25" customHeight="1">
      <c r="A12" s="6" t="s">
        <v>792</v>
      </c>
      <c r="B12" s="6" t="s">
        <v>1651</v>
      </c>
      <c r="C12" s="90" t="s">
        <v>1652</v>
      </c>
      <c r="D12" s="6" t="s">
        <v>1625</v>
      </c>
      <c r="E12" s="83" t="s">
        <v>1626</v>
      </c>
      <c r="F12" s="84" t="s">
        <v>1653</v>
      </c>
      <c r="G12" s="84" t="s">
        <v>1654</v>
      </c>
      <c r="H12" s="85">
        <v>74</v>
      </c>
      <c r="I12" s="84" t="s">
        <v>1599</v>
      </c>
      <c r="J12" s="84" t="s">
        <v>171</v>
      </c>
      <c r="K12" s="84" t="s">
        <v>151</v>
      </c>
      <c r="L12" s="84" t="s">
        <v>16</v>
      </c>
      <c r="M12" s="86" t="s">
        <v>23</v>
      </c>
      <c r="N12" s="86" t="s">
        <v>1613</v>
      </c>
      <c r="O12" s="86" t="s">
        <v>1614</v>
      </c>
      <c r="P12" s="86" t="s">
        <v>1628</v>
      </c>
      <c r="Q12" s="87">
        <v>4875.1400000000003</v>
      </c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7.25" customHeight="1">
      <c r="A13" s="6" t="s">
        <v>802</v>
      </c>
      <c r="B13" s="6" t="s">
        <v>1655</v>
      </c>
      <c r="C13" s="90" t="s">
        <v>1656</v>
      </c>
      <c r="D13" s="6" t="s">
        <v>1625</v>
      </c>
      <c r="E13" s="83" t="s">
        <v>1626</v>
      </c>
      <c r="F13" s="84" t="s">
        <v>1657</v>
      </c>
      <c r="G13" s="84" t="s">
        <v>1658</v>
      </c>
      <c r="H13" s="85">
        <v>8</v>
      </c>
      <c r="I13" s="84" t="s">
        <v>1599</v>
      </c>
      <c r="J13" s="84" t="s">
        <v>1659</v>
      </c>
      <c r="K13" s="84" t="s">
        <v>48</v>
      </c>
      <c r="L13" s="84" t="s">
        <v>16</v>
      </c>
      <c r="M13" s="86" t="s">
        <v>23</v>
      </c>
      <c r="N13" s="86" t="s">
        <v>1613</v>
      </c>
      <c r="O13" s="86" t="s">
        <v>1614</v>
      </c>
      <c r="P13" s="86" t="s">
        <v>1628</v>
      </c>
      <c r="Q13" s="87">
        <v>2551.21</v>
      </c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7.25" customHeight="1">
      <c r="A14" s="6" t="s">
        <v>810</v>
      </c>
      <c r="B14" s="6" t="s">
        <v>1660</v>
      </c>
      <c r="C14" s="6" t="s">
        <v>1661</v>
      </c>
      <c r="D14" s="6" t="s">
        <v>1625</v>
      </c>
      <c r="E14" s="83" t="s">
        <v>1626</v>
      </c>
      <c r="F14" s="84" t="s">
        <v>1662</v>
      </c>
      <c r="G14" s="84" t="s">
        <v>1663</v>
      </c>
      <c r="H14" s="85">
        <v>8</v>
      </c>
      <c r="I14" s="84" t="s">
        <v>1599</v>
      </c>
      <c r="J14" s="84" t="s">
        <v>171</v>
      </c>
      <c r="K14" s="84" t="s">
        <v>48</v>
      </c>
      <c r="L14" s="84" t="s">
        <v>16</v>
      </c>
      <c r="M14" s="86" t="s">
        <v>23</v>
      </c>
      <c r="N14" s="86" t="s">
        <v>1613</v>
      </c>
      <c r="O14" s="86" t="s">
        <v>1614</v>
      </c>
      <c r="P14" s="86" t="s">
        <v>1628</v>
      </c>
      <c r="Q14" s="87">
        <v>3825.6</v>
      </c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7.25" customHeight="1">
      <c r="A15" s="6" t="s">
        <v>819</v>
      </c>
      <c r="B15" s="6" t="s">
        <v>1664</v>
      </c>
      <c r="C15" s="90" t="s">
        <v>1630</v>
      </c>
      <c r="D15" s="6" t="s">
        <v>1625</v>
      </c>
      <c r="E15" s="83" t="s">
        <v>1626</v>
      </c>
      <c r="F15" s="84" t="s">
        <v>1631</v>
      </c>
      <c r="G15" s="84" t="s">
        <v>1632</v>
      </c>
      <c r="H15" s="85">
        <v>95</v>
      </c>
      <c r="I15" s="84" t="s">
        <v>1633</v>
      </c>
      <c r="J15" s="84" t="s">
        <v>171</v>
      </c>
      <c r="K15" s="84" t="s">
        <v>1588</v>
      </c>
      <c r="L15" s="84" t="s">
        <v>16</v>
      </c>
      <c r="M15" s="86" t="s">
        <v>23</v>
      </c>
      <c r="N15" s="86" t="s">
        <v>1613</v>
      </c>
      <c r="O15" s="86" t="s">
        <v>1634</v>
      </c>
      <c r="P15" s="86" t="s">
        <v>1628</v>
      </c>
      <c r="Q15" s="87">
        <v>4442.71</v>
      </c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7.25" customHeight="1">
      <c r="A16" s="6" t="s">
        <v>828</v>
      </c>
      <c r="B16" s="6" t="s">
        <v>1666</v>
      </c>
      <c r="C16" s="6" t="s">
        <v>1667</v>
      </c>
      <c r="D16" s="6" t="s">
        <v>1625</v>
      </c>
      <c r="E16" s="83" t="s">
        <v>1626</v>
      </c>
      <c r="F16" s="84" t="s">
        <v>1668</v>
      </c>
      <c r="G16" s="84" t="s">
        <v>1669</v>
      </c>
      <c r="H16" s="85">
        <v>55</v>
      </c>
      <c r="I16" s="84" t="s">
        <v>1599</v>
      </c>
      <c r="J16" s="84" t="s">
        <v>171</v>
      </c>
      <c r="K16" s="84" t="s">
        <v>1670</v>
      </c>
      <c r="L16" s="84" t="s">
        <v>16</v>
      </c>
      <c r="M16" s="86" t="s">
        <v>23</v>
      </c>
      <c r="N16" s="86" t="s">
        <v>1613</v>
      </c>
      <c r="O16" s="86" t="s">
        <v>1614</v>
      </c>
      <c r="P16" s="86" t="s">
        <v>1628</v>
      </c>
      <c r="Q16" s="87">
        <v>3290.87</v>
      </c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7.25" customHeight="1">
      <c r="A17" s="6" t="s">
        <v>836</v>
      </c>
      <c r="B17" s="6" t="s">
        <v>1424</v>
      </c>
      <c r="C17" s="90" t="s">
        <v>1671</v>
      </c>
      <c r="D17" s="6" t="s">
        <v>1625</v>
      </c>
      <c r="E17" s="83" t="s">
        <v>1626</v>
      </c>
      <c r="F17" s="84" t="s">
        <v>1672</v>
      </c>
      <c r="G17" s="84" t="s">
        <v>1673</v>
      </c>
      <c r="H17" s="85">
        <v>67</v>
      </c>
      <c r="I17" s="84" t="s">
        <v>1599</v>
      </c>
      <c r="J17" s="84" t="s">
        <v>1646</v>
      </c>
      <c r="K17" s="84" t="s">
        <v>1588</v>
      </c>
      <c r="L17" s="84" t="s">
        <v>16</v>
      </c>
      <c r="M17" s="86" t="s">
        <v>23</v>
      </c>
      <c r="N17" s="86" t="s">
        <v>1613</v>
      </c>
      <c r="O17" s="86" t="s">
        <v>1634</v>
      </c>
      <c r="P17" s="86" t="s">
        <v>1628</v>
      </c>
      <c r="Q17" s="87">
        <v>2783.86</v>
      </c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7.25" customHeight="1">
      <c r="A18" s="6" t="s">
        <v>847</v>
      </c>
      <c r="B18" s="6" t="s">
        <v>1674</v>
      </c>
      <c r="C18" s="6" t="s">
        <v>1675</v>
      </c>
      <c r="D18" s="6" t="s">
        <v>1625</v>
      </c>
      <c r="E18" s="83" t="s">
        <v>1626</v>
      </c>
      <c r="F18" s="84" t="s">
        <v>1676</v>
      </c>
      <c r="G18" s="84" t="s">
        <v>1677</v>
      </c>
      <c r="H18" s="85">
        <v>92</v>
      </c>
      <c r="I18" s="84" t="s">
        <v>1678</v>
      </c>
      <c r="J18" s="84" t="s">
        <v>1679</v>
      </c>
      <c r="K18" s="84" t="s">
        <v>1291</v>
      </c>
      <c r="L18" s="84" t="s">
        <v>16</v>
      </c>
      <c r="M18" s="86" t="s">
        <v>23</v>
      </c>
      <c r="N18" s="86" t="s">
        <v>1613</v>
      </c>
      <c r="O18" s="86" t="s">
        <v>1614</v>
      </c>
      <c r="P18" s="86" t="s">
        <v>1628</v>
      </c>
      <c r="Q18" s="87">
        <v>3825.6</v>
      </c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7.25" customHeight="1">
      <c r="A19" s="6" t="s">
        <v>881</v>
      </c>
      <c r="B19" s="6" t="s">
        <v>1680</v>
      </c>
      <c r="C19" s="90" t="s">
        <v>1681</v>
      </c>
      <c r="D19" s="6" t="s">
        <v>1625</v>
      </c>
      <c r="E19" s="83" t="s">
        <v>1626</v>
      </c>
      <c r="F19" s="84" t="s">
        <v>1682</v>
      </c>
      <c r="G19" s="84" t="s">
        <v>1683</v>
      </c>
      <c r="H19" s="85">
        <v>232</v>
      </c>
      <c r="I19" s="84" t="s">
        <v>1599</v>
      </c>
      <c r="J19" s="84" t="s">
        <v>171</v>
      </c>
      <c r="K19" s="84" t="s">
        <v>113</v>
      </c>
      <c r="L19" s="84" t="s">
        <v>16</v>
      </c>
      <c r="M19" s="86" t="s">
        <v>23</v>
      </c>
      <c r="N19" s="86" t="s">
        <v>1613</v>
      </c>
      <c r="O19" s="86" t="s">
        <v>1614</v>
      </c>
      <c r="P19" s="86" t="s">
        <v>1628</v>
      </c>
      <c r="Q19" s="87">
        <v>3366.59</v>
      </c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7.25" customHeight="1">
      <c r="A20" s="6" t="s">
        <v>892</v>
      </c>
      <c r="B20" s="6" t="s">
        <v>1684</v>
      </c>
      <c r="C20" s="6" t="s">
        <v>1685</v>
      </c>
      <c r="D20" s="6" t="s">
        <v>1625</v>
      </c>
      <c r="E20" s="83" t="s">
        <v>1626</v>
      </c>
      <c r="F20" s="84" t="s">
        <v>1686</v>
      </c>
      <c r="G20" s="84" t="s">
        <v>1687</v>
      </c>
      <c r="H20" s="85">
        <v>471</v>
      </c>
      <c r="I20" s="84" t="s">
        <v>1688</v>
      </c>
      <c r="J20" s="84" t="s">
        <v>171</v>
      </c>
      <c r="K20" s="84" t="s">
        <v>132</v>
      </c>
      <c r="L20" s="84" t="s">
        <v>16</v>
      </c>
      <c r="M20" s="86" t="s">
        <v>23</v>
      </c>
      <c r="N20" s="86" t="s">
        <v>1613</v>
      </c>
      <c r="O20" s="86" t="s">
        <v>1614</v>
      </c>
      <c r="P20" s="86" t="s">
        <v>1628</v>
      </c>
      <c r="Q20" s="87">
        <v>3861.62</v>
      </c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7.25" customHeight="1">
      <c r="A21" s="6" t="s">
        <v>909</v>
      </c>
      <c r="B21" s="6" t="s">
        <v>1689</v>
      </c>
      <c r="C21" s="90" t="s">
        <v>1690</v>
      </c>
      <c r="D21" s="6" t="s">
        <v>1625</v>
      </c>
      <c r="E21" s="83" t="s">
        <v>1626</v>
      </c>
      <c r="F21" s="84" t="s">
        <v>1691</v>
      </c>
      <c r="G21" s="84" t="s">
        <v>1692</v>
      </c>
      <c r="H21" s="85">
        <v>144</v>
      </c>
      <c r="I21" s="84" t="s">
        <v>1599</v>
      </c>
      <c r="J21" s="84" t="s">
        <v>850</v>
      </c>
      <c r="K21" s="84" t="s">
        <v>1588</v>
      </c>
      <c r="L21" s="84" t="s">
        <v>16</v>
      </c>
      <c r="M21" s="86" t="s">
        <v>23</v>
      </c>
      <c r="N21" s="86" t="s">
        <v>1613</v>
      </c>
      <c r="O21" s="86" t="s">
        <v>1634</v>
      </c>
      <c r="P21" s="86" t="s">
        <v>1628</v>
      </c>
      <c r="Q21" s="87">
        <v>4442.71</v>
      </c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7.25" customHeight="1">
      <c r="A22" s="6" t="s">
        <v>932</v>
      </c>
      <c r="B22" s="6" t="s">
        <v>1693</v>
      </c>
      <c r="C22" s="6" t="s">
        <v>1694</v>
      </c>
      <c r="D22" s="6" t="s">
        <v>1625</v>
      </c>
      <c r="E22" s="83" t="s">
        <v>1626</v>
      </c>
      <c r="F22" s="84" t="s">
        <v>1695</v>
      </c>
      <c r="G22" s="84" t="s">
        <v>1696</v>
      </c>
      <c r="H22" s="85">
        <v>18</v>
      </c>
      <c r="I22" s="84" t="s">
        <v>1697</v>
      </c>
      <c r="J22" s="84" t="s">
        <v>1698</v>
      </c>
      <c r="K22" s="84" t="s">
        <v>1699</v>
      </c>
      <c r="L22" s="84" t="s">
        <v>16</v>
      </c>
      <c r="M22" s="86" t="s">
        <v>23</v>
      </c>
      <c r="N22" s="86" t="s">
        <v>1613</v>
      </c>
      <c r="O22" s="86" t="s">
        <v>1614</v>
      </c>
      <c r="P22" s="86" t="s">
        <v>1628</v>
      </c>
      <c r="Q22" s="87">
        <v>4914.3500000000004</v>
      </c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7.25" customHeight="1">
      <c r="A23" s="6" t="s">
        <v>947</v>
      </c>
      <c r="B23" s="6" t="s">
        <v>1700</v>
      </c>
      <c r="C23" s="6" t="s">
        <v>1701</v>
      </c>
      <c r="D23" s="6" t="s">
        <v>1625</v>
      </c>
      <c r="E23" s="83" t="s">
        <v>1626</v>
      </c>
      <c r="F23" s="84" t="s">
        <v>1702</v>
      </c>
      <c r="G23" s="84" t="s">
        <v>1703</v>
      </c>
      <c r="H23" s="85">
        <v>18</v>
      </c>
      <c r="I23" s="84" t="s">
        <v>1678</v>
      </c>
      <c r="J23" s="84" t="s">
        <v>171</v>
      </c>
      <c r="K23" s="84" t="s">
        <v>1588</v>
      </c>
      <c r="L23" s="84" t="s">
        <v>16</v>
      </c>
      <c r="M23" s="86" t="s">
        <v>23</v>
      </c>
      <c r="N23" s="86" t="s">
        <v>1613</v>
      </c>
      <c r="O23" s="86" t="s">
        <v>1634</v>
      </c>
      <c r="P23" s="86" t="s">
        <v>1628</v>
      </c>
      <c r="Q23" s="87">
        <v>3358.65</v>
      </c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7.25" customHeight="1">
      <c r="A24" s="6" t="s">
        <v>963</v>
      </c>
      <c r="B24" s="6" t="s">
        <v>1704</v>
      </c>
      <c r="C24" s="6" t="s">
        <v>1705</v>
      </c>
      <c r="D24" s="6" t="s">
        <v>1625</v>
      </c>
      <c r="E24" s="83" t="s">
        <v>1626</v>
      </c>
      <c r="F24" s="91" t="s">
        <v>3011</v>
      </c>
      <c r="G24" s="92" t="s">
        <v>1706</v>
      </c>
      <c r="H24" s="85">
        <v>261</v>
      </c>
      <c r="I24" s="84" t="s">
        <v>1707</v>
      </c>
      <c r="J24" s="84" t="s">
        <v>1708</v>
      </c>
      <c r="K24" s="84" t="s">
        <v>1291</v>
      </c>
      <c r="L24" s="84" t="s">
        <v>16</v>
      </c>
      <c r="M24" s="86" t="s">
        <v>23</v>
      </c>
      <c r="N24" s="86" t="s">
        <v>1613</v>
      </c>
      <c r="O24" s="86" t="s">
        <v>1614</v>
      </c>
      <c r="P24" s="86" t="s">
        <v>1628</v>
      </c>
      <c r="Q24" s="87">
        <v>3825.6</v>
      </c>
      <c r="R24" s="86"/>
      <c r="S24" s="6"/>
      <c r="T24" s="6"/>
      <c r="U24" s="6"/>
      <c r="V24" s="86"/>
      <c r="W24" s="86"/>
      <c r="X24" s="86"/>
      <c r="Y24" s="6"/>
      <c r="Z24" s="6"/>
      <c r="AA24" s="6"/>
    </row>
    <row r="25" spans="1:27" ht="17.25" customHeight="1">
      <c r="A25" s="6" t="s">
        <v>971</v>
      </c>
      <c r="B25" s="6" t="s">
        <v>1709</v>
      </c>
      <c r="C25" s="6" t="s">
        <v>1710</v>
      </c>
      <c r="D25" s="6" t="s">
        <v>1625</v>
      </c>
      <c r="E25" s="83" t="s">
        <v>1626</v>
      </c>
      <c r="F25" s="84" t="s">
        <v>1711</v>
      </c>
      <c r="G25" s="84" t="s">
        <v>1712</v>
      </c>
      <c r="H25" s="85">
        <v>3</v>
      </c>
      <c r="I25" s="84" t="s">
        <v>1599</v>
      </c>
      <c r="J25" s="84" t="s">
        <v>171</v>
      </c>
      <c r="K25" s="84" t="s">
        <v>1588</v>
      </c>
      <c r="L25" s="84" t="s">
        <v>16</v>
      </c>
      <c r="M25" s="86" t="s">
        <v>23</v>
      </c>
      <c r="N25" s="86" t="s">
        <v>1613</v>
      </c>
      <c r="O25" s="86" t="s">
        <v>1634</v>
      </c>
      <c r="P25" s="86" t="s">
        <v>1628</v>
      </c>
      <c r="Q25" s="87">
        <v>4442.71</v>
      </c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7.25" customHeight="1">
      <c r="A26" s="6" t="s">
        <v>985</v>
      </c>
      <c r="B26" s="6" t="s">
        <v>1714</v>
      </c>
      <c r="C26" s="90" t="s">
        <v>1715</v>
      </c>
      <c r="D26" s="6" t="s">
        <v>1625</v>
      </c>
      <c r="E26" s="83" t="s">
        <v>1626</v>
      </c>
      <c r="F26" s="84" t="s">
        <v>98</v>
      </c>
      <c r="G26" s="84" t="s">
        <v>1716</v>
      </c>
      <c r="H26" s="85">
        <v>73</v>
      </c>
      <c r="I26" s="84" t="s">
        <v>1599</v>
      </c>
      <c r="J26" s="84" t="s">
        <v>171</v>
      </c>
      <c r="K26" s="84" t="s">
        <v>1717</v>
      </c>
      <c r="L26" s="84" t="s">
        <v>16</v>
      </c>
      <c r="M26" s="86" t="s">
        <v>23</v>
      </c>
      <c r="N26" s="86" t="s">
        <v>1613</v>
      </c>
      <c r="O26" s="86" t="s">
        <v>1614</v>
      </c>
      <c r="P26" s="86" t="s">
        <v>1628</v>
      </c>
      <c r="Q26" s="87">
        <v>3366.59</v>
      </c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7.25" customHeight="1">
      <c r="A27" s="6" t="s">
        <v>1005</v>
      </c>
      <c r="B27" s="6" t="s">
        <v>1718</v>
      </c>
      <c r="C27" s="90" t="s">
        <v>1719</v>
      </c>
      <c r="D27" s="6" t="s">
        <v>1720</v>
      </c>
      <c r="E27" s="83" t="s">
        <v>1721</v>
      </c>
      <c r="F27" s="92" t="s">
        <v>1722</v>
      </c>
      <c r="G27" s="84" t="s">
        <v>1723</v>
      </c>
      <c r="H27" s="85">
        <v>300</v>
      </c>
      <c r="I27" s="84" t="s">
        <v>1724</v>
      </c>
      <c r="J27" s="84" t="s">
        <v>1725</v>
      </c>
      <c r="K27" s="84" t="s">
        <v>1291</v>
      </c>
      <c r="L27" s="84" t="s">
        <v>16</v>
      </c>
      <c r="M27" s="86" t="s">
        <v>23</v>
      </c>
      <c r="N27" s="86" t="s">
        <v>1613</v>
      </c>
      <c r="O27" s="86" t="s">
        <v>1614</v>
      </c>
      <c r="P27" s="86" t="s">
        <v>1726</v>
      </c>
      <c r="Q27" s="87">
        <v>1729.78</v>
      </c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7.25" customHeight="1">
      <c r="A28" s="6" t="s">
        <v>1042</v>
      </c>
      <c r="B28" s="6" t="s">
        <v>1727</v>
      </c>
      <c r="C28" s="6" t="s">
        <v>1728</v>
      </c>
      <c r="D28" s="6" t="s">
        <v>1729</v>
      </c>
      <c r="E28" s="83" t="s">
        <v>1730</v>
      </c>
      <c r="F28" s="84" t="s">
        <v>1731</v>
      </c>
      <c r="G28" s="84" t="s">
        <v>1732</v>
      </c>
      <c r="H28" s="85">
        <v>9</v>
      </c>
      <c r="I28" s="84" t="s">
        <v>1599</v>
      </c>
      <c r="J28" s="84" t="s">
        <v>1733</v>
      </c>
      <c r="K28" s="84" t="s">
        <v>1588</v>
      </c>
      <c r="L28" s="84" t="s">
        <v>16</v>
      </c>
      <c r="M28" s="86" t="s">
        <v>1601</v>
      </c>
      <c r="N28" s="86" t="s">
        <v>1602</v>
      </c>
      <c r="O28" s="86" t="s">
        <v>1734</v>
      </c>
      <c r="P28" s="86" t="s">
        <v>1735</v>
      </c>
      <c r="Q28" s="87">
        <v>19943.759999999998</v>
      </c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7.25" customHeight="1">
      <c r="A29" s="6" t="s">
        <v>1075</v>
      </c>
      <c r="B29" s="6" t="s">
        <v>1736</v>
      </c>
      <c r="C29" s="6" t="s">
        <v>1737</v>
      </c>
      <c r="D29" s="6" t="s">
        <v>1738</v>
      </c>
      <c r="E29" s="83" t="s">
        <v>1739</v>
      </c>
      <c r="F29" s="84" t="s">
        <v>1740</v>
      </c>
      <c r="G29" s="84" t="s">
        <v>1642</v>
      </c>
      <c r="H29" s="85">
        <v>5077</v>
      </c>
      <c r="I29" s="84" t="s">
        <v>1599</v>
      </c>
      <c r="J29" s="84" t="s">
        <v>1733</v>
      </c>
      <c r="K29" s="84" t="s">
        <v>1588</v>
      </c>
      <c r="L29" s="84" t="s">
        <v>16</v>
      </c>
      <c r="M29" s="86" t="s">
        <v>1601</v>
      </c>
      <c r="N29" s="86" t="s">
        <v>1602</v>
      </c>
      <c r="O29" s="86" t="s">
        <v>1614</v>
      </c>
      <c r="P29" s="86" t="s">
        <v>1741</v>
      </c>
      <c r="Q29" s="87">
        <v>3443.28</v>
      </c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7.25" customHeight="1">
      <c r="A30" s="6" t="s">
        <v>1105</v>
      </c>
      <c r="B30" s="6" t="s">
        <v>1743</v>
      </c>
      <c r="C30" s="6" t="s">
        <v>1744</v>
      </c>
      <c r="D30" s="6" t="s">
        <v>1745</v>
      </c>
      <c r="E30" s="83" t="s">
        <v>1746</v>
      </c>
      <c r="F30" s="84" t="s">
        <v>1747</v>
      </c>
      <c r="G30" s="84" t="s">
        <v>1748</v>
      </c>
      <c r="H30" s="85">
        <v>33</v>
      </c>
      <c r="I30" s="84"/>
      <c r="J30" s="84" t="s">
        <v>1749</v>
      </c>
      <c r="K30" s="84" t="s">
        <v>1588</v>
      </c>
      <c r="L30" s="84" t="s">
        <v>16</v>
      </c>
      <c r="M30" s="6" t="s">
        <v>1589</v>
      </c>
      <c r="N30" s="86" t="s">
        <v>1590</v>
      </c>
      <c r="O30" s="86" t="s">
        <v>1603</v>
      </c>
      <c r="P30" s="86" t="s">
        <v>1750</v>
      </c>
      <c r="Q30" s="87">
        <v>1998.25</v>
      </c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7.25" customHeight="1">
      <c r="A31" s="6" t="s">
        <v>1121</v>
      </c>
      <c r="B31" s="6" t="s">
        <v>1751</v>
      </c>
      <c r="C31" s="6" t="s">
        <v>1752</v>
      </c>
      <c r="D31" s="6" t="s">
        <v>1753</v>
      </c>
      <c r="E31" s="83" t="s">
        <v>1754</v>
      </c>
      <c r="F31" s="84" t="s">
        <v>1641</v>
      </c>
      <c r="G31" s="84" t="s">
        <v>1642</v>
      </c>
      <c r="H31" s="85">
        <v>12104</v>
      </c>
      <c r="I31" s="84" t="s">
        <v>1599</v>
      </c>
      <c r="J31" s="84" t="s">
        <v>368</v>
      </c>
      <c r="K31" s="84" t="s">
        <v>1588</v>
      </c>
      <c r="L31" s="84" t="s">
        <v>16</v>
      </c>
      <c r="M31" s="86" t="s">
        <v>1601</v>
      </c>
      <c r="N31" s="86" t="s">
        <v>1602</v>
      </c>
      <c r="O31" s="86" t="s">
        <v>1634</v>
      </c>
      <c r="P31" s="86" t="s">
        <v>1755</v>
      </c>
      <c r="Q31" s="87">
        <v>1926.07</v>
      </c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7.25" customHeight="1">
      <c r="A32" s="6" t="s">
        <v>1143</v>
      </c>
      <c r="B32" s="6" t="s">
        <v>1756</v>
      </c>
      <c r="C32" s="6" t="s">
        <v>1752</v>
      </c>
      <c r="D32" s="6" t="s">
        <v>1757</v>
      </c>
      <c r="E32" s="83" t="s">
        <v>1758</v>
      </c>
      <c r="F32" s="84" t="s">
        <v>1759</v>
      </c>
      <c r="G32" s="84" t="s">
        <v>1760</v>
      </c>
      <c r="H32" s="85">
        <v>428</v>
      </c>
      <c r="I32" s="84" t="s">
        <v>1761</v>
      </c>
      <c r="J32" s="84" t="s">
        <v>1252</v>
      </c>
      <c r="K32" s="84" t="s">
        <v>1588</v>
      </c>
      <c r="L32" s="84" t="s">
        <v>16</v>
      </c>
      <c r="M32" s="6" t="s">
        <v>1589</v>
      </c>
      <c r="N32" s="86" t="s">
        <v>1590</v>
      </c>
      <c r="O32" s="86" t="s">
        <v>1603</v>
      </c>
      <c r="P32" s="86" t="s">
        <v>1762</v>
      </c>
      <c r="Q32" s="87">
        <v>0</v>
      </c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7.25" customHeight="1">
      <c r="A33" s="6" t="s">
        <v>1149</v>
      </c>
      <c r="B33" s="6" t="s">
        <v>1763</v>
      </c>
      <c r="C33" s="6" t="s">
        <v>1764</v>
      </c>
      <c r="D33" s="6" t="s">
        <v>1765</v>
      </c>
      <c r="E33" s="83" t="s">
        <v>1766</v>
      </c>
      <c r="F33" s="84" t="s">
        <v>1767</v>
      </c>
      <c r="G33" s="84" t="s">
        <v>1768</v>
      </c>
      <c r="H33" s="85" t="s">
        <v>1769</v>
      </c>
      <c r="I33" s="84" t="s">
        <v>1599</v>
      </c>
      <c r="J33" s="84" t="s">
        <v>171</v>
      </c>
      <c r="K33" s="84" t="s">
        <v>1588</v>
      </c>
      <c r="L33" s="84" t="s">
        <v>16</v>
      </c>
      <c r="M33" s="86" t="s">
        <v>1601</v>
      </c>
      <c r="N33" s="86" t="s">
        <v>1602</v>
      </c>
      <c r="O33" s="86" t="s">
        <v>1634</v>
      </c>
      <c r="P33" s="86" t="s">
        <v>1770</v>
      </c>
      <c r="Q33" s="87">
        <v>4435.34</v>
      </c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7.25" customHeight="1">
      <c r="A34" s="6" t="s">
        <v>1166</v>
      </c>
      <c r="B34" s="6" t="s">
        <v>1771</v>
      </c>
      <c r="C34" s="6" t="s">
        <v>1772</v>
      </c>
      <c r="D34" s="6" t="s">
        <v>1773</v>
      </c>
      <c r="E34" s="83" t="s">
        <v>1774</v>
      </c>
      <c r="F34" s="84" t="s">
        <v>1775</v>
      </c>
      <c r="G34" s="84" t="s">
        <v>1776</v>
      </c>
      <c r="H34" s="85">
        <v>684</v>
      </c>
      <c r="I34" s="84"/>
      <c r="J34" s="84" t="s">
        <v>850</v>
      </c>
      <c r="K34" s="84" t="s">
        <v>1588</v>
      </c>
      <c r="L34" s="84" t="s">
        <v>16</v>
      </c>
      <c r="M34" s="6" t="s">
        <v>1589</v>
      </c>
      <c r="N34" s="86" t="s">
        <v>1590</v>
      </c>
      <c r="O34" s="86" t="s">
        <v>1603</v>
      </c>
      <c r="P34" s="86" t="s">
        <v>1777</v>
      </c>
      <c r="Q34" s="87">
        <v>748.26</v>
      </c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7.25" customHeight="1">
      <c r="A35" s="6" t="s">
        <v>1182</v>
      </c>
      <c r="B35" s="6" t="s">
        <v>1778</v>
      </c>
      <c r="C35" s="6" t="s">
        <v>1779</v>
      </c>
      <c r="D35" s="93" t="s">
        <v>1780</v>
      </c>
      <c r="E35" s="94" t="s">
        <v>1781</v>
      </c>
      <c r="F35" s="6" t="s">
        <v>1759</v>
      </c>
      <c r="G35" s="95" t="s">
        <v>1760</v>
      </c>
      <c r="H35" s="83">
        <v>428</v>
      </c>
      <c r="I35" s="6" t="s">
        <v>1599</v>
      </c>
      <c r="J35" s="6" t="s">
        <v>1252</v>
      </c>
      <c r="K35" s="6" t="s">
        <v>1588</v>
      </c>
      <c r="L35" s="6" t="s">
        <v>16</v>
      </c>
      <c r="M35" s="86" t="s">
        <v>23</v>
      </c>
      <c r="N35" s="6" t="s">
        <v>1613</v>
      </c>
      <c r="O35" s="6" t="s">
        <v>1734</v>
      </c>
      <c r="P35" s="6" t="s">
        <v>1782</v>
      </c>
      <c r="Q35" s="87">
        <v>27970.65</v>
      </c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7.25" customHeight="1">
      <c r="A36" s="6" t="s">
        <v>1240</v>
      </c>
      <c r="B36" s="6" t="s">
        <v>1783</v>
      </c>
      <c r="C36" s="6" t="s">
        <v>1784</v>
      </c>
      <c r="D36" s="6" t="s">
        <v>1785</v>
      </c>
      <c r="E36" s="83" t="s">
        <v>1786</v>
      </c>
      <c r="F36" s="84" t="s">
        <v>1787</v>
      </c>
      <c r="G36" s="84" t="s">
        <v>1788</v>
      </c>
      <c r="H36" s="85">
        <v>300</v>
      </c>
      <c r="I36" s="84" t="s">
        <v>1599</v>
      </c>
      <c r="J36" s="84" t="s">
        <v>1749</v>
      </c>
      <c r="K36" s="84" t="s">
        <v>1588</v>
      </c>
      <c r="L36" s="84" t="s">
        <v>16</v>
      </c>
      <c r="M36" s="86" t="s">
        <v>1601</v>
      </c>
      <c r="N36" s="86" t="s">
        <v>1602</v>
      </c>
      <c r="O36" s="86" t="s">
        <v>1591</v>
      </c>
      <c r="P36" s="86" t="s">
        <v>1789</v>
      </c>
      <c r="Q36" s="87">
        <v>3269.41</v>
      </c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7.25" customHeight="1">
      <c r="A37" s="6" t="s">
        <v>1246</v>
      </c>
      <c r="B37" s="6" t="s">
        <v>1791</v>
      </c>
      <c r="C37" s="6" t="s">
        <v>1792</v>
      </c>
      <c r="D37" s="6" t="s">
        <v>1793</v>
      </c>
      <c r="E37" s="83" t="s">
        <v>1794</v>
      </c>
      <c r="F37" s="84" t="s">
        <v>1795</v>
      </c>
      <c r="G37" s="84" t="s">
        <v>1796</v>
      </c>
      <c r="H37" s="85">
        <v>145</v>
      </c>
      <c r="I37" s="84" t="s">
        <v>1599</v>
      </c>
      <c r="J37" s="84" t="s">
        <v>171</v>
      </c>
      <c r="K37" s="84" t="s">
        <v>1588</v>
      </c>
      <c r="L37" s="84" t="s">
        <v>16</v>
      </c>
      <c r="M37" s="86" t="s">
        <v>1601</v>
      </c>
      <c r="N37" s="86" t="s">
        <v>1602</v>
      </c>
      <c r="O37" s="86" t="s">
        <v>1603</v>
      </c>
      <c r="P37" s="86" t="s">
        <v>1797</v>
      </c>
      <c r="Q37" s="87">
        <v>1805.91</v>
      </c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7.25" customHeight="1">
      <c r="A38" s="6" t="s">
        <v>1261</v>
      </c>
      <c r="B38" s="6" t="s">
        <v>1798</v>
      </c>
      <c r="C38" s="6" t="s">
        <v>1799</v>
      </c>
      <c r="D38" s="6" t="s">
        <v>1800</v>
      </c>
      <c r="E38" s="83" t="s">
        <v>1801</v>
      </c>
      <c r="F38" s="84" t="s">
        <v>1802</v>
      </c>
      <c r="G38" s="84" t="s">
        <v>1611</v>
      </c>
      <c r="H38" s="85">
        <v>1515</v>
      </c>
      <c r="I38" s="84" t="s">
        <v>1803</v>
      </c>
      <c r="J38" s="84" t="s">
        <v>35</v>
      </c>
      <c r="K38" s="84" t="s">
        <v>1588</v>
      </c>
      <c r="L38" s="84" t="s">
        <v>16</v>
      </c>
      <c r="M38" s="86" t="s">
        <v>1601</v>
      </c>
      <c r="N38" s="86" t="s">
        <v>1602</v>
      </c>
      <c r="O38" s="86" t="s">
        <v>1603</v>
      </c>
      <c r="P38" s="86" t="s">
        <v>1804</v>
      </c>
      <c r="Q38" s="87">
        <v>384.03</v>
      </c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7.25" customHeight="1">
      <c r="A39" s="6" t="s">
        <v>1274</v>
      </c>
      <c r="B39" s="6" t="s">
        <v>1805</v>
      </c>
      <c r="C39" s="6" t="s">
        <v>1806</v>
      </c>
      <c r="D39" s="6" t="s">
        <v>1807</v>
      </c>
      <c r="E39" s="83" t="s">
        <v>1808</v>
      </c>
      <c r="F39" s="84" t="s">
        <v>1759</v>
      </c>
      <c r="G39" s="84" t="s">
        <v>1760</v>
      </c>
      <c r="H39" s="85">
        <v>428</v>
      </c>
      <c r="I39" s="84"/>
      <c r="J39" s="84" t="s">
        <v>1252</v>
      </c>
      <c r="K39" s="84" t="s">
        <v>1588</v>
      </c>
      <c r="L39" s="84" t="s">
        <v>16</v>
      </c>
      <c r="M39" s="6" t="s">
        <v>1589</v>
      </c>
      <c r="N39" s="86" t="s">
        <v>1590</v>
      </c>
      <c r="O39" s="86" t="s">
        <v>1603</v>
      </c>
      <c r="P39" s="86" t="s">
        <v>1809</v>
      </c>
      <c r="Q39" s="87">
        <v>530.01</v>
      </c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7.25" customHeight="1">
      <c r="A40" s="6" t="s">
        <v>1292</v>
      </c>
      <c r="B40" s="6" t="s">
        <v>1810</v>
      </c>
      <c r="C40" s="6" t="s">
        <v>1752</v>
      </c>
      <c r="D40" s="96"/>
      <c r="E40" s="97"/>
      <c r="F40" s="84" t="s">
        <v>1811</v>
      </c>
      <c r="G40" s="84" t="s">
        <v>1812</v>
      </c>
      <c r="H40" s="85">
        <v>4570</v>
      </c>
      <c r="I40" s="84" t="s">
        <v>1813</v>
      </c>
      <c r="J40" s="84" t="s">
        <v>206</v>
      </c>
      <c r="K40" s="84" t="s">
        <v>1588</v>
      </c>
      <c r="L40" s="84" t="s">
        <v>16</v>
      </c>
      <c r="M40" s="86" t="s">
        <v>23</v>
      </c>
      <c r="N40" s="86" t="s">
        <v>1613</v>
      </c>
      <c r="O40" s="86" t="s">
        <v>1591</v>
      </c>
      <c r="P40" s="86" t="s">
        <v>1814</v>
      </c>
      <c r="Q40" s="87">
        <v>8635.76</v>
      </c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7.25" customHeight="1">
      <c r="A41" s="6" t="s">
        <v>1327</v>
      </c>
      <c r="B41" s="6" t="s">
        <v>1815</v>
      </c>
      <c r="C41" s="88" t="s">
        <v>1816</v>
      </c>
      <c r="D41" s="6" t="s">
        <v>1817</v>
      </c>
      <c r="E41" s="83" t="s">
        <v>1818</v>
      </c>
      <c r="F41" s="91" t="s">
        <v>3011</v>
      </c>
      <c r="G41" s="98" t="s">
        <v>1819</v>
      </c>
      <c r="H41" s="85">
        <v>60</v>
      </c>
      <c r="I41" s="84"/>
      <c r="J41" s="84" t="s">
        <v>978</v>
      </c>
      <c r="K41" s="84" t="s">
        <v>1588</v>
      </c>
      <c r="L41" s="84" t="s">
        <v>16</v>
      </c>
      <c r="M41" s="86" t="s">
        <v>1601</v>
      </c>
      <c r="N41" s="86" t="s">
        <v>1602</v>
      </c>
      <c r="O41" s="86" t="s">
        <v>1603</v>
      </c>
      <c r="P41" s="86" t="s">
        <v>1820</v>
      </c>
      <c r="Q41" s="87">
        <v>751.06</v>
      </c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7.25" customHeight="1">
      <c r="A42" s="6" t="s">
        <v>1360</v>
      </c>
      <c r="B42" s="6" t="s">
        <v>1821</v>
      </c>
      <c r="C42" s="6" t="s">
        <v>1752</v>
      </c>
      <c r="D42" s="6" t="s">
        <v>1822</v>
      </c>
      <c r="E42" s="83" t="s">
        <v>1823</v>
      </c>
      <c r="F42" s="84" t="s">
        <v>1824</v>
      </c>
      <c r="G42" s="84" t="s">
        <v>1825</v>
      </c>
      <c r="H42" s="85">
        <v>180</v>
      </c>
      <c r="I42" s="84" t="s">
        <v>1599</v>
      </c>
      <c r="J42" s="84" t="s">
        <v>171</v>
      </c>
      <c r="K42" s="84" t="s">
        <v>1588</v>
      </c>
      <c r="L42" s="84" t="s">
        <v>16</v>
      </c>
      <c r="M42" s="6" t="s">
        <v>1589</v>
      </c>
      <c r="N42" s="86" t="s">
        <v>1590</v>
      </c>
      <c r="O42" s="86" t="s">
        <v>1603</v>
      </c>
      <c r="P42" s="86" t="s">
        <v>1826</v>
      </c>
      <c r="Q42" s="87">
        <v>0</v>
      </c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7.25" customHeight="1">
      <c r="A43" s="6" t="s">
        <v>1371</v>
      </c>
      <c r="B43" s="6" t="s">
        <v>1827</v>
      </c>
      <c r="C43" s="6" t="s">
        <v>1828</v>
      </c>
      <c r="D43" s="6" t="s">
        <v>1829</v>
      </c>
      <c r="E43" s="83" t="s">
        <v>1830</v>
      </c>
      <c r="F43" s="84" t="s">
        <v>288</v>
      </c>
      <c r="G43" s="84" t="s">
        <v>1831</v>
      </c>
      <c r="H43" s="85">
        <v>335</v>
      </c>
      <c r="I43" s="84" t="s">
        <v>1599</v>
      </c>
      <c r="J43" s="84" t="s">
        <v>1832</v>
      </c>
      <c r="K43" s="84" t="s">
        <v>1588</v>
      </c>
      <c r="L43" s="84" t="s">
        <v>16</v>
      </c>
      <c r="M43" s="6" t="s">
        <v>1589</v>
      </c>
      <c r="N43" s="86" t="s">
        <v>1590</v>
      </c>
      <c r="O43" s="86" t="s">
        <v>1634</v>
      </c>
      <c r="P43" s="86" t="s">
        <v>1833</v>
      </c>
      <c r="Q43" s="87">
        <v>79431.92</v>
      </c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7.25" customHeight="1">
      <c r="A44" s="6" t="s">
        <v>1401</v>
      </c>
      <c r="B44" s="6" t="s">
        <v>1834</v>
      </c>
      <c r="C44" s="6" t="s">
        <v>1835</v>
      </c>
      <c r="D44" s="6" t="s">
        <v>1836</v>
      </c>
      <c r="E44" s="83" t="s">
        <v>1837</v>
      </c>
      <c r="F44" s="84" t="s">
        <v>1802</v>
      </c>
      <c r="G44" s="84" t="s">
        <v>1611</v>
      </c>
      <c r="H44" s="85">
        <v>1524</v>
      </c>
      <c r="I44" s="84" t="s">
        <v>1599</v>
      </c>
      <c r="J44" s="84" t="s">
        <v>35</v>
      </c>
      <c r="K44" s="84" t="s">
        <v>1588</v>
      </c>
      <c r="L44" s="84" t="s">
        <v>16</v>
      </c>
      <c r="M44" s="86" t="s">
        <v>1601</v>
      </c>
      <c r="N44" s="86" t="s">
        <v>1602</v>
      </c>
      <c r="O44" s="86" t="s">
        <v>1591</v>
      </c>
      <c r="P44" s="86" t="s">
        <v>1838</v>
      </c>
      <c r="Q44" s="87">
        <v>1962.31</v>
      </c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7.25" customHeight="1">
      <c r="A45" s="6" t="s">
        <v>1406</v>
      </c>
      <c r="B45" s="6" t="s">
        <v>1839</v>
      </c>
      <c r="C45" s="6" t="s">
        <v>1840</v>
      </c>
      <c r="D45" s="6" t="s">
        <v>1841</v>
      </c>
      <c r="E45" s="83" t="s">
        <v>1842</v>
      </c>
      <c r="F45" s="84" t="s">
        <v>1641</v>
      </c>
      <c r="G45" s="84" t="s">
        <v>1843</v>
      </c>
      <c r="H45" s="85">
        <v>10395</v>
      </c>
      <c r="I45" s="84" t="s">
        <v>1599</v>
      </c>
      <c r="J45" s="84" t="s">
        <v>368</v>
      </c>
      <c r="K45" s="84" t="s">
        <v>1588</v>
      </c>
      <c r="L45" s="84" t="s">
        <v>16</v>
      </c>
      <c r="M45" s="86" t="s">
        <v>23</v>
      </c>
      <c r="N45" s="86" t="s">
        <v>1613</v>
      </c>
      <c r="O45" s="86" t="s">
        <v>1734</v>
      </c>
      <c r="P45" s="86" t="s">
        <v>1844</v>
      </c>
      <c r="Q45" s="87">
        <v>24977.75</v>
      </c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7.25" customHeight="1">
      <c r="A46" s="6" t="s">
        <v>1430</v>
      </c>
      <c r="B46" s="6" t="s">
        <v>1403</v>
      </c>
      <c r="C46" s="6" t="s">
        <v>1845</v>
      </c>
      <c r="D46" s="6" t="s">
        <v>1841</v>
      </c>
      <c r="E46" s="83" t="s">
        <v>1846</v>
      </c>
      <c r="F46" s="84" t="s">
        <v>1847</v>
      </c>
      <c r="G46" s="84" t="s">
        <v>1848</v>
      </c>
      <c r="H46" s="85">
        <v>1916</v>
      </c>
      <c r="I46" s="84" t="s">
        <v>1849</v>
      </c>
      <c r="J46" s="84" t="s">
        <v>368</v>
      </c>
      <c r="K46" s="84" t="s">
        <v>1588</v>
      </c>
      <c r="L46" s="84" t="s">
        <v>16</v>
      </c>
      <c r="M46" s="86" t="s">
        <v>23</v>
      </c>
      <c r="N46" s="86" t="s">
        <v>1613</v>
      </c>
      <c r="O46" s="86" t="s">
        <v>1614</v>
      </c>
      <c r="P46" s="86" t="s">
        <v>1850</v>
      </c>
      <c r="Q46" s="87">
        <v>12189.42</v>
      </c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7.25" customHeight="1">
      <c r="A47" s="6" t="s">
        <v>1433</v>
      </c>
      <c r="B47" s="6" t="s">
        <v>1851</v>
      </c>
      <c r="C47" s="6" t="s">
        <v>1852</v>
      </c>
      <c r="D47" s="6" t="s">
        <v>1853</v>
      </c>
      <c r="E47" s="83" t="s">
        <v>1854</v>
      </c>
      <c r="F47" s="84" t="s">
        <v>1855</v>
      </c>
      <c r="G47" s="84" t="s">
        <v>1856</v>
      </c>
      <c r="H47" s="85" t="s">
        <v>1599</v>
      </c>
      <c r="I47" s="84" t="s">
        <v>1599</v>
      </c>
      <c r="J47" s="84" t="s">
        <v>171</v>
      </c>
      <c r="K47" s="84" t="s">
        <v>1588</v>
      </c>
      <c r="L47" s="84" t="s">
        <v>16</v>
      </c>
      <c r="M47" s="6" t="s">
        <v>1589</v>
      </c>
      <c r="N47" s="86" t="s">
        <v>1590</v>
      </c>
      <c r="O47" s="86" t="s">
        <v>1603</v>
      </c>
      <c r="P47" s="86" t="s">
        <v>1857</v>
      </c>
      <c r="Q47" s="87">
        <v>247.53</v>
      </c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7.25" customHeight="1">
      <c r="A48" s="6" t="s">
        <v>1437</v>
      </c>
      <c r="B48" s="6" t="s">
        <v>1858</v>
      </c>
      <c r="C48" s="6" t="s">
        <v>1859</v>
      </c>
      <c r="D48" s="6" t="s">
        <v>1853</v>
      </c>
      <c r="E48" s="83" t="s">
        <v>1854</v>
      </c>
      <c r="F48" s="84" t="s">
        <v>1860</v>
      </c>
      <c r="G48" s="84" t="s">
        <v>1861</v>
      </c>
      <c r="H48" s="85">
        <v>33</v>
      </c>
      <c r="I48" s="84" t="s">
        <v>1599</v>
      </c>
      <c r="J48" s="84" t="s">
        <v>171</v>
      </c>
      <c r="K48" s="84" t="s">
        <v>1588</v>
      </c>
      <c r="L48" s="84" t="s">
        <v>16</v>
      </c>
      <c r="M48" s="6" t="s">
        <v>1589</v>
      </c>
      <c r="N48" s="86" t="s">
        <v>1590</v>
      </c>
      <c r="O48" s="86" t="s">
        <v>1603</v>
      </c>
      <c r="P48" s="86" t="s">
        <v>1862</v>
      </c>
      <c r="Q48" s="87">
        <v>247.35</v>
      </c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7.25" customHeight="1">
      <c r="A49" s="6" t="s">
        <v>1438</v>
      </c>
      <c r="B49" s="6" t="s">
        <v>1864</v>
      </c>
      <c r="C49" s="6" t="s">
        <v>1865</v>
      </c>
      <c r="D49" s="6" t="s">
        <v>1853</v>
      </c>
      <c r="E49" s="83" t="s">
        <v>1854</v>
      </c>
      <c r="F49" s="84" t="s">
        <v>1866</v>
      </c>
      <c r="G49" s="84" t="s">
        <v>1642</v>
      </c>
      <c r="H49" s="85">
        <v>10035</v>
      </c>
      <c r="I49" s="84" t="s">
        <v>1867</v>
      </c>
      <c r="J49" s="84" t="s">
        <v>368</v>
      </c>
      <c r="K49" s="84" t="s">
        <v>1588</v>
      </c>
      <c r="L49" s="84" t="s">
        <v>16</v>
      </c>
      <c r="M49" s="6" t="s">
        <v>1589</v>
      </c>
      <c r="N49" s="86" t="s">
        <v>1590</v>
      </c>
      <c r="O49" s="86" t="s">
        <v>1603</v>
      </c>
      <c r="P49" s="86" t="s">
        <v>1868</v>
      </c>
      <c r="Q49" s="87">
        <v>247.29</v>
      </c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7.25" customHeight="1">
      <c r="A50" s="6" t="s">
        <v>1441</v>
      </c>
      <c r="B50" s="6" t="s">
        <v>1869</v>
      </c>
      <c r="C50" s="6" t="s">
        <v>1870</v>
      </c>
      <c r="D50" s="6" t="s">
        <v>1871</v>
      </c>
      <c r="E50" s="83" t="s">
        <v>1872</v>
      </c>
      <c r="F50" s="84" t="s">
        <v>1873</v>
      </c>
      <c r="G50" s="84" t="s">
        <v>1874</v>
      </c>
      <c r="H50" s="85">
        <v>733</v>
      </c>
      <c r="I50" s="84" t="s">
        <v>1599</v>
      </c>
      <c r="J50" s="84" t="s">
        <v>1875</v>
      </c>
      <c r="K50" s="84" t="s">
        <v>1588</v>
      </c>
      <c r="L50" s="84" t="s">
        <v>16</v>
      </c>
      <c r="M50" s="86" t="s">
        <v>1601</v>
      </c>
      <c r="N50" s="86" t="s">
        <v>1602</v>
      </c>
      <c r="O50" s="86" t="s">
        <v>1603</v>
      </c>
      <c r="P50" s="86" t="s">
        <v>1876</v>
      </c>
      <c r="Q50" s="87">
        <v>2201.89</v>
      </c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7.25" customHeight="1">
      <c r="A51" s="6" t="s">
        <v>1459</v>
      </c>
      <c r="B51" s="6" t="s">
        <v>1878</v>
      </c>
      <c r="C51" s="6" t="s">
        <v>1879</v>
      </c>
      <c r="D51" s="6" t="s">
        <v>1880</v>
      </c>
      <c r="E51" s="83" t="s">
        <v>1881</v>
      </c>
      <c r="F51" s="84" t="s">
        <v>1824</v>
      </c>
      <c r="G51" s="84" t="s">
        <v>1825</v>
      </c>
      <c r="H51" s="85">
        <v>147</v>
      </c>
      <c r="I51" s="84" t="s">
        <v>1882</v>
      </c>
      <c r="J51" s="84" t="s">
        <v>171</v>
      </c>
      <c r="K51" s="84" t="s">
        <v>1588</v>
      </c>
      <c r="L51" s="84" t="s">
        <v>16</v>
      </c>
      <c r="M51" s="86" t="s">
        <v>1601</v>
      </c>
      <c r="N51" s="86" t="s">
        <v>1602</v>
      </c>
      <c r="O51" s="86" t="s">
        <v>1591</v>
      </c>
      <c r="P51" s="86" t="s">
        <v>1883</v>
      </c>
      <c r="Q51" s="87">
        <v>2525.5</v>
      </c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7.25" customHeight="1">
      <c r="A52" s="6" t="s">
        <v>1465</v>
      </c>
      <c r="B52" s="6" t="s">
        <v>1884</v>
      </c>
      <c r="C52" s="6" t="s">
        <v>1752</v>
      </c>
      <c r="D52" s="6" t="s">
        <v>1885</v>
      </c>
      <c r="E52" s="83" t="s">
        <v>1886</v>
      </c>
      <c r="F52" s="84" t="s">
        <v>1887</v>
      </c>
      <c r="G52" s="84" t="s">
        <v>1888</v>
      </c>
      <c r="H52" s="85" t="s">
        <v>1599</v>
      </c>
      <c r="I52" s="84" t="s">
        <v>1599</v>
      </c>
      <c r="J52" s="84" t="s">
        <v>1889</v>
      </c>
      <c r="K52" s="84" t="s">
        <v>1588</v>
      </c>
      <c r="L52" s="84" t="s">
        <v>16</v>
      </c>
      <c r="M52" s="86" t="s">
        <v>1601</v>
      </c>
      <c r="N52" s="86" t="s">
        <v>1602</v>
      </c>
      <c r="O52" s="86" t="s">
        <v>1603</v>
      </c>
      <c r="P52" s="86" t="s">
        <v>1890</v>
      </c>
      <c r="Q52" s="87">
        <v>0</v>
      </c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7.25" customHeight="1">
      <c r="A53" s="6" t="s">
        <v>1469</v>
      </c>
      <c r="B53" s="6" t="s">
        <v>1891</v>
      </c>
      <c r="C53" s="6" t="s">
        <v>1892</v>
      </c>
      <c r="D53" s="6" t="s">
        <v>1729</v>
      </c>
      <c r="E53" s="83" t="s">
        <v>1893</v>
      </c>
      <c r="F53" s="84" t="s">
        <v>1847</v>
      </c>
      <c r="G53" s="84" t="s">
        <v>1848</v>
      </c>
      <c r="H53" s="85">
        <v>2200</v>
      </c>
      <c r="I53" s="84" t="s">
        <v>1599</v>
      </c>
      <c r="J53" s="84" t="s">
        <v>368</v>
      </c>
      <c r="K53" s="84" t="s">
        <v>1588</v>
      </c>
      <c r="L53" s="84" t="s">
        <v>16</v>
      </c>
      <c r="M53" s="86" t="s">
        <v>1601</v>
      </c>
      <c r="N53" s="86" t="s">
        <v>1602</v>
      </c>
      <c r="O53" s="86" t="s">
        <v>1734</v>
      </c>
      <c r="P53" s="86" t="s">
        <v>1894</v>
      </c>
      <c r="Q53" s="87">
        <v>46320.639999999999</v>
      </c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7.25" customHeight="1">
      <c r="A54" s="6" t="s">
        <v>1492</v>
      </c>
      <c r="B54" s="6" t="s">
        <v>1895</v>
      </c>
      <c r="C54" s="6" t="s">
        <v>1752</v>
      </c>
      <c r="D54" s="6" t="s">
        <v>1896</v>
      </c>
      <c r="E54" s="83" t="s">
        <v>1897</v>
      </c>
      <c r="F54" s="84" t="s">
        <v>1641</v>
      </c>
      <c r="G54" s="84" t="s">
        <v>1642</v>
      </c>
      <c r="H54" s="85">
        <v>10755</v>
      </c>
      <c r="I54" s="84" t="s">
        <v>1599</v>
      </c>
      <c r="J54" s="84" t="s">
        <v>368</v>
      </c>
      <c r="K54" s="84" t="s">
        <v>1588</v>
      </c>
      <c r="L54" s="84" t="s">
        <v>16</v>
      </c>
      <c r="M54" s="86" t="s">
        <v>1601</v>
      </c>
      <c r="N54" s="86" t="s">
        <v>1602</v>
      </c>
      <c r="O54" s="86" t="s">
        <v>1603</v>
      </c>
      <c r="P54" s="86" t="s">
        <v>1898</v>
      </c>
      <c r="Q54" s="87">
        <v>759</v>
      </c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7.25" customHeight="1">
      <c r="A55" s="6" t="s">
        <v>1497</v>
      </c>
      <c r="B55" s="6" t="s">
        <v>1899</v>
      </c>
      <c r="C55" s="6" t="s">
        <v>1900</v>
      </c>
      <c r="D55" s="6" t="s">
        <v>1853</v>
      </c>
      <c r="E55" s="83" t="s">
        <v>1854</v>
      </c>
      <c r="F55" s="84" t="s">
        <v>1641</v>
      </c>
      <c r="G55" s="84" t="s">
        <v>1642</v>
      </c>
      <c r="H55" s="85">
        <v>10273</v>
      </c>
      <c r="I55" s="84" t="s">
        <v>1599</v>
      </c>
      <c r="J55" s="84" t="s">
        <v>368</v>
      </c>
      <c r="K55" s="84" t="s">
        <v>1588</v>
      </c>
      <c r="L55" s="84" t="s">
        <v>16</v>
      </c>
      <c r="M55" s="6" t="s">
        <v>1589</v>
      </c>
      <c r="N55" s="86" t="s">
        <v>1590</v>
      </c>
      <c r="O55" s="86" t="s">
        <v>1603</v>
      </c>
      <c r="P55" s="86" t="s">
        <v>1901</v>
      </c>
      <c r="Q55" s="93">
        <v>247.53</v>
      </c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7.25" customHeight="1">
      <c r="A56" s="6" t="s">
        <v>1498</v>
      </c>
      <c r="B56" s="6" t="s">
        <v>1902</v>
      </c>
      <c r="C56" s="6" t="s">
        <v>1903</v>
      </c>
      <c r="D56" s="6" t="s">
        <v>1904</v>
      </c>
      <c r="E56" s="83" t="s">
        <v>1905</v>
      </c>
      <c r="F56" s="84" t="s">
        <v>1906</v>
      </c>
      <c r="G56" s="84" t="s">
        <v>1907</v>
      </c>
      <c r="H56" s="85">
        <v>222</v>
      </c>
      <c r="I56" s="84" t="s">
        <v>1599</v>
      </c>
      <c r="J56" s="84" t="s">
        <v>171</v>
      </c>
      <c r="K56" s="84" t="s">
        <v>1588</v>
      </c>
      <c r="L56" s="84" t="s">
        <v>16</v>
      </c>
      <c r="M56" s="86" t="s">
        <v>1601</v>
      </c>
      <c r="N56" s="86" t="s">
        <v>1602</v>
      </c>
      <c r="O56" s="86" t="s">
        <v>1634</v>
      </c>
      <c r="P56" s="86" t="s">
        <v>1908</v>
      </c>
      <c r="Q56" s="87">
        <v>4852.4399999999996</v>
      </c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7.25" customHeight="1">
      <c r="A57" s="6" t="s">
        <v>1501</v>
      </c>
      <c r="B57" s="6" t="s">
        <v>1909</v>
      </c>
      <c r="C57" s="6" t="s">
        <v>1752</v>
      </c>
      <c r="D57" s="6" t="s">
        <v>1910</v>
      </c>
      <c r="E57" s="83" t="s">
        <v>1911</v>
      </c>
      <c r="F57" s="84" t="s">
        <v>1912</v>
      </c>
      <c r="G57" s="84" t="s">
        <v>1913</v>
      </c>
      <c r="H57" s="85">
        <v>1237</v>
      </c>
      <c r="I57" s="84" t="s">
        <v>1599</v>
      </c>
      <c r="J57" s="84" t="s">
        <v>20</v>
      </c>
      <c r="K57" s="84" t="s">
        <v>1588</v>
      </c>
      <c r="L57" s="84" t="s">
        <v>16</v>
      </c>
      <c r="M57" s="6" t="s">
        <v>1589</v>
      </c>
      <c r="N57" s="86" t="s">
        <v>1590</v>
      </c>
      <c r="O57" s="86" t="s">
        <v>1603</v>
      </c>
      <c r="P57" s="86" t="s">
        <v>1914</v>
      </c>
      <c r="Q57" s="87">
        <v>538.21</v>
      </c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7.25" customHeight="1">
      <c r="A58" s="6" t="s">
        <v>1505</v>
      </c>
      <c r="B58" s="6" t="s">
        <v>1915</v>
      </c>
      <c r="C58" s="6" t="s">
        <v>1916</v>
      </c>
      <c r="D58" s="6" t="s">
        <v>1917</v>
      </c>
      <c r="E58" s="83" t="s">
        <v>1918</v>
      </c>
      <c r="F58" s="84" t="s">
        <v>1919</v>
      </c>
      <c r="G58" s="84" t="s">
        <v>1920</v>
      </c>
      <c r="H58" s="85">
        <v>59</v>
      </c>
      <c r="I58" s="84" t="s">
        <v>1599</v>
      </c>
      <c r="J58" s="84" t="s">
        <v>1875</v>
      </c>
      <c r="K58" s="84" t="s">
        <v>1588</v>
      </c>
      <c r="L58" s="84" t="s">
        <v>16</v>
      </c>
      <c r="M58" s="6" t="s">
        <v>1589</v>
      </c>
      <c r="N58" s="86" t="s">
        <v>1590</v>
      </c>
      <c r="O58" s="86" t="s">
        <v>1591</v>
      </c>
      <c r="P58" s="86" t="s">
        <v>1921</v>
      </c>
      <c r="Q58" s="87">
        <v>3160.77</v>
      </c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7.25" customHeight="1">
      <c r="A59" s="6" t="s">
        <v>1507</v>
      </c>
      <c r="B59" s="6" t="s">
        <v>1922</v>
      </c>
      <c r="C59" s="6" t="s">
        <v>1923</v>
      </c>
      <c r="D59" s="6" t="s">
        <v>1924</v>
      </c>
      <c r="E59" s="83" t="s">
        <v>1925</v>
      </c>
      <c r="F59" s="84" t="s">
        <v>1926</v>
      </c>
      <c r="G59" s="84" t="s">
        <v>1927</v>
      </c>
      <c r="H59" s="85">
        <v>777</v>
      </c>
      <c r="I59" s="84" t="s">
        <v>1599</v>
      </c>
      <c r="J59" s="84" t="s">
        <v>1928</v>
      </c>
      <c r="K59" s="84" t="s">
        <v>1588</v>
      </c>
      <c r="L59" s="84" t="s">
        <v>16</v>
      </c>
      <c r="M59" s="86" t="s">
        <v>1601</v>
      </c>
      <c r="N59" s="86" t="s">
        <v>1602</v>
      </c>
      <c r="O59" s="86" t="s">
        <v>1634</v>
      </c>
      <c r="P59" s="86" t="s">
        <v>1929</v>
      </c>
      <c r="Q59" s="87">
        <v>8760.69</v>
      </c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7.25" customHeight="1">
      <c r="A60" s="6" t="s">
        <v>1511</v>
      </c>
      <c r="B60" s="6" t="s">
        <v>1930</v>
      </c>
      <c r="C60" s="6" t="s">
        <v>1931</v>
      </c>
      <c r="D60" s="6" t="s">
        <v>1932</v>
      </c>
      <c r="E60" s="83" t="s">
        <v>1933</v>
      </c>
      <c r="F60" s="84" t="s">
        <v>1934</v>
      </c>
      <c r="G60" s="84" t="s">
        <v>1935</v>
      </c>
      <c r="H60" s="85" t="s">
        <v>39</v>
      </c>
      <c r="I60" s="84" t="s">
        <v>1936</v>
      </c>
      <c r="J60" s="84" t="s">
        <v>171</v>
      </c>
      <c r="K60" s="84" t="s">
        <v>113</v>
      </c>
      <c r="L60" s="84" t="s">
        <v>16</v>
      </c>
      <c r="M60" s="86" t="s">
        <v>23</v>
      </c>
      <c r="N60" s="86" t="s">
        <v>1613</v>
      </c>
      <c r="O60" s="86" t="s">
        <v>1614</v>
      </c>
      <c r="P60" s="86" t="s">
        <v>1937</v>
      </c>
      <c r="Q60" s="87">
        <v>10572.91</v>
      </c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7.25" customHeight="1">
      <c r="A61" s="6" t="s">
        <v>1517</v>
      </c>
      <c r="B61" s="6" t="s">
        <v>1938</v>
      </c>
      <c r="C61" s="6" t="s">
        <v>1939</v>
      </c>
      <c r="D61" s="6" t="s">
        <v>1940</v>
      </c>
      <c r="E61" s="83" t="s">
        <v>1941</v>
      </c>
      <c r="F61" s="84" t="s">
        <v>1942</v>
      </c>
      <c r="G61" s="84" t="s">
        <v>1943</v>
      </c>
      <c r="H61" s="85" t="s">
        <v>1599</v>
      </c>
      <c r="I61" s="84" t="s">
        <v>1599</v>
      </c>
      <c r="J61" s="84" t="s">
        <v>20</v>
      </c>
      <c r="K61" s="84" t="s">
        <v>1588</v>
      </c>
      <c r="L61" s="84" t="s">
        <v>16</v>
      </c>
      <c r="M61" s="86" t="s">
        <v>1601</v>
      </c>
      <c r="N61" s="86" t="s">
        <v>1602</v>
      </c>
      <c r="O61" s="86" t="s">
        <v>1603</v>
      </c>
      <c r="P61" s="86" t="s">
        <v>1944</v>
      </c>
      <c r="Q61" s="87">
        <v>365</v>
      </c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7.25" customHeight="1">
      <c r="A62" s="6" t="s">
        <v>1519</v>
      </c>
      <c r="B62" s="6" t="s">
        <v>1946</v>
      </c>
      <c r="C62" s="6" t="s">
        <v>1947</v>
      </c>
      <c r="D62" s="6" t="s">
        <v>1618</v>
      </c>
      <c r="E62" s="83" t="s">
        <v>1948</v>
      </c>
      <c r="F62" s="84" t="s">
        <v>1949</v>
      </c>
      <c r="G62" s="84" t="s">
        <v>1950</v>
      </c>
      <c r="H62" s="85">
        <v>2500</v>
      </c>
      <c r="I62" s="84" t="s">
        <v>1599</v>
      </c>
      <c r="J62" s="84" t="s">
        <v>1950</v>
      </c>
      <c r="K62" s="84" t="s">
        <v>1588</v>
      </c>
      <c r="L62" s="84" t="s">
        <v>16</v>
      </c>
      <c r="M62" s="86" t="s">
        <v>1601</v>
      </c>
      <c r="N62" s="86" t="s">
        <v>1602</v>
      </c>
      <c r="O62" s="86" t="s">
        <v>1634</v>
      </c>
      <c r="P62" s="86" t="s">
        <v>1951</v>
      </c>
      <c r="Q62" s="87">
        <v>5191.84</v>
      </c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7.25" customHeight="1">
      <c r="A63" s="6" t="s">
        <v>1524</v>
      </c>
      <c r="B63" s="6" t="s">
        <v>1414</v>
      </c>
      <c r="C63" s="6" t="s">
        <v>1952</v>
      </c>
      <c r="D63" s="6" t="s">
        <v>1800</v>
      </c>
      <c r="E63" s="83" t="s">
        <v>1953</v>
      </c>
      <c r="F63" s="84" t="s">
        <v>1954</v>
      </c>
      <c r="G63" s="84" t="s">
        <v>1955</v>
      </c>
      <c r="H63" s="85">
        <v>56750</v>
      </c>
      <c r="I63" s="84" t="s">
        <v>1956</v>
      </c>
      <c r="J63" s="84" t="s">
        <v>368</v>
      </c>
      <c r="K63" s="84" t="s">
        <v>1588</v>
      </c>
      <c r="L63" s="84" t="s">
        <v>16</v>
      </c>
      <c r="M63" s="86" t="s">
        <v>23</v>
      </c>
      <c r="N63" s="86" t="s">
        <v>1613</v>
      </c>
      <c r="O63" s="86" t="s">
        <v>1634</v>
      </c>
      <c r="P63" s="86" t="s">
        <v>1957</v>
      </c>
      <c r="Q63" s="87">
        <v>22976.98</v>
      </c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7.25" customHeight="1">
      <c r="A64" s="6" t="s">
        <v>1958</v>
      </c>
      <c r="B64" s="6" t="s">
        <v>1959</v>
      </c>
      <c r="C64" s="6" t="s">
        <v>1960</v>
      </c>
      <c r="D64" s="6" t="s">
        <v>1961</v>
      </c>
      <c r="E64" s="83" t="s">
        <v>1962</v>
      </c>
      <c r="F64" s="84" t="s">
        <v>1963</v>
      </c>
      <c r="G64" s="84" t="s">
        <v>1964</v>
      </c>
      <c r="H64" s="85">
        <v>4000</v>
      </c>
      <c r="I64" s="84"/>
      <c r="J64" s="84" t="s">
        <v>1965</v>
      </c>
      <c r="K64" s="84" t="s">
        <v>1588</v>
      </c>
      <c r="L64" s="84" t="s">
        <v>16</v>
      </c>
      <c r="M64" s="86" t="s">
        <v>23</v>
      </c>
      <c r="N64" s="86" t="s">
        <v>1613</v>
      </c>
      <c r="O64" s="86" t="s">
        <v>1634</v>
      </c>
      <c r="P64" s="86" t="s">
        <v>1966</v>
      </c>
      <c r="Q64" s="87">
        <v>23702.97</v>
      </c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7.25" customHeight="1">
      <c r="A65" s="6" t="s">
        <v>1530</v>
      </c>
      <c r="B65" s="6" t="s">
        <v>1967</v>
      </c>
      <c r="C65" s="6" t="s">
        <v>1968</v>
      </c>
      <c r="D65" s="6" t="s">
        <v>1969</v>
      </c>
      <c r="E65" s="83" t="s">
        <v>1970</v>
      </c>
      <c r="F65" s="91"/>
      <c r="G65" s="84" t="s">
        <v>1971</v>
      </c>
      <c r="H65" s="85">
        <v>4</v>
      </c>
      <c r="I65" s="84"/>
      <c r="J65" s="84" t="s">
        <v>1972</v>
      </c>
      <c r="K65" s="84" t="s">
        <v>1588</v>
      </c>
      <c r="L65" s="84" t="s">
        <v>16</v>
      </c>
      <c r="M65" s="86" t="s">
        <v>1601</v>
      </c>
      <c r="N65" s="86" t="s">
        <v>1602</v>
      </c>
      <c r="O65" s="86" t="s">
        <v>1603</v>
      </c>
      <c r="P65" s="86" t="s">
        <v>1973</v>
      </c>
      <c r="Q65" s="87">
        <v>804.23</v>
      </c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7.25" customHeight="1">
      <c r="A66" s="6" t="s">
        <v>1974</v>
      </c>
      <c r="B66" s="6" t="s">
        <v>1975</v>
      </c>
      <c r="C66" s="6" t="s">
        <v>1976</v>
      </c>
      <c r="D66" s="6" t="s">
        <v>1977</v>
      </c>
      <c r="E66" s="83" t="s">
        <v>1978</v>
      </c>
      <c r="F66" s="91"/>
      <c r="G66" s="91"/>
      <c r="H66" s="99"/>
      <c r="I66" s="91"/>
      <c r="J66" s="91"/>
      <c r="K66" s="84" t="s">
        <v>1291</v>
      </c>
      <c r="L66" s="84" t="s">
        <v>16</v>
      </c>
      <c r="M66" s="86" t="s">
        <v>23</v>
      </c>
      <c r="N66" s="86" t="s">
        <v>1613</v>
      </c>
      <c r="O66" s="86" t="s">
        <v>1614</v>
      </c>
      <c r="P66" s="86" t="s">
        <v>1979</v>
      </c>
      <c r="Q66" s="87">
        <v>1485</v>
      </c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2.75">
      <c r="A67" s="6"/>
      <c r="B67" s="6"/>
      <c r="C67" s="6"/>
      <c r="D67" s="6"/>
      <c r="E67" s="6"/>
      <c r="F67" s="6"/>
      <c r="G67" s="6"/>
      <c r="H67" s="83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2.75">
      <c r="A68" s="6"/>
      <c r="B68" s="6"/>
      <c r="C68" s="6"/>
      <c r="D68" s="6"/>
      <c r="E68" s="6"/>
      <c r="F68" s="6"/>
      <c r="G68" s="6"/>
      <c r="H68" s="83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2.75">
      <c r="A69" s="6"/>
      <c r="B69" s="6"/>
      <c r="C69" s="6"/>
      <c r="D69" s="6"/>
      <c r="E69" s="6"/>
      <c r="F69" s="6"/>
      <c r="G69" s="6"/>
      <c r="H69" s="83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2.75">
      <c r="A70" s="6"/>
      <c r="B70" s="6"/>
      <c r="C70" s="6"/>
      <c r="D70" s="6"/>
      <c r="E70" s="6"/>
      <c r="F70" s="6"/>
      <c r="G70" s="6"/>
      <c r="H70" s="83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2.75">
      <c r="A71" s="6"/>
      <c r="B71" s="6"/>
      <c r="C71" s="6"/>
      <c r="D71" s="6"/>
      <c r="E71" s="6"/>
      <c r="F71" s="6"/>
      <c r="G71" s="6"/>
      <c r="H71" s="83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2.75">
      <c r="A72" s="6"/>
      <c r="B72" s="6"/>
      <c r="C72" s="6"/>
      <c r="D72" s="6"/>
      <c r="E72" s="6"/>
      <c r="F72" s="6"/>
      <c r="G72" s="6"/>
      <c r="H72" s="83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2.75">
      <c r="A73" s="6"/>
      <c r="B73" s="6"/>
      <c r="C73" s="6"/>
      <c r="D73" s="6"/>
      <c r="E73" s="6"/>
      <c r="F73" s="6"/>
      <c r="G73" s="6"/>
      <c r="H73" s="83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2.75">
      <c r="A74" s="6"/>
      <c r="B74" s="6"/>
      <c r="C74" s="6"/>
      <c r="D74" s="6"/>
      <c r="E74" s="6"/>
      <c r="F74" s="6"/>
      <c r="G74" s="6"/>
      <c r="H74" s="83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2.75">
      <c r="A75" s="6"/>
      <c r="B75" s="6"/>
      <c r="C75" s="6"/>
      <c r="D75" s="6"/>
      <c r="E75" s="6"/>
      <c r="F75" s="6"/>
      <c r="G75" s="6"/>
      <c r="H75" s="83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2.75">
      <c r="A76" s="6"/>
      <c r="B76" s="6"/>
      <c r="C76" s="6"/>
      <c r="D76" s="6"/>
      <c r="E76" s="6"/>
      <c r="F76" s="6"/>
      <c r="G76" s="6"/>
      <c r="H76" s="83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2.75">
      <c r="A77" s="6"/>
      <c r="B77" s="6"/>
      <c r="C77" s="6"/>
      <c r="D77" s="6"/>
      <c r="E77" s="6"/>
      <c r="F77" s="6"/>
      <c r="G77" s="6"/>
      <c r="H77" s="83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2.75">
      <c r="A78" s="6"/>
      <c r="B78" s="6"/>
      <c r="C78" s="6"/>
      <c r="D78" s="6"/>
      <c r="E78" s="6"/>
      <c r="F78" s="6"/>
      <c r="G78" s="6"/>
      <c r="H78" s="83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2.75">
      <c r="A79" s="6"/>
      <c r="B79" s="6"/>
      <c r="C79" s="6"/>
      <c r="D79" s="6"/>
      <c r="E79" s="6"/>
      <c r="F79" s="6"/>
      <c r="G79" s="6"/>
      <c r="H79" s="83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2.75">
      <c r="A80" s="6"/>
      <c r="B80" s="6"/>
      <c r="C80" s="6"/>
      <c r="D80" s="6"/>
      <c r="E80" s="6"/>
      <c r="F80" s="6"/>
      <c r="G80" s="6"/>
      <c r="H80" s="83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2.75">
      <c r="A81" s="6"/>
      <c r="B81" s="6"/>
      <c r="C81" s="6"/>
      <c r="D81" s="6"/>
      <c r="E81" s="6"/>
      <c r="F81" s="6"/>
      <c r="G81" s="6"/>
      <c r="H81" s="83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2.75">
      <c r="A82" s="6"/>
      <c r="B82" s="6"/>
      <c r="C82" s="6"/>
      <c r="D82" s="6"/>
      <c r="E82" s="6"/>
      <c r="F82" s="6"/>
      <c r="G82" s="6"/>
      <c r="H82" s="83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2.75">
      <c r="A83" s="6"/>
      <c r="B83" s="6"/>
      <c r="C83" s="6"/>
      <c r="D83" s="6"/>
      <c r="E83" s="6"/>
      <c r="F83" s="6"/>
      <c r="G83" s="6"/>
      <c r="H83" s="83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2.75">
      <c r="A84" s="6"/>
      <c r="B84" s="6"/>
      <c r="C84" s="6"/>
      <c r="D84" s="6"/>
      <c r="E84" s="6"/>
      <c r="F84" s="6"/>
      <c r="G84" s="6"/>
      <c r="H84" s="83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2.75">
      <c r="A85" s="6"/>
      <c r="B85" s="6"/>
      <c r="C85" s="6"/>
      <c r="D85" s="6"/>
      <c r="E85" s="6"/>
      <c r="F85" s="6"/>
      <c r="G85" s="6"/>
      <c r="H85" s="83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2.75">
      <c r="A86" s="6"/>
      <c r="B86" s="6"/>
      <c r="C86" s="6"/>
      <c r="D86" s="6"/>
      <c r="E86" s="6"/>
      <c r="F86" s="6"/>
      <c r="G86" s="6"/>
      <c r="H86" s="83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2.75">
      <c r="A87" s="6"/>
      <c r="B87" s="6"/>
      <c r="C87" s="6"/>
      <c r="D87" s="6"/>
      <c r="E87" s="6"/>
      <c r="F87" s="6"/>
      <c r="G87" s="6"/>
      <c r="H87" s="83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2.75">
      <c r="A88" s="6"/>
      <c r="B88" s="6"/>
      <c r="C88" s="6"/>
      <c r="D88" s="6"/>
      <c r="E88" s="6"/>
      <c r="F88" s="6"/>
      <c r="G88" s="6"/>
      <c r="H88" s="83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2.75">
      <c r="A89" s="6"/>
      <c r="B89" s="6"/>
      <c r="C89" s="6"/>
      <c r="D89" s="6"/>
      <c r="E89" s="6"/>
      <c r="F89" s="6"/>
      <c r="G89" s="6"/>
      <c r="H89" s="83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2.75">
      <c r="A90" s="6"/>
      <c r="B90" s="6"/>
      <c r="C90" s="6"/>
      <c r="D90" s="6"/>
      <c r="E90" s="6"/>
      <c r="F90" s="6"/>
      <c r="G90" s="6"/>
      <c r="H90" s="83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2.75">
      <c r="A91" s="6"/>
      <c r="B91" s="6"/>
      <c r="C91" s="6"/>
      <c r="D91" s="6"/>
      <c r="E91" s="6"/>
      <c r="F91" s="6"/>
      <c r="G91" s="6"/>
      <c r="H91" s="83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2.75">
      <c r="A92" s="6"/>
      <c r="B92" s="6"/>
      <c r="C92" s="6"/>
      <c r="D92" s="6"/>
      <c r="E92" s="6"/>
      <c r="F92" s="6"/>
      <c r="G92" s="6"/>
      <c r="H92" s="83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2.75">
      <c r="A93" s="6"/>
      <c r="B93" s="6"/>
      <c r="C93" s="6"/>
      <c r="D93" s="6"/>
      <c r="E93" s="6"/>
      <c r="F93" s="6"/>
      <c r="G93" s="6"/>
      <c r="H93" s="83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2.75">
      <c r="A94" s="6"/>
      <c r="B94" s="6"/>
      <c r="C94" s="6"/>
      <c r="D94" s="6"/>
      <c r="E94" s="6"/>
      <c r="F94" s="6"/>
      <c r="G94" s="6"/>
      <c r="H94" s="83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2.75">
      <c r="A95" s="6"/>
      <c r="B95" s="6"/>
      <c r="C95" s="6"/>
      <c r="D95" s="6"/>
      <c r="E95" s="6"/>
      <c r="F95" s="6"/>
      <c r="G95" s="6"/>
      <c r="H95" s="83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2.75">
      <c r="A96" s="6"/>
      <c r="B96" s="6"/>
      <c r="C96" s="6"/>
      <c r="D96" s="6"/>
      <c r="E96" s="6"/>
      <c r="F96" s="6"/>
      <c r="G96" s="6"/>
      <c r="H96" s="83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2.75">
      <c r="A97" s="6"/>
      <c r="B97" s="6"/>
      <c r="C97" s="6"/>
      <c r="D97" s="6"/>
      <c r="E97" s="6"/>
      <c r="F97" s="6"/>
      <c r="G97" s="6"/>
      <c r="H97" s="83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2.75">
      <c r="A98" s="6"/>
      <c r="B98" s="6"/>
      <c r="C98" s="6"/>
      <c r="D98" s="6"/>
      <c r="E98" s="6"/>
      <c r="F98" s="6"/>
      <c r="G98" s="6"/>
      <c r="H98" s="83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2.75">
      <c r="A99" s="6"/>
      <c r="B99" s="6"/>
      <c r="C99" s="6"/>
      <c r="D99" s="6"/>
      <c r="E99" s="6"/>
      <c r="F99" s="6"/>
      <c r="G99" s="6"/>
      <c r="H99" s="83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2.75">
      <c r="A100" s="6"/>
      <c r="B100" s="6"/>
      <c r="C100" s="6"/>
      <c r="D100" s="6"/>
      <c r="E100" s="6"/>
      <c r="F100" s="6"/>
      <c r="G100" s="6"/>
      <c r="H100" s="83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2.75">
      <c r="A101" s="6"/>
      <c r="B101" s="6"/>
      <c r="C101" s="6"/>
      <c r="D101" s="6"/>
      <c r="E101" s="6"/>
      <c r="F101" s="6"/>
      <c r="G101" s="6"/>
      <c r="H101" s="83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2.75">
      <c r="A102" s="6"/>
      <c r="B102" s="6"/>
      <c r="C102" s="6"/>
      <c r="D102" s="6"/>
      <c r="E102" s="6"/>
      <c r="F102" s="6"/>
      <c r="G102" s="6"/>
      <c r="H102" s="83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2.75">
      <c r="A103" s="6"/>
      <c r="B103" s="6"/>
      <c r="C103" s="6"/>
      <c r="D103" s="6"/>
      <c r="E103" s="6"/>
      <c r="F103" s="6"/>
      <c r="G103" s="6"/>
      <c r="H103" s="83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2.75">
      <c r="A104" s="6"/>
      <c r="B104" s="6"/>
      <c r="C104" s="6"/>
      <c r="D104" s="6"/>
      <c r="E104" s="6"/>
      <c r="F104" s="6"/>
      <c r="G104" s="6"/>
      <c r="H104" s="83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2.75">
      <c r="A105" s="6"/>
      <c r="B105" s="6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2.75">
      <c r="A106" s="6"/>
      <c r="B106" s="6"/>
      <c r="C106" s="6"/>
      <c r="D106" s="6"/>
      <c r="E106" s="6"/>
      <c r="F106" s="6"/>
      <c r="G106" s="6"/>
      <c r="H106" s="83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2.75">
      <c r="A107" s="6"/>
      <c r="B107" s="6"/>
      <c r="C107" s="6"/>
      <c r="D107" s="6"/>
      <c r="E107" s="6"/>
      <c r="F107" s="6"/>
      <c r="G107" s="6"/>
      <c r="H107" s="83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2.75">
      <c r="A108" s="6"/>
      <c r="B108" s="6"/>
      <c r="C108" s="6"/>
      <c r="D108" s="6"/>
      <c r="E108" s="6"/>
      <c r="F108" s="6"/>
      <c r="G108" s="6"/>
      <c r="H108" s="83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2.75">
      <c r="A109" s="6"/>
      <c r="B109" s="6"/>
      <c r="C109" s="6"/>
      <c r="D109" s="6"/>
      <c r="E109" s="6"/>
      <c r="F109" s="6"/>
      <c r="G109" s="6"/>
      <c r="H109" s="83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2.75">
      <c r="A110" s="6"/>
      <c r="B110" s="6"/>
      <c r="C110" s="6"/>
      <c r="D110" s="6"/>
      <c r="E110" s="6"/>
      <c r="F110" s="6"/>
      <c r="G110" s="6"/>
      <c r="H110" s="83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2.75">
      <c r="A111" s="6"/>
      <c r="B111" s="6"/>
      <c r="C111" s="6"/>
      <c r="D111" s="6"/>
      <c r="E111" s="6"/>
      <c r="F111" s="6"/>
      <c r="G111" s="6"/>
      <c r="H111" s="83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2.75">
      <c r="A112" s="6"/>
      <c r="B112" s="6"/>
      <c r="C112" s="6"/>
      <c r="D112" s="6"/>
      <c r="E112" s="6"/>
      <c r="F112" s="6"/>
      <c r="G112" s="6"/>
      <c r="H112" s="83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2.75">
      <c r="A113" s="6"/>
      <c r="B113" s="6"/>
      <c r="C113" s="6"/>
      <c r="D113" s="6"/>
      <c r="E113" s="6"/>
      <c r="F113" s="6"/>
      <c r="G113" s="6"/>
      <c r="H113" s="83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2.75">
      <c r="A114" s="6"/>
      <c r="B114" s="6"/>
      <c r="C114" s="6"/>
      <c r="D114" s="6"/>
      <c r="E114" s="6"/>
      <c r="F114" s="6"/>
      <c r="G114" s="6"/>
      <c r="H114" s="83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2.75">
      <c r="A115" s="6"/>
      <c r="B115" s="6"/>
      <c r="C115" s="6"/>
      <c r="D115" s="6"/>
      <c r="E115" s="6"/>
      <c r="F115" s="6"/>
      <c r="G115" s="6"/>
      <c r="H115" s="83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2.75">
      <c r="A116" s="6"/>
      <c r="B116" s="6"/>
      <c r="C116" s="6"/>
      <c r="D116" s="6"/>
      <c r="E116" s="6"/>
      <c r="F116" s="6"/>
      <c r="G116" s="6"/>
      <c r="H116" s="83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2.75">
      <c r="A117" s="6"/>
      <c r="B117" s="6"/>
      <c r="C117" s="6"/>
      <c r="D117" s="6"/>
      <c r="E117" s="6"/>
      <c r="F117" s="6"/>
      <c r="G117" s="6"/>
      <c r="H117" s="83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2.75">
      <c r="A118" s="6"/>
      <c r="B118" s="6"/>
      <c r="C118" s="6"/>
      <c r="D118" s="6"/>
      <c r="E118" s="6"/>
      <c r="F118" s="6"/>
      <c r="G118" s="6"/>
      <c r="H118" s="83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2.75">
      <c r="A119" s="6"/>
      <c r="B119" s="6"/>
      <c r="C119" s="6"/>
      <c r="D119" s="6"/>
      <c r="E119" s="6"/>
      <c r="F119" s="6"/>
      <c r="G119" s="6"/>
      <c r="H119" s="83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2.75">
      <c r="A120" s="6"/>
      <c r="B120" s="6"/>
      <c r="C120" s="6"/>
      <c r="D120" s="6"/>
      <c r="E120" s="6"/>
      <c r="F120" s="6"/>
      <c r="G120" s="6"/>
      <c r="H120" s="83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2.75">
      <c r="A121" s="6"/>
      <c r="B121" s="6"/>
      <c r="C121" s="6"/>
      <c r="D121" s="6"/>
      <c r="E121" s="6"/>
      <c r="F121" s="6"/>
      <c r="G121" s="6"/>
      <c r="H121" s="83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2.75">
      <c r="A122" s="6"/>
      <c r="B122" s="6"/>
      <c r="C122" s="6"/>
      <c r="D122" s="6"/>
      <c r="E122" s="6"/>
      <c r="F122" s="6"/>
      <c r="G122" s="6"/>
      <c r="H122" s="83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2.75">
      <c r="A123" s="6"/>
      <c r="B123" s="6"/>
      <c r="C123" s="6"/>
      <c r="D123" s="6"/>
      <c r="E123" s="6"/>
      <c r="F123" s="6"/>
      <c r="G123" s="6"/>
      <c r="H123" s="83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2.75">
      <c r="A124" s="6"/>
      <c r="B124" s="6"/>
      <c r="C124" s="6"/>
      <c r="D124" s="6"/>
      <c r="E124" s="6"/>
      <c r="F124" s="6"/>
      <c r="G124" s="6"/>
      <c r="H124" s="83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2.75">
      <c r="A125" s="6"/>
      <c r="B125" s="6"/>
      <c r="C125" s="6"/>
      <c r="D125" s="6"/>
      <c r="E125" s="6"/>
      <c r="F125" s="6"/>
      <c r="G125" s="6"/>
      <c r="H125" s="83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2.75">
      <c r="A126" s="6"/>
      <c r="B126" s="6"/>
      <c r="C126" s="6"/>
      <c r="D126" s="6"/>
      <c r="E126" s="6"/>
      <c r="F126" s="6"/>
      <c r="G126" s="6"/>
      <c r="H126" s="83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2.75">
      <c r="A127" s="6"/>
      <c r="B127" s="6"/>
      <c r="C127" s="6"/>
      <c r="D127" s="6"/>
      <c r="E127" s="6"/>
      <c r="F127" s="6"/>
      <c r="G127" s="6"/>
      <c r="H127" s="83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2.75">
      <c r="A128" s="6"/>
      <c r="B128" s="6"/>
      <c r="C128" s="6"/>
      <c r="D128" s="6"/>
      <c r="E128" s="6"/>
      <c r="F128" s="6"/>
      <c r="G128" s="6"/>
      <c r="H128" s="83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2.75">
      <c r="A129" s="6"/>
      <c r="B129" s="6"/>
      <c r="C129" s="6"/>
      <c r="D129" s="6"/>
      <c r="E129" s="6"/>
      <c r="F129" s="6"/>
      <c r="G129" s="6"/>
      <c r="H129" s="83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2.75">
      <c r="A130" s="6"/>
      <c r="B130" s="6"/>
      <c r="C130" s="6"/>
      <c r="D130" s="6"/>
      <c r="E130" s="6"/>
      <c r="F130" s="6"/>
      <c r="G130" s="6"/>
      <c r="H130" s="83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2.75">
      <c r="A131" s="6"/>
      <c r="B131" s="6"/>
      <c r="C131" s="6"/>
      <c r="D131" s="6"/>
      <c r="E131" s="6"/>
      <c r="F131" s="6"/>
      <c r="G131" s="6"/>
      <c r="H131" s="83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2.75">
      <c r="A132" s="6"/>
      <c r="B132" s="6"/>
      <c r="C132" s="6"/>
      <c r="D132" s="6"/>
      <c r="E132" s="6"/>
      <c r="F132" s="6"/>
      <c r="G132" s="6"/>
      <c r="H132" s="83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2.75">
      <c r="A133" s="6"/>
      <c r="B133" s="6"/>
      <c r="C133" s="6"/>
      <c r="D133" s="6"/>
      <c r="E133" s="6"/>
      <c r="F133" s="6"/>
      <c r="G133" s="6"/>
      <c r="H133" s="83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2.75">
      <c r="A134" s="6"/>
      <c r="B134" s="6"/>
      <c r="C134" s="6"/>
      <c r="D134" s="6"/>
      <c r="E134" s="6"/>
      <c r="F134" s="6"/>
      <c r="G134" s="6"/>
      <c r="H134" s="83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2.75">
      <c r="A135" s="6"/>
      <c r="B135" s="6"/>
      <c r="C135" s="6"/>
      <c r="D135" s="6"/>
      <c r="E135" s="6"/>
      <c r="F135" s="6"/>
      <c r="G135" s="6"/>
      <c r="H135" s="83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2.75">
      <c r="A136" s="6"/>
      <c r="B136" s="6"/>
      <c r="C136" s="6"/>
      <c r="D136" s="6"/>
      <c r="E136" s="6"/>
      <c r="F136" s="6"/>
      <c r="G136" s="6"/>
      <c r="H136" s="83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2.75">
      <c r="A137" s="6"/>
      <c r="B137" s="6"/>
      <c r="C137" s="6"/>
      <c r="D137" s="6"/>
      <c r="E137" s="6"/>
      <c r="F137" s="6"/>
      <c r="G137" s="6"/>
      <c r="H137" s="83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2.75">
      <c r="A138" s="6"/>
      <c r="B138" s="6"/>
      <c r="C138" s="6"/>
      <c r="D138" s="6"/>
      <c r="E138" s="6"/>
      <c r="F138" s="6"/>
      <c r="G138" s="6"/>
      <c r="H138" s="83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2.75">
      <c r="A139" s="6"/>
      <c r="B139" s="6"/>
      <c r="C139" s="6"/>
      <c r="D139" s="6"/>
      <c r="E139" s="6"/>
      <c r="F139" s="6"/>
      <c r="G139" s="6"/>
      <c r="H139" s="83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2.75">
      <c r="A140" s="6"/>
      <c r="B140" s="6"/>
      <c r="C140" s="6"/>
      <c r="D140" s="6"/>
      <c r="E140" s="6"/>
      <c r="F140" s="6"/>
      <c r="G140" s="6"/>
      <c r="H140" s="83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2.75">
      <c r="A141" s="6"/>
      <c r="B141" s="6"/>
      <c r="C141" s="6"/>
      <c r="D141" s="6"/>
      <c r="E141" s="6"/>
      <c r="F141" s="6"/>
      <c r="G141" s="6"/>
      <c r="H141" s="83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2.75">
      <c r="A142" s="6"/>
      <c r="B142" s="6"/>
      <c r="C142" s="6"/>
      <c r="D142" s="6"/>
      <c r="E142" s="6"/>
      <c r="F142" s="6"/>
      <c r="G142" s="6"/>
      <c r="H142" s="83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2.75">
      <c r="A143" s="6"/>
      <c r="B143" s="6"/>
      <c r="C143" s="6"/>
      <c r="D143" s="6"/>
      <c r="E143" s="6"/>
      <c r="F143" s="6"/>
      <c r="G143" s="6"/>
      <c r="H143" s="83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2.75">
      <c r="A144" s="6"/>
      <c r="B144" s="6"/>
      <c r="C144" s="6"/>
      <c r="D144" s="6"/>
      <c r="E144" s="6"/>
      <c r="F144" s="6"/>
      <c r="G144" s="6"/>
      <c r="H144" s="83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2.75">
      <c r="A145" s="6"/>
      <c r="B145" s="6"/>
      <c r="C145" s="6"/>
      <c r="D145" s="6"/>
      <c r="E145" s="6"/>
      <c r="F145" s="6"/>
      <c r="G145" s="6"/>
      <c r="H145" s="83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2.75">
      <c r="A146" s="6"/>
      <c r="B146" s="6"/>
      <c r="C146" s="6"/>
      <c r="D146" s="6"/>
      <c r="E146" s="6"/>
      <c r="F146" s="6"/>
      <c r="G146" s="6"/>
      <c r="H146" s="83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2.75">
      <c r="A147" s="6"/>
      <c r="B147" s="6"/>
      <c r="C147" s="6"/>
      <c r="D147" s="6"/>
      <c r="E147" s="6"/>
      <c r="F147" s="6"/>
      <c r="G147" s="6"/>
      <c r="H147" s="83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2.75">
      <c r="A148" s="6"/>
      <c r="B148" s="6"/>
      <c r="C148" s="6"/>
      <c r="D148" s="6"/>
      <c r="E148" s="6"/>
      <c r="F148" s="6"/>
      <c r="G148" s="6"/>
      <c r="H148" s="83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2.75">
      <c r="A149" s="6"/>
      <c r="B149" s="6"/>
      <c r="C149" s="6"/>
      <c r="D149" s="6"/>
      <c r="E149" s="6"/>
      <c r="F149" s="6"/>
      <c r="G149" s="6"/>
      <c r="H149" s="83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2.75">
      <c r="A150" s="6"/>
      <c r="B150" s="6"/>
      <c r="C150" s="6"/>
      <c r="D150" s="6"/>
      <c r="E150" s="6"/>
      <c r="F150" s="6"/>
      <c r="G150" s="6"/>
      <c r="H150" s="83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2.75">
      <c r="A151" s="6"/>
      <c r="B151" s="6"/>
      <c r="C151" s="6"/>
      <c r="D151" s="6"/>
      <c r="E151" s="6"/>
      <c r="F151" s="6"/>
      <c r="G151" s="6"/>
      <c r="H151" s="83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2.75">
      <c r="A152" s="6"/>
      <c r="B152" s="6"/>
      <c r="C152" s="6"/>
      <c r="D152" s="6"/>
      <c r="E152" s="6"/>
      <c r="F152" s="6"/>
      <c r="G152" s="6"/>
      <c r="H152" s="83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2.75">
      <c r="A153" s="6"/>
      <c r="B153" s="6"/>
      <c r="C153" s="6"/>
      <c r="D153" s="6"/>
      <c r="E153" s="6"/>
      <c r="F153" s="6"/>
      <c r="G153" s="6"/>
      <c r="H153" s="83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2.75">
      <c r="A154" s="6"/>
      <c r="B154" s="6"/>
      <c r="C154" s="6"/>
      <c r="D154" s="6"/>
      <c r="E154" s="6"/>
      <c r="F154" s="6"/>
      <c r="G154" s="6"/>
      <c r="H154" s="83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2.75">
      <c r="A155" s="6"/>
      <c r="B155" s="6"/>
      <c r="C155" s="6"/>
      <c r="D155" s="6"/>
      <c r="E155" s="6"/>
      <c r="F155" s="6"/>
      <c r="G155" s="6"/>
      <c r="H155" s="83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2.75">
      <c r="A156" s="6"/>
      <c r="B156" s="6"/>
      <c r="C156" s="6"/>
      <c r="D156" s="6"/>
      <c r="E156" s="6"/>
      <c r="F156" s="6"/>
      <c r="G156" s="6"/>
      <c r="H156" s="83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2.75">
      <c r="A157" s="6"/>
      <c r="B157" s="6"/>
      <c r="C157" s="6"/>
      <c r="D157" s="6"/>
      <c r="E157" s="6"/>
      <c r="F157" s="6"/>
      <c r="G157" s="6"/>
      <c r="H157" s="83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2.75">
      <c r="A158" s="6"/>
      <c r="B158" s="6"/>
      <c r="C158" s="6"/>
      <c r="D158" s="6"/>
      <c r="E158" s="6"/>
      <c r="F158" s="6"/>
      <c r="G158" s="6"/>
      <c r="H158" s="83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2.75">
      <c r="A159" s="6"/>
      <c r="B159" s="6"/>
      <c r="C159" s="6"/>
      <c r="D159" s="6"/>
      <c r="E159" s="6"/>
      <c r="F159" s="6"/>
      <c r="G159" s="6"/>
      <c r="H159" s="83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2.75">
      <c r="A160" s="6"/>
      <c r="B160" s="6"/>
      <c r="C160" s="6"/>
      <c r="D160" s="6"/>
      <c r="E160" s="6"/>
      <c r="F160" s="6"/>
      <c r="G160" s="6"/>
      <c r="H160" s="83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2.75">
      <c r="A161" s="6"/>
      <c r="B161" s="6"/>
      <c r="C161" s="6"/>
      <c r="D161" s="6"/>
      <c r="E161" s="6"/>
      <c r="F161" s="6"/>
      <c r="G161" s="6"/>
      <c r="H161" s="83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2.75">
      <c r="A162" s="6"/>
      <c r="B162" s="6"/>
      <c r="C162" s="6"/>
      <c r="D162" s="6"/>
      <c r="E162" s="6"/>
      <c r="F162" s="6"/>
      <c r="G162" s="6"/>
      <c r="H162" s="83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2.75">
      <c r="A163" s="6"/>
      <c r="B163" s="6"/>
      <c r="C163" s="6"/>
      <c r="D163" s="6"/>
      <c r="E163" s="6"/>
      <c r="F163" s="6"/>
      <c r="G163" s="6"/>
      <c r="H163" s="83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2.75">
      <c r="A164" s="6"/>
      <c r="B164" s="6"/>
      <c r="C164" s="6"/>
      <c r="D164" s="6"/>
      <c r="E164" s="6"/>
      <c r="F164" s="6"/>
      <c r="G164" s="6"/>
      <c r="H164" s="83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2.75">
      <c r="A165" s="6"/>
      <c r="B165" s="6"/>
      <c r="C165" s="6"/>
      <c r="D165" s="6"/>
      <c r="E165" s="6"/>
      <c r="F165" s="6"/>
      <c r="G165" s="6"/>
      <c r="H165" s="83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2.75">
      <c r="A166" s="6"/>
      <c r="B166" s="6"/>
      <c r="C166" s="6"/>
      <c r="D166" s="6"/>
      <c r="E166" s="6"/>
      <c r="F166" s="6"/>
      <c r="G166" s="6"/>
      <c r="H166" s="83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2.75">
      <c r="A167" s="6"/>
      <c r="B167" s="6"/>
      <c r="C167" s="6"/>
      <c r="D167" s="6"/>
      <c r="E167" s="6"/>
      <c r="F167" s="6"/>
      <c r="G167" s="6"/>
      <c r="H167" s="83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2.75">
      <c r="A168" s="6"/>
      <c r="B168" s="6"/>
      <c r="C168" s="6"/>
      <c r="D168" s="6"/>
      <c r="E168" s="6"/>
      <c r="F168" s="6"/>
      <c r="G168" s="6"/>
      <c r="H168" s="83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2.75">
      <c r="A169" s="6"/>
      <c r="B169" s="6"/>
      <c r="C169" s="6"/>
      <c r="D169" s="6"/>
      <c r="E169" s="6"/>
      <c r="F169" s="6"/>
      <c r="G169" s="6"/>
      <c r="H169" s="83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2.75">
      <c r="A170" s="6"/>
      <c r="B170" s="6"/>
      <c r="C170" s="6"/>
      <c r="D170" s="6"/>
      <c r="E170" s="6"/>
      <c r="F170" s="6"/>
      <c r="G170" s="6"/>
      <c r="H170" s="83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2.75">
      <c r="A171" s="6"/>
      <c r="B171" s="6"/>
      <c r="C171" s="6"/>
      <c r="D171" s="6"/>
      <c r="E171" s="6"/>
      <c r="F171" s="6"/>
      <c r="G171" s="6"/>
      <c r="H171" s="83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2.75">
      <c r="A172" s="6"/>
      <c r="B172" s="6"/>
      <c r="C172" s="6"/>
      <c r="D172" s="6"/>
      <c r="E172" s="6"/>
      <c r="F172" s="6"/>
      <c r="G172" s="6"/>
      <c r="H172" s="83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2.75">
      <c r="A173" s="6"/>
      <c r="B173" s="6"/>
      <c r="C173" s="6"/>
      <c r="D173" s="6"/>
      <c r="E173" s="6"/>
      <c r="F173" s="6"/>
      <c r="G173" s="6"/>
      <c r="H173" s="83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2.75">
      <c r="A174" s="6"/>
      <c r="B174" s="6"/>
      <c r="C174" s="6"/>
      <c r="D174" s="6"/>
      <c r="E174" s="6"/>
      <c r="F174" s="6"/>
      <c r="G174" s="6"/>
      <c r="H174" s="83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2.75">
      <c r="A175" s="6"/>
      <c r="B175" s="6"/>
      <c r="C175" s="6"/>
      <c r="D175" s="6"/>
      <c r="E175" s="6"/>
      <c r="F175" s="6"/>
      <c r="G175" s="6"/>
      <c r="H175" s="83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2.75">
      <c r="A176" s="6"/>
      <c r="B176" s="6"/>
      <c r="C176" s="6"/>
      <c r="D176" s="6"/>
      <c r="E176" s="6"/>
      <c r="F176" s="6"/>
      <c r="G176" s="6"/>
      <c r="H176" s="83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2.75">
      <c r="A177" s="6"/>
      <c r="B177" s="6"/>
      <c r="C177" s="6"/>
      <c r="D177" s="6"/>
      <c r="E177" s="6"/>
      <c r="F177" s="6"/>
      <c r="G177" s="6"/>
      <c r="H177" s="83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2.75">
      <c r="A178" s="6"/>
      <c r="B178" s="6"/>
      <c r="C178" s="6"/>
      <c r="D178" s="6"/>
      <c r="E178" s="6"/>
      <c r="F178" s="6"/>
      <c r="G178" s="6"/>
      <c r="H178" s="83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2.75">
      <c r="A179" s="6"/>
      <c r="B179" s="6"/>
      <c r="C179" s="6"/>
      <c r="D179" s="6"/>
      <c r="E179" s="6"/>
      <c r="F179" s="6"/>
      <c r="G179" s="6"/>
      <c r="H179" s="83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2.75">
      <c r="A180" s="6"/>
      <c r="B180" s="6"/>
      <c r="C180" s="6"/>
      <c r="D180" s="6"/>
      <c r="E180" s="6"/>
      <c r="F180" s="6"/>
      <c r="G180" s="6"/>
      <c r="H180" s="83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2.75">
      <c r="A181" s="6"/>
      <c r="B181" s="6"/>
      <c r="C181" s="6"/>
      <c r="D181" s="6"/>
      <c r="E181" s="6"/>
      <c r="F181" s="6"/>
      <c r="G181" s="6"/>
      <c r="H181" s="83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2.75">
      <c r="A182" s="6"/>
      <c r="B182" s="6"/>
      <c r="C182" s="6"/>
      <c r="D182" s="6"/>
      <c r="E182" s="6"/>
      <c r="F182" s="6"/>
      <c r="G182" s="6"/>
      <c r="H182" s="83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2.75">
      <c r="A183" s="6"/>
      <c r="B183" s="6"/>
      <c r="C183" s="6"/>
      <c r="D183" s="6"/>
      <c r="E183" s="6"/>
      <c r="F183" s="6"/>
      <c r="G183" s="6"/>
      <c r="H183" s="83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2.75">
      <c r="A184" s="6"/>
      <c r="B184" s="6"/>
      <c r="C184" s="6"/>
      <c r="D184" s="6"/>
      <c r="E184" s="6"/>
      <c r="F184" s="6"/>
      <c r="G184" s="6"/>
      <c r="H184" s="83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2.75">
      <c r="A185" s="6"/>
      <c r="B185" s="6"/>
      <c r="C185" s="6"/>
      <c r="D185" s="6"/>
      <c r="E185" s="6"/>
      <c r="F185" s="6"/>
      <c r="G185" s="6"/>
      <c r="H185" s="83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2.75">
      <c r="A186" s="6"/>
      <c r="B186" s="6"/>
      <c r="C186" s="6"/>
      <c r="D186" s="6"/>
      <c r="E186" s="6"/>
      <c r="F186" s="6"/>
      <c r="G186" s="6"/>
      <c r="H186" s="83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2.75">
      <c r="A187" s="6"/>
      <c r="B187" s="6"/>
      <c r="C187" s="6"/>
      <c r="D187" s="6"/>
      <c r="E187" s="6"/>
      <c r="F187" s="6"/>
      <c r="G187" s="6"/>
      <c r="H187" s="83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2.75">
      <c r="A188" s="6"/>
      <c r="B188" s="6"/>
      <c r="C188" s="6"/>
      <c r="D188" s="6"/>
      <c r="E188" s="6"/>
      <c r="F188" s="6"/>
      <c r="G188" s="6"/>
      <c r="H188" s="83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2.75">
      <c r="A189" s="6"/>
      <c r="B189" s="6"/>
      <c r="C189" s="6"/>
      <c r="D189" s="6"/>
      <c r="E189" s="6"/>
      <c r="F189" s="6"/>
      <c r="G189" s="6"/>
      <c r="H189" s="83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2.75">
      <c r="A190" s="6"/>
      <c r="B190" s="6"/>
      <c r="C190" s="6"/>
      <c r="D190" s="6"/>
      <c r="E190" s="6"/>
      <c r="F190" s="6"/>
      <c r="G190" s="6"/>
      <c r="H190" s="83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2.75">
      <c r="A191" s="6"/>
      <c r="B191" s="6"/>
      <c r="C191" s="6"/>
      <c r="D191" s="6"/>
      <c r="E191" s="6"/>
      <c r="F191" s="6"/>
      <c r="G191" s="6"/>
      <c r="H191" s="83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2.75">
      <c r="A192" s="6"/>
      <c r="B192" s="6"/>
      <c r="C192" s="6"/>
      <c r="D192" s="6"/>
      <c r="E192" s="6"/>
      <c r="F192" s="6"/>
      <c r="G192" s="6"/>
      <c r="H192" s="83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2.75">
      <c r="A193" s="6"/>
      <c r="B193" s="6"/>
      <c r="C193" s="6"/>
      <c r="D193" s="6"/>
      <c r="E193" s="6"/>
      <c r="F193" s="6"/>
      <c r="G193" s="6"/>
      <c r="H193" s="83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2.75">
      <c r="A194" s="6"/>
      <c r="B194" s="6"/>
      <c r="C194" s="6"/>
      <c r="D194" s="6"/>
      <c r="E194" s="6"/>
      <c r="F194" s="6"/>
      <c r="G194" s="6"/>
      <c r="H194" s="83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2.75">
      <c r="A195" s="6"/>
      <c r="B195" s="6"/>
      <c r="C195" s="6"/>
      <c r="D195" s="6"/>
      <c r="E195" s="6"/>
      <c r="F195" s="6"/>
      <c r="G195" s="6"/>
      <c r="H195" s="83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2.75">
      <c r="A196" s="6"/>
      <c r="B196" s="6"/>
      <c r="C196" s="6"/>
      <c r="D196" s="6"/>
      <c r="E196" s="6"/>
      <c r="F196" s="6"/>
      <c r="G196" s="6"/>
      <c r="H196" s="83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2.75">
      <c r="A197" s="6"/>
      <c r="B197" s="6"/>
      <c r="C197" s="6"/>
      <c r="D197" s="6"/>
      <c r="E197" s="6"/>
      <c r="F197" s="6"/>
      <c r="G197" s="6"/>
      <c r="H197" s="83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2.75">
      <c r="A198" s="6"/>
      <c r="B198" s="6"/>
      <c r="C198" s="6"/>
      <c r="D198" s="6"/>
      <c r="E198" s="6"/>
      <c r="F198" s="6"/>
      <c r="G198" s="6"/>
      <c r="H198" s="83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2.75">
      <c r="A199" s="6"/>
      <c r="B199" s="6"/>
      <c r="C199" s="6"/>
      <c r="D199" s="6"/>
      <c r="E199" s="6"/>
      <c r="F199" s="6"/>
      <c r="G199" s="6"/>
      <c r="H199" s="83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2.75">
      <c r="A200" s="6"/>
      <c r="B200" s="6"/>
      <c r="C200" s="6"/>
      <c r="D200" s="6"/>
      <c r="E200" s="6"/>
      <c r="F200" s="6"/>
      <c r="G200" s="6"/>
      <c r="H200" s="83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2.75">
      <c r="A201" s="6"/>
      <c r="B201" s="6"/>
      <c r="C201" s="6"/>
      <c r="D201" s="6"/>
      <c r="E201" s="6"/>
      <c r="F201" s="6"/>
      <c r="G201" s="6"/>
      <c r="H201" s="83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2.75">
      <c r="A202" s="6"/>
      <c r="B202" s="6"/>
      <c r="C202" s="6"/>
      <c r="D202" s="6"/>
      <c r="E202" s="6"/>
      <c r="F202" s="6"/>
      <c r="G202" s="6"/>
      <c r="H202" s="83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2.75">
      <c r="A203" s="6"/>
      <c r="B203" s="6"/>
      <c r="C203" s="6"/>
      <c r="D203" s="6"/>
      <c r="E203" s="6"/>
      <c r="F203" s="6"/>
      <c r="G203" s="6"/>
      <c r="H203" s="83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2.75">
      <c r="A204" s="6"/>
      <c r="B204" s="6"/>
      <c r="C204" s="6"/>
      <c r="D204" s="6"/>
      <c r="E204" s="6"/>
      <c r="F204" s="6"/>
      <c r="G204" s="6"/>
      <c r="H204" s="83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2.75">
      <c r="A205" s="6"/>
      <c r="B205" s="6"/>
      <c r="C205" s="6"/>
      <c r="D205" s="6"/>
      <c r="E205" s="6"/>
      <c r="F205" s="6"/>
      <c r="G205" s="6"/>
      <c r="H205" s="83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2.75">
      <c r="A206" s="6"/>
      <c r="B206" s="6"/>
      <c r="C206" s="6"/>
      <c r="D206" s="6"/>
      <c r="E206" s="6"/>
      <c r="F206" s="6"/>
      <c r="G206" s="6"/>
      <c r="H206" s="83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2.75">
      <c r="A207" s="6"/>
      <c r="B207" s="6"/>
      <c r="C207" s="6"/>
      <c r="D207" s="6"/>
      <c r="E207" s="6"/>
      <c r="F207" s="6"/>
      <c r="G207" s="6"/>
      <c r="H207" s="83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2.75">
      <c r="A208" s="6"/>
      <c r="B208" s="6"/>
      <c r="C208" s="6"/>
      <c r="D208" s="6"/>
      <c r="E208" s="6"/>
      <c r="F208" s="6"/>
      <c r="G208" s="6"/>
      <c r="H208" s="83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2.75">
      <c r="A209" s="6"/>
      <c r="B209" s="6"/>
      <c r="C209" s="6"/>
      <c r="D209" s="6"/>
      <c r="E209" s="6"/>
      <c r="F209" s="6"/>
      <c r="G209" s="6"/>
      <c r="H209" s="83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2.75">
      <c r="A210" s="6"/>
      <c r="B210" s="6"/>
      <c r="C210" s="6"/>
      <c r="D210" s="6"/>
      <c r="E210" s="6"/>
      <c r="F210" s="6"/>
      <c r="G210" s="6"/>
      <c r="H210" s="83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2.75">
      <c r="A211" s="6"/>
      <c r="B211" s="6"/>
      <c r="C211" s="6"/>
      <c r="D211" s="6"/>
      <c r="E211" s="6"/>
      <c r="F211" s="6"/>
      <c r="G211" s="6"/>
      <c r="H211" s="83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2.75">
      <c r="A212" s="6"/>
      <c r="B212" s="6"/>
      <c r="C212" s="6"/>
      <c r="D212" s="6"/>
      <c r="E212" s="6"/>
      <c r="F212" s="6"/>
      <c r="G212" s="6"/>
      <c r="H212" s="83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2.75">
      <c r="A213" s="6"/>
      <c r="B213" s="6"/>
      <c r="C213" s="6"/>
      <c r="D213" s="6"/>
      <c r="E213" s="6"/>
      <c r="F213" s="6"/>
      <c r="G213" s="6"/>
      <c r="H213" s="83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2.75">
      <c r="A214" s="6"/>
      <c r="B214" s="6"/>
      <c r="C214" s="6"/>
      <c r="D214" s="6"/>
      <c r="E214" s="6"/>
      <c r="F214" s="6"/>
      <c r="G214" s="6"/>
      <c r="H214" s="83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2.75">
      <c r="A215" s="6"/>
      <c r="B215" s="6"/>
      <c r="C215" s="6"/>
      <c r="D215" s="6"/>
      <c r="E215" s="6"/>
      <c r="F215" s="6"/>
      <c r="G215" s="6"/>
      <c r="H215" s="83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2.75">
      <c r="A216" s="6"/>
      <c r="B216" s="6"/>
      <c r="C216" s="6"/>
      <c r="D216" s="6"/>
      <c r="E216" s="6"/>
      <c r="F216" s="6"/>
      <c r="G216" s="6"/>
      <c r="H216" s="83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2.75">
      <c r="A217" s="6"/>
      <c r="B217" s="6"/>
      <c r="C217" s="6"/>
      <c r="D217" s="6"/>
      <c r="E217" s="6"/>
      <c r="F217" s="6"/>
      <c r="G217" s="6"/>
      <c r="H217" s="83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2.75">
      <c r="A218" s="6"/>
      <c r="B218" s="6"/>
      <c r="C218" s="6"/>
      <c r="D218" s="6"/>
      <c r="E218" s="6"/>
      <c r="F218" s="6"/>
      <c r="G218" s="6"/>
      <c r="H218" s="83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2.75">
      <c r="A219" s="6"/>
      <c r="B219" s="6"/>
      <c r="C219" s="6"/>
      <c r="D219" s="6"/>
      <c r="E219" s="6"/>
      <c r="F219" s="6"/>
      <c r="G219" s="6"/>
      <c r="H219" s="83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2.75">
      <c r="A220" s="6"/>
      <c r="B220" s="6"/>
      <c r="C220" s="6"/>
      <c r="D220" s="6"/>
      <c r="E220" s="6"/>
      <c r="F220" s="6"/>
      <c r="G220" s="6"/>
      <c r="H220" s="83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2.75">
      <c r="A221" s="6"/>
      <c r="B221" s="6"/>
      <c r="C221" s="6"/>
      <c r="D221" s="6"/>
      <c r="E221" s="6"/>
      <c r="F221" s="6"/>
      <c r="G221" s="6"/>
      <c r="H221" s="83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2.75">
      <c r="A222" s="6"/>
      <c r="B222" s="6"/>
      <c r="C222" s="6"/>
      <c r="D222" s="6"/>
      <c r="E222" s="6"/>
      <c r="F222" s="6"/>
      <c r="G222" s="6"/>
      <c r="H222" s="83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2.75">
      <c r="A223" s="6"/>
      <c r="B223" s="6"/>
      <c r="C223" s="6"/>
      <c r="D223" s="6"/>
      <c r="E223" s="6"/>
      <c r="F223" s="6"/>
      <c r="G223" s="6"/>
      <c r="H223" s="83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2.75">
      <c r="A224" s="6"/>
      <c r="B224" s="6"/>
      <c r="C224" s="6"/>
      <c r="D224" s="6"/>
      <c r="E224" s="6"/>
      <c r="F224" s="6"/>
      <c r="G224" s="6"/>
      <c r="H224" s="83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2.75">
      <c r="A225" s="6"/>
      <c r="B225" s="6"/>
      <c r="C225" s="6"/>
      <c r="D225" s="6"/>
      <c r="E225" s="6"/>
      <c r="F225" s="6"/>
      <c r="G225" s="6"/>
      <c r="H225" s="83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2.75">
      <c r="A226" s="6"/>
      <c r="B226" s="6"/>
      <c r="C226" s="6"/>
      <c r="D226" s="6"/>
      <c r="E226" s="6"/>
      <c r="F226" s="6"/>
      <c r="G226" s="6"/>
      <c r="H226" s="83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2.75">
      <c r="A227" s="6"/>
      <c r="B227" s="6"/>
      <c r="C227" s="6"/>
      <c r="D227" s="6"/>
      <c r="E227" s="6"/>
      <c r="F227" s="6"/>
      <c r="G227" s="6"/>
      <c r="H227" s="83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2.75">
      <c r="A228" s="6"/>
      <c r="B228" s="6"/>
      <c r="C228" s="6"/>
      <c r="D228" s="6"/>
      <c r="E228" s="6"/>
      <c r="F228" s="6"/>
      <c r="G228" s="6"/>
      <c r="H228" s="83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2.75">
      <c r="A229" s="6"/>
      <c r="B229" s="6"/>
      <c r="C229" s="6"/>
      <c r="D229" s="6"/>
      <c r="E229" s="6"/>
      <c r="F229" s="6"/>
      <c r="G229" s="6"/>
      <c r="H229" s="83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2.75">
      <c r="A230" s="6"/>
      <c r="B230" s="6"/>
      <c r="C230" s="6"/>
      <c r="D230" s="6"/>
      <c r="E230" s="6"/>
      <c r="F230" s="6"/>
      <c r="G230" s="6"/>
      <c r="H230" s="83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2.75">
      <c r="A231" s="6"/>
      <c r="B231" s="6"/>
      <c r="C231" s="6"/>
      <c r="D231" s="6"/>
      <c r="E231" s="6"/>
      <c r="F231" s="6"/>
      <c r="G231" s="6"/>
      <c r="H231" s="83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2.75">
      <c r="A232" s="6"/>
      <c r="B232" s="6"/>
      <c r="C232" s="6"/>
      <c r="D232" s="6"/>
      <c r="E232" s="6"/>
      <c r="F232" s="6"/>
      <c r="G232" s="6"/>
      <c r="H232" s="83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2.75">
      <c r="A233" s="6"/>
      <c r="B233" s="6"/>
      <c r="C233" s="6"/>
      <c r="D233" s="6"/>
      <c r="E233" s="6"/>
      <c r="F233" s="6"/>
      <c r="G233" s="6"/>
      <c r="H233" s="83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2.75">
      <c r="A234" s="6"/>
      <c r="B234" s="6"/>
      <c r="C234" s="6"/>
      <c r="D234" s="6"/>
      <c r="E234" s="6"/>
      <c r="F234" s="6"/>
      <c r="G234" s="6"/>
      <c r="H234" s="83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2.75">
      <c r="A235" s="6"/>
      <c r="B235" s="6"/>
      <c r="C235" s="6"/>
      <c r="D235" s="6"/>
      <c r="E235" s="6"/>
      <c r="F235" s="6"/>
      <c r="G235" s="6"/>
      <c r="H235" s="83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2.75">
      <c r="A236" s="6"/>
      <c r="B236" s="6"/>
      <c r="C236" s="6"/>
      <c r="D236" s="6"/>
      <c r="E236" s="6"/>
      <c r="F236" s="6"/>
      <c r="G236" s="6"/>
      <c r="H236" s="83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2.75">
      <c r="A237" s="6"/>
      <c r="B237" s="6"/>
      <c r="C237" s="6"/>
      <c r="D237" s="6"/>
      <c r="E237" s="6"/>
      <c r="F237" s="6"/>
      <c r="G237" s="6"/>
      <c r="H237" s="83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2.75">
      <c r="A238" s="6"/>
      <c r="B238" s="6"/>
      <c r="C238" s="6"/>
      <c r="D238" s="6"/>
      <c r="E238" s="6"/>
      <c r="F238" s="6"/>
      <c r="G238" s="6"/>
      <c r="H238" s="83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2.75">
      <c r="A239" s="6"/>
      <c r="B239" s="6"/>
      <c r="C239" s="6"/>
      <c r="D239" s="6"/>
      <c r="E239" s="6"/>
      <c r="F239" s="6"/>
      <c r="G239" s="6"/>
      <c r="H239" s="83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2.75">
      <c r="A240" s="6"/>
      <c r="B240" s="6"/>
      <c r="C240" s="6"/>
      <c r="D240" s="6"/>
      <c r="E240" s="6"/>
      <c r="F240" s="6"/>
      <c r="G240" s="6"/>
      <c r="H240" s="83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2.75">
      <c r="A241" s="6"/>
      <c r="B241" s="6"/>
      <c r="C241" s="6"/>
      <c r="D241" s="6"/>
      <c r="E241" s="6"/>
      <c r="F241" s="6"/>
      <c r="G241" s="6"/>
      <c r="H241" s="83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2.75">
      <c r="A242" s="6"/>
      <c r="B242" s="6"/>
      <c r="C242" s="6"/>
      <c r="D242" s="6"/>
      <c r="E242" s="6"/>
      <c r="F242" s="6"/>
      <c r="G242" s="6"/>
      <c r="H242" s="83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2.75">
      <c r="A243" s="6"/>
      <c r="B243" s="6"/>
      <c r="C243" s="6"/>
      <c r="D243" s="6"/>
      <c r="E243" s="6"/>
      <c r="F243" s="6"/>
      <c r="G243" s="6"/>
      <c r="H243" s="83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2.75">
      <c r="A244" s="6"/>
      <c r="B244" s="6"/>
      <c r="C244" s="6"/>
      <c r="D244" s="6"/>
      <c r="E244" s="6"/>
      <c r="F244" s="6"/>
      <c r="G244" s="6"/>
      <c r="H244" s="83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2.75">
      <c r="A245" s="6"/>
      <c r="B245" s="6"/>
      <c r="C245" s="6"/>
      <c r="D245" s="6"/>
      <c r="E245" s="6"/>
      <c r="F245" s="6"/>
      <c r="G245" s="6"/>
      <c r="H245" s="83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2.75">
      <c r="A246" s="6"/>
      <c r="B246" s="6"/>
      <c r="C246" s="6"/>
      <c r="D246" s="6"/>
      <c r="E246" s="6"/>
      <c r="F246" s="6"/>
      <c r="G246" s="6"/>
      <c r="H246" s="83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2.75">
      <c r="A247" s="6"/>
      <c r="B247" s="6"/>
      <c r="C247" s="6"/>
      <c r="D247" s="6"/>
      <c r="E247" s="6"/>
      <c r="F247" s="6"/>
      <c r="G247" s="6"/>
      <c r="H247" s="83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2.75">
      <c r="A248" s="6"/>
      <c r="B248" s="6"/>
      <c r="C248" s="6"/>
      <c r="D248" s="6"/>
      <c r="E248" s="6"/>
      <c r="F248" s="6"/>
      <c r="G248" s="6"/>
      <c r="H248" s="83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2.75">
      <c r="A249" s="6"/>
      <c r="B249" s="6"/>
      <c r="C249" s="6"/>
      <c r="D249" s="6"/>
      <c r="E249" s="6"/>
      <c r="F249" s="6"/>
      <c r="G249" s="6"/>
      <c r="H249" s="83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2.75">
      <c r="A250" s="6"/>
      <c r="B250" s="6"/>
      <c r="C250" s="6"/>
      <c r="D250" s="6"/>
      <c r="E250" s="6"/>
      <c r="F250" s="6"/>
      <c r="G250" s="6"/>
      <c r="H250" s="83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2.75">
      <c r="A251" s="6"/>
      <c r="B251" s="6"/>
      <c r="C251" s="6"/>
      <c r="D251" s="6"/>
      <c r="E251" s="6"/>
      <c r="F251" s="6"/>
      <c r="G251" s="6"/>
      <c r="H251" s="83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2.75">
      <c r="A252" s="6"/>
      <c r="B252" s="6"/>
      <c r="C252" s="6"/>
      <c r="D252" s="6"/>
      <c r="E252" s="6"/>
      <c r="F252" s="6"/>
      <c r="G252" s="6"/>
      <c r="H252" s="83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2.75">
      <c r="A253" s="6"/>
      <c r="B253" s="6"/>
      <c r="C253" s="6"/>
      <c r="D253" s="6"/>
      <c r="E253" s="6"/>
      <c r="F253" s="6"/>
      <c r="G253" s="6"/>
      <c r="H253" s="83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2.75">
      <c r="A254" s="6"/>
      <c r="B254" s="6"/>
      <c r="C254" s="6"/>
      <c r="D254" s="6"/>
      <c r="E254" s="6"/>
      <c r="F254" s="6"/>
      <c r="G254" s="6"/>
      <c r="H254" s="83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2.75">
      <c r="A255" s="6"/>
      <c r="B255" s="6"/>
      <c r="C255" s="6"/>
      <c r="D255" s="6"/>
      <c r="E255" s="6"/>
      <c r="F255" s="6"/>
      <c r="G255" s="6"/>
      <c r="H255" s="83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2.75">
      <c r="A256" s="6"/>
      <c r="B256" s="6"/>
      <c r="C256" s="6"/>
      <c r="D256" s="6"/>
      <c r="E256" s="6"/>
      <c r="F256" s="6"/>
      <c r="G256" s="6"/>
      <c r="H256" s="83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2.75">
      <c r="A257" s="6"/>
      <c r="B257" s="6"/>
      <c r="C257" s="6"/>
      <c r="D257" s="6"/>
      <c r="E257" s="6"/>
      <c r="F257" s="6"/>
      <c r="G257" s="6"/>
      <c r="H257" s="83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2.75">
      <c r="A258" s="6"/>
      <c r="B258" s="6"/>
      <c r="C258" s="6"/>
      <c r="D258" s="6"/>
      <c r="E258" s="6"/>
      <c r="F258" s="6"/>
      <c r="G258" s="6"/>
      <c r="H258" s="83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2.75">
      <c r="A259" s="6"/>
      <c r="B259" s="6"/>
      <c r="C259" s="6"/>
      <c r="D259" s="6"/>
      <c r="E259" s="6"/>
      <c r="F259" s="6"/>
      <c r="G259" s="6"/>
      <c r="H259" s="83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2.75">
      <c r="A260" s="6"/>
      <c r="B260" s="6"/>
      <c r="C260" s="6"/>
      <c r="D260" s="6"/>
      <c r="E260" s="6"/>
      <c r="F260" s="6"/>
      <c r="G260" s="6"/>
      <c r="H260" s="83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2.75">
      <c r="A261" s="6"/>
      <c r="B261" s="6"/>
      <c r="C261" s="6"/>
      <c r="D261" s="6"/>
      <c r="E261" s="6"/>
      <c r="F261" s="6"/>
      <c r="G261" s="6"/>
      <c r="H261" s="83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2.75">
      <c r="A262" s="6"/>
      <c r="B262" s="6"/>
      <c r="C262" s="6"/>
      <c r="D262" s="6"/>
      <c r="E262" s="6"/>
      <c r="F262" s="6"/>
      <c r="G262" s="6"/>
      <c r="H262" s="83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2.75">
      <c r="A263" s="6"/>
      <c r="B263" s="6"/>
      <c r="C263" s="6"/>
      <c r="D263" s="6"/>
      <c r="E263" s="6"/>
      <c r="F263" s="6"/>
      <c r="G263" s="6"/>
      <c r="H263" s="83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2.75">
      <c r="A264" s="6"/>
      <c r="B264" s="6"/>
      <c r="C264" s="6"/>
      <c r="D264" s="6"/>
      <c r="E264" s="6"/>
      <c r="F264" s="6"/>
      <c r="G264" s="6"/>
      <c r="H264" s="83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2.75">
      <c r="A265" s="6"/>
      <c r="B265" s="6"/>
      <c r="C265" s="6"/>
      <c r="D265" s="6"/>
      <c r="E265" s="6"/>
      <c r="F265" s="6"/>
      <c r="G265" s="6"/>
      <c r="H265" s="83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2.75">
      <c r="A266" s="6"/>
      <c r="B266" s="6"/>
      <c r="C266" s="6"/>
      <c r="D266" s="6"/>
      <c r="E266" s="6"/>
      <c r="F266" s="6"/>
      <c r="G266" s="6"/>
      <c r="H266" s="83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2.75">
      <c r="A267" s="6"/>
      <c r="B267" s="6"/>
      <c r="C267" s="6"/>
      <c r="D267" s="6"/>
      <c r="E267" s="6"/>
      <c r="F267" s="6"/>
      <c r="G267" s="6"/>
      <c r="H267" s="83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2.75">
      <c r="A268" s="6"/>
      <c r="B268" s="6"/>
      <c r="C268" s="6"/>
      <c r="D268" s="6"/>
      <c r="E268" s="6"/>
      <c r="F268" s="6"/>
      <c r="G268" s="6"/>
      <c r="H268" s="83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2.75">
      <c r="A269" s="6"/>
      <c r="B269" s="6"/>
      <c r="C269" s="6"/>
      <c r="D269" s="6"/>
      <c r="E269" s="6"/>
      <c r="F269" s="6"/>
      <c r="G269" s="6"/>
      <c r="H269" s="83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2.75">
      <c r="A270" s="6"/>
      <c r="B270" s="6"/>
      <c r="C270" s="6"/>
      <c r="D270" s="6"/>
      <c r="E270" s="6"/>
      <c r="F270" s="6"/>
      <c r="G270" s="6"/>
      <c r="H270" s="83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2.75">
      <c r="A271" s="6"/>
      <c r="B271" s="6"/>
      <c r="C271" s="6"/>
      <c r="D271" s="6"/>
      <c r="E271" s="6"/>
      <c r="F271" s="6"/>
      <c r="G271" s="6"/>
      <c r="H271" s="83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2.75">
      <c r="A272" s="6"/>
      <c r="B272" s="6"/>
      <c r="C272" s="6"/>
      <c r="D272" s="6"/>
      <c r="E272" s="6"/>
      <c r="F272" s="6"/>
      <c r="G272" s="6"/>
      <c r="H272" s="83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2.75">
      <c r="A273" s="6"/>
      <c r="B273" s="6"/>
      <c r="C273" s="6"/>
      <c r="D273" s="6"/>
      <c r="E273" s="6"/>
      <c r="F273" s="6"/>
      <c r="G273" s="6"/>
      <c r="H273" s="83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2.75">
      <c r="A274" s="6"/>
      <c r="B274" s="6"/>
      <c r="C274" s="6"/>
      <c r="D274" s="6"/>
      <c r="E274" s="6"/>
      <c r="F274" s="6"/>
      <c r="G274" s="6"/>
      <c r="H274" s="83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2.75">
      <c r="A275" s="6"/>
      <c r="B275" s="6"/>
      <c r="C275" s="6"/>
      <c r="D275" s="6"/>
      <c r="E275" s="6"/>
      <c r="F275" s="6"/>
      <c r="G275" s="6"/>
      <c r="H275" s="83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2.75">
      <c r="A276" s="6"/>
      <c r="B276" s="6"/>
      <c r="C276" s="6"/>
      <c r="D276" s="6"/>
      <c r="E276" s="6"/>
      <c r="F276" s="6"/>
      <c r="G276" s="6"/>
      <c r="H276" s="83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2.75">
      <c r="A277" s="6"/>
      <c r="B277" s="6"/>
      <c r="C277" s="6"/>
      <c r="D277" s="6"/>
      <c r="E277" s="6"/>
      <c r="F277" s="6"/>
      <c r="G277" s="6"/>
      <c r="H277" s="83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2.75">
      <c r="A278" s="6"/>
      <c r="B278" s="6"/>
      <c r="C278" s="6"/>
      <c r="D278" s="6"/>
      <c r="E278" s="6"/>
      <c r="F278" s="6"/>
      <c r="G278" s="6"/>
      <c r="H278" s="83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2.75">
      <c r="A279" s="6"/>
      <c r="B279" s="6"/>
      <c r="C279" s="6"/>
      <c r="D279" s="6"/>
      <c r="E279" s="6"/>
      <c r="F279" s="6"/>
      <c r="G279" s="6"/>
      <c r="H279" s="83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2.75">
      <c r="A280" s="6"/>
      <c r="B280" s="6"/>
      <c r="C280" s="6"/>
      <c r="D280" s="6"/>
      <c r="E280" s="6"/>
      <c r="F280" s="6"/>
      <c r="G280" s="6"/>
      <c r="H280" s="83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2.75">
      <c r="A281" s="6"/>
      <c r="B281" s="6"/>
      <c r="C281" s="6"/>
      <c r="D281" s="6"/>
      <c r="E281" s="6"/>
      <c r="F281" s="6"/>
      <c r="G281" s="6"/>
      <c r="H281" s="83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2.75">
      <c r="A282" s="6"/>
      <c r="B282" s="6"/>
      <c r="C282" s="6"/>
      <c r="D282" s="6"/>
      <c r="E282" s="6"/>
      <c r="F282" s="6"/>
      <c r="G282" s="6"/>
      <c r="H282" s="83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2.75">
      <c r="A283" s="6"/>
      <c r="B283" s="6"/>
      <c r="C283" s="6"/>
      <c r="D283" s="6"/>
      <c r="E283" s="6"/>
      <c r="F283" s="6"/>
      <c r="G283" s="6"/>
      <c r="H283" s="83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2.75">
      <c r="A284" s="6"/>
      <c r="B284" s="6"/>
      <c r="C284" s="6"/>
      <c r="D284" s="6"/>
      <c r="E284" s="6"/>
      <c r="F284" s="6"/>
      <c r="G284" s="6"/>
      <c r="H284" s="83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2.75">
      <c r="A285" s="6"/>
      <c r="B285" s="6"/>
      <c r="C285" s="6"/>
      <c r="D285" s="6"/>
      <c r="E285" s="6"/>
      <c r="F285" s="6"/>
      <c r="G285" s="6"/>
      <c r="H285" s="83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2.75">
      <c r="A286" s="6"/>
      <c r="B286" s="6"/>
      <c r="C286" s="6"/>
      <c r="D286" s="6"/>
      <c r="E286" s="6"/>
      <c r="F286" s="6"/>
      <c r="G286" s="6"/>
      <c r="H286" s="83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2.75">
      <c r="A287" s="6"/>
      <c r="B287" s="6"/>
      <c r="C287" s="6"/>
      <c r="D287" s="6"/>
      <c r="E287" s="6"/>
      <c r="F287" s="6"/>
      <c r="G287" s="6"/>
      <c r="H287" s="83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2.75">
      <c r="A288" s="6"/>
      <c r="B288" s="6"/>
      <c r="C288" s="6"/>
      <c r="D288" s="6"/>
      <c r="E288" s="6"/>
      <c r="F288" s="6"/>
      <c r="G288" s="6"/>
      <c r="H288" s="83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2.75">
      <c r="A289" s="6"/>
      <c r="B289" s="6"/>
      <c r="C289" s="6"/>
      <c r="D289" s="6"/>
      <c r="E289" s="6"/>
      <c r="F289" s="6"/>
      <c r="G289" s="6"/>
      <c r="H289" s="83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2.75">
      <c r="A290" s="6"/>
      <c r="B290" s="6"/>
      <c r="C290" s="6"/>
      <c r="D290" s="6"/>
      <c r="E290" s="6"/>
      <c r="F290" s="6"/>
      <c r="G290" s="6"/>
      <c r="H290" s="83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2.75">
      <c r="A291" s="6"/>
      <c r="B291" s="6"/>
      <c r="C291" s="6"/>
      <c r="D291" s="6"/>
      <c r="E291" s="6"/>
      <c r="F291" s="6"/>
      <c r="G291" s="6"/>
      <c r="H291" s="83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2.75">
      <c r="A292" s="6"/>
      <c r="B292" s="6"/>
      <c r="C292" s="6"/>
      <c r="D292" s="6"/>
      <c r="E292" s="6"/>
      <c r="F292" s="6"/>
      <c r="G292" s="6"/>
      <c r="H292" s="83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2.75">
      <c r="A293" s="6"/>
      <c r="B293" s="6"/>
      <c r="C293" s="6"/>
      <c r="D293" s="6"/>
      <c r="E293" s="6"/>
      <c r="F293" s="6"/>
      <c r="G293" s="6"/>
      <c r="H293" s="83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2.75">
      <c r="A294" s="6"/>
      <c r="B294" s="6"/>
      <c r="C294" s="6"/>
      <c r="D294" s="6"/>
      <c r="E294" s="6"/>
      <c r="F294" s="6"/>
      <c r="G294" s="6"/>
      <c r="H294" s="83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2.75">
      <c r="A295" s="6"/>
      <c r="B295" s="6"/>
      <c r="C295" s="6"/>
      <c r="D295" s="6"/>
      <c r="E295" s="6"/>
      <c r="F295" s="6"/>
      <c r="G295" s="6"/>
      <c r="H295" s="83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2.75">
      <c r="A296" s="6"/>
      <c r="B296" s="6"/>
      <c r="C296" s="6"/>
      <c r="D296" s="6"/>
      <c r="E296" s="6"/>
      <c r="F296" s="6"/>
      <c r="G296" s="6"/>
      <c r="H296" s="83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2.75">
      <c r="A297" s="6"/>
      <c r="B297" s="6"/>
      <c r="C297" s="6"/>
      <c r="D297" s="6"/>
      <c r="E297" s="6"/>
      <c r="F297" s="6"/>
      <c r="G297" s="6"/>
      <c r="H297" s="83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2.75">
      <c r="A298" s="6"/>
      <c r="B298" s="6"/>
      <c r="C298" s="6"/>
      <c r="D298" s="6"/>
      <c r="E298" s="6"/>
      <c r="F298" s="6"/>
      <c r="G298" s="6"/>
      <c r="H298" s="83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2.75">
      <c r="A299" s="6"/>
      <c r="B299" s="6"/>
      <c r="C299" s="6"/>
      <c r="D299" s="6"/>
      <c r="E299" s="6"/>
      <c r="F299" s="6"/>
      <c r="G299" s="6"/>
      <c r="H299" s="83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2.75">
      <c r="A300" s="6"/>
      <c r="B300" s="6"/>
      <c r="C300" s="6"/>
      <c r="D300" s="6"/>
      <c r="E300" s="6"/>
      <c r="F300" s="6"/>
      <c r="G300" s="6"/>
      <c r="H300" s="83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2.75">
      <c r="A301" s="6"/>
      <c r="B301" s="6"/>
      <c r="C301" s="6"/>
      <c r="D301" s="6"/>
      <c r="E301" s="6"/>
      <c r="F301" s="6"/>
      <c r="G301" s="6"/>
      <c r="H301" s="83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2.75">
      <c r="A302" s="6"/>
      <c r="B302" s="6"/>
      <c r="C302" s="6"/>
      <c r="D302" s="6"/>
      <c r="E302" s="6"/>
      <c r="F302" s="6"/>
      <c r="G302" s="6"/>
      <c r="H302" s="83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2.75">
      <c r="A303" s="6"/>
      <c r="B303" s="6"/>
      <c r="C303" s="6"/>
      <c r="D303" s="6"/>
      <c r="E303" s="6"/>
      <c r="F303" s="6"/>
      <c r="G303" s="6"/>
      <c r="H303" s="83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2.75">
      <c r="A304" s="6"/>
      <c r="B304" s="6"/>
      <c r="C304" s="6"/>
      <c r="D304" s="6"/>
      <c r="E304" s="6"/>
      <c r="F304" s="6"/>
      <c r="G304" s="6"/>
      <c r="H304" s="83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2.75">
      <c r="A305" s="6"/>
      <c r="B305" s="6"/>
      <c r="C305" s="6"/>
      <c r="D305" s="6"/>
      <c r="E305" s="6"/>
      <c r="F305" s="6"/>
      <c r="G305" s="6"/>
      <c r="H305" s="83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2.75">
      <c r="A306" s="6"/>
      <c r="B306" s="6"/>
      <c r="C306" s="6"/>
      <c r="D306" s="6"/>
      <c r="E306" s="6"/>
      <c r="F306" s="6"/>
      <c r="G306" s="6"/>
      <c r="H306" s="83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2.75">
      <c r="A307" s="6"/>
      <c r="B307" s="6"/>
      <c r="C307" s="6"/>
      <c r="D307" s="6"/>
      <c r="E307" s="6"/>
      <c r="F307" s="6"/>
      <c r="G307" s="6"/>
      <c r="H307" s="83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2.75">
      <c r="A308" s="6"/>
      <c r="B308" s="6"/>
      <c r="C308" s="6"/>
      <c r="D308" s="6"/>
      <c r="E308" s="6"/>
      <c r="F308" s="6"/>
      <c r="G308" s="6"/>
      <c r="H308" s="83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2.75">
      <c r="A309" s="6"/>
      <c r="B309" s="6"/>
      <c r="C309" s="6"/>
      <c r="D309" s="6"/>
      <c r="E309" s="6"/>
      <c r="F309" s="6"/>
      <c r="G309" s="6"/>
      <c r="H309" s="83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2.75">
      <c r="A310" s="6"/>
      <c r="B310" s="6"/>
      <c r="C310" s="6"/>
      <c r="D310" s="6"/>
      <c r="E310" s="6"/>
      <c r="F310" s="6"/>
      <c r="G310" s="6"/>
      <c r="H310" s="83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2.75">
      <c r="A311" s="6"/>
      <c r="B311" s="6"/>
      <c r="C311" s="6"/>
      <c r="D311" s="6"/>
      <c r="E311" s="6"/>
      <c r="F311" s="6"/>
      <c r="G311" s="6"/>
      <c r="H311" s="83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2.75">
      <c r="A312" s="6"/>
      <c r="B312" s="6"/>
      <c r="C312" s="6"/>
      <c r="D312" s="6"/>
      <c r="E312" s="6"/>
      <c r="F312" s="6"/>
      <c r="G312" s="6"/>
      <c r="H312" s="83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2.75">
      <c r="A313" s="6"/>
      <c r="B313" s="6"/>
      <c r="C313" s="6"/>
      <c r="D313" s="6"/>
      <c r="E313" s="6"/>
      <c r="F313" s="6"/>
      <c r="G313" s="6"/>
      <c r="H313" s="83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2.75">
      <c r="A314" s="6"/>
      <c r="B314" s="6"/>
      <c r="C314" s="6"/>
      <c r="D314" s="6"/>
      <c r="E314" s="6"/>
      <c r="F314" s="6"/>
      <c r="G314" s="6"/>
      <c r="H314" s="83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2.75">
      <c r="A315" s="6"/>
      <c r="B315" s="6"/>
      <c r="C315" s="6"/>
      <c r="D315" s="6"/>
      <c r="E315" s="6"/>
      <c r="F315" s="6"/>
      <c r="G315" s="6"/>
      <c r="H315" s="83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2.75">
      <c r="A316" s="6"/>
      <c r="B316" s="6"/>
      <c r="C316" s="6"/>
      <c r="D316" s="6"/>
      <c r="E316" s="6"/>
      <c r="F316" s="6"/>
      <c r="G316" s="6"/>
      <c r="H316" s="83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2.75">
      <c r="A317" s="6"/>
      <c r="B317" s="6"/>
      <c r="C317" s="6"/>
      <c r="D317" s="6"/>
      <c r="E317" s="6"/>
      <c r="F317" s="6"/>
      <c r="G317" s="6"/>
      <c r="H317" s="83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2.75">
      <c r="A318" s="6"/>
      <c r="B318" s="6"/>
      <c r="C318" s="6"/>
      <c r="D318" s="6"/>
      <c r="E318" s="6"/>
      <c r="F318" s="6"/>
      <c r="G318" s="6"/>
      <c r="H318" s="83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2.75">
      <c r="A319" s="6"/>
      <c r="B319" s="6"/>
      <c r="C319" s="6"/>
      <c r="D319" s="6"/>
      <c r="E319" s="6"/>
      <c r="F319" s="6"/>
      <c r="G319" s="6"/>
      <c r="H319" s="83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2.75">
      <c r="A320" s="6"/>
      <c r="B320" s="6"/>
      <c r="C320" s="6"/>
      <c r="D320" s="6"/>
      <c r="E320" s="6"/>
      <c r="F320" s="6"/>
      <c r="G320" s="6"/>
      <c r="H320" s="83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2.75">
      <c r="A321" s="6"/>
      <c r="B321" s="6"/>
      <c r="C321" s="6"/>
      <c r="D321" s="6"/>
      <c r="E321" s="6"/>
      <c r="F321" s="6"/>
      <c r="G321" s="6"/>
      <c r="H321" s="83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2.75">
      <c r="A322" s="6"/>
      <c r="B322" s="6"/>
      <c r="C322" s="6"/>
      <c r="D322" s="6"/>
      <c r="E322" s="6"/>
      <c r="F322" s="6"/>
      <c r="G322" s="6"/>
      <c r="H322" s="83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2.75">
      <c r="A323" s="6"/>
      <c r="B323" s="6"/>
      <c r="C323" s="6"/>
      <c r="D323" s="6"/>
      <c r="E323" s="6"/>
      <c r="F323" s="6"/>
      <c r="G323" s="6"/>
      <c r="H323" s="83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2.75">
      <c r="A324" s="6"/>
      <c r="B324" s="6"/>
      <c r="C324" s="6"/>
      <c r="D324" s="6"/>
      <c r="E324" s="6"/>
      <c r="F324" s="6"/>
      <c r="G324" s="6"/>
      <c r="H324" s="83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2.75">
      <c r="A325" s="6"/>
      <c r="B325" s="6"/>
      <c r="C325" s="6"/>
      <c r="D325" s="6"/>
      <c r="E325" s="6"/>
      <c r="F325" s="6"/>
      <c r="G325" s="6"/>
      <c r="H325" s="83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2.75">
      <c r="A326" s="6"/>
      <c r="B326" s="6"/>
      <c r="C326" s="6"/>
      <c r="D326" s="6"/>
      <c r="E326" s="6"/>
      <c r="F326" s="6"/>
      <c r="G326" s="6"/>
      <c r="H326" s="83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2.75">
      <c r="A327" s="6"/>
      <c r="B327" s="6"/>
      <c r="C327" s="6"/>
      <c r="D327" s="6"/>
      <c r="E327" s="6"/>
      <c r="F327" s="6"/>
      <c r="G327" s="6"/>
      <c r="H327" s="83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2.75">
      <c r="A328" s="6"/>
      <c r="B328" s="6"/>
      <c r="C328" s="6"/>
      <c r="D328" s="6"/>
      <c r="E328" s="6"/>
      <c r="F328" s="6"/>
      <c r="G328" s="6"/>
      <c r="H328" s="83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2.75">
      <c r="A329" s="6"/>
      <c r="B329" s="6"/>
      <c r="C329" s="6"/>
      <c r="D329" s="6"/>
      <c r="E329" s="6"/>
      <c r="F329" s="6"/>
      <c r="G329" s="6"/>
      <c r="H329" s="83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2.75">
      <c r="A330" s="6"/>
      <c r="B330" s="6"/>
      <c r="C330" s="6"/>
      <c r="D330" s="6"/>
      <c r="E330" s="6"/>
      <c r="F330" s="6"/>
      <c r="G330" s="6"/>
      <c r="H330" s="83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2.75">
      <c r="A331" s="6"/>
      <c r="B331" s="6"/>
      <c r="C331" s="6"/>
      <c r="D331" s="6"/>
      <c r="E331" s="6"/>
      <c r="F331" s="6"/>
      <c r="G331" s="6"/>
      <c r="H331" s="83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2.75">
      <c r="A332" s="6"/>
      <c r="B332" s="6"/>
      <c r="C332" s="6"/>
      <c r="D332" s="6"/>
      <c r="E332" s="6"/>
      <c r="F332" s="6"/>
      <c r="G332" s="6"/>
      <c r="H332" s="83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2.75">
      <c r="A333" s="6"/>
      <c r="B333" s="6"/>
      <c r="C333" s="6"/>
      <c r="D333" s="6"/>
      <c r="E333" s="6"/>
      <c r="F333" s="6"/>
      <c r="G333" s="6"/>
      <c r="H333" s="83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2.75">
      <c r="A334" s="6"/>
      <c r="B334" s="6"/>
      <c r="C334" s="6"/>
      <c r="D334" s="6"/>
      <c r="E334" s="6"/>
      <c r="F334" s="6"/>
      <c r="G334" s="6"/>
      <c r="H334" s="83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2.75">
      <c r="A335" s="6"/>
      <c r="B335" s="6"/>
      <c r="C335" s="6"/>
      <c r="D335" s="6"/>
      <c r="E335" s="6"/>
      <c r="F335" s="6"/>
      <c r="G335" s="6"/>
      <c r="H335" s="83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2.75">
      <c r="A336" s="6"/>
      <c r="B336" s="6"/>
      <c r="C336" s="6"/>
      <c r="D336" s="6"/>
      <c r="E336" s="6"/>
      <c r="F336" s="6"/>
      <c r="G336" s="6"/>
      <c r="H336" s="83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2.75">
      <c r="A337" s="6"/>
      <c r="B337" s="6"/>
      <c r="C337" s="6"/>
      <c r="D337" s="6"/>
      <c r="E337" s="6"/>
      <c r="F337" s="6"/>
      <c r="G337" s="6"/>
      <c r="H337" s="83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2.75">
      <c r="A338" s="6"/>
      <c r="B338" s="6"/>
      <c r="C338" s="6"/>
      <c r="D338" s="6"/>
      <c r="E338" s="6"/>
      <c r="F338" s="6"/>
      <c r="G338" s="6"/>
      <c r="H338" s="83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2.75">
      <c r="A339" s="6"/>
      <c r="B339" s="6"/>
      <c r="C339" s="6"/>
      <c r="D339" s="6"/>
      <c r="E339" s="6"/>
      <c r="F339" s="6"/>
      <c r="G339" s="6"/>
      <c r="H339" s="83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2.75">
      <c r="A340" s="6"/>
      <c r="B340" s="6"/>
      <c r="C340" s="6"/>
      <c r="D340" s="6"/>
      <c r="E340" s="6"/>
      <c r="F340" s="6"/>
      <c r="G340" s="6"/>
      <c r="H340" s="83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2.75">
      <c r="A341" s="6"/>
      <c r="B341" s="6"/>
      <c r="C341" s="6"/>
      <c r="D341" s="6"/>
      <c r="E341" s="6"/>
      <c r="F341" s="6"/>
      <c r="G341" s="6"/>
      <c r="H341" s="83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2.75">
      <c r="A342" s="6"/>
      <c r="B342" s="6"/>
      <c r="C342" s="6"/>
      <c r="D342" s="6"/>
      <c r="E342" s="6"/>
      <c r="F342" s="6"/>
      <c r="G342" s="6"/>
      <c r="H342" s="83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2.75">
      <c r="A343" s="6"/>
      <c r="B343" s="6"/>
      <c r="C343" s="6"/>
      <c r="D343" s="6"/>
      <c r="E343" s="6"/>
      <c r="F343" s="6"/>
      <c r="G343" s="6"/>
      <c r="H343" s="83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2.75">
      <c r="A344" s="6"/>
      <c r="B344" s="6"/>
      <c r="C344" s="6"/>
      <c r="D344" s="6"/>
      <c r="E344" s="6"/>
      <c r="F344" s="6"/>
      <c r="G344" s="6"/>
      <c r="H344" s="83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2.75">
      <c r="A345" s="6"/>
      <c r="B345" s="6"/>
      <c r="C345" s="6"/>
      <c r="D345" s="6"/>
      <c r="E345" s="6"/>
      <c r="F345" s="6"/>
      <c r="G345" s="6"/>
      <c r="H345" s="83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2.75">
      <c r="A346" s="6"/>
      <c r="B346" s="6"/>
      <c r="C346" s="6"/>
      <c r="D346" s="6"/>
      <c r="E346" s="6"/>
      <c r="F346" s="6"/>
      <c r="G346" s="6"/>
      <c r="H346" s="83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2.75">
      <c r="A347" s="6"/>
      <c r="B347" s="6"/>
      <c r="C347" s="6"/>
      <c r="D347" s="6"/>
      <c r="E347" s="6"/>
      <c r="F347" s="6"/>
      <c r="G347" s="6"/>
      <c r="H347" s="83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2.75">
      <c r="A348" s="6"/>
      <c r="B348" s="6"/>
      <c r="C348" s="6"/>
      <c r="D348" s="6"/>
      <c r="E348" s="6"/>
      <c r="F348" s="6"/>
      <c r="G348" s="6"/>
      <c r="H348" s="83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2.75">
      <c r="A349" s="6"/>
      <c r="B349" s="6"/>
      <c r="C349" s="6"/>
      <c r="D349" s="6"/>
      <c r="E349" s="6"/>
      <c r="F349" s="6"/>
      <c r="G349" s="6"/>
      <c r="H349" s="83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2.75">
      <c r="A350" s="6"/>
      <c r="B350" s="6"/>
      <c r="C350" s="6"/>
      <c r="D350" s="6"/>
      <c r="E350" s="6"/>
      <c r="F350" s="6"/>
      <c r="G350" s="6"/>
      <c r="H350" s="83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2.75">
      <c r="A351" s="6"/>
      <c r="B351" s="6"/>
      <c r="C351" s="6"/>
      <c r="D351" s="6"/>
      <c r="E351" s="6"/>
      <c r="F351" s="6"/>
      <c r="G351" s="6"/>
      <c r="H351" s="83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2.75">
      <c r="A352" s="6"/>
      <c r="B352" s="6"/>
      <c r="C352" s="6"/>
      <c r="D352" s="6"/>
      <c r="E352" s="6"/>
      <c r="F352" s="6"/>
      <c r="G352" s="6"/>
      <c r="H352" s="83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2.75">
      <c r="A353" s="6"/>
      <c r="B353" s="6"/>
      <c r="C353" s="6"/>
      <c r="D353" s="6"/>
      <c r="E353" s="6"/>
      <c r="F353" s="6"/>
      <c r="G353" s="6"/>
      <c r="H353" s="83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2.75">
      <c r="A354" s="6"/>
      <c r="B354" s="6"/>
      <c r="C354" s="6"/>
      <c r="D354" s="6"/>
      <c r="E354" s="6"/>
      <c r="F354" s="6"/>
      <c r="G354" s="6"/>
      <c r="H354" s="83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2.75">
      <c r="A355" s="6"/>
      <c r="B355" s="6"/>
      <c r="C355" s="6"/>
      <c r="D355" s="6"/>
      <c r="E355" s="6"/>
      <c r="F355" s="6"/>
      <c r="G355" s="6"/>
      <c r="H355" s="83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2.75">
      <c r="A356" s="6"/>
      <c r="B356" s="6"/>
      <c r="C356" s="6"/>
      <c r="D356" s="6"/>
      <c r="E356" s="6"/>
      <c r="F356" s="6"/>
      <c r="G356" s="6"/>
      <c r="H356" s="83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2.75">
      <c r="A357" s="6"/>
      <c r="B357" s="6"/>
      <c r="C357" s="6"/>
      <c r="D357" s="6"/>
      <c r="E357" s="6"/>
      <c r="F357" s="6"/>
      <c r="G357" s="6"/>
      <c r="H357" s="83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2.75">
      <c r="A358" s="6"/>
      <c r="B358" s="6"/>
      <c r="C358" s="6"/>
      <c r="D358" s="6"/>
      <c r="E358" s="6"/>
      <c r="F358" s="6"/>
      <c r="G358" s="6"/>
      <c r="H358" s="83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2.75">
      <c r="A359" s="6"/>
      <c r="B359" s="6"/>
      <c r="C359" s="6"/>
      <c r="D359" s="6"/>
      <c r="E359" s="6"/>
      <c r="F359" s="6"/>
      <c r="G359" s="6"/>
      <c r="H359" s="83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2.75">
      <c r="A360" s="6"/>
      <c r="B360" s="6"/>
      <c r="C360" s="6"/>
      <c r="D360" s="6"/>
      <c r="E360" s="6"/>
      <c r="F360" s="6"/>
      <c r="G360" s="6"/>
      <c r="H360" s="83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2.75">
      <c r="A361" s="6"/>
      <c r="B361" s="6"/>
      <c r="C361" s="6"/>
      <c r="D361" s="6"/>
      <c r="E361" s="6"/>
      <c r="F361" s="6"/>
      <c r="G361" s="6"/>
      <c r="H361" s="83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2.75">
      <c r="A362" s="6"/>
      <c r="B362" s="6"/>
      <c r="C362" s="6"/>
      <c r="D362" s="6"/>
      <c r="E362" s="6"/>
      <c r="F362" s="6"/>
      <c r="G362" s="6"/>
      <c r="H362" s="83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2.75">
      <c r="A363" s="6"/>
      <c r="B363" s="6"/>
      <c r="C363" s="6"/>
      <c r="D363" s="6"/>
      <c r="E363" s="6"/>
      <c r="F363" s="6"/>
      <c r="G363" s="6"/>
      <c r="H363" s="83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2.75">
      <c r="A364" s="6"/>
      <c r="B364" s="6"/>
      <c r="C364" s="6"/>
      <c r="D364" s="6"/>
      <c r="E364" s="6"/>
      <c r="F364" s="6"/>
      <c r="G364" s="6"/>
      <c r="H364" s="83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2.75">
      <c r="A365" s="6"/>
      <c r="B365" s="6"/>
      <c r="C365" s="6"/>
      <c r="D365" s="6"/>
      <c r="E365" s="6"/>
      <c r="F365" s="6"/>
      <c r="G365" s="6"/>
      <c r="H365" s="83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2.75">
      <c r="A366" s="6"/>
      <c r="B366" s="6"/>
      <c r="C366" s="6"/>
      <c r="D366" s="6"/>
      <c r="E366" s="6"/>
      <c r="F366" s="6"/>
      <c r="G366" s="6"/>
      <c r="H366" s="83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2.75">
      <c r="A367" s="6"/>
      <c r="B367" s="6"/>
      <c r="C367" s="6"/>
      <c r="D367" s="6"/>
      <c r="E367" s="6"/>
      <c r="F367" s="6"/>
      <c r="G367" s="6"/>
      <c r="H367" s="83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2.75">
      <c r="A368" s="6"/>
      <c r="B368" s="6"/>
      <c r="C368" s="6"/>
      <c r="D368" s="6"/>
      <c r="E368" s="6"/>
      <c r="F368" s="6"/>
      <c r="G368" s="6"/>
      <c r="H368" s="83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2.75">
      <c r="A369" s="6"/>
      <c r="B369" s="6"/>
      <c r="C369" s="6"/>
      <c r="D369" s="6"/>
      <c r="E369" s="6"/>
      <c r="F369" s="6"/>
      <c r="G369" s="6"/>
      <c r="H369" s="83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2.75">
      <c r="A370" s="6"/>
      <c r="B370" s="6"/>
      <c r="C370" s="6"/>
      <c r="D370" s="6"/>
      <c r="E370" s="6"/>
      <c r="F370" s="6"/>
      <c r="G370" s="6"/>
      <c r="H370" s="83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2.75">
      <c r="A371" s="6"/>
      <c r="B371" s="6"/>
      <c r="C371" s="6"/>
      <c r="D371" s="6"/>
      <c r="E371" s="6"/>
      <c r="F371" s="6"/>
      <c r="G371" s="6"/>
      <c r="H371" s="83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2.75">
      <c r="A372" s="6"/>
      <c r="B372" s="6"/>
      <c r="C372" s="6"/>
      <c r="D372" s="6"/>
      <c r="E372" s="6"/>
      <c r="F372" s="6"/>
      <c r="G372" s="6"/>
      <c r="H372" s="83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2.75">
      <c r="A373" s="6"/>
      <c r="B373" s="6"/>
      <c r="C373" s="6"/>
      <c r="D373" s="6"/>
      <c r="E373" s="6"/>
      <c r="F373" s="6"/>
      <c r="G373" s="6"/>
      <c r="H373" s="83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2.75">
      <c r="A374" s="6"/>
      <c r="B374" s="6"/>
      <c r="C374" s="6"/>
      <c r="D374" s="6"/>
      <c r="E374" s="6"/>
      <c r="F374" s="6"/>
      <c r="G374" s="6"/>
      <c r="H374" s="83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2.75">
      <c r="A375" s="6"/>
      <c r="B375" s="6"/>
      <c r="C375" s="6"/>
      <c r="D375" s="6"/>
      <c r="E375" s="6"/>
      <c r="F375" s="6"/>
      <c r="G375" s="6"/>
      <c r="H375" s="83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2.75">
      <c r="A376" s="6"/>
      <c r="B376" s="6"/>
      <c r="C376" s="6"/>
      <c r="D376" s="6"/>
      <c r="E376" s="6"/>
      <c r="F376" s="6"/>
      <c r="G376" s="6"/>
      <c r="H376" s="83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2.75">
      <c r="A377" s="6"/>
      <c r="B377" s="6"/>
      <c r="C377" s="6"/>
      <c r="D377" s="6"/>
      <c r="E377" s="6"/>
      <c r="F377" s="6"/>
      <c r="G377" s="6"/>
      <c r="H377" s="83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2.75">
      <c r="A378" s="6"/>
      <c r="B378" s="6"/>
      <c r="C378" s="6"/>
      <c r="D378" s="6"/>
      <c r="E378" s="6"/>
      <c r="F378" s="6"/>
      <c r="G378" s="6"/>
      <c r="H378" s="83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2.75">
      <c r="A379" s="6"/>
      <c r="B379" s="6"/>
      <c r="C379" s="6"/>
      <c r="D379" s="6"/>
      <c r="E379" s="6"/>
      <c r="F379" s="6"/>
      <c r="G379" s="6"/>
      <c r="H379" s="83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2.75">
      <c r="A380" s="6"/>
      <c r="B380" s="6"/>
      <c r="C380" s="6"/>
      <c r="D380" s="6"/>
      <c r="E380" s="6"/>
      <c r="F380" s="6"/>
      <c r="G380" s="6"/>
      <c r="H380" s="83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2.75">
      <c r="A381" s="6"/>
      <c r="B381" s="6"/>
      <c r="C381" s="6"/>
      <c r="D381" s="6"/>
      <c r="E381" s="6"/>
      <c r="F381" s="6"/>
      <c r="G381" s="6"/>
      <c r="H381" s="83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2.75">
      <c r="A382" s="6"/>
      <c r="B382" s="6"/>
      <c r="C382" s="6"/>
      <c r="D382" s="6"/>
      <c r="E382" s="6"/>
      <c r="F382" s="6"/>
      <c r="G382" s="6"/>
      <c r="H382" s="83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2.75">
      <c r="A383" s="6"/>
      <c r="B383" s="6"/>
      <c r="C383" s="6"/>
      <c r="D383" s="6"/>
      <c r="E383" s="6"/>
      <c r="F383" s="6"/>
      <c r="G383" s="6"/>
      <c r="H383" s="83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2.75">
      <c r="A384" s="6"/>
      <c r="B384" s="6"/>
      <c r="C384" s="6"/>
      <c r="D384" s="6"/>
      <c r="E384" s="6"/>
      <c r="F384" s="6"/>
      <c r="G384" s="6"/>
      <c r="H384" s="83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2.75">
      <c r="A385" s="6"/>
      <c r="B385" s="6"/>
      <c r="C385" s="6"/>
      <c r="D385" s="6"/>
      <c r="E385" s="6"/>
      <c r="F385" s="6"/>
      <c r="G385" s="6"/>
      <c r="H385" s="83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2.75">
      <c r="A386" s="6"/>
      <c r="B386" s="6"/>
      <c r="C386" s="6"/>
      <c r="D386" s="6"/>
      <c r="E386" s="6"/>
      <c r="F386" s="6"/>
      <c r="G386" s="6"/>
      <c r="H386" s="83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2.75">
      <c r="A387" s="6"/>
      <c r="B387" s="6"/>
      <c r="C387" s="6"/>
      <c r="D387" s="6"/>
      <c r="E387" s="6"/>
      <c r="F387" s="6"/>
      <c r="G387" s="6"/>
      <c r="H387" s="83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2.75">
      <c r="A388" s="6"/>
      <c r="B388" s="6"/>
      <c r="C388" s="6"/>
      <c r="D388" s="6"/>
      <c r="E388" s="6"/>
      <c r="F388" s="6"/>
      <c r="G388" s="6"/>
      <c r="H388" s="83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2.75">
      <c r="A389" s="6"/>
      <c r="B389" s="6"/>
      <c r="C389" s="6"/>
      <c r="D389" s="6"/>
      <c r="E389" s="6"/>
      <c r="F389" s="6"/>
      <c r="G389" s="6"/>
      <c r="H389" s="83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2.75">
      <c r="A390" s="6"/>
      <c r="B390" s="6"/>
      <c r="C390" s="6"/>
      <c r="D390" s="6"/>
      <c r="E390" s="6"/>
      <c r="F390" s="6"/>
      <c r="G390" s="6"/>
      <c r="H390" s="83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2.75">
      <c r="A391" s="6"/>
      <c r="B391" s="6"/>
      <c r="C391" s="6"/>
      <c r="D391" s="6"/>
      <c r="E391" s="6"/>
      <c r="F391" s="6"/>
      <c r="G391" s="6"/>
      <c r="H391" s="83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2.75">
      <c r="A392" s="6"/>
      <c r="B392" s="6"/>
      <c r="C392" s="6"/>
      <c r="D392" s="6"/>
      <c r="E392" s="6"/>
      <c r="F392" s="6"/>
      <c r="G392" s="6"/>
      <c r="H392" s="83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2.75">
      <c r="A393" s="6"/>
      <c r="B393" s="6"/>
      <c r="C393" s="6"/>
      <c r="D393" s="6"/>
      <c r="E393" s="6"/>
      <c r="F393" s="6"/>
      <c r="G393" s="6"/>
      <c r="H393" s="83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2.75">
      <c r="A394" s="6"/>
      <c r="B394" s="6"/>
      <c r="C394" s="6"/>
      <c r="D394" s="6"/>
      <c r="E394" s="6"/>
      <c r="F394" s="6"/>
      <c r="G394" s="6"/>
      <c r="H394" s="83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2.75">
      <c r="A395" s="6"/>
      <c r="B395" s="6"/>
      <c r="C395" s="6"/>
      <c r="D395" s="6"/>
      <c r="E395" s="6"/>
      <c r="F395" s="6"/>
      <c r="G395" s="6"/>
      <c r="H395" s="83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2.75">
      <c r="A396" s="6"/>
      <c r="B396" s="6"/>
      <c r="C396" s="6"/>
      <c r="D396" s="6"/>
      <c r="E396" s="6"/>
      <c r="F396" s="6"/>
      <c r="G396" s="6"/>
      <c r="H396" s="83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2.75">
      <c r="A397" s="6"/>
      <c r="B397" s="6"/>
      <c r="C397" s="6"/>
      <c r="D397" s="6"/>
      <c r="E397" s="6"/>
      <c r="F397" s="6"/>
      <c r="G397" s="6"/>
      <c r="H397" s="83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2.75">
      <c r="A398" s="6"/>
      <c r="B398" s="6"/>
      <c r="C398" s="6"/>
      <c r="D398" s="6"/>
      <c r="E398" s="6"/>
      <c r="F398" s="6"/>
      <c r="G398" s="6"/>
      <c r="H398" s="83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2.75">
      <c r="A399" s="6"/>
      <c r="B399" s="6"/>
      <c r="C399" s="6"/>
      <c r="D399" s="6"/>
      <c r="E399" s="6"/>
      <c r="F399" s="6"/>
      <c r="G399" s="6"/>
      <c r="H399" s="83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2.75">
      <c r="A400" s="6"/>
      <c r="B400" s="6"/>
      <c r="C400" s="6"/>
      <c r="D400" s="6"/>
      <c r="E400" s="6"/>
      <c r="F400" s="6"/>
      <c r="G400" s="6"/>
      <c r="H400" s="83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2.75">
      <c r="A401" s="6"/>
      <c r="B401" s="6"/>
      <c r="C401" s="6"/>
      <c r="D401" s="6"/>
      <c r="E401" s="6"/>
      <c r="F401" s="6"/>
      <c r="G401" s="6"/>
      <c r="H401" s="83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2.75">
      <c r="A402" s="6"/>
      <c r="B402" s="6"/>
      <c r="C402" s="6"/>
      <c r="D402" s="6"/>
      <c r="E402" s="6"/>
      <c r="F402" s="6"/>
      <c r="G402" s="6"/>
      <c r="H402" s="83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2.75">
      <c r="A403" s="6"/>
      <c r="B403" s="6"/>
      <c r="C403" s="6"/>
      <c r="D403" s="6"/>
      <c r="E403" s="6"/>
      <c r="F403" s="6"/>
      <c r="G403" s="6"/>
      <c r="H403" s="83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2.75">
      <c r="A404" s="6"/>
      <c r="B404" s="6"/>
      <c r="C404" s="6"/>
      <c r="D404" s="6"/>
      <c r="E404" s="6"/>
      <c r="F404" s="6"/>
      <c r="G404" s="6"/>
      <c r="H404" s="83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2.75">
      <c r="A405" s="6"/>
      <c r="B405" s="6"/>
      <c r="C405" s="6"/>
      <c r="D405" s="6"/>
      <c r="E405" s="6"/>
      <c r="F405" s="6"/>
      <c r="G405" s="6"/>
      <c r="H405" s="83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2.75">
      <c r="A406" s="6"/>
      <c r="B406" s="6"/>
      <c r="C406" s="6"/>
      <c r="D406" s="6"/>
      <c r="E406" s="6"/>
      <c r="F406" s="6"/>
      <c r="G406" s="6"/>
      <c r="H406" s="83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2.75">
      <c r="A407" s="6"/>
      <c r="B407" s="6"/>
      <c r="C407" s="6"/>
      <c r="D407" s="6"/>
      <c r="E407" s="6"/>
      <c r="F407" s="6"/>
      <c r="G407" s="6"/>
      <c r="H407" s="83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2.75">
      <c r="A408" s="6"/>
      <c r="B408" s="6"/>
      <c r="C408" s="6"/>
      <c r="D408" s="6"/>
      <c r="E408" s="6"/>
      <c r="F408" s="6"/>
      <c r="G408" s="6"/>
      <c r="H408" s="83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2.75">
      <c r="A409" s="6"/>
      <c r="B409" s="6"/>
      <c r="C409" s="6"/>
      <c r="D409" s="6"/>
      <c r="E409" s="6"/>
      <c r="F409" s="6"/>
      <c r="G409" s="6"/>
      <c r="H409" s="83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2.75">
      <c r="A410" s="6"/>
      <c r="B410" s="6"/>
      <c r="C410" s="6"/>
      <c r="D410" s="6"/>
      <c r="E410" s="6"/>
      <c r="F410" s="6"/>
      <c r="G410" s="6"/>
      <c r="H410" s="83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2.75">
      <c r="A411" s="6"/>
      <c r="B411" s="6"/>
      <c r="C411" s="6"/>
      <c r="D411" s="6"/>
      <c r="E411" s="6"/>
      <c r="F411" s="6"/>
      <c r="G411" s="6"/>
      <c r="H411" s="83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2.75">
      <c r="A412" s="6"/>
      <c r="B412" s="6"/>
      <c r="C412" s="6"/>
      <c r="D412" s="6"/>
      <c r="E412" s="6"/>
      <c r="F412" s="6"/>
      <c r="G412" s="6"/>
      <c r="H412" s="83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2.75">
      <c r="A413" s="6"/>
      <c r="B413" s="6"/>
      <c r="C413" s="6"/>
      <c r="D413" s="6"/>
      <c r="E413" s="6"/>
      <c r="F413" s="6"/>
      <c r="G413" s="6"/>
      <c r="H413" s="83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2.75">
      <c r="A414" s="6"/>
      <c r="B414" s="6"/>
      <c r="C414" s="6"/>
      <c r="D414" s="6"/>
      <c r="E414" s="6"/>
      <c r="F414" s="6"/>
      <c r="G414" s="6"/>
      <c r="H414" s="83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2.75">
      <c r="A415" s="6"/>
      <c r="B415" s="6"/>
      <c r="C415" s="6"/>
      <c r="D415" s="6"/>
      <c r="E415" s="6"/>
      <c r="F415" s="6"/>
      <c r="G415" s="6"/>
      <c r="H415" s="83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2.75">
      <c r="A416" s="6"/>
      <c r="B416" s="6"/>
      <c r="C416" s="6"/>
      <c r="D416" s="6"/>
      <c r="E416" s="6"/>
      <c r="F416" s="6"/>
      <c r="G416" s="6"/>
      <c r="H416" s="83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2.75">
      <c r="A417" s="6"/>
      <c r="B417" s="6"/>
      <c r="C417" s="6"/>
      <c r="D417" s="6"/>
      <c r="E417" s="6"/>
      <c r="F417" s="6"/>
      <c r="G417" s="6"/>
      <c r="H417" s="83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2.75">
      <c r="A418" s="6"/>
      <c r="B418" s="6"/>
      <c r="C418" s="6"/>
      <c r="D418" s="6"/>
      <c r="E418" s="6"/>
      <c r="F418" s="6"/>
      <c r="G418" s="6"/>
      <c r="H418" s="83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2.75">
      <c r="A419" s="6"/>
      <c r="B419" s="6"/>
      <c r="C419" s="6"/>
      <c r="D419" s="6"/>
      <c r="E419" s="6"/>
      <c r="F419" s="6"/>
      <c r="G419" s="6"/>
      <c r="H419" s="83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2.75">
      <c r="A420" s="6"/>
      <c r="B420" s="6"/>
      <c r="C420" s="6"/>
      <c r="D420" s="6"/>
      <c r="E420" s="6"/>
      <c r="F420" s="6"/>
      <c r="G420" s="6"/>
      <c r="H420" s="83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2.75">
      <c r="A421" s="6"/>
      <c r="B421" s="6"/>
      <c r="C421" s="6"/>
      <c r="D421" s="6"/>
      <c r="E421" s="6"/>
      <c r="F421" s="6"/>
      <c r="G421" s="6"/>
      <c r="H421" s="83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2.75">
      <c r="A422" s="6"/>
      <c r="B422" s="6"/>
      <c r="C422" s="6"/>
      <c r="D422" s="6"/>
      <c r="E422" s="6"/>
      <c r="F422" s="6"/>
      <c r="G422" s="6"/>
      <c r="H422" s="83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2.75">
      <c r="A423" s="6"/>
      <c r="B423" s="6"/>
      <c r="C423" s="6"/>
      <c r="D423" s="6"/>
      <c r="E423" s="6"/>
      <c r="F423" s="6"/>
      <c r="G423" s="6"/>
      <c r="H423" s="83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2.75">
      <c r="A424" s="6"/>
      <c r="B424" s="6"/>
      <c r="C424" s="6"/>
      <c r="D424" s="6"/>
      <c r="E424" s="6"/>
      <c r="F424" s="6"/>
      <c r="G424" s="6"/>
      <c r="H424" s="83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2.75">
      <c r="A425" s="6"/>
      <c r="B425" s="6"/>
      <c r="C425" s="6"/>
      <c r="D425" s="6"/>
      <c r="E425" s="6"/>
      <c r="F425" s="6"/>
      <c r="G425" s="6"/>
      <c r="H425" s="83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2.75">
      <c r="A426" s="6"/>
      <c r="B426" s="6"/>
      <c r="C426" s="6"/>
      <c r="D426" s="6"/>
      <c r="E426" s="6"/>
      <c r="F426" s="6"/>
      <c r="G426" s="6"/>
      <c r="H426" s="83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2.75">
      <c r="A427" s="6"/>
      <c r="B427" s="6"/>
      <c r="C427" s="6"/>
      <c r="D427" s="6"/>
      <c r="E427" s="6"/>
      <c r="F427" s="6"/>
      <c r="G427" s="6"/>
      <c r="H427" s="83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2.75">
      <c r="A428" s="6"/>
      <c r="B428" s="6"/>
      <c r="C428" s="6"/>
      <c r="D428" s="6"/>
      <c r="E428" s="6"/>
      <c r="F428" s="6"/>
      <c r="G428" s="6"/>
      <c r="H428" s="83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2.75">
      <c r="A429" s="6"/>
      <c r="B429" s="6"/>
      <c r="C429" s="6"/>
      <c r="D429" s="6"/>
      <c r="E429" s="6"/>
      <c r="F429" s="6"/>
      <c r="G429" s="6"/>
      <c r="H429" s="83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2.75">
      <c r="A430" s="6"/>
      <c r="B430" s="6"/>
      <c r="C430" s="6"/>
      <c r="D430" s="6"/>
      <c r="E430" s="6"/>
      <c r="F430" s="6"/>
      <c r="G430" s="6"/>
      <c r="H430" s="83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2.75">
      <c r="A431" s="6"/>
      <c r="B431" s="6"/>
      <c r="C431" s="6"/>
      <c r="D431" s="6"/>
      <c r="E431" s="6"/>
      <c r="F431" s="6"/>
      <c r="G431" s="6"/>
      <c r="H431" s="83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2.75">
      <c r="A432" s="6"/>
      <c r="B432" s="6"/>
      <c r="C432" s="6"/>
      <c r="D432" s="6"/>
      <c r="E432" s="6"/>
      <c r="F432" s="6"/>
      <c r="G432" s="6"/>
      <c r="H432" s="83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2.75">
      <c r="A433" s="6"/>
      <c r="B433" s="6"/>
      <c r="C433" s="6"/>
      <c r="D433" s="6"/>
      <c r="E433" s="6"/>
      <c r="F433" s="6"/>
      <c r="G433" s="6"/>
      <c r="H433" s="83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2.75">
      <c r="A434" s="6"/>
      <c r="B434" s="6"/>
      <c r="C434" s="6"/>
      <c r="D434" s="6"/>
      <c r="E434" s="6"/>
      <c r="F434" s="6"/>
      <c r="G434" s="6"/>
      <c r="H434" s="83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2.75">
      <c r="A435" s="6"/>
      <c r="B435" s="6"/>
      <c r="C435" s="6"/>
      <c r="D435" s="6"/>
      <c r="E435" s="6"/>
      <c r="F435" s="6"/>
      <c r="G435" s="6"/>
      <c r="H435" s="83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2.75">
      <c r="A436" s="6"/>
      <c r="B436" s="6"/>
      <c r="C436" s="6"/>
      <c r="D436" s="6"/>
      <c r="E436" s="6"/>
      <c r="F436" s="6"/>
      <c r="G436" s="6"/>
      <c r="H436" s="83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2.75">
      <c r="A437" s="6"/>
      <c r="B437" s="6"/>
      <c r="C437" s="6"/>
      <c r="D437" s="6"/>
      <c r="E437" s="6"/>
      <c r="F437" s="6"/>
      <c r="G437" s="6"/>
      <c r="H437" s="83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2.75">
      <c r="A438" s="6"/>
      <c r="B438" s="6"/>
      <c r="C438" s="6"/>
      <c r="D438" s="6"/>
      <c r="E438" s="6"/>
      <c r="F438" s="6"/>
      <c r="G438" s="6"/>
      <c r="H438" s="83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2.75">
      <c r="A439" s="6"/>
      <c r="B439" s="6"/>
      <c r="C439" s="6"/>
      <c r="D439" s="6"/>
      <c r="E439" s="6"/>
      <c r="F439" s="6"/>
      <c r="G439" s="6"/>
      <c r="H439" s="83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2.75">
      <c r="A440" s="6"/>
      <c r="B440" s="6"/>
      <c r="C440" s="6"/>
      <c r="D440" s="6"/>
      <c r="E440" s="6"/>
      <c r="F440" s="6"/>
      <c r="G440" s="6"/>
      <c r="H440" s="83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2.75">
      <c r="A441" s="6"/>
      <c r="B441" s="6"/>
      <c r="C441" s="6"/>
      <c r="D441" s="6"/>
      <c r="E441" s="6"/>
      <c r="F441" s="6"/>
      <c r="G441" s="6"/>
      <c r="H441" s="83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2.75">
      <c r="A442" s="6"/>
      <c r="B442" s="6"/>
      <c r="C442" s="6"/>
      <c r="D442" s="6"/>
      <c r="E442" s="6"/>
      <c r="F442" s="6"/>
      <c r="G442" s="6"/>
      <c r="H442" s="83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2.75">
      <c r="A443" s="6"/>
      <c r="B443" s="6"/>
      <c r="C443" s="6"/>
      <c r="D443" s="6"/>
      <c r="E443" s="6"/>
      <c r="F443" s="6"/>
      <c r="G443" s="6"/>
      <c r="H443" s="83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2.75">
      <c r="A444" s="6"/>
      <c r="B444" s="6"/>
      <c r="C444" s="6"/>
      <c r="D444" s="6"/>
      <c r="E444" s="6"/>
      <c r="F444" s="6"/>
      <c r="G444" s="6"/>
      <c r="H444" s="83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2.75">
      <c r="A445" s="6"/>
      <c r="B445" s="6"/>
      <c r="C445" s="6"/>
      <c r="D445" s="6"/>
      <c r="E445" s="6"/>
      <c r="F445" s="6"/>
      <c r="G445" s="6"/>
      <c r="H445" s="83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2.75">
      <c r="A446" s="6"/>
      <c r="B446" s="6"/>
      <c r="C446" s="6"/>
      <c r="D446" s="6"/>
      <c r="E446" s="6"/>
      <c r="F446" s="6"/>
      <c r="G446" s="6"/>
      <c r="H446" s="83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2.75">
      <c r="A447" s="6"/>
      <c r="B447" s="6"/>
      <c r="C447" s="6"/>
      <c r="D447" s="6"/>
      <c r="E447" s="6"/>
      <c r="F447" s="6"/>
      <c r="G447" s="6"/>
      <c r="H447" s="83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2.75">
      <c r="A448" s="6"/>
      <c r="B448" s="6"/>
      <c r="C448" s="6"/>
      <c r="D448" s="6"/>
      <c r="E448" s="6"/>
      <c r="F448" s="6"/>
      <c r="G448" s="6"/>
      <c r="H448" s="83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2.75">
      <c r="A449" s="6"/>
      <c r="B449" s="6"/>
      <c r="C449" s="6"/>
      <c r="D449" s="6"/>
      <c r="E449" s="6"/>
      <c r="F449" s="6"/>
      <c r="G449" s="6"/>
      <c r="H449" s="83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2.75">
      <c r="A450" s="6"/>
      <c r="B450" s="6"/>
      <c r="C450" s="6"/>
      <c r="D450" s="6"/>
      <c r="E450" s="6"/>
      <c r="F450" s="6"/>
      <c r="G450" s="6"/>
      <c r="H450" s="83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2.75">
      <c r="A451" s="6"/>
      <c r="B451" s="6"/>
      <c r="C451" s="6"/>
      <c r="D451" s="6"/>
      <c r="E451" s="6"/>
      <c r="F451" s="6"/>
      <c r="G451" s="6"/>
      <c r="H451" s="83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2.75">
      <c r="A452" s="6"/>
      <c r="B452" s="6"/>
      <c r="C452" s="6"/>
      <c r="D452" s="6"/>
      <c r="E452" s="6"/>
      <c r="F452" s="6"/>
      <c r="G452" s="6"/>
      <c r="H452" s="83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2.75">
      <c r="A453" s="6"/>
      <c r="B453" s="6"/>
      <c r="C453" s="6"/>
      <c r="D453" s="6"/>
      <c r="E453" s="6"/>
      <c r="F453" s="6"/>
      <c r="G453" s="6"/>
      <c r="H453" s="83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2.75">
      <c r="A454" s="6"/>
      <c r="B454" s="6"/>
      <c r="C454" s="6"/>
      <c r="D454" s="6"/>
      <c r="E454" s="6"/>
      <c r="F454" s="6"/>
      <c r="G454" s="6"/>
      <c r="H454" s="83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2.75">
      <c r="A455" s="6"/>
      <c r="B455" s="6"/>
      <c r="C455" s="6"/>
      <c r="D455" s="6"/>
      <c r="E455" s="6"/>
      <c r="F455" s="6"/>
      <c r="G455" s="6"/>
      <c r="H455" s="83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2.75">
      <c r="A456" s="6"/>
      <c r="B456" s="6"/>
      <c r="C456" s="6"/>
      <c r="D456" s="6"/>
      <c r="E456" s="6"/>
      <c r="F456" s="6"/>
      <c r="G456" s="6"/>
      <c r="H456" s="83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2.75">
      <c r="A457" s="6"/>
      <c r="B457" s="6"/>
      <c r="C457" s="6"/>
      <c r="D457" s="6"/>
      <c r="E457" s="6"/>
      <c r="F457" s="6"/>
      <c r="G457" s="6"/>
      <c r="H457" s="83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2.75">
      <c r="A458" s="6"/>
      <c r="B458" s="6"/>
      <c r="C458" s="6"/>
      <c r="D458" s="6"/>
      <c r="E458" s="6"/>
      <c r="F458" s="6"/>
      <c r="G458" s="6"/>
      <c r="H458" s="83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2.75">
      <c r="A459" s="6"/>
      <c r="B459" s="6"/>
      <c r="C459" s="6"/>
      <c r="D459" s="6"/>
      <c r="E459" s="6"/>
      <c r="F459" s="6"/>
      <c r="G459" s="6"/>
      <c r="H459" s="83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2.75">
      <c r="A460" s="6"/>
      <c r="B460" s="6"/>
      <c r="C460" s="6"/>
      <c r="D460" s="6"/>
      <c r="E460" s="6"/>
      <c r="F460" s="6"/>
      <c r="G460" s="6"/>
      <c r="H460" s="83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2.75">
      <c r="A461" s="6"/>
      <c r="B461" s="6"/>
      <c r="C461" s="6"/>
      <c r="D461" s="6"/>
      <c r="E461" s="6"/>
      <c r="F461" s="6"/>
      <c r="G461" s="6"/>
      <c r="H461" s="83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2.75">
      <c r="A462" s="6"/>
      <c r="B462" s="6"/>
      <c r="C462" s="6"/>
      <c r="D462" s="6"/>
      <c r="E462" s="6"/>
      <c r="F462" s="6"/>
      <c r="G462" s="6"/>
      <c r="H462" s="83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2.75">
      <c r="A463" s="6"/>
      <c r="B463" s="6"/>
      <c r="C463" s="6"/>
      <c r="D463" s="6"/>
      <c r="E463" s="6"/>
      <c r="F463" s="6"/>
      <c r="G463" s="6"/>
      <c r="H463" s="83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2.75">
      <c r="A464" s="6"/>
      <c r="B464" s="6"/>
      <c r="C464" s="6"/>
      <c r="D464" s="6"/>
      <c r="E464" s="6"/>
      <c r="F464" s="6"/>
      <c r="G464" s="6"/>
      <c r="H464" s="83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2.75">
      <c r="A465" s="6"/>
      <c r="B465" s="6"/>
      <c r="C465" s="6"/>
      <c r="D465" s="6"/>
      <c r="E465" s="6"/>
      <c r="F465" s="6"/>
      <c r="G465" s="6"/>
      <c r="H465" s="83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2.75">
      <c r="A466" s="6"/>
      <c r="B466" s="6"/>
      <c r="C466" s="6"/>
      <c r="D466" s="6"/>
      <c r="E466" s="6"/>
      <c r="F466" s="6"/>
      <c r="G466" s="6"/>
      <c r="H466" s="83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2.75">
      <c r="A467" s="6"/>
      <c r="B467" s="6"/>
      <c r="C467" s="6"/>
      <c r="D467" s="6"/>
      <c r="E467" s="6"/>
      <c r="F467" s="6"/>
      <c r="G467" s="6"/>
      <c r="H467" s="83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2.75">
      <c r="A468" s="6"/>
      <c r="B468" s="6"/>
      <c r="C468" s="6"/>
      <c r="D468" s="6"/>
      <c r="E468" s="6"/>
      <c r="F468" s="6"/>
      <c r="G468" s="6"/>
      <c r="H468" s="83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2.75">
      <c r="A469" s="6"/>
      <c r="B469" s="6"/>
      <c r="C469" s="6"/>
      <c r="D469" s="6"/>
      <c r="E469" s="6"/>
      <c r="F469" s="6"/>
      <c r="G469" s="6"/>
      <c r="H469" s="83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2.75">
      <c r="A470" s="6"/>
      <c r="B470" s="6"/>
      <c r="C470" s="6"/>
      <c r="D470" s="6"/>
      <c r="E470" s="6"/>
      <c r="F470" s="6"/>
      <c r="G470" s="6"/>
      <c r="H470" s="83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2.75">
      <c r="A471" s="6"/>
      <c r="B471" s="6"/>
      <c r="C471" s="6"/>
      <c r="D471" s="6"/>
      <c r="E471" s="6"/>
      <c r="F471" s="6"/>
      <c r="G471" s="6"/>
      <c r="H471" s="83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2.75">
      <c r="A472" s="6"/>
      <c r="B472" s="6"/>
      <c r="C472" s="6"/>
      <c r="D472" s="6"/>
      <c r="E472" s="6"/>
      <c r="F472" s="6"/>
      <c r="G472" s="6"/>
      <c r="H472" s="83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2.75">
      <c r="A473" s="6"/>
      <c r="B473" s="6"/>
      <c r="C473" s="6"/>
      <c r="D473" s="6"/>
      <c r="E473" s="6"/>
      <c r="F473" s="6"/>
      <c r="G473" s="6"/>
      <c r="H473" s="83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2.75">
      <c r="A474" s="6"/>
      <c r="B474" s="6"/>
      <c r="C474" s="6"/>
      <c r="D474" s="6"/>
      <c r="E474" s="6"/>
      <c r="F474" s="6"/>
      <c r="G474" s="6"/>
      <c r="H474" s="83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2.75">
      <c r="A475" s="6"/>
      <c r="B475" s="6"/>
      <c r="C475" s="6"/>
      <c r="D475" s="6"/>
      <c r="E475" s="6"/>
      <c r="F475" s="6"/>
      <c r="G475" s="6"/>
      <c r="H475" s="83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2.75">
      <c r="A476" s="6"/>
      <c r="B476" s="6"/>
      <c r="C476" s="6"/>
      <c r="D476" s="6"/>
      <c r="E476" s="6"/>
      <c r="F476" s="6"/>
      <c r="G476" s="6"/>
      <c r="H476" s="83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2.75">
      <c r="A477" s="6"/>
      <c r="B477" s="6"/>
      <c r="C477" s="6"/>
      <c r="D477" s="6"/>
      <c r="E477" s="6"/>
      <c r="F477" s="6"/>
      <c r="G477" s="6"/>
      <c r="H477" s="83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2.75">
      <c r="A478" s="6"/>
      <c r="B478" s="6"/>
      <c r="C478" s="6"/>
      <c r="D478" s="6"/>
      <c r="E478" s="6"/>
      <c r="F478" s="6"/>
      <c r="G478" s="6"/>
      <c r="H478" s="83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2.75">
      <c r="A479" s="6"/>
      <c r="B479" s="6"/>
      <c r="C479" s="6"/>
      <c r="D479" s="6"/>
      <c r="E479" s="6"/>
      <c r="F479" s="6"/>
      <c r="G479" s="6"/>
      <c r="H479" s="83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2.75">
      <c r="A480" s="6"/>
      <c r="B480" s="6"/>
      <c r="C480" s="6"/>
      <c r="D480" s="6"/>
      <c r="E480" s="6"/>
      <c r="F480" s="6"/>
      <c r="G480" s="6"/>
      <c r="H480" s="83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2.75">
      <c r="A481" s="6"/>
      <c r="B481" s="6"/>
      <c r="C481" s="6"/>
      <c r="D481" s="6"/>
      <c r="E481" s="6"/>
      <c r="F481" s="6"/>
      <c r="G481" s="6"/>
      <c r="H481" s="83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2.75">
      <c r="A482" s="6"/>
      <c r="B482" s="6"/>
      <c r="C482" s="6"/>
      <c r="D482" s="6"/>
      <c r="E482" s="6"/>
      <c r="F482" s="6"/>
      <c r="G482" s="6"/>
      <c r="H482" s="83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2.75">
      <c r="A483" s="6"/>
      <c r="B483" s="6"/>
      <c r="C483" s="6"/>
      <c r="D483" s="6"/>
      <c r="E483" s="6"/>
      <c r="F483" s="6"/>
      <c r="G483" s="6"/>
      <c r="H483" s="83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2.75">
      <c r="A484" s="6"/>
      <c r="B484" s="6"/>
      <c r="C484" s="6"/>
      <c r="D484" s="6"/>
      <c r="E484" s="6"/>
      <c r="F484" s="6"/>
      <c r="G484" s="6"/>
      <c r="H484" s="83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2.75">
      <c r="A485" s="6"/>
      <c r="B485" s="6"/>
      <c r="C485" s="6"/>
      <c r="D485" s="6"/>
      <c r="E485" s="6"/>
      <c r="F485" s="6"/>
      <c r="G485" s="6"/>
      <c r="H485" s="83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2.75">
      <c r="A486" s="6"/>
      <c r="B486" s="6"/>
      <c r="C486" s="6"/>
      <c r="D486" s="6"/>
      <c r="E486" s="6"/>
      <c r="F486" s="6"/>
      <c r="G486" s="6"/>
      <c r="H486" s="83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2.75">
      <c r="A487" s="6"/>
      <c r="B487" s="6"/>
      <c r="C487" s="6"/>
      <c r="D487" s="6"/>
      <c r="E487" s="6"/>
      <c r="F487" s="6"/>
      <c r="G487" s="6"/>
      <c r="H487" s="83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2.75">
      <c r="A488" s="6"/>
      <c r="B488" s="6"/>
      <c r="C488" s="6"/>
      <c r="D488" s="6"/>
      <c r="E488" s="6"/>
      <c r="F488" s="6"/>
      <c r="G488" s="6"/>
      <c r="H488" s="83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2.75">
      <c r="A489" s="6"/>
      <c r="B489" s="6"/>
      <c r="C489" s="6"/>
      <c r="D489" s="6"/>
      <c r="E489" s="6"/>
      <c r="F489" s="6"/>
      <c r="G489" s="6"/>
      <c r="H489" s="83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2.75">
      <c r="A490" s="6"/>
      <c r="B490" s="6"/>
      <c r="C490" s="6"/>
      <c r="D490" s="6"/>
      <c r="E490" s="6"/>
      <c r="F490" s="6"/>
      <c r="G490" s="6"/>
      <c r="H490" s="83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2.75">
      <c r="A491" s="6"/>
      <c r="B491" s="6"/>
      <c r="C491" s="6"/>
      <c r="D491" s="6"/>
      <c r="E491" s="6"/>
      <c r="F491" s="6"/>
      <c r="G491" s="6"/>
      <c r="H491" s="83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2.75">
      <c r="A492" s="6"/>
      <c r="B492" s="6"/>
      <c r="C492" s="6"/>
      <c r="D492" s="6"/>
      <c r="E492" s="6"/>
      <c r="F492" s="6"/>
      <c r="G492" s="6"/>
      <c r="H492" s="83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2.75">
      <c r="A493" s="6"/>
      <c r="B493" s="6"/>
      <c r="C493" s="6"/>
      <c r="D493" s="6"/>
      <c r="E493" s="6"/>
      <c r="F493" s="6"/>
      <c r="G493" s="6"/>
      <c r="H493" s="83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2.75">
      <c r="A494" s="6"/>
      <c r="B494" s="6"/>
      <c r="C494" s="6"/>
      <c r="D494" s="6"/>
      <c r="E494" s="6"/>
      <c r="F494" s="6"/>
      <c r="G494" s="6"/>
      <c r="H494" s="83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2.75">
      <c r="A495" s="6"/>
      <c r="B495" s="6"/>
      <c r="C495" s="6"/>
      <c r="D495" s="6"/>
      <c r="E495" s="6"/>
      <c r="F495" s="6"/>
      <c r="G495" s="6"/>
      <c r="H495" s="83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2.75">
      <c r="A496" s="6"/>
      <c r="B496" s="6"/>
      <c r="C496" s="6"/>
      <c r="D496" s="6"/>
      <c r="E496" s="6"/>
      <c r="F496" s="6"/>
      <c r="G496" s="6"/>
      <c r="H496" s="83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2.75">
      <c r="A497" s="6"/>
      <c r="B497" s="6"/>
      <c r="C497" s="6"/>
      <c r="D497" s="6"/>
      <c r="E497" s="6"/>
      <c r="F497" s="6"/>
      <c r="G497" s="6"/>
      <c r="H497" s="83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2.75">
      <c r="A498" s="6"/>
      <c r="B498" s="6"/>
      <c r="C498" s="6"/>
      <c r="D498" s="6"/>
      <c r="E498" s="6"/>
      <c r="F498" s="6"/>
      <c r="G498" s="6"/>
      <c r="H498" s="83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2.75">
      <c r="A499" s="6"/>
      <c r="B499" s="6"/>
      <c r="C499" s="6"/>
      <c r="D499" s="6"/>
      <c r="E499" s="6"/>
      <c r="F499" s="6"/>
      <c r="G499" s="6"/>
      <c r="H499" s="83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2.75">
      <c r="A500" s="6"/>
      <c r="B500" s="6"/>
      <c r="C500" s="6"/>
      <c r="D500" s="6"/>
      <c r="E500" s="6"/>
      <c r="F500" s="6"/>
      <c r="G500" s="6"/>
      <c r="H500" s="83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2.75">
      <c r="A501" s="6"/>
      <c r="B501" s="6"/>
      <c r="C501" s="6"/>
      <c r="D501" s="6"/>
      <c r="E501" s="6"/>
      <c r="F501" s="6"/>
      <c r="G501" s="6"/>
      <c r="H501" s="83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2.75">
      <c r="A502" s="6"/>
      <c r="B502" s="6"/>
      <c r="C502" s="6"/>
      <c r="D502" s="6"/>
      <c r="E502" s="6"/>
      <c r="F502" s="6"/>
      <c r="G502" s="6"/>
      <c r="H502" s="83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2.75">
      <c r="A503" s="6"/>
      <c r="B503" s="6"/>
      <c r="C503" s="6"/>
      <c r="D503" s="6"/>
      <c r="E503" s="6"/>
      <c r="F503" s="6"/>
      <c r="G503" s="6"/>
      <c r="H503" s="83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2.75">
      <c r="A504" s="6"/>
      <c r="B504" s="6"/>
      <c r="C504" s="6"/>
      <c r="D504" s="6"/>
      <c r="E504" s="6"/>
      <c r="F504" s="6"/>
      <c r="G504" s="6"/>
      <c r="H504" s="83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2.75">
      <c r="A505" s="6"/>
      <c r="B505" s="6"/>
      <c r="C505" s="6"/>
      <c r="D505" s="6"/>
      <c r="E505" s="6"/>
      <c r="F505" s="6"/>
      <c r="G505" s="6"/>
      <c r="H505" s="83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2.75">
      <c r="A506" s="6"/>
      <c r="B506" s="6"/>
      <c r="C506" s="6"/>
      <c r="D506" s="6"/>
      <c r="E506" s="6"/>
      <c r="F506" s="6"/>
      <c r="G506" s="6"/>
      <c r="H506" s="83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2.75">
      <c r="A507" s="6"/>
      <c r="B507" s="6"/>
      <c r="C507" s="6"/>
      <c r="D507" s="6"/>
      <c r="E507" s="6"/>
      <c r="F507" s="6"/>
      <c r="G507" s="6"/>
      <c r="H507" s="83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2.75">
      <c r="A508" s="6"/>
      <c r="B508" s="6"/>
      <c r="C508" s="6"/>
      <c r="D508" s="6"/>
      <c r="E508" s="6"/>
      <c r="F508" s="6"/>
      <c r="G508" s="6"/>
      <c r="H508" s="83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2.75">
      <c r="A509" s="6"/>
      <c r="B509" s="6"/>
      <c r="C509" s="6"/>
      <c r="D509" s="6"/>
      <c r="E509" s="6"/>
      <c r="F509" s="6"/>
      <c r="G509" s="6"/>
      <c r="H509" s="83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2.75">
      <c r="A510" s="6"/>
      <c r="B510" s="6"/>
      <c r="C510" s="6"/>
      <c r="D510" s="6"/>
      <c r="E510" s="6"/>
      <c r="F510" s="6"/>
      <c r="G510" s="6"/>
      <c r="H510" s="83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2.75">
      <c r="A511" s="6"/>
      <c r="B511" s="6"/>
      <c r="C511" s="6"/>
      <c r="D511" s="6"/>
      <c r="E511" s="6"/>
      <c r="F511" s="6"/>
      <c r="G511" s="6"/>
      <c r="H511" s="83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2.75">
      <c r="A512" s="6"/>
      <c r="B512" s="6"/>
      <c r="C512" s="6"/>
      <c r="D512" s="6"/>
      <c r="E512" s="6"/>
      <c r="F512" s="6"/>
      <c r="G512" s="6"/>
      <c r="H512" s="83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2.75">
      <c r="A513" s="6"/>
      <c r="B513" s="6"/>
      <c r="C513" s="6"/>
      <c r="D513" s="6"/>
      <c r="E513" s="6"/>
      <c r="F513" s="6"/>
      <c r="G513" s="6"/>
      <c r="H513" s="83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2.75">
      <c r="A514" s="6"/>
      <c r="B514" s="6"/>
      <c r="C514" s="6"/>
      <c r="D514" s="6"/>
      <c r="E514" s="6"/>
      <c r="F514" s="6"/>
      <c r="G514" s="6"/>
      <c r="H514" s="83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2.75">
      <c r="A515" s="6"/>
      <c r="B515" s="6"/>
      <c r="C515" s="6"/>
      <c r="D515" s="6"/>
      <c r="E515" s="6"/>
      <c r="F515" s="6"/>
      <c r="G515" s="6"/>
      <c r="H515" s="83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2.75">
      <c r="A516" s="6"/>
      <c r="B516" s="6"/>
      <c r="C516" s="6"/>
      <c r="D516" s="6"/>
      <c r="E516" s="6"/>
      <c r="F516" s="6"/>
      <c r="G516" s="6"/>
      <c r="H516" s="83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2.75">
      <c r="A517" s="6"/>
      <c r="B517" s="6"/>
      <c r="C517" s="6"/>
      <c r="D517" s="6"/>
      <c r="E517" s="6"/>
      <c r="F517" s="6"/>
      <c r="G517" s="6"/>
      <c r="H517" s="83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2.75">
      <c r="A518" s="6"/>
      <c r="B518" s="6"/>
      <c r="C518" s="6"/>
      <c r="D518" s="6"/>
      <c r="E518" s="6"/>
      <c r="F518" s="6"/>
      <c r="G518" s="6"/>
      <c r="H518" s="83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2.75">
      <c r="A519" s="6"/>
      <c r="B519" s="6"/>
      <c r="C519" s="6"/>
      <c r="D519" s="6"/>
      <c r="E519" s="6"/>
      <c r="F519" s="6"/>
      <c r="G519" s="6"/>
      <c r="H519" s="83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2.75">
      <c r="A520" s="6"/>
      <c r="B520" s="6"/>
      <c r="C520" s="6"/>
      <c r="D520" s="6"/>
      <c r="E520" s="6"/>
      <c r="F520" s="6"/>
      <c r="G520" s="6"/>
      <c r="H520" s="83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2.75">
      <c r="A521" s="6"/>
      <c r="B521" s="6"/>
      <c r="C521" s="6"/>
      <c r="D521" s="6"/>
      <c r="E521" s="6"/>
      <c r="F521" s="6"/>
      <c r="G521" s="6"/>
      <c r="H521" s="83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2.75">
      <c r="A522" s="6"/>
      <c r="B522" s="6"/>
      <c r="C522" s="6"/>
      <c r="D522" s="6"/>
      <c r="E522" s="6"/>
      <c r="F522" s="6"/>
      <c r="G522" s="6"/>
      <c r="H522" s="83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2.75">
      <c r="A523" s="6"/>
      <c r="B523" s="6"/>
      <c r="C523" s="6"/>
      <c r="D523" s="6"/>
      <c r="E523" s="6"/>
      <c r="F523" s="6"/>
      <c r="G523" s="6"/>
      <c r="H523" s="83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2.75">
      <c r="A524" s="6"/>
      <c r="B524" s="6"/>
      <c r="C524" s="6"/>
      <c r="D524" s="6"/>
      <c r="E524" s="6"/>
      <c r="F524" s="6"/>
      <c r="G524" s="6"/>
      <c r="H524" s="83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2.75">
      <c r="A525" s="6"/>
      <c r="B525" s="6"/>
      <c r="C525" s="6"/>
      <c r="D525" s="6"/>
      <c r="E525" s="6"/>
      <c r="F525" s="6"/>
      <c r="G525" s="6"/>
      <c r="H525" s="83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2.75">
      <c r="A526" s="6"/>
      <c r="B526" s="6"/>
      <c r="C526" s="6"/>
      <c r="D526" s="6"/>
      <c r="E526" s="6"/>
      <c r="F526" s="6"/>
      <c r="G526" s="6"/>
      <c r="H526" s="83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2.75">
      <c r="A527" s="6"/>
      <c r="B527" s="6"/>
      <c r="C527" s="6"/>
      <c r="D527" s="6"/>
      <c r="E527" s="6"/>
      <c r="F527" s="6"/>
      <c r="G527" s="6"/>
      <c r="H527" s="83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2.75">
      <c r="A528" s="6"/>
      <c r="B528" s="6"/>
      <c r="C528" s="6"/>
      <c r="D528" s="6"/>
      <c r="E528" s="6"/>
      <c r="F528" s="6"/>
      <c r="G528" s="6"/>
      <c r="H528" s="83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2.75">
      <c r="A529" s="6"/>
      <c r="B529" s="6"/>
      <c r="C529" s="6"/>
      <c r="D529" s="6"/>
      <c r="E529" s="6"/>
      <c r="F529" s="6"/>
      <c r="G529" s="6"/>
      <c r="H529" s="83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2.75">
      <c r="A530" s="6"/>
      <c r="B530" s="6"/>
      <c r="C530" s="6"/>
      <c r="D530" s="6"/>
      <c r="E530" s="6"/>
      <c r="F530" s="6"/>
      <c r="G530" s="6"/>
      <c r="H530" s="83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2.75">
      <c r="A531" s="6"/>
      <c r="B531" s="6"/>
      <c r="C531" s="6"/>
      <c r="D531" s="6"/>
      <c r="E531" s="6"/>
      <c r="F531" s="6"/>
      <c r="G531" s="6"/>
      <c r="H531" s="83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2.75">
      <c r="A532" s="6"/>
      <c r="B532" s="6"/>
      <c r="C532" s="6"/>
      <c r="D532" s="6"/>
      <c r="E532" s="6"/>
      <c r="F532" s="6"/>
      <c r="G532" s="6"/>
      <c r="H532" s="83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2.75">
      <c r="A533" s="6"/>
      <c r="B533" s="6"/>
      <c r="C533" s="6"/>
      <c r="D533" s="6"/>
      <c r="E533" s="6"/>
      <c r="F533" s="6"/>
      <c r="G533" s="6"/>
      <c r="H533" s="83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2.75">
      <c r="A534" s="6"/>
      <c r="B534" s="6"/>
      <c r="C534" s="6"/>
      <c r="D534" s="6"/>
      <c r="E534" s="6"/>
      <c r="F534" s="6"/>
      <c r="G534" s="6"/>
      <c r="H534" s="83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2.75">
      <c r="A535" s="6"/>
      <c r="B535" s="6"/>
      <c r="C535" s="6"/>
      <c r="D535" s="6"/>
      <c r="E535" s="6"/>
      <c r="F535" s="6"/>
      <c r="G535" s="6"/>
      <c r="H535" s="83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2.75">
      <c r="A536" s="6"/>
      <c r="B536" s="6"/>
      <c r="C536" s="6"/>
      <c r="D536" s="6"/>
      <c r="E536" s="6"/>
      <c r="F536" s="6"/>
      <c r="G536" s="6"/>
      <c r="H536" s="83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2.75">
      <c r="A537" s="6"/>
      <c r="B537" s="6"/>
      <c r="C537" s="6"/>
      <c r="D537" s="6"/>
      <c r="E537" s="6"/>
      <c r="F537" s="6"/>
      <c r="G537" s="6"/>
      <c r="H537" s="83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2.75">
      <c r="A538" s="6"/>
      <c r="B538" s="6"/>
      <c r="C538" s="6"/>
      <c r="D538" s="6"/>
      <c r="E538" s="6"/>
      <c r="F538" s="6"/>
      <c r="G538" s="6"/>
      <c r="H538" s="83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2.75">
      <c r="A539" s="6"/>
      <c r="B539" s="6"/>
      <c r="C539" s="6"/>
      <c r="D539" s="6"/>
      <c r="E539" s="6"/>
      <c r="F539" s="6"/>
      <c r="G539" s="6"/>
      <c r="H539" s="83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2.75">
      <c r="A540" s="6"/>
      <c r="B540" s="6"/>
      <c r="C540" s="6"/>
      <c r="D540" s="6"/>
      <c r="E540" s="6"/>
      <c r="F540" s="6"/>
      <c r="G540" s="6"/>
      <c r="H540" s="83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2.75">
      <c r="A541" s="6"/>
      <c r="B541" s="6"/>
      <c r="C541" s="6"/>
      <c r="D541" s="6"/>
      <c r="E541" s="6"/>
      <c r="F541" s="6"/>
      <c r="G541" s="6"/>
      <c r="H541" s="83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2.75">
      <c r="A542" s="6"/>
      <c r="B542" s="6"/>
      <c r="C542" s="6"/>
      <c r="D542" s="6"/>
      <c r="E542" s="6"/>
      <c r="F542" s="6"/>
      <c r="G542" s="6"/>
      <c r="H542" s="83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2.75">
      <c r="A543" s="6"/>
      <c r="B543" s="6"/>
      <c r="C543" s="6"/>
      <c r="D543" s="6"/>
      <c r="E543" s="6"/>
      <c r="F543" s="6"/>
      <c r="G543" s="6"/>
      <c r="H543" s="83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2.75">
      <c r="A544" s="6"/>
      <c r="B544" s="6"/>
      <c r="C544" s="6"/>
      <c r="D544" s="6"/>
      <c r="E544" s="6"/>
      <c r="F544" s="6"/>
      <c r="G544" s="6"/>
      <c r="H544" s="83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2.75">
      <c r="A545" s="6"/>
      <c r="B545" s="6"/>
      <c r="C545" s="6"/>
      <c r="D545" s="6"/>
      <c r="E545" s="6"/>
      <c r="F545" s="6"/>
      <c r="G545" s="6"/>
      <c r="H545" s="83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2.75">
      <c r="A546" s="6"/>
      <c r="B546" s="6"/>
      <c r="C546" s="6"/>
      <c r="D546" s="6"/>
      <c r="E546" s="6"/>
      <c r="F546" s="6"/>
      <c r="G546" s="6"/>
      <c r="H546" s="83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2.75">
      <c r="A547" s="6"/>
      <c r="B547" s="6"/>
      <c r="C547" s="6"/>
      <c r="D547" s="6"/>
      <c r="E547" s="6"/>
      <c r="F547" s="6"/>
      <c r="G547" s="6"/>
      <c r="H547" s="83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2.75">
      <c r="A548" s="6"/>
      <c r="B548" s="6"/>
      <c r="C548" s="6"/>
      <c r="D548" s="6"/>
      <c r="E548" s="6"/>
      <c r="F548" s="6"/>
      <c r="G548" s="6"/>
      <c r="H548" s="83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2.75">
      <c r="A549" s="6"/>
      <c r="B549" s="6"/>
      <c r="C549" s="6"/>
      <c r="D549" s="6"/>
      <c r="E549" s="6"/>
      <c r="F549" s="6"/>
      <c r="G549" s="6"/>
      <c r="H549" s="83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2.75">
      <c r="A550" s="6"/>
      <c r="B550" s="6"/>
      <c r="C550" s="6"/>
      <c r="D550" s="6"/>
      <c r="E550" s="6"/>
      <c r="F550" s="6"/>
      <c r="G550" s="6"/>
      <c r="H550" s="83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2.75">
      <c r="A551" s="6"/>
      <c r="B551" s="6"/>
      <c r="C551" s="6"/>
      <c r="D551" s="6"/>
      <c r="E551" s="6"/>
      <c r="F551" s="6"/>
      <c r="G551" s="6"/>
      <c r="H551" s="83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2.75">
      <c r="A552" s="6"/>
      <c r="B552" s="6"/>
      <c r="C552" s="6"/>
      <c r="D552" s="6"/>
      <c r="E552" s="6"/>
      <c r="F552" s="6"/>
      <c r="G552" s="6"/>
      <c r="H552" s="83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2.75">
      <c r="A553" s="6"/>
      <c r="B553" s="6"/>
      <c r="C553" s="6"/>
      <c r="D553" s="6"/>
      <c r="E553" s="6"/>
      <c r="F553" s="6"/>
      <c r="G553" s="6"/>
      <c r="H553" s="83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2.75">
      <c r="A554" s="6"/>
      <c r="B554" s="6"/>
      <c r="C554" s="6"/>
      <c r="D554" s="6"/>
      <c r="E554" s="6"/>
      <c r="F554" s="6"/>
      <c r="G554" s="6"/>
      <c r="H554" s="83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2.75">
      <c r="A555" s="6"/>
      <c r="B555" s="6"/>
      <c r="C555" s="6"/>
      <c r="D555" s="6"/>
      <c r="E555" s="6"/>
      <c r="F555" s="6"/>
      <c r="G555" s="6"/>
      <c r="H555" s="83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2.75">
      <c r="A556" s="6"/>
      <c r="B556" s="6"/>
      <c r="C556" s="6"/>
      <c r="D556" s="6"/>
      <c r="E556" s="6"/>
      <c r="F556" s="6"/>
      <c r="G556" s="6"/>
      <c r="H556" s="83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2.75">
      <c r="A557" s="6"/>
      <c r="B557" s="6"/>
      <c r="C557" s="6"/>
      <c r="D557" s="6"/>
      <c r="E557" s="6"/>
      <c r="F557" s="6"/>
      <c r="G557" s="6"/>
      <c r="H557" s="83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2.75">
      <c r="A558" s="6"/>
      <c r="B558" s="6"/>
      <c r="C558" s="6"/>
      <c r="D558" s="6"/>
      <c r="E558" s="6"/>
      <c r="F558" s="6"/>
      <c r="G558" s="6"/>
      <c r="H558" s="83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2.75">
      <c r="A559" s="6"/>
      <c r="B559" s="6"/>
      <c r="C559" s="6"/>
      <c r="D559" s="6"/>
      <c r="E559" s="6"/>
      <c r="F559" s="6"/>
      <c r="G559" s="6"/>
      <c r="H559" s="83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2.75">
      <c r="A560" s="6"/>
      <c r="B560" s="6"/>
      <c r="C560" s="6"/>
      <c r="D560" s="6"/>
      <c r="E560" s="6"/>
      <c r="F560" s="6"/>
      <c r="G560" s="6"/>
      <c r="H560" s="83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2.75">
      <c r="A561" s="6"/>
      <c r="B561" s="6"/>
      <c r="C561" s="6"/>
      <c r="D561" s="6"/>
      <c r="E561" s="6"/>
      <c r="F561" s="6"/>
      <c r="G561" s="6"/>
      <c r="H561" s="83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2.75">
      <c r="A562" s="6"/>
      <c r="B562" s="6"/>
      <c r="C562" s="6"/>
      <c r="D562" s="6"/>
      <c r="E562" s="6"/>
      <c r="F562" s="6"/>
      <c r="G562" s="6"/>
      <c r="H562" s="83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2.75">
      <c r="A563" s="6"/>
      <c r="B563" s="6"/>
      <c r="C563" s="6"/>
      <c r="D563" s="6"/>
      <c r="E563" s="6"/>
      <c r="F563" s="6"/>
      <c r="G563" s="6"/>
      <c r="H563" s="83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2.75">
      <c r="A564" s="6"/>
      <c r="B564" s="6"/>
      <c r="C564" s="6"/>
      <c r="D564" s="6"/>
      <c r="E564" s="6"/>
      <c r="F564" s="6"/>
      <c r="G564" s="6"/>
      <c r="H564" s="83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2.75">
      <c r="A565" s="6"/>
      <c r="B565" s="6"/>
      <c r="C565" s="6"/>
      <c r="D565" s="6"/>
      <c r="E565" s="6"/>
      <c r="F565" s="6"/>
      <c r="G565" s="6"/>
      <c r="H565" s="83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2.75">
      <c r="A566" s="6"/>
      <c r="B566" s="6"/>
      <c r="C566" s="6"/>
      <c r="D566" s="6"/>
      <c r="E566" s="6"/>
      <c r="F566" s="6"/>
      <c r="G566" s="6"/>
      <c r="H566" s="83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2.75">
      <c r="A567" s="6"/>
      <c r="B567" s="6"/>
      <c r="C567" s="6"/>
      <c r="D567" s="6"/>
      <c r="E567" s="6"/>
      <c r="F567" s="6"/>
      <c r="G567" s="6"/>
      <c r="H567" s="83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2.75">
      <c r="A568" s="6"/>
      <c r="B568" s="6"/>
      <c r="C568" s="6"/>
      <c r="D568" s="6"/>
      <c r="E568" s="6"/>
      <c r="F568" s="6"/>
      <c r="G568" s="6"/>
      <c r="H568" s="83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2.75">
      <c r="A569" s="6"/>
      <c r="B569" s="6"/>
      <c r="C569" s="6"/>
      <c r="D569" s="6"/>
      <c r="E569" s="6"/>
      <c r="F569" s="6"/>
      <c r="G569" s="6"/>
      <c r="H569" s="83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2.75">
      <c r="A570" s="6"/>
      <c r="B570" s="6"/>
      <c r="C570" s="6"/>
      <c r="D570" s="6"/>
      <c r="E570" s="6"/>
      <c r="F570" s="6"/>
      <c r="G570" s="6"/>
      <c r="H570" s="83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2.75">
      <c r="A571" s="6"/>
      <c r="B571" s="6"/>
      <c r="C571" s="6"/>
      <c r="D571" s="6"/>
      <c r="E571" s="6"/>
      <c r="F571" s="6"/>
      <c r="G571" s="6"/>
      <c r="H571" s="83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2.75">
      <c r="A572" s="6"/>
      <c r="B572" s="6"/>
      <c r="C572" s="6"/>
      <c r="D572" s="6"/>
      <c r="E572" s="6"/>
      <c r="F572" s="6"/>
      <c r="G572" s="6"/>
      <c r="H572" s="83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2.75">
      <c r="A573" s="6"/>
      <c r="B573" s="6"/>
      <c r="C573" s="6"/>
      <c r="D573" s="6"/>
      <c r="E573" s="6"/>
      <c r="F573" s="6"/>
      <c r="G573" s="6"/>
      <c r="H573" s="83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2.75">
      <c r="A574" s="6"/>
      <c r="B574" s="6"/>
      <c r="C574" s="6"/>
      <c r="D574" s="6"/>
      <c r="E574" s="6"/>
      <c r="F574" s="6"/>
      <c r="G574" s="6"/>
      <c r="H574" s="83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2.75">
      <c r="A575" s="6"/>
      <c r="B575" s="6"/>
      <c r="C575" s="6"/>
      <c r="D575" s="6"/>
      <c r="E575" s="6"/>
      <c r="F575" s="6"/>
      <c r="G575" s="6"/>
      <c r="H575" s="83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2.75">
      <c r="A576" s="6"/>
      <c r="B576" s="6"/>
      <c r="C576" s="6"/>
      <c r="D576" s="6"/>
      <c r="E576" s="6"/>
      <c r="F576" s="6"/>
      <c r="G576" s="6"/>
      <c r="H576" s="83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2.75">
      <c r="A577" s="6"/>
      <c r="B577" s="6"/>
      <c r="C577" s="6"/>
      <c r="D577" s="6"/>
      <c r="E577" s="6"/>
      <c r="F577" s="6"/>
      <c r="G577" s="6"/>
      <c r="H577" s="83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2.75">
      <c r="A578" s="6"/>
      <c r="B578" s="6"/>
      <c r="C578" s="6"/>
      <c r="D578" s="6"/>
      <c r="E578" s="6"/>
      <c r="F578" s="6"/>
      <c r="G578" s="6"/>
      <c r="H578" s="83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2.75">
      <c r="A579" s="6"/>
      <c r="B579" s="6"/>
      <c r="C579" s="6"/>
      <c r="D579" s="6"/>
      <c r="E579" s="6"/>
      <c r="F579" s="6"/>
      <c r="G579" s="6"/>
      <c r="H579" s="83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2.75">
      <c r="A580" s="6"/>
      <c r="B580" s="6"/>
      <c r="C580" s="6"/>
      <c r="D580" s="6"/>
      <c r="E580" s="6"/>
      <c r="F580" s="6"/>
      <c r="G580" s="6"/>
      <c r="H580" s="83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2.75">
      <c r="A581" s="6"/>
      <c r="B581" s="6"/>
      <c r="C581" s="6"/>
      <c r="D581" s="6"/>
      <c r="E581" s="6"/>
      <c r="F581" s="6"/>
      <c r="G581" s="6"/>
      <c r="H581" s="83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2.75">
      <c r="A582" s="6"/>
      <c r="B582" s="6"/>
      <c r="C582" s="6"/>
      <c r="D582" s="6"/>
      <c r="E582" s="6"/>
      <c r="F582" s="6"/>
      <c r="G582" s="6"/>
      <c r="H582" s="83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2.75">
      <c r="A583" s="6"/>
      <c r="B583" s="6"/>
      <c r="C583" s="6"/>
      <c r="D583" s="6"/>
      <c r="E583" s="6"/>
      <c r="F583" s="6"/>
      <c r="G583" s="6"/>
      <c r="H583" s="83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2.75">
      <c r="A584" s="6"/>
      <c r="B584" s="6"/>
      <c r="C584" s="6"/>
      <c r="D584" s="6"/>
      <c r="E584" s="6"/>
      <c r="F584" s="6"/>
      <c r="G584" s="6"/>
      <c r="H584" s="83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2.75">
      <c r="A585" s="6"/>
      <c r="B585" s="6"/>
      <c r="C585" s="6"/>
      <c r="D585" s="6"/>
      <c r="E585" s="6"/>
      <c r="F585" s="6"/>
      <c r="G585" s="6"/>
      <c r="H585" s="83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2.75">
      <c r="A586" s="6"/>
      <c r="B586" s="6"/>
      <c r="C586" s="6"/>
      <c r="D586" s="6"/>
      <c r="E586" s="6"/>
      <c r="F586" s="6"/>
      <c r="G586" s="6"/>
      <c r="H586" s="83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2.75">
      <c r="A587" s="6"/>
      <c r="B587" s="6"/>
      <c r="C587" s="6"/>
      <c r="D587" s="6"/>
      <c r="E587" s="6"/>
      <c r="F587" s="6"/>
      <c r="G587" s="6"/>
      <c r="H587" s="83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2.75">
      <c r="A588" s="6"/>
      <c r="B588" s="6"/>
      <c r="C588" s="6"/>
      <c r="D588" s="6"/>
      <c r="E588" s="6"/>
      <c r="F588" s="6"/>
      <c r="G588" s="6"/>
      <c r="H588" s="83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2.75">
      <c r="A589" s="6"/>
      <c r="B589" s="6"/>
      <c r="C589" s="6"/>
      <c r="D589" s="6"/>
      <c r="E589" s="6"/>
      <c r="F589" s="6"/>
      <c r="G589" s="6"/>
      <c r="H589" s="83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2.75">
      <c r="A590" s="6"/>
      <c r="B590" s="6"/>
      <c r="C590" s="6"/>
      <c r="D590" s="6"/>
      <c r="E590" s="6"/>
      <c r="F590" s="6"/>
      <c r="G590" s="6"/>
      <c r="H590" s="83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2.75">
      <c r="A591" s="6"/>
      <c r="B591" s="6"/>
      <c r="C591" s="6"/>
      <c r="D591" s="6"/>
      <c r="E591" s="6"/>
      <c r="F591" s="6"/>
      <c r="G591" s="6"/>
      <c r="H591" s="83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2.75">
      <c r="A592" s="6"/>
      <c r="B592" s="6"/>
      <c r="C592" s="6"/>
      <c r="D592" s="6"/>
      <c r="E592" s="6"/>
      <c r="F592" s="6"/>
      <c r="G592" s="6"/>
      <c r="H592" s="83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2.75">
      <c r="A593" s="6"/>
      <c r="B593" s="6"/>
      <c r="C593" s="6"/>
      <c r="D593" s="6"/>
      <c r="E593" s="6"/>
      <c r="F593" s="6"/>
      <c r="G593" s="6"/>
      <c r="H593" s="83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2.75">
      <c r="A594" s="6"/>
      <c r="B594" s="6"/>
      <c r="C594" s="6"/>
      <c r="D594" s="6"/>
      <c r="E594" s="6"/>
      <c r="F594" s="6"/>
      <c r="G594" s="6"/>
      <c r="H594" s="83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2.75">
      <c r="A595" s="6"/>
      <c r="B595" s="6"/>
      <c r="C595" s="6"/>
      <c r="D595" s="6"/>
      <c r="E595" s="6"/>
      <c r="F595" s="6"/>
      <c r="G595" s="6"/>
      <c r="H595" s="83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2.75">
      <c r="A596" s="6"/>
      <c r="B596" s="6"/>
      <c r="C596" s="6"/>
      <c r="D596" s="6"/>
      <c r="E596" s="6"/>
      <c r="F596" s="6"/>
      <c r="G596" s="6"/>
      <c r="H596" s="83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2.75">
      <c r="A597" s="6"/>
      <c r="B597" s="6"/>
      <c r="C597" s="6"/>
      <c r="D597" s="6"/>
      <c r="E597" s="6"/>
      <c r="F597" s="6"/>
      <c r="G597" s="6"/>
      <c r="H597" s="83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2.75">
      <c r="A598" s="6"/>
      <c r="B598" s="6"/>
      <c r="C598" s="6"/>
      <c r="D598" s="6"/>
      <c r="E598" s="6"/>
      <c r="F598" s="6"/>
      <c r="G598" s="6"/>
      <c r="H598" s="83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2.75">
      <c r="A599" s="6"/>
      <c r="B599" s="6"/>
      <c r="C599" s="6"/>
      <c r="D599" s="6"/>
      <c r="E599" s="6"/>
      <c r="F599" s="6"/>
      <c r="G599" s="6"/>
      <c r="H599" s="83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2.75">
      <c r="A600" s="6"/>
      <c r="B600" s="6"/>
      <c r="C600" s="6"/>
      <c r="D600" s="6"/>
      <c r="E600" s="6"/>
      <c r="F600" s="6"/>
      <c r="G600" s="6"/>
      <c r="H600" s="83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2.75">
      <c r="A601" s="6"/>
      <c r="B601" s="6"/>
      <c r="C601" s="6"/>
      <c r="D601" s="6"/>
      <c r="E601" s="6"/>
      <c r="F601" s="6"/>
      <c r="G601" s="6"/>
      <c r="H601" s="83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2.75">
      <c r="A602" s="6"/>
      <c r="B602" s="6"/>
      <c r="C602" s="6"/>
      <c r="D602" s="6"/>
      <c r="E602" s="6"/>
      <c r="F602" s="6"/>
      <c r="G602" s="6"/>
      <c r="H602" s="83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2.75">
      <c r="A603" s="6"/>
      <c r="B603" s="6"/>
      <c r="C603" s="6"/>
      <c r="D603" s="6"/>
      <c r="E603" s="6"/>
      <c r="F603" s="6"/>
      <c r="G603" s="6"/>
      <c r="H603" s="83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2.75">
      <c r="A604" s="6"/>
      <c r="B604" s="6"/>
      <c r="C604" s="6"/>
      <c r="D604" s="6"/>
      <c r="E604" s="6"/>
      <c r="F604" s="6"/>
      <c r="G604" s="6"/>
      <c r="H604" s="83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2.75">
      <c r="A605" s="6"/>
      <c r="B605" s="6"/>
      <c r="C605" s="6"/>
      <c r="D605" s="6"/>
      <c r="E605" s="6"/>
      <c r="F605" s="6"/>
      <c r="G605" s="6"/>
      <c r="H605" s="83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2.75">
      <c r="A606" s="6"/>
      <c r="B606" s="6"/>
      <c r="C606" s="6"/>
      <c r="D606" s="6"/>
      <c r="E606" s="6"/>
      <c r="F606" s="6"/>
      <c r="G606" s="6"/>
      <c r="H606" s="83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2.75">
      <c r="A607" s="6"/>
      <c r="B607" s="6"/>
      <c r="C607" s="6"/>
      <c r="D607" s="6"/>
      <c r="E607" s="6"/>
      <c r="F607" s="6"/>
      <c r="G607" s="6"/>
      <c r="H607" s="83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2.75">
      <c r="A608" s="6"/>
      <c r="B608" s="6"/>
      <c r="C608" s="6"/>
      <c r="D608" s="6"/>
      <c r="E608" s="6"/>
      <c r="F608" s="6"/>
      <c r="G608" s="6"/>
      <c r="H608" s="83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2.75">
      <c r="A609" s="6"/>
      <c r="B609" s="6"/>
      <c r="C609" s="6"/>
      <c r="D609" s="6"/>
      <c r="E609" s="6"/>
      <c r="F609" s="6"/>
      <c r="G609" s="6"/>
      <c r="H609" s="83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2.75">
      <c r="A610" s="6"/>
      <c r="B610" s="6"/>
      <c r="C610" s="6"/>
      <c r="D610" s="6"/>
      <c r="E610" s="6"/>
      <c r="F610" s="6"/>
      <c r="G610" s="6"/>
      <c r="H610" s="83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2.75">
      <c r="A611" s="6"/>
      <c r="B611" s="6"/>
      <c r="C611" s="6"/>
      <c r="D611" s="6"/>
      <c r="E611" s="6"/>
      <c r="F611" s="6"/>
      <c r="G611" s="6"/>
      <c r="H611" s="83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2.75">
      <c r="A612" s="6"/>
      <c r="B612" s="6"/>
      <c r="C612" s="6"/>
      <c r="D612" s="6"/>
      <c r="E612" s="6"/>
      <c r="F612" s="6"/>
      <c r="G612" s="6"/>
      <c r="H612" s="83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2.75">
      <c r="A613" s="6"/>
      <c r="B613" s="6"/>
      <c r="C613" s="6"/>
      <c r="D613" s="6"/>
      <c r="E613" s="6"/>
      <c r="F613" s="6"/>
      <c r="G613" s="6"/>
      <c r="H613" s="83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2.75">
      <c r="A614" s="6"/>
      <c r="B614" s="6"/>
      <c r="C614" s="6"/>
      <c r="D614" s="6"/>
      <c r="E614" s="6"/>
      <c r="F614" s="6"/>
      <c r="G614" s="6"/>
      <c r="H614" s="83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2.75">
      <c r="A615" s="6"/>
      <c r="B615" s="6"/>
      <c r="C615" s="6"/>
      <c r="D615" s="6"/>
      <c r="E615" s="6"/>
      <c r="F615" s="6"/>
      <c r="G615" s="6"/>
      <c r="H615" s="83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2.75">
      <c r="A616" s="6"/>
      <c r="B616" s="6"/>
      <c r="C616" s="6"/>
      <c r="D616" s="6"/>
      <c r="E616" s="6"/>
      <c r="F616" s="6"/>
      <c r="G616" s="6"/>
      <c r="H616" s="83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2.75">
      <c r="A617" s="6"/>
      <c r="B617" s="6"/>
      <c r="C617" s="6"/>
      <c r="D617" s="6"/>
      <c r="E617" s="6"/>
      <c r="F617" s="6"/>
      <c r="G617" s="6"/>
      <c r="H617" s="83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2.75">
      <c r="A618" s="6"/>
      <c r="B618" s="6"/>
      <c r="C618" s="6"/>
      <c r="D618" s="6"/>
      <c r="E618" s="6"/>
      <c r="F618" s="6"/>
      <c r="G618" s="6"/>
      <c r="H618" s="83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2.75">
      <c r="A619" s="6"/>
      <c r="B619" s="6"/>
      <c r="C619" s="6"/>
      <c r="D619" s="6"/>
      <c r="E619" s="6"/>
      <c r="F619" s="6"/>
      <c r="G619" s="6"/>
      <c r="H619" s="83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2.75">
      <c r="A620" s="6"/>
      <c r="B620" s="6"/>
      <c r="C620" s="6"/>
      <c r="D620" s="6"/>
      <c r="E620" s="6"/>
      <c r="F620" s="6"/>
      <c r="G620" s="6"/>
      <c r="H620" s="83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2.75">
      <c r="A621" s="6"/>
      <c r="B621" s="6"/>
      <c r="C621" s="6"/>
      <c r="D621" s="6"/>
      <c r="E621" s="6"/>
      <c r="F621" s="6"/>
      <c r="G621" s="6"/>
      <c r="H621" s="83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2.75">
      <c r="A622" s="6"/>
      <c r="B622" s="6"/>
      <c r="C622" s="6"/>
      <c r="D622" s="6"/>
      <c r="E622" s="6"/>
      <c r="F622" s="6"/>
      <c r="G622" s="6"/>
      <c r="H622" s="83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2.75">
      <c r="A623" s="6"/>
      <c r="B623" s="6"/>
      <c r="C623" s="6"/>
      <c r="D623" s="6"/>
      <c r="E623" s="6"/>
      <c r="F623" s="6"/>
      <c r="G623" s="6"/>
      <c r="H623" s="83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2.75">
      <c r="A624" s="6"/>
      <c r="B624" s="6"/>
      <c r="C624" s="6"/>
      <c r="D624" s="6"/>
      <c r="E624" s="6"/>
      <c r="F624" s="6"/>
      <c r="G624" s="6"/>
      <c r="H624" s="83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2.75">
      <c r="A625" s="6"/>
      <c r="B625" s="6"/>
      <c r="C625" s="6"/>
      <c r="D625" s="6"/>
      <c r="E625" s="6"/>
      <c r="F625" s="6"/>
      <c r="G625" s="6"/>
      <c r="H625" s="83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2.75">
      <c r="A626" s="6"/>
      <c r="B626" s="6"/>
      <c r="C626" s="6"/>
      <c r="D626" s="6"/>
      <c r="E626" s="6"/>
      <c r="F626" s="6"/>
      <c r="G626" s="6"/>
      <c r="H626" s="83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2.75">
      <c r="A627" s="6"/>
      <c r="B627" s="6"/>
      <c r="C627" s="6"/>
      <c r="D627" s="6"/>
      <c r="E627" s="6"/>
      <c r="F627" s="6"/>
      <c r="G627" s="6"/>
      <c r="H627" s="83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2.75">
      <c r="A628" s="6"/>
      <c r="B628" s="6"/>
      <c r="C628" s="6"/>
      <c r="D628" s="6"/>
      <c r="E628" s="6"/>
      <c r="F628" s="6"/>
      <c r="G628" s="6"/>
      <c r="H628" s="83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2.75">
      <c r="A629" s="6"/>
      <c r="B629" s="6"/>
      <c r="C629" s="6"/>
      <c r="D629" s="6"/>
      <c r="E629" s="6"/>
      <c r="F629" s="6"/>
      <c r="G629" s="6"/>
      <c r="H629" s="83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2.75">
      <c r="A630" s="6"/>
      <c r="B630" s="6"/>
      <c r="C630" s="6"/>
      <c r="D630" s="6"/>
      <c r="E630" s="6"/>
      <c r="F630" s="6"/>
      <c r="G630" s="6"/>
      <c r="H630" s="83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2.75">
      <c r="A631" s="6"/>
      <c r="B631" s="6"/>
      <c r="C631" s="6"/>
      <c r="D631" s="6"/>
      <c r="E631" s="6"/>
      <c r="F631" s="6"/>
      <c r="G631" s="6"/>
      <c r="H631" s="83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2.75">
      <c r="A632" s="6"/>
      <c r="B632" s="6"/>
      <c r="C632" s="6"/>
      <c r="D632" s="6"/>
      <c r="E632" s="6"/>
      <c r="F632" s="6"/>
      <c r="G632" s="6"/>
      <c r="H632" s="83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2.75">
      <c r="A633" s="6"/>
      <c r="B633" s="6"/>
      <c r="C633" s="6"/>
      <c r="D633" s="6"/>
      <c r="E633" s="6"/>
      <c r="F633" s="6"/>
      <c r="G633" s="6"/>
      <c r="H633" s="83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2.75">
      <c r="A634" s="6"/>
      <c r="B634" s="6"/>
      <c r="C634" s="6"/>
      <c r="D634" s="6"/>
      <c r="E634" s="6"/>
      <c r="F634" s="6"/>
      <c r="G634" s="6"/>
      <c r="H634" s="83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2.75">
      <c r="A635" s="6"/>
      <c r="B635" s="6"/>
      <c r="C635" s="6"/>
      <c r="D635" s="6"/>
      <c r="E635" s="6"/>
      <c r="F635" s="6"/>
      <c r="G635" s="6"/>
      <c r="H635" s="83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2.75">
      <c r="A636" s="6"/>
      <c r="B636" s="6"/>
      <c r="C636" s="6"/>
      <c r="D636" s="6"/>
      <c r="E636" s="6"/>
      <c r="F636" s="6"/>
      <c r="G636" s="6"/>
      <c r="H636" s="83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2.75">
      <c r="A637" s="6"/>
      <c r="B637" s="6"/>
      <c r="C637" s="6"/>
      <c r="D637" s="6"/>
      <c r="E637" s="6"/>
      <c r="F637" s="6"/>
      <c r="G637" s="6"/>
      <c r="H637" s="83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2.75">
      <c r="A638" s="6"/>
      <c r="B638" s="6"/>
      <c r="C638" s="6"/>
      <c r="D638" s="6"/>
      <c r="E638" s="6"/>
      <c r="F638" s="6"/>
      <c r="G638" s="6"/>
      <c r="H638" s="83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2.75">
      <c r="A639" s="6"/>
      <c r="B639" s="6"/>
      <c r="C639" s="6"/>
      <c r="D639" s="6"/>
      <c r="E639" s="6"/>
      <c r="F639" s="6"/>
      <c r="G639" s="6"/>
      <c r="H639" s="83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2.75">
      <c r="A640" s="6"/>
      <c r="B640" s="6"/>
      <c r="C640" s="6"/>
      <c r="D640" s="6"/>
      <c r="E640" s="6"/>
      <c r="F640" s="6"/>
      <c r="G640" s="6"/>
      <c r="H640" s="83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2.75">
      <c r="A641" s="6"/>
      <c r="B641" s="6"/>
      <c r="C641" s="6"/>
      <c r="D641" s="6"/>
      <c r="E641" s="6"/>
      <c r="F641" s="6"/>
      <c r="G641" s="6"/>
      <c r="H641" s="83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2.75">
      <c r="A642" s="6"/>
      <c r="B642" s="6"/>
      <c r="C642" s="6"/>
      <c r="D642" s="6"/>
      <c r="E642" s="6"/>
      <c r="F642" s="6"/>
      <c r="G642" s="6"/>
      <c r="H642" s="83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2.75">
      <c r="A643" s="6"/>
      <c r="B643" s="6"/>
      <c r="C643" s="6"/>
      <c r="D643" s="6"/>
      <c r="E643" s="6"/>
      <c r="F643" s="6"/>
      <c r="G643" s="6"/>
      <c r="H643" s="83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2.75">
      <c r="A644" s="6"/>
      <c r="B644" s="6"/>
      <c r="C644" s="6"/>
      <c r="D644" s="6"/>
      <c r="E644" s="6"/>
      <c r="F644" s="6"/>
      <c r="G644" s="6"/>
      <c r="H644" s="83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2.75">
      <c r="A645" s="6"/>
      <c r="B645" s="6"/>
      <c r="C645" s="6"/>
      <c r="D645" s="6"/>
      <c r="E645" s="6"/>
      <c r="F645" s="6"/>
      <c r="G645" s="6"/>
      <c r="H645" s="83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2.75">
      <c r="A646" s="6"/>
      <c r="B646" s="6"/>
      <c r="C646" s="6"/>
      <c r="D646" s="6"/>
      <c r="E646" s="6"/>
      <c r="F646" s="6"/>
      <c r="G646" s="6"/>
      <c r="H646" s="83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2.75">
      <c r="A647" s="6"/>
      <c r="B647" s="6"/>
      <c r="C647" s="6"/>
      <c r="D647" s="6"/>
      <c r="E647" s="6"/>
      <c r="F647" s="6"/>
      <c r="G647" s="6"/>
      <c r="H647" s="83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2.75">
      <c r="A648" s="6"/>
      <c r="B648" s="6"/>
      <c r="C648" s="6"/>
      <c r="D648" s="6"/>
      <c r="E648" s="6"/>
      <c r="F648" s="6"/>
      <c r="G648" s="6"/>
      <c r="H648" s="83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2.75">
      <c r="A649" s="6"/>
      <c r="B649" s="6"/>
      <c r="C649" s="6"/>
      <c r="D649" s="6"/>
      <c r="E649" s="6"/>
      <c r="F649" s="6"/>
      <c r="G649" s="6"/>
      <c r="H649" s="83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2.75">
      <c r="A650" s="6"/>
      <c r="B650" s="6"/>
      <c r="C650" s="6"/>
      <c r="D650" s="6"/>
      <c r="E650" s="6"/>
      <c r="F650" s="6"/>
      <c r="G650" s="6"/>
      <c r="H650" s="83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2.75">
      <c r="A651" s="6"/>
      <c r="B651" s="6"/>
      <c r="C651" s="6"/>
      <c r="D651" s="6"/>
      <c r="E651" s="6"/>
      <c r="F651" s="6"/>
      <c r="G651" s="6"/>
      <c r="H651" s="83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2.75">
      <c r="A652" s="6"/>
      <c r="B652" s="6"/>
      <c r="C652" s="6"/>
      <c r="D652" s="6"/>
      <c r="E652" s="6"/>
      <c r="F652" s="6"/>
      <c r="G652" s="6"/>
      <c r="H652" s="83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2.75">
      <c r="A653" s="6"/>
      <c r="B653" s="6"/>
      <c r="C653" s="6"/>
      <c r="D653" s="6"/>
      <c r="E653" s="6"/>
      <c r="F653" s="6"/>
      <c r="G653" s="6"/>
      <c r="H653" s="83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2.75">
      <c r="A654" s="6"/>
      <c r="B654" s="6"/>
      <c r="C654" s="6"/>
      <c r="D654" s="6"/>
      <c r="E654" s="6"/>
      <c r="F654" s="6"/>
      <c r="G654" s="6"/>
      <c r="H654" s="83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2.75">
      <c r="A655" s="6"/>
      <c r="B655" s="6"/>
      <c r="C655" s="6"/>
      <c r="D655" s="6"/>
      <c r="E655" s="6"/>
      <c r="F655" s="6"/>
      <c r="G655" s="6"/>
      <c r="H655" s="83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2.75">
      <c r="A656" s="6"/>
      <c r="B656" s="6"/>
      <c r="C656" s="6"/>
      <c r="D656" s="6"/>
      <c r="E656" s="6"/>
      <c r="F656" s="6"/>
      <c r="G656" s="6"/>
      <c r="H656" s="83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2.75">
      <c r="A657" s="6"/>
      <c r="B657" s="6"/>
      <c r="C657" s="6"/>
      <c r="D657" s="6"/>
      <c r="E657" s="6"/>
      <c r="F657" s="6"/>
      <c r="G657" s="6"/>
      <c r="H657" s="83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2.75">
      <c r="A658" s="6"/>
      <c r="B658" s="6"/>
      <c r="C658" s="6"/>
      <c r="D658" s="6"/>
      <c r="E658" s="6"/>
      <c r="F658" s="6"/>
      <c r="G658" s="6"/>
      <c r="H658" s="83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2.75">
      <c r="A659" s="6"/>
      <c r="B659" s="6"/>
      <c r="C659" s="6"/>
      <c r="D659" s="6"/>
      <c r="E659" s="6"/>
      <c r="F659" s="6"/>
      <c r="G659" s="6"/>
      <c r="H659" s="83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2.75">
      <c r="A660" s="6"/>
      <c r="B660" s="6"/>
      <c r="C660" s="6"/>
      <c r="D660" s="6"/>
      <c r="E660" s="6"/>
      <c r="F660" s="6"/>
      <c r="G660" s="6"/>
      <c r="H660" s="83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2.75">
      <c r="A661" s="6"/>
      <c r="B661" s="6"/>
      <c r="C661" s="6"/>
      <c r="D661" s="6"/>
      <c r="E661" s="6"/>
      <c r="F661" s="6"/>
      <c r="G661" s="6"/>
      <c r="H661" s="83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2.75">
      <c r="A662" s="6"/>
      <c r="B662" s="6"/>
      <c r="C662" s="6"/>
      <c r="D662" s="6"/>
      <c r="E662" s="6"/>
      <c r="F662" s="6"/>
      <c r="G662" s="6"/>
      <c r="H662" s="83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2.75">
      <c r="A663" s="6"/>
      <c r="B663" s="6"/>
      <c r="C663" s="6"/>
      <c r="D663" s="6"/>
      <c r="E663" s="6"/>
      <c r="F663" s="6"/>
      <c r="G663" s="6"/>
      <c r="H663" s="83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2.75">
      <c r="A664" s="6"/>
      <c r="B664" s="6"/>
      <c r="C664" s="6"/>
      <c r="D664" s="6"/>
      <c r="E664" s="6"/>
      <c r="F664" s="6"/>
      <c r="G664" s="6"/>
      <c r="H664" s="83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2.75">
      <c r="A665" s="6"/>
      <c r="B665" s="6"/>
      <c r="C665" s="6"/>
      <c r="D665" s="6"/>
      <c r="E665" s="6"/>
      <c r="F665" s="6"/>
      <c r="G665" s="6"/>
      <c r="H665" s="83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2.75">
      <c r="A666" s="6"/>
      <c r="B666" s="6"/>
      <c r="C666" s="6"/>
      <c r="D666" s="6"/>
      <c r="E666" s="6"/>
      <c r="F666" s="6"/>
      <c r="G666" s="6"/>
      <c r="H666" s="83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2.75">
      <c r="A667" s="6"/>
      <c r="B667" s="6"/>
      <c r="C667" s="6"/>
      <c r="D667" s="6"/>
      <c r="E667" s="6"/>
      <c r="F667" s="6"/>
      <c r="G667" s="6"/>
      <c r="H667" s="83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2.75">
      <c r="A668" s="6"/>
      <c r="B668" s="6"/>
      <c r="C668" s="6"/>
      <c r="D668" s="6"/>
      <c r="E668" s="6"/>
      <c r="F668" s="6"/>
      <c r="G668" s="6"/>
      <c r="H668" s="83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2.75">
      <c r="A669" s="6"/>
      <c r="B669" s="6"/>
      <c r="C669" s="6"/>
      <c r="D669" s="6"/>
      <c r="E669" s="6"/>
      <c r="F669" s="6"/>
      <c r="G669" s="6"/>
      <c r="H669" s="83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2.75">
      <c r="A670" s="6"/>
      <c r="B670" s="6"/>
      <c r="C670" s="6"/>
      <c r="D670" s="6"/>
      <c r="E670" s="6"/>
      <c r="F670" s="6"/>
      <c r="G670" s="6"/>
      <c r="H670" s="83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2.75">
      <c r="A671" s="6"/>
      <c r="B671" s="6"/>
      <c r="C671" s="6"/>
      <c r="D671" s="6"/>
      <c r="E671" s="6"/>
      <c r="F671" s="6"/>
      <c r="G671" s="6"/>
      <c r="H671" s="83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2.75">
      <c r="A672" s="6"/>
      <c r="B672" s="6"/>
      <c r="C672" s="6"/>
      <c r="D672" s="6"/>
      <c r="E672" s="6"/>
      <c r="F672" s="6"/>
      <c r="G672" s="6"/>
      <c r="H672" s="83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2.75">
      <c r="A673" s="6"/>
      <c r="B673" s="6"/>
      <c r="C673" s="6"/>
      <c r="D673" s="6"/>
      <c r="E673" s="6"/>
      <c r="F673" s="6"/>
      <c r="G673" s="6"/>
      <c r="H673" s="83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2.75">
      <c r="A674" s="6"/>
      <c r="B674" s="6"/>
      <c r="C674" s="6"/>
      <c r="D674" s="6"/>
      <c r="E674" s="6"/>
      <c r="F674" s="6"/>
      <c r="G674" s="6"/>
      <c r="H674" s="83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2.75">
      <c r="A675" s="6"/>
      <c r="B675" s="6"/>
      <c r="C675" s="6"/>
      <c r="D675" s="6"/>
      <c r="E675" s="6"/>
      <c r="F675" s="6"/>
      <c r="G675" s="6"/>
      <c r="H675" s="83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2.75">
      <c r="A676" s="6"/>
      <c r="B676" s="6"/>
      <c r="C676" s="6"/>
      <c r="D676" s="6"/>
      <c r="E676" s="6"/>
      <c r="F676" s="6"/>
      <c r="G676" s="6"/>
      <c r="H676" s="83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2.75">
      <c r="A677" s="6"/>
      <c r="B677" s="6"/>
      <c r="C677" s="6"/>
      <c r="D677" s="6"/>
      <c r="E677" s="6"/>
      <c r="F677" s="6"/>
      <c r="G677" s="6"/>
      <c r="H677" s="83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2.75">
      <c r="A678" s="6"/>
      <c r="B678" s="6"/>
      <c r="C678" s="6"/>
      <c r="D678" s="6"/>
      <c r="E678" s="6"/>
      <c r="F678" s="6"/>
      <c r="G678" s="6"/>
      <c r="H678" s="83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2.75">
      <c r="A679" s="6"/>
      <c r="B679" s="6"/>
      <c r="C679" s="6"/>
      <c r="D679" s="6"/>
      <c r="E679" s="6"/>
      <c r="F679" s="6"/>
      <c r="G679" s="6"/>
      <c r="H679" s="83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2.75">
      <c r="A680" s="6"/>
      <c r="B680" s="6"/>
      <c r="C680" s="6"/>
      <c r="D680" s="6"/>
      <c r="E680" s="6"/>
      <c r="F680" s="6"/>
      <c r="G680" s="6"/>
      <c r="H680" s="83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2.75">
      <c r="A681" s="6"/>
      <c r="B681" s="6"/>
      <c r="C681" s="6"/>
      <c r="D681" s="6"/>
      <c r="E681" s="6"/>
      <c r="F681" s="6"/>
      <c r="G681" s="6"/>
      <c r="H681" s="83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2.75">
      <c r="A682" s="6"/>
      <c r="B682" s="6"/>
      <c r="C682" s="6"/>
      <c r="D682" s="6"/>
      <c r="E682" s="6"/>
      <c r="F682" s="6"/>
      <c r="G682" s="6"/>
      <c r="H682" s="83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2.75">
      <c r="A683" s="6"/>
      <c r="B683" s="6"/>
      <c r="C683" s="6"/>
      <c r="D683" s="6"/>
      <c r="E683" s="6"/>
      <c r="F683" s="6"/>
      <c r="G683" s="6"/>
      <c r="H683" s="83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2.75">
      <c r="A684" s="6"/>
      <c r="B684" s="6"/>
      <c r="C684" s="6"/>
      <c r="D684" s="6"/>
      <c r="E684" s="6"/>
      <c r="F684" s="6"/>
      <c r="G684" s="6"/>
      <c r="H684" s="83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2.75">
      <c r="A685" s="6"/>
      <c r="B685" s="6"/>
      <c r="C685" s="6"/>
      <c r="D685" s="6"/>
      <c r="E685" s="6"/>
      <c r="F685" s="6"/>
      <c r="G685" s="6"/>
      <c r="H685" s="83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2.75">
      <c r="A686" s="6"/>
      <c r="B686" s="6"/>
      <c r="C686" s="6"/>
      <c r="D686" s="6"/>
      <c r="E686" s="6"/>
      <c r="F686" s="6"/>
      <c r="G686" s="6"/>
      <c r="H686" s="83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2.75">
      <c r="A687" s="6"/>
      <c r="B687" s="6"/>
      <c r="C687" s="6"/>
      <c r="D687" s="6"/>
      <c r="E687" s="6"/>
      <c r="F687" s="6"/>
      <c r="G687" s="6"/>
      <c r="H687" s="83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2.75">
      <c r="A688" s="6"/>
      <c r="B688" s="6"/>
      <c r="C688" s="6"/>
      <c r="D688" s="6"/>
      <c r="E688" s="6"/>
      <c r="F688" s="6"/>
      <c r="G688" s="6"/>
      <c r="H688" s="83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2.75">
      <c r="A689" s="6"/>
      <c r="B689" s="6"/>
      <c r="C689" s="6"/>
      <c r="D689" s="6"/>
      <c r="E689" s="6"/>
      <c r="F689" s="6"/>
      <c r="G689" s="6"/>
      <c r="H689" s="83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2.75">
      <c r="A690" s="6"/>
      <c r="B690" s="6"/>
      <c r="C690" s="6"/>
      <c r="D690" s="6"/>
      <c r="E690" s="6"/>
      <c r="F690" s="6"/>
      <c r="G690" s="6"/>
      <c r="H690" s="83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2.75">
      <c r="A691" s="6"/>
      <c r="B691" s="6"/>
      <c r="C691" s="6"/>
      <c r="D691" s="6"/>
      <c r="E691" s="6"/>
      <c r="F691" s="6"/>
      <c r="G691" s="6"/>
      <c r="H691" s="83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2.75">
      <c r="A692" s="6"/>
      <c r="B692" s="6"/>
      <c r="C692" s="6"/>
      <c r="D692" s="6"/>
      <c r="E692" s="6"/>
      <c r="F692" s="6"/>
      <c r="G692" s="6"/>
      <c r="H692" s="83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2.75">
      <c r="A693" s="6"/>
      <c r="B693" s="6"/>
      <c r="C693" s="6"/>
      <c r="D693" s="6"/>
      <c r="E693" s="6"/>
      <c r="F693" s="6"/>
      <c r="G693" s="6"/>
      <c r="H693" s="83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2.75">
      <c r="A694" s="6"/>
      <c r="B694" s="6"/>
      <c r="C694" s="6"/>
      <c r="D694" s="6"/>
      <c r="E694" s="6"/>
      <c r="F694" s="6"/>
      <c r="G694" s="6"/>
      <c r="H694" s="83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2.75">
      <c r="A695" s="6"/>
      <c r="B695" s="6"/>
      <c r="C695" s="6"/>
      <c r="D695" s="6"/>
      <c r="E695" s="6"/>
      <c r="F695" s="6"/>
      <c r="G695" s="6"/>
      <c r="H695" s="83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2.75">
      <c r="A696" s="6"/>
      <c r="B696" s="6"/>
      <c r="C696" s="6"/>
      <c r="D696" s="6"/>
      <c r="E696" s="6"/>
      <c r="F696" s="6"/>
      <c r="G696" s="6"/>
      <c r="H696" s="83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2.75">
      <c r="A697" s="6"/>
      <c r="B697" s="6"/>
      <c r="C697" s="6"/>
      <c r="D697" s="6"/>
      <c r="E697" s="6"/>
      <c r="F697" s="6"/>
      <c r="G697" s="6"/>
      <c r="H697" s="83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2.75">
      <c r="A698" s="6"/>
      <c r="B698" s="6"/>
      <c r="C698" s="6"/>
      <c r="D698" s="6"/>
      <c r="E698" s="6"/>
      <c r="F698" s="6"/>
      <c r="G698" s="6"/>
      <c r="H698" s="83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2.75">
      <c r="A699" s="6"/>
      <c r="B699" s="6"/>
      <c r="C699" s="6"/>
      <c r="D699" s="6"/>
      <c r="E699" s="6"/>
      <c r="F699" s="6"/>
      <c r="G699" s="6"/>
      <c r="H699" s="83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2.75">
      <c r="A700" s="6"/>
      <c r="B700" s="6"/>
      <c r="C700" s="6"/>
      <c r="D700" s="6"/>
      <c r="E700" s="6"/>
      <c r="F700" s="6"/>
      <c r="G700" s="6"/>
      <c r="H700" s="83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2.75">
      <c r="A701" s="6"/>
      <c r="B701" s="6"/>
      <c r="C701" s="6"/>
      <c r="D701" s="6"/>
      <c r="E701" s="6"/>
      <c r="F701" s="6"/>
      <c r="G701" s="6"/>
      <c r="H701" s="83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2.75">
      <c r="A702" s="6"/>
      <c r="B702" s="6"/>
      <c r="C702" s="6"/>
      <c r="D702" s="6"/>
      <c r="E702" s="6"/>
      <c r="F702" s="6"/>
      <c r="G702" s="6"/>
      <c r="H702" s="83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2.75">
      <c r="A703" s="6"/>
      <c r="B703" s="6"/>
      <c r="C703" s="6"/>
      <c r="D703" s="6"/>
      <c r="E703" s="6"/>
      <c r="F703" s="6"/>
      <c r="G703" s="6"/>
      <c r="H703" s="83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2.75">
      <c r="A704" s="6"/>
      <c r="B704" s="6"/>
      <c r="C704" s="6"/>
      <c r="D704" s="6"/>
      <c r="E704" s="6"/>
      <c r="F704" s="6"/>
      <c r="G704" s="6"/>
      <c r="H704" s="83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2.75">
      <c r="A705" s="6"/>
      <c r="B705" s="6"/>
      <c r="C705" s="6"/>
      <c r="D705" s="6"/>
      <c r="E705" s="6"/>
      <c r="F705" s="6"/>
      <c r="G705" s="6"/>
      <c r="H705" s="83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2.75">
      <c r="A706" s="6"/>
      <c r="B706" s="6"/>
      <c r="C706" s="6"/>
      <c r="D706" s="6"/>
      <c r="E706" s="6"/>
      <c r="F706" s="6"/>
      <c r="G706" s="6"/>
      <c r="H706" s="83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2.75">
      <c r="A707" s="6"/>
      <c r="B707" s="6"/>
      <c r="C707" s="6"/>
      <c r="D707" s="6"/>
      <c r="E707" s="6"/>
      <c r="F707" s="6"/>
      <c r="G707" s="6"/>
      <c r="H707" s="83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2.75">
      <c r="A708" s="6"/>
      <c r="B708" s="6"/>
      <c r="C708" s="6"/>
      <c r="D708" s="6"/>
      <c r="E708" s="6"/>
      <c r="F708" s="6"/>
      <c r="G708" s="6"/>
      <c r="H708" s="83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2.75">
      <c r="A709" s="6"/>
      <c r="B709" s="6"/>
      <c r="C709" s="6"/>
      <c r="D709" s="6"/>
      <c r="E709" s="6"/>
      <c r="F709" s="6"/>
      <c r="G709" s="6"/>
      <c r="H709" s="83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2.75">
      <c r="A710" s="6"/>
      <c r="B710" s="6"/>
      <c r="C710" s="6"/>
      <c r="D710" s="6"/>
      <c r="E710" s="6"/>
      <c r="F710" s="6"/>
      <c r="G710" s="6"/>
      <c r="H710" s="83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2.75">
      <c r="A711" s="6"/>
      <c r="B711" s="6"/>
      <c r="C711" s="6"/>
      <c r="D711" s="6"/>
      <c r="E711" s="6"/>
      <c r="F711" s="6"/>
      <c r="G711" s="6"/>
      <c r="H711" s="83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2.75">
      <c r="A712" s="6"/>
      <c r="B712" s="6"/>
      <c r="C712" s="6"/>
      <c r="D712" s="6"/>
      <c r="E712" s="6"/>
      <c r="F712" s="6"/>
      <c r="G712" s="6"/>
      <c r="H712" s="83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2.75">
      <c r="A713" s="6"/>
      <c r="B713" s="6"/>
      <c r="C713" s="6"/>
      <c r="D713" s="6"/>
      <c r="E713" s="6"/>
      <c r="F713" s="6"/>
      <c r="G713" s="6"/>
      <c r="H713" s="83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2.75">
      <c r="A714" s="6"/>
      <c r="B714" s="6"/>
      <c r="C714" s="6"/>
      <c r="D714" s="6"/>
      <c r="E714" s="6"/>
      <c r="F714" s="6"/>
      <c r="G714" s="6"/>
      <c r="H714" s="83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2.75">
      <c r="A715" s="6"/>
      <c r="B715" s="6"/>
      <c r="C715" s="6"/>
      <c r="D715" s="6"/>
      <c r="E715" s="6"/>
      <c r="F715" s="6"/>
      <c r="G715" s="6"/>
      <c r="H715" s="83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2.75">
      <c r="A716" s="6"/>
      <c r="B716" s="6"/>
      <c r="C716" s="6"/>
      <c r="D716" s="6"/>
      <c r="E716" s="6"/>
      <c r="F716" s="6"/>
      <c r="G716" s="6"/>
      <c r="H716" s="83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2.75">
      <c r="A717" s="6"/>
      <c r="B717" s="6"/>
      <c r="C717" s="6"/>
      <c r="D717" s="6"/>
      <c r="E717" s="6"/>
      <c r="F717" s="6"/>
      <c r="G717" s="6"/>
      <c r="H717" s="83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2.75">
      <c r="A718" s="6"/>
      <c r="B718" s="6"/>
      <c r="C718" s="6"/>
      <c r="D718" s="6"/>
      <c r="E718" s="6"/>
      <c r="F718" s="6"/>
      <c r="G718" s="6"/>
      <c r="H718" s="83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2.75">
      <c r="A719" s="6"/>
      <c r="B719" s="6"/>
      <c r="C719" s="6"/>
      <c r="D719" s="6"/>
      <c r="E719" s="6"/>
      <c r="F719" s="6"/>
      <c r="G719" s="6"/>
      <c r="H719" s="83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2.75">
      <c r="A720" s="6"/>
      <c r="B720" s="6"/>
      <c r="C720" s="6"/>
      <c r="D720" s="6"/>
      <c r="E720" s="6"/>
      <c r="F720" s="6"/>
      <c r="G720" s="6"/>
      <c r="H720" s="83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2.75">
      <c r="A721" s="6"/>
      <c r="B721" s="6"/>
      <c r="C721" s="6"/>
      <c r="D721" s="6"/>
      <c r="E721" s="6"/>
      <c r="F721" s="6"/>
      <c r="G721" s="6"/>
      <c r="H721" s="83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2.75">
      <c r="A722" s="6"/>
      <c r="B722" s="6"/>
      <c r="C722" s="6"/>
      <c r="D722" s="6"/>
      <c r="E722" s="6"/>
      <c r="F722" s="6"/>
      <c r="G722" s="6"/>
      <c r="H722" s="83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2.75">
      <c r="A723" s="6"/>
      <c r="B723" s="6"/>
      <c r="C723" s="6"/>
      <c r="D723" s="6"/>
      <c r="E723" s="6"/>
      <c r="F723" s="6"/>
      <c r="G723" s="6"/>
      <c r="H723" s="83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2.75">
      <c r="A724" s="6"/>
      <c r="B724" s="6"/>
      <c r="C724" s="6"/>
      <c r="D724" s="6"/>
      <c r="E724" s="6"/>
      <c r="F724" s="6"/>
      <c r="G724" s="6"/>
      <c r="H724" s="83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2.75">
      <c r="A725" s="6"/>
      <c r="B725" s="6"/>
      <c r="C725" s="6"/>
      <c r="D725" s="6"/>
      <c r="E725" s="6"/>
      <c r="F725" s="6"/>
      <c r="G725" s="6"/>
      <c r="H725" s="83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2.75">
      <c r="A726" s="6"/>
      <c r="B726" s="6"/>
      <c r="C726" s="6"/>
      <c r="D726" s="6"/>
      <c r="E726" s="6"/>
      <c r="F726" s="6"/>
      <c r="G726" s="6"/>
      <c r="H726" s="83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2.75">
      <c r="A727" s="6"/>
      <c r="B727" s="6"/>
      <c r="C727" s="6"/>
      <c r="D727" s="6"/>
      <c r="E727" s="6"/>
      <c r="F727" s="6"/>
      <c r="G727" s="6"/>
      <c r="H727" s="83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2.75">
      <c r="A728" s="6"/>
      <c r="B728" s="6"/>
      <c r="C728" s="6"/>
      <c r="D728" s="6"/>
      <c r="E728" s="6"/>
      <c r="F728" s="6"/>
      <c r="G728" s="6"/>
      <c r="H728" s="83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2.75">
      <c r="A729" s="6"/>
      <c r="B729" s="6"/>
      <c r="C729" s="6"/>
      <c r="D729" s="6"/>
      <c r="E729" s="6"/>
      <c r="F729" s="6"/>
      <c r="G729" s="6"/>
      <c r="H729" s="83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2.75">
      <c r="A730" s="6"/>
      <c r="B730" s="6"/>
      <c r="C730" s="6"/>
      <c r="D730" s="6"/>
      <c r="E730" s="6"/>
      <c r="F730" s="6"/>
      <c r="G730" s="6"/>
      <c r="H730" s="83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2.75">
      <c r="A731" s="6"/>
      <c r="B731" s="6"/>
      <c r="C731" s="6"/>
      <c r="D731" s="6"/>
      <c r="E731" s="6"/>
      <c r="F731" s="6"/>
      <c r="G731" s="6"/>
      <c r="H731" s="83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2.75">
      <c r="A732" s="6"/>
      <c r="B732" s="6"/>
      <c r="C732" s="6"/>
      <c r="D732" s="6"/>
      <c r="E732" s="6"/>
      <c r="F732" s="6"/>
      <c r="G732" s="6"/>
      <c r="H732" s="83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2.75">
      <c r="A733" s="6"/>
      <c r="B733" s="6"/>
      <c r="C733" s="6"/>
      <c r="D733" s="6"/>
      <c r="E733" s="6"/>
      <c r="F733" s="6"/>
      <c r="G733" s="6"/>
      <c r="H733" s="83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2.75">
      <c r="A734" s="6"/>
      <c r="B734" s="6"/>
      <c r="C734" s="6"/>
      <c r="D734" s="6"/>
      <c r="E734" s="6"/>
      <c r="F734" s="6"/>
      <c r="G734" s="6"/>
      <c r="H734" s="83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2.75">
      <c r="A735" s="6"/>
      <c r="B735" s="6"/>
      <c r="C735" s="6"/>
      <c r="D735" s="6"/>
      <c r="E735" s="6"/>
      <c r="F735" s="6"/>
      <c r="G735" s="6"/>
      <c r="H735" s="83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2.75">
      <c r="A736" s="6"/>
      <c r="B736" s="6"/>
      <c r="C736" s="6"/>
      <c r="D736" s="6"/>
      <c r="E736" s="6"/>
      <c r="F736" s="6"/>
      <c r="G736" s="6"/>
      <c r="H736" s="83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2.75">
      <c r="A737" s="6"/>
      <c r="B737" s="6"/>
      <c r="C737" s="6"/>
      <c r="D737" s="6"/>
      <c r="E737" s="6"/>
      <c r="F737" s="6"/>
      <c r="G737" s="6"/>
      <c r="H737" s="83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2.75">
      <c r="A738" s="6"/>
      <c r="B738" s="6"/>
      <c r="C738" s="6"/>
      <c r="D738" s="6"/>
      <c r="E738" s="6"/>
      <c r="F738" s="6"/>
      <c r="G738" s="6"/>
      <c r="H738" s="83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2.75">
      <c r="A739" s="6"/>
      <c r="B739" s="6"/>
      <c r="C739" s="6"/>
      <c r="D739" s="6"/>
      <c r="E739" s="6"/>
      <c r="F739" s="6"/>
      <c r="G739" s="6"/>
      <c r="H739" s="83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2.75">
      <c r="A740" s="6"/>
      <c r="B740" s="6"/>
      <c r="C740" s="6"/>
      <c r="D740" s="6"/>
      <c r="E740" s="6"/>
      <c r="F740" s="6"/>
      <c r="G740" s="6"/>
      <c r="H740" s="83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2.75">
      <c r="A741" s="6"/>
      <c r="B741" s="6"/>
      <c r="C741" s="6"/>
      <c r="D741" s="6"/>
      <c r="E741" s="6"/>
      <c r="F741" s="6"/>
      <c r="G741" s="6"/>
      <c r="H741" s="83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2.75">
      <c r="A742" s="6"/>
      <c r="B742" s="6"/>
      <c r="C742" s="6"/>
      <c r="D742" s="6"/>
      <c r="E742" s="6"/>
      <c r="F742" s="6"/>
      <c r="G742" s="6"/>
      <c r="H742" s="83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2.75">
      <c r="A743" s="6"/>
      <c r="B743" s="6"/>
      <c r="C743" s="6"/>
      <c r="D743" s="6"/>
      <c r="E743" s="6"/>
      <c r="F743" s="6"/>
      <c r="G743" s="6"/>
      <c r="H743" s="83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2.75">
      <c r="A744" s="6"/>
      <c r="B744" s="6"/>
      <c r="C744" s="6"/>
      <c r="D744" s="6"/>
      <c r="E744" s="6"/>
      <c r="F744" s="6"/>
      <c r="G744" s="6"/>
      <c r="H744" s="83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2.75">
      <c r="A745" s="6"/>
      <c r="B745" s="6"/>
      <c r="C745" s="6"/>
      <c r="D745" s="6"/>
      <c r="E745" s="6"/>
      <c r="F745" s="6"/>
      <c r="G745" s="6"/>
      <c r="H745" s="83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2.75">
      <c r="A746" s="6"/>
      <c r="B746" s="6"/>
      <c r="C746" s="6"/>
      <c r="D746" s="6"/>
      <c r="E746" s="6"/>
      <c r="F746" s="6"/>
      <c r="G746" s="6"/>
      <c r="H746" s="83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2.75">
      <c r="A747" s="6"/>
      <c r="B747" s="6"/>
      <c r="C747" s="6"/>
      <c r="D747" s="6"/>
      <c r="E747" s="6"/>
      <c r="F747" s="6"/>
      <c r="G747" s="6"/>
      <c r="H747" s="83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2.75">
      <c r="A748" s="6"/>
      <c r="B748" s="6"/>
      <c r="C748" s="6"/>
      <c r="D748" s="6"/>
      <c r="E748" s="6"/>
      <c r="F748" s="6"/>
      <c r="G748" s="6"/>
      <c r="H748" s="83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2.75">
      <c r="A749" s="6"/>
      <c r="B749" s="6"/>
      <c r="C749" s="6"/>
      <c r="D749" s="6"/>
      <c r="E749" s="6"/>
      <c r="F749" s="6"/>
      <c r="G749" s="6"/>
      <c r="H749" s="83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2.75">
      <c r="A750" s="6"/>
      <c r="B750" s="6"/>
      <c r="C750" s="6"/>
      <c r="D750" s="6"/>
      <c r="E750" s="6"/>
      <c r="F750" s="6"/>
      <c r="G750" s="6"/>
      <c r="H750" s="83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2.75">
      <c r="A751" s="6"/>
      <c r="B751" s="6"/>
      <c r="C751" s="6"/>
      <c r="D751" s="6"/>
      <c r="E751" s="6"/>
      <c r="F751" s="6"/>
      <c r="G751" s="6"/>
      <c r="H751" s="83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2.75">
      <c r="A752" s="6"/>
      <c r="B752" s="6"/>
      <c r="C752" s="6"/>
      <c r="D752" s="6"/>
      <c r="E752" s="6"/>
      <c r="F752" s="6"/>
      <c r="G752" s="6"/>
      <c r="H752" s="83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2.75">
      <c r="A753" s="6"/>
      <c r="B753" s="6"/>
      <c r="C753" s="6"/>
      <c r="D753" s="6"/>
      <c r="E753" s="6"/>
      <c r="F753" s="6"/>
      <c r="G753" s="6"/>
      <c r="H753" s="83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2.75">
      <c r="A754" s="6"/>
      <c r="B754" s="6"/>
      <c r="C754" s="6"/>
      <c r="D754" s="6"/>
      <c r="E754" s="6"/>
      <c r="F754" s="6"/>
      <c r="G754" s="6"/>
      <c r="H754" s="83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2.75">
      <c r="A755" s="6"/>
      <c r="B755" s="6"/>
      <c r="C755" s="6"/>
      <c r="D755" s="6"/>
      <c r="E755" s="6"/>
      <c r="F755" s="6"/>
      <c r="G755" s="6"/>
      <c r="H755" s="83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2.75">
      <c r="A756" s="6"/>
      <c r="B756" s="6"/>
      <c r="C756" s="6"/>
      <c r="D756" s="6"/>
      <c r="E756" s="6"/>
      <c r="F756" s="6"/>
      <c r="G756" s="6"/>
      <c r="H756" s="83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2.75">
      <c r="A757" s="6"/>
      <c r="B757" s="6"/>
      <c r="C757" s="6"/>
      <c r="D757" s="6"/>
      <c r="E757" s="6"/>
      <c r="F757" s="6"/>
      <c r="G757" s="6"/>
      <c r="H757" s="83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2.75">
      <c r="A758" s="6"/>
      <c r="B758" s="6"/>
      <c r="C758" s="6"/>
      <c r="D758" s="6"/>
      <c r="E758" s="6"/>
      <c r="F758" s="6"/>
      <c r="G758" s="6"/>
      <c r="H758" s="83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2.75">
      <c r="A759" s="6"/>
      <c r="B759" s="6"/>
      <c r="C759" s="6"/>
      <c r="D759" s="6"/>
      <c r="E759" s="6"/>
      <c r="F759" s="6"/>
      <c r="G759" s="6"/>
      <c r="H759" s="83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2.75">
      <c r="A760" s="6"/>
      <c r="B760" s="6"/>
      <c r="C760" s="6"/>
      <c r="D760" s="6"/>
      <c r="E760" s="6"/>
      <c r="F760" s="6"/>
      <c r="G760" s="6"/>
      <c r="H760" s="83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2.75">
      <c r="A761" s="6"/>
      <c r="B761" s="6"/>
      <c r="C761" s="6"/>
      <c r="D761" s="6"/>
      <c r="E761" s="6"/>
      <c r="F761" s="6"/>
      <c r="G761" s="6"/>
      <c r="H761" s="83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2.75">
      <c r="A762" s="6"/>
      <c r="B762" s="6"/>
      <c r="C762" s="6"/>
      <c r="D762" s="6"/>
      <c r="E762" s="6"/>
      <c r="F762" s="6"/>
      <c r="G762" s="6"/>
      <c r="H762" s="83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2.75">
      <c r="A763" s="6"/>
      <c r="B763" s="6"/>
      <c r="C763" s="6"/>
      <c r="D763" s="6"/>
      <c r="E763" s="6"/>
      <c r="F763" s="6"/>
      <c r="G763" s="6"/>
      <c r="H763" s="83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2.75">
      <c r="A764" s="6"/>
      <c r="B764" s="6"/>
      <c r="C764" s="6"/>
      <c r="D764" s="6"/>
      <c r="E764" s="6"/>
      <c r="F764" s="6"/>
      <c r="G764" s="6"/>
      <c r="H764" s="83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2.75">
      <c r="A765" s="6"/>
      <c r="B765" s="6"/>
      <c r="C765" s="6"/>
      <c r="D765" s="6"/>
      <c r="E765" s="6"/>
      <c r="F765" s="6"/>
      <c r="G765" s="6"/>
      <c r="H765" s="83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2.75">
      <c r="A766" s="6"/>
      <c r="B766" s="6"/>
      <c r="C766" s="6"/>
      <c r="D766" s="6"/>
      <c r="E766" s="6"/>
      <c r="F766" s="6"/>
      <c r="G766" s="6"/>
      <c r="H766" s="83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2.75">
      <c r="A767" s="6"/>
      <c r="B767" s="6"/>
      <c r="C767" s="6"/>
      <c r="D767" s="6"/>
      <c r="E767" s="6"/>
      <c r="F767" s="6"/>
      <c r="G767" s="6"/>
      <c r="H767" s="83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2.75">
      <c r="A768" s="6"/>
      <c r="B768" s="6"/>
      <c r="C768" s="6"/>
      <c r="D768" s="6"/>
      <c r="E768" s="6"/>
      <c r="F768" s="6"/>
      <c r="G768" s="6"/>
      <c r="H768" s="83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2.75">
      <c r="A769" s="6"/>
      <c r="B769" s="6"/>
      <c r="C769" s="6"/>
      <c r="D769" s="6"/>
      <c r="E769" s="6"/>
      <c r="F769" s="6"/>
      <c r="G769" s="6"/>
      <c r="H769" s="83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2.75">
      <c r="A770" s="6"/>
      <c r="B770" s="6"/>
      <c r="C770" s="6"/>
      <c r="D770" s="6"/>
      <c r="E770" s="6"/>
      <c r="F770" s="6"/>
      <c r="G770" s="6"/>
      <c r="H770" s="83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2.75">
      <c r="A771" s="6"/>
      <c r="B771" s="6"/>
      <c r="C771" s="6"/>
      <c r="D771" s="6"/>
      <c r="E771" s="6"/>
      <c r="F771" s="6"/>
      <c r="G771" s="6"/>
      <c r="H771" s="83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2.75">
      <c r="A772" s="6"/>
      <c r="B772" s="6"/>
      <c r="C772" s="6"/>
      <c r="D772" s="6"/>
      <c r="E772" s="6"/>
      <c r="F772" s="6"/>
      <c r="G772" s="6"/>
      <c r="H772" s="83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2.75">
      <c r="A773" s="6"/>
      <c r="B773" s="6"/>
      <c r="C773" s="6"/>
      <c r="D773" s="6"/>
      <c r="E773" s="6"/>
      <c r="F773" s="6"/>
      <c r="G773" s="6"/>
      <c r="H773" s="83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2.75">
      <c r="A774" s="6"/>
      <c r="B774" s="6"/>
      <c r="C774" s="6"/>
      <c r="D774" s="6"/>
      <c r="E774" s="6"/>
      <c r="F774" s="6"/>
      <c r="G774" s="6"/>
      <c r="H774" s="83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2.75">
      <c r="A775" s="6"/>
      <c r="B775" s="6"/>
      <c r="C775" s="6"/>
      <c r="D775" s="6"/>
      <c r="E775" s="6"/>
      <c r="F775" s="6"/>
      <c r="G775" s="6"/>
      <c r="H775" s="83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2.75">
      <c r="A776" s="6"/>
      <c r="B776" s="6"/>
      <c r="C776" s="6"/>
      <c r="D776" s="6"/>
      <c r="E776" s="6"/>
      <c r="F776" s="6"/>
      <c r="G776" s="6"/>
      <c r="H776" s="83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2.75">
      <c r="A777" s="6"/>
      <c r="B777" s="6"/>
      <c r="C777" s="6"/>
      <c r="D777" s="6"/>
      <c r="E777" s="6"/>
      <c r="F777" s="6"/>
      <c r="G777" s="6"/>
      <c r="H777" s="83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2.75">
      <c r="A778" s="6"/>
      <c r="B778" s="6"/>
      <c r="C778" s="6"/>
      <c r="D778" s="6"/>
      <c r="E778" s="6"/>
      <c r="F778" s="6"/>
      <c r="G778" s="6"/>
      <c r="H778" s="83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2.75">
      <c r="A779" s="6"/>
      <c r="B779" s="6"/>
      <c r="C779" s="6"/>
      <c r="D779" s="6"/>
      <c r="E779" s="6"/>
      <c r="F779" s="6"/>
      <c r="G779" s="6"/>
      <c r="H779" s="83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2.75">
      <c r="A780" s="6"/>
      <c r="B780" s="6"/>
      <c r="C780" s="6"/>
      <c r="D780" s="6"/>
      <c r="E780" s="6"/>
      <c r="F780" s="6"/>
      <c r="G780" s="6"/>
      <c r="H780" s="83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2.75">
      <c r="A781" s="6"/>
      <c r="B781" s="6"/>
      <c r="C781" s="6"/>
      <c r="D781" s="6"/>
      <c r="E781" s="6"/>
      <c r="F781" s="6"/>
      <c r="G781" s="6"/>
      <c r="H781" s="83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2.75">
      <c r="A782" s="6"/>
      <c r="B782" s="6"/>
      <c r="C782" s="6"/>
      <c r="D782" s="6"/>
      <c r="E782" s="6"/>
      <c r="F782" s="6"/>
      <c r="G782" s="6"/>
      <c r="H782" s="83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2.75">
      <c r="A783" s="6"/>
      <c r="B783" s="6"/>
      <c r="C783" s="6"/>
      <c r="D783" s="6"/>
      <c r="E783" s="6"/>
      <c r="F783" s="6"/>
      <c r="G783" s="6"/>
      <c r="H783" s="83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2.75">
      <c r="A784" s="6"/>
      <c r="B784" s="6"/>
      <c r="C784" s="6"/>
      <c r="D784" s="6"/>
      <c r="E784" s="6"/>
      <c r="F784" s="6"/>
      <c r="G784" s="6"/>
      <c r="H784" s="83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2.75">
      <c r="A785" s="6"/>
      <c r="B785" s="6"/>
      <c r="C785" s="6"/>
      <c r="D785" s="6"/>
      <c r="E785" s="6"/>
      <c r="F785" s="6"/>
      <c r="G785" s="6"/>
      <c r="H785" s="83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2.75">
      <c r="A786" s="6"/>
      <c r="B786" s="6"/>
      <c r="C786" s="6"/>
      <c r="D786" s="6"/>
      <c r="E786" s="6"/>
      <c r="F786" s="6"/>
      <c r="G786" s="6"/>
      <c r="H786" s="83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2.75">
      <c r="A787" s="6"/>
      <c r="B787" s="6"/>
      <c r="C787" s="6"/>
      <c r="D787" s="6"/>
      <c r="E787" s="6"/>
      <c r="F787" s="6"/>
      <c r="G787" s="6"/>
      <c r="H787" s="83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2.75">
      <c r="A788" s="6"/>
      <c r="B788" s="6"/>
      <c r="C788" s="6"/>
      <c r="D788" s="6"/>
      <c r="E788" s="6"/>
      <c r="F788" s="6"/>
      <c r="G788" s="6"/>
      <c r="H788" s="83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2.75">
      <c r="A789" s="6"/>
      <c r="B789" s="6"/>
      <c r="C789" s="6"/>
      <c r="D789" s="6"/>
      <c r="E789" s="6"/>
      <c r="F789" s="6"/>
      <c r="G789" s="6"/>
      <c r="H789" s="83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2.75">
      <c r="A790" s="6"/>
      <c r="B790" s="6"/>
      <c r="C790" s="6"/>
      <c r="D790" s="6"/>
      <c r="E790" s="6"/>
      <c r="F790" s="6"/>
      <c r="G790" s="6"/>
      <c r="H790" s="83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2.75">
      <c r="A791" s="6"/>
      <c r="B791" s="6"/>
      <c r="C791" s="6"/>
      <c r="D791" s="6"/>
      <c r="E791" s="6"/>
      <c r="F791" s="6"/>
      <c r="G791" s="6"/>
      <c r="H791" s="83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2.75">
      <c r="A792" s="6"/>
      <c r="B792" s="6"/>
      <c r="C792" s="6"/>
      <c r="D792" s="6"/>
      <c r="E792" s="6"/>
      <c r="F792" s="6"/>
      <c r="G792" s="6"/>
      <c r="H792" s="83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2.75">
      <c r="A793" s="6"/>
      <c r="B793" s="6"/>
      <c r="C793" s="6"/>
      <c r="D793" s="6"/>
      <c r="E793" s="6"/>
      <c r="F793" s="6"/>
      <c r="G793" s="6"/>
      <c r="H793" s="83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2.75">
      <c r="A794" s="6"/>
      <c r="B794" s="6"/>
      <c r="C794" s="6"/>
      <c r="D794" s="6"/>
      <c r="E794" s="6"/>
      <c r="F794" s="6"/>
      <c r="G794" s="6"/>
      <c r="H794" s="83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2.75">
      <c r="A795" s="6"/>
      <c r="B795" s="6"/>
      <c r="C795" s="6"/>
      <c r="D795" s="6"/>
      <c r="E795" s="6"/>
      <c r="F795" s="6"/>
      <c r="G795" s="6"/>
      <c r="H795" s="83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2.75">
      <c r="A796" s="6"/>
      <c r="B796" s="6"/>
      <c r="C796" s="6"/>
      <c r="D796" s="6"/>
      <c r="E796" s="6"/>
      <c r="F796" s="6"/>
      <c r="G796" s="6"/>
      <c r="H796" s="83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2.75">
      <c r="A797" s="6"/>
      <c r="B797" s="6"/>
      <c r="C797" s="6"/>
      <c r="D797" s="6"/>
      <c r="E797" s="6"/>
      <c r="F797" s="6"/>
      <c r="G797" s="6"/>
      <c r="H797" s="83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2.75">
      <c r="A798" s="6"/>
      <c r="B798" s="6"/>
      <c r="C798" s="6"/>
      <c r="D798" s="6"/>
      <c r="E798" s="6"/>
      <c r="F798" s="6"/>
      <c r="G798" s="6"/>
      <c r="H798" s="83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2.75">
      <c r="A799" s="6"/>
      <c r="B799" s="6"/>
      <c r="C799" s="6"/>
      <c r="D799" s="6"/>
      <c r="E799" s="6"/>
      <c r="F799" s="6"/>
      <c r="G799" s="6"/>
      <c r="H799" s="83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2.75">
      <c r="A800" s="6"/>
      <c r="B800" s="6"/>
      <c r="C800" s="6"/>
      <c r="D800" s="6"/>
      <c r="E800" s="6"/>
      <c r="F800" s="6"/>
      <c r="G800" s="6"/>
      <c r="H800" s="83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2.75">
      <c r="A801" s="6"/>
      <c r="B801" s="6"/>
      <c r="C801" s="6"/>
      <c r="D801" s="6"/>
      <c r="E801" s="6"/>
      <c r="F801" s="6"/>
      <c r="G801" s="6"/>
      <c r="H801" s="83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2.75">
      <c r="A802" s="6"/>
      <c r="B802" s="6"/>
      <c r="C802" s="6"/>
      <c r="D802" s="6"/>
      <c r="E802" s="6"/>
      <c r="F802" s="6"/>
      <c r="G802" s="6"/>
      <c r="H802" s="83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2.75">
      <c r="A803" s="6"/>
      <c r="B803" s="6"/>
      <c r="C803" s="6"/>
      <c r="D803" s="6"/>
      <c r="E803" s="6"/>
      <c r="F803" s="6"/>
      <c r="G803" s="6"/>
      <c r="H803" s="83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2.75">
      <c r="A804" s="6"/>
      <c r="B804" s="6"/>
      <c r="C804" s="6"/>
      <c r="D804" s="6"/>
      <c r="E804" s="6"/>
      <c r="F804" s="6"/>
      <c r="G804" s="6"/>
      <c r="H804" s="83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2.75">
      <c r="A805" s="6"/>
      <c r="B805" s="6"/>
      <c r="C805" s="6"/>
      <c r="D805" s="6"/>
      <c r="E805" s="6"/>
      <c r="F805" s="6"/>
      <c r="G805" s="6"/>
      <c r="H805" s="83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2.75">
      <c r="A806" s="6"/>
      <c r="B806" s="6"/>
      <c r="C806" s="6"/>
      <c r="D806" s="6"/>
      <c r="E806" s="6"/>
      <c r="F806" s="6"/>
      <c r="G806" s="6"/>
      <c r="H806" s="83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2.75">
      <c r="A807" s="6"/>
      <c r="B807" s="6"/>
      <c r="C807" s="6"/>
      <c r="D807" s="6"/>
      <c r="E807" s="6"/>
      <c r="F807" s="6"/>
      <c r="G807" s="6"/>
      <c r="H807" s="83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2.75">
      <c r="A808" s="6"/>
      <c r="B808" s="6"/>
      <c r="C808" s="6"/>
      <c r="D808" s="6"/>
      <c r="E808" s="6"/>
      <c r="F808" s="6"/>
      <c r="G808" s="6"/>
      <c r="H808" s="83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2.75">
      <c r="A809" s="6"/>
      <c r="B809" s="6"/>
      <c r="C809" s="6"/>
      <c r="D809" s="6"/>
      <c r="E809" s="6"/>
      <c r="F809" s="6"/>
      <c r="G809" s="6"/>
      <c r="H809" s="83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2.75">
      <c r="A810" s="6"/>
      <c r="B810" s="6"/>
      <c r="C810" s="6"/>
      <c r="D810" s="6"/>
      <c r="E810" s="6"/>
      <c r="F810" s="6"/>
      <c r="G810" s="6"/>
      <c r="H810" s="83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2.75">
      <c r="A811" s="6"/>
      <c r="B811" s="6"/>
      <c r="C811" s="6"/>
      <c r="D811" s="6"/>
      <c r="E811" s="6"/>
      <c r="F811" s="6"/>
      <c r="G811" s="6"/>
      <c r="H811" s="83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2.75">
      <c r="A812" s="6"/>
      <c r="B812" s="6"/>
      <c r="C812" s="6"/>
      <c r="D812" s="6"/>
      <c r="E812" s="6"/>
      <c r="F812" s="6"/>
      <c r="G812" s="6"/>
      <c r="H812" s="83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2.75">
      <c r="A813" s="6"/>
      <c r="B813" s="6"/>
      <c r="C813" s="6"/>
      <c r="D813" s="6"/>
      <c r="E813" s="6"/>
      <c r="F813" s="6"/>
      <c r="G813" s="6"/>
      <c r="H813" s="83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2.75">
      <c r="A814" s="6"/>
      <c r="B814" s="6"/>
      <c r="C814" s="6"/>
      <c r="D814" s="6"/>
      <c r="E814" s="6"/>
      <c r="F814" s="6"/>
      <c r="G814" s="6"/>
      <c r="H814" s="83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2.75">
      <c r="A815" s="6"/>
      <c r="B815" s="6"/>
      <c r="C815" s="6"/>
      <c r="D815" s="6"/>
      <c r="E815" s="6"/>
      <c r="F815" s="6"/>
      <c r="G815" s="6"/>
      <c r="H815" s="83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2.75">
      <c r="A816" s="6"/>
      <c r="B816" s="6"/>
      <c r="C816" s="6"/>
      <c r="D816" s="6"/>
      <c r="E816" s="6"/>
      <c r="F816" s="6"/>
      <c r="G816" s="6"/>
      <c r="H816" s="83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2.75">
      <c r="A817" s="6"/>
      <c r="B817" s="6"/>
      <c r="C817" s="6"/>
      <c r="D817" s="6"/>
      <c r="E817" s="6"/>
      <c r="F817" s="6"/>
      <c r="G817" s="6"/>
      <c r="H817" s="83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2.75">
      <c r="A818" s="6"/>
      <c r="B818" s="6"/>
      <c r="C818" s="6"/>
      <c r="D818" s="6"/>
      <c r="E818" s="6"/>
      <c r="F818" s="6"/>
      <c r="G818" s="6"/>
      <c r="H818" s="83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2.75">
      <c r="A819" s="6"/>
      <c r="B819" s="6"/>
      <c r="C819" s="6"/>
      <c r="D819" s="6"/>
      <c r="E819" s="6"/>
      <c r="F819" s="6"/>
      <c r="G819" s="6"/>
      <c r="H819" s="83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2.75">
      <c r="A820" s="6"/>
      <c r="B820" s="6"/>
      <c r="C820" s="6"/>
      <c r="D820" s="6"/>
      <c r="E820" s="6"/>
      <c r="F820" s="6"/>
      <c r="G820" s="6"/>
      <c r="H820" s="83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2.75">
      <c r="A821" s="6"/>
      <c r="B821" s="6"/>
      <c r="C821" s="6"/>
      <c r="D821" s="6"/>
      <c r="E821" s="6"/>
      <c r="F821" s="6"/>
      <c r="G821" s="6"/>
      <c r="H821" s="83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2.75">
      <c r="A822" s="6"/>
      <c r="B822" s="6"/>
      <c r="C822" s="6"/>
      <c r="D822" s="6"/>
      <c r="E822" s="6"/>
      <c r="F822" s="6"/>
      <c r="G822" s="6"/>
      <c r="H822" s="83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2.75">
      <c r="A823" s="6"/>
      <c r="B823" s="6"/>
      <c r="C823" s="6"/>
      <c r="D823" s="6"/>
      <c r="E823" s="6"/>
      <c r="F823" s="6"/>
      <c r="G823" s="6"/>
      <c r="H823" s="83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2.75">
      <c r="A824" s="6"/>
      <c r="B824" s="6"/>
      <c r="C824" s="6"/>
      <c r="D824" s="6"/>
      <c r="E824" s="6"/>
      <c r="F824" s="6"/>
      <c r="G824" s="6"/>
      <c r="H824" s="83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2.75">
      <c r="A825" s="6"/>
      <c r="B825" s="6"/>
      <c r="C825" s="6"/>
      <c r="D825" s="6"/>
      <c r="E825" s="6"/>
      <c r="F825" s="6"/>
      <c r="G825" s="6"/>
      <c r="H825" s="83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2.75">
      <c r="A826" s="6"/>
      <c r="B826" s="6"/>
      <c r="C826" s="6"/>
      <c r="D826" s="6"/>
      <c r="E826" s="6"/>
      <c r="F826" s="6"/>
      <c r="G826" s="6"/>
      <c r="H826" s="83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2.75">
      <c r="A827" s="6"/>
      <c r="B827" s="6"/>
      <c r="C827" s="6"/>
      <c r="D827" s="6"/>
      <c r="E827" s="6"/>
      <c r="F827" s="6"/>
      <c r="G827" s="6"/>
      <c r="H827" s="83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2.75">
      <c r="A828" s="6"/>
      <c r="B828" s="6"/>
      <c r="C828" s="6"/>
      <c r="D828" s="6"/>
      <c r="E828" s="6"/>
      <c r="F828" s="6"/>
      <c r="G828" s="6"/>
      <c r="H828" s="83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2.75">
      <c r="A829" s="6"/>
      <c r="B829" s="6"/>
      <c r="C829" s="6"/>
      <c r="D829" s="6"/>
      <c r="E829" s="6"/>
      <c r="F829" s="6"/>
      <c r="G829" s="6"/>
      <c r="H829" s="83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2.75">
      <c r="A830" s="6"/>
      <c r="B830" s="6"/>
      <c r="C830" s="6"/>
      <c r="D830" s="6"/>
      <c r="E830" s="6"/>
      <c r="F830" s="6"/>
      <c r="G830" s="6"/>
      <c r="H830" s="83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2.75">
      <c r="A831" s="6"/>
      <c r="B831" s="6"/>
      <c r="C831" s="6"/>
      <c r="D831" s="6"/>
      <c r="E831" s="6"/>
      <c r="F831" s="6"/>
      <c r="G831" s="6"/>
      <c r="H831" s="83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2.75">
      <c r="A832" s="6"/>
      <c r="B832" s="6"/>
      <c r="C832" s="6"/>
      <c r="D832" s="6"/>
      <c r="E832" s="6"/>
      <c r="F832" s="6"/>
      <c r="G832" s="6"/>
      <c r="H832" s="83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2.75">
      <c r="A833" s="6"/>
      <c r="B833" s="6"/>
      <c r="C833" s="6"/>
      <c r="D833" s="6"/>
      <c r="E833" s="6"/>
      <c r="F833" s="6"/>
      <c r="G833" s="6"/>
      <c r="H833" s="83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2.75">
      <c r="A834" s="6"/>
      <c r="B834" s="6"/>
      <c r="C834" s="6"/>
      <c r="D834" s="6"/>
      <c r="E834" s="6"/>
      <c r="F834" s="6"/>
      <c r="G834" s="6"/>
      <c r="H834" s="83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2.75">
      <c r="A835" s="6"/>
      <c r="B835" s="6"/>
      <c r="C835" s="6"/>
      <c r="D835" s="6"/>
      <c r="E835" s="6"/>
      <c r="F835" s="6"/>
      <c r="G835" s="6"/>
      <c r="H835" s="83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2.75">
      <c r="A836" s="6"/>
      <c r="B836" s="6"/>
      <c r="C836" s="6"/>
      <c r="D836" s="6"/>
      <c r="E836" s="6"/>
      <c r="F836" s="6"/>
      <c r="G836" s="6"/>
      <c r="H836" s="83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2.75">
      <c r="A837" s="6"/>
      <c r="B837" s="6"/>
      <c r="C837" s="6"/>
      <c r="D837" s="6"/>
      <c r="E837" s="6"/>
      <c r="F837" s="6"/>
      <c r="G837" s="6"/>
      <c r="H837" s="83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2.75">
      <c r="A838" s="6"/>
      <c r="B838" s="6"/>
      <c r="C838" s="6"/>
      <c r="D838" s="6"/>
      <c r="E838" s="6"/>
      <c r="F838" s="6"/>
      <c r="G838" s="6"/>
      <c r="H838" s="83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2.75">
      <c r="A839" s="6"/>
      <c r="B839" s="6"/>
      <c r="C839" s="6"/>
      <c r="D839" s="6"/>
      <c r="E839" s="6"/>
      <c r="F839" s="6"/>
      <c r="G839" s="6"/>
      <c r="H839" s="83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2.75">
      <c r="A840" s="6"/>
      <c r="B840" s="6"/>
      <c r="C840" s="6"/>
      <c r="D840" s="6"/>
      <c r="E840" s="6"/>
      <c r="F840" s="6"/>
      <c r="G840" s="6"/>
      <c r="H840" s="83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2.75">
      <c r="A841" s="6"/>
      <c r="B841" s="6"/>
      <c r="C841" s="6"/>
      <c r="D841" s="6"/>
      <c r="E841" s="6"/>
      <c r="F841" s="6"/>
      <c r="G841" s="6"/>
      <c r="H841" s="83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2.75">
      <c r="A842" s="6"/>
      <c r="B842" s="6"/>
      <c r="C842" s="6"/>
      <c r="D842" s="6"/>
      <c r="E842" s="6"/>
      <c r="F842" s="6"/>
      <c r="G842" s="6"/>
      <c r="H842" s="83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2.75">
      <c r="A843" s="6"/>
      <c r="B843" s="6"/>
      <c r="C843" s="6"/>
      <c r="D843" s="6"/>
      <c r="E843" s="6"/>
      <c r="F843" s="6"/>
      <c r="G843" s="6"/>
      <c r="H843" s="83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2.75">
      <c r="A844" s="6"/>
      <c r="B844" s="6"/>
      <c r="C844" s="6"/>
      <c r="D844" s="6"/>
      <c r="E844" s="6"/>
      <c r="F844" s="6"/>
      <c r="G844" s="6"/>
      <c r="H844" s="83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2.75">
      <c r="A845" s="6"/>
      <c r="B845" s="6"/>
      <c r="C845" s="6"/>
      <c r="D845" s="6"/>
      <c r="E845" s="6"/>
      <c r="F845" s="6"/>
      <c r="G845" s="6"/>
      <c r="H845" s="83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2.75">
      <c r="A846" s="6"/>
      <c r="B846" s="6"/>
      <c r="C846" s="6"/>
      <c r="D846" s="6"/>
      <c r="E846" s="6"/>
      <c r="F846" s="6"/>
      <c r="G846" s="6"/>
      <c r="H846" s="83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2.75">
      <c r="A847" s="6"/>
      <c r="B847" s="6"/>
      <c r="C847" s="6"/>
      <c r="D847" s="6"/>
      <c r="E847" s="6"/>
      <c r="F847" s="6"/>
      <c r="G847" s="6"/>
      <c r="H847" s="83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2.75">
      <c r="A848" s="6"/>
      <c r="B848" s="6"/>
      <c r="C848" s="6"/>
      <c r="D848" s="6"/>
      <c r="E848" s="6"/>
      <c r="F848" s="6"/>
      <c r="G848" s="6"/>
      <c r="H848" s="83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2.75">
      <c r="A849" s="6"/>
      <c r="B849" s="6"/>
      <c r="C849" s="6"/>
      <c r="D849" s="6"/>
      <c r="E849" s="6"/>
      <c r="F849" s="6"/>
      <c r="G849" s="6"/>
      <c r="H849" s="83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2.75">
      <c r="A850" s="6"/>
      <c r="B850" s="6"/>
      <c r="C850" s="6"/>
      <c r="D850" s="6"/>
      <c r="E850" s="6"/>
      <c r="F850" s="6"/>
      <c r="G850" s="6"/>
      <c r="H850" s="83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2.75">
      <c r="A851" s="6"/>
      <c r="B851" s="6"/>
      <c r="C851" s="6"/>
      <c r="D851" s="6"/>
      <c r="E851" s="6"/>
      <c r="F851" s="6"/>
      <c r="G851" s="6"/>
      <c r="H851" s="83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2.75">
      <c r="A852" s="6"/>
      <c r="B852" s="6"/>
      <c r="C852" s="6"/>
      <c r="D852" s="6"/>
      <c r="E852" s="6"/>
      <c r="F852" s="6"/>
      <c r="G852" s="6"/>
      <c r="H852" s="83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2.75">
      <c r="A853" s="6"/>
      <c r="B853" s="6"/>
      <c r="C853" s="6"/>
      <c r="D853" s="6"/>
      <c r="E853" s="6"/>
      <c r="F853" s="6"/>
      <c r="G853" s="6"/>
      <c r="H853" s="83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2.75">
      <c r="A854" s="6"/>
      <c r="B854" s="6"/>
      <c r="C854" s="6"/>
      <c r="D854" s="6"/>
      <c r="E854" s="6"/>
      <c r="F854" s="6"/>
      <c r="G854" s="6"/>
      <c r="H854" s="83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2.75">
      <c r="A855" s="6"/>
      <c r="B855" s="6"/>
      <c r="C855" s="6"/>
      <c r="D855" s="6"/>
      <c r="E855" s="6"/>
      <c r="F855" s="6"/>
      <c r="G855" s="6"/>
      <c r="H855" s="83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2.75">
      <c r="A856" s="6"/>
      <c r="B856" s="6"/>
      <c r="C856" s="6"/>
      <c r="D856" s="6"/>
      <c r="E856" s="6"/>
      <c r="F856" s="6"/>
      <c r="G856" s="6"/>
      <c r="H856" s="83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2.75">
      <c r="A857" s="6"/>
      <c r="B857" s="6"/>
      <c r="C857" s="6"/>
      <c r="D857" s="6"/>
      <c r="E857" s="6"/>
      <c r="F857" s="6"/>
      <c r="G857" s="6"/>
      <c r="H857" s="83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2.75">
      <c r="A858" s="6"/>
      <c r="B858" s="6"/>
      <c r="C858" s="6"/>
      <c r="D858" s="6"/>
      <c r="E858" s="6"/>
      <c r="F858" s="6"/>
      <c r="G858" s="6"/>
      <c r="H858" s="83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2.75">
      <c r="A859" s="6"/>
      <c r="B859" s="6"/>
      <c r="C859" s="6"/>
      <c r="D859" s="6"/>
      <c r="E859" s="6"/>
      <c r="F859" s="6"/>
      <c r="G859" s="6"/>
      <c r="H859" s="83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2.75">
      <c r="A860" s="6"/>
      <c r="B860" s="6"/>
      <c r="C860" s="6"/>
      <c r="D860" s="6"/>
      <c r="E860" s="6"/>
      <c r="F860" s="6"/>
      <c r="G860" s="6"/>
      <c r="H860" s="83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2.75">
      <c r="A861" s="6"/>
      <c r="B861" s="6"/>
      <c r="C861" s="6"/>
      <c r="D861" s="6"/>
      <c r="E861" s="6"/>
      <c r="F861" s="6"/>
      <c r="G861" s="6"/>
      <c r="H861" s="83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2.75">
      <c r="A862" s="6"/>
      <c r="B862" s="6"/>
      <c r="C862" s="6"/>
      <c r="D862" s="6"/>
      <c r="E862" s="6"/>
      <c r="F862" s="6"/>
      <c r="G862" s="6"/>
      <c r="H862" s="83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2.75">
      <c r="A863" s="6"/>
      <c r="B863" s="6"/>
      <c r="C863" s="6"/>
      <c r="D863" s="6"/>
      <c r="E863" s="6"/>
      <c r="F863" s="6"/>
      <c r="G863" s="6"/>
      <c r="H863" s="83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2.75">
      <c r="A864" s="6"/>
      <c r="B864" s="6"/>
      <c r="C864" s="6"/>
      <c r="D864" s="6"/>
      <c r="E864" s="6"/>
      <c r="F864" s="6"/>
      <c r="G864" s="6"/>
      <c r="H864" s="83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2.75">
      <c r="A865" s="6"/>
      <c r="B865" s="6"/>
      <c r="C865" s="6"/>
      <c r="D865" s="6"/>
      <c r="E865" s="6"/>
      <c r="F865" s="6"/>
      <c r="G865" s="6"/>
      <c r="H865" s="83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2.75">
      <c r="A866" s="6"/>
      <c r="B866" s="6"/>
      <c r="C866" s="6"/>
      <c r="D866" s="6"/>
      <c r="E866" s="6"/>
      <c r="F866" s="6"/>
      <c r="G866" s="6"/>
      <c r="H866" s="83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2.75">
      <c r="A867" s="6"/>
      <c r="B867" s="6"/>
      <c r="C867" s="6"/>
      <c r="D867" s="6"/>
      <c r="E867" s="6"/>
      <c r="F867" s="6"/>
      <c r="G867" s="6"/>
      <c r="H867" s="83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2.75">
      <c r="A868" s="6"/>
      <c r="B868" s="6"/>
      <c r="C868" s="6"/>
      <c r="D868" s="6"/>
      <c r="E868" s="6"/>
      <c r="F868" s="6"/>
      <c r="G868" s="6"/>
      <c r="H868" s="83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2.75">
      <c r="A869" s="6"/>
      <c r="B869" s="6"/>
      <c r="C869" s="6"/>
      <c r="D869" s="6"/>
      <c r="E869" s="6"/>
      <c r="F869" s="6"/>
      <c r="G869" s="6"/>
      <c r="H869" s="83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2.75">
      <c r="A870" s="6"/>
      <c r="B870" s="6"/>
      <c r="C870" s="6"/>
      <c r="D870" s="6"/>
      <c r="E870" s="6"/>
      <c r="F870" s="6"/>
      <c r="G870" s="6"/>
      <c r="H870" s="83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2.75">
      <c r="A871" s="6"/>
      <c r="B871" s="6"/>
      <c r="C871" s="6"/>
      <c r="D871" s="6"/>
      <c r="E871" s="6"/>
      <c r="F871" s="6"/>
      <c r="G871" s="6"/>
      <c r="H871" s="83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2.75">
      <c r="A872" s="6"/>
      <c r="B872" s="6"/>
      <c r="C872" s="6"/>
      <c r="D872" s="6"/>
      <c r="E872" s="6"/>
      <c r="F872" s="6"/>
      <c r="G872" s="6"/>
      <c r="H872" s="83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2.75">
      <c r="A873" s="6"/>
      <c r="B873" s="6"/>
      <c r="C873" s="6"/>
      <c r="D873" s="6"/>
      <c r="E873" s="6"/>
      <c r="F873" s="6"/>
      <c r="G873" s="6"/>
      <c r="H873" s="83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2.75">
      <c r="A874" s="6"/>
      <c r="B874" s="6"/>
      <c r="C874" s="6"/>
      <c r="D874" s="6"/>
      <c r="E874" s="6"/>
      <c r="F874" s="6"/>
      <c r="G874" s="6"/>
      <c r="H874" s="83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2.75">
      <c r="A875" s="6"/>
      <c r="B875" s="6"/>
      <c r="C875" s="6"/>
      <c r="D875" s="6"/>
      <c r="E875" s="6"/>
      <c r="F875" s="6"/>
      <c r="G875" s="6"/>
      <c r="H875" s="83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2.75">
      <c r="A876" s="6"/>
      <c r="B876" s="6"/>
      <c r="C876" s="6"/>
      <c r="D876" s="6"/>
      <c r="E876" s="6"/>
      <c r="F876" s="6"/>
      <c r="G876" s="6"/>
      <c r="H876" s="83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2.75">
      <c r="A877" s="6"/>
      <c r="B877" s="6"/>
      <c r="C877" s="6"/>
      <c r="D877" s="6"/>
      <c r="E877" s="6"/>
      <c r="F877" s="6"/>
      <c r="G877" s="6"/>
      <c r="H877" s="83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2.75">
      <c r="A878" s="6"/>
      <c r="B878" s="6"/>
      <c r="C878" s="6"/>
      <c r="D878" s="6"/>
      <c r="E878" s="6"/>
      <c r="F878" s="6"/>
      <c r="G878" s="6"/>
      <c r="H878" s="83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2.75">
      <c r="A879" s="6"/>
      <c r="B879" s="6"/>
      <c r="C879" s="6"/>
      <c r="D879" s="6"/>
      <c r="E879" s="6"/>
      <c r="F879" s="6"/>
      <c r="G879" s="6"/>
      <c r="H879" s="83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2.75">
      <c r="A880" s="6"/>
      <c r="B880" s="6"/>
      <c r="C880" s="6"/>
      <c r="D880" s="6"/>
      <c r="E880" s="6"/>
      <c r="F880" s="6"/>
      <c r="G880" s="6"/>
      <c r="H880" s="83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2.75">
      <c r="A881" s="6"/>
      <c r="B881" s="6"/>
      <c r="C881" s="6"/>
      <c r="D881" s="6"/>
      <c r="E881" s="6"/>
      <c r="F881" s="6"/>
      <c r="G881" s="6"/>
      <c r="H881" s="83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2.75">
      <c r="A882" s="6"/>
      <c r="B882" s="6"/>
      <c r="C882" s="6"/>
      <c r="D882" s="6"/>
      <c r="E882" s="6"/>
      <c r="F882" s="6"/>
      <c r="G882" s="6"/>
      <c r="H882" s="83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2.75">
      <c r="A883" s="6"/>
      <c r="B883" s="6"/>
      <c r="C883" s="6"/>
      <c r="D883" s="6"/>
      <c r="E883" s="6"/>
      <c r="F883" s="6"/>
      <c r="G883" s="6"/>
      <c r="H883" s="83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2.75">
      <c r="A884" s="6"/>
      <c r="B884" s="6"/>
      <c r="C884" s="6"/>
      <c r="D884" s="6"/>
      <c r="E884" s="6"/>
      <c r="F884" s="6"/>
      <c r="G884" s="6"/>
      <c r="H884" s="83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2.75">
      <c r="A885" s="6"/>
      <c r="B885" s="6"/>
      <c r="C885" s="6"/>
      <c r="D885" s="6"/>
      <c r="E885" s="6"/>
      <c r="F885" s="6"/>
      <c r="G885" s="6"/>
      <c r="H885" s="83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2.75">
      <c r="A886" s="6"/>
      <c r="B886" s="6"/>
      <c r="C886" s="6"/>
      <c r="D886" s="6"/>
      <c r="E886" s="6"/>
      <c r="F886" s="6"/>
      <c r="G886" s="6"/>
      <c r="H886" s="83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2.75">
      <c r="A887" s="6"/>
      <c r="B887" s="6"/>
      <c r="C887" s="6"/>
      <c r="D887" s="6"/>
      <c r="E887" s="6"/>
      <c r="F887" s="6"/>
      <c r="G887" s="6"/>
      <c r="H887" s="83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2.75">
      <c r="A888" s="6"/>
      <c r="B888" s="6"/>
      <c r="C888" s="6"/>
      <c r="D888" s="6"/>
      <c r="E888" s="6"/>
      <c r="F888" s="6"/>
      <c r="G888" s="6"/>
      <c r="H888" s="83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2.75">
      <c r="A889" s="6"/>
      <c r="B889" s="6"/>
      <c r="C889" s="6"/>
      <c r="D889" s="6"/>
      <c r="E889" s="6"/>
      <c r="F889" s="6"/>
      <c r="G889" s="6"/>
      <c r="H889" s="83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2.75">
      <c r="A890" s="6"/>
      <c r="B890" s="6"/>
      <c r="C890" s="6"/>
      <c r="D890" s="6"/>
      <c r="E890" s="6"/>
      <c r="F890" s="6"/>
      <c r="G890" s="6"/>
      <c r="H890" s="83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2.75">
      <c r="A891" s="6"/>
      <c r="B891" s="6"/>
      <c r="C891" s="6"/>
      <c r="D891" s="6"/>
      <c r="E891" s="6"/>
      <c r="F891" s="6"/>
      <c r="G891" s="6"/>
      <c r="H891" s="83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2.75">
      <c r="A892" s="6"/>
      <c r="B892" s="6"/>
      <c r="C892" s="6"/>
      <c r="D892" s="6"/>
      <c r="E892" s="6"/>
      <c r="F892" s="6"/>
      <c r="G892" s="6"/>
      <c r="H892" s="83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2.75">
      <c r="A893" s="6"/>
      <c r="B893" s="6"/>
      <c r="C893" s="6"/>
      <c r="D893" s="6"/>
      <c r="E893" s="6"/>
      <c r="F893" s="6"/>
      <c r="G893" s="6"/>
      <c r="H893" s="83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2.75">
      <c r="A894" s="6"/>
      <c r="B894" s="6"/>
      <c r="C894" s="6"/>
      <c r="D894" s="6"/>
      <c r="E894" s="6"/>
      <c r="F894" s="6"/>
      <c r="G894" s="6"/>
      <c r="H894" s="83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2.75">
      <c r="A895" s="6"/>
      <c r="B895" s="6"/>
      <c r="C895" s="6"/>
      <c r="D895" s="6"/>
      <c r="E895" s="6"/>
      <c r="F895" s="6"/>
      <c r="G895" s="6"/>
      <c r="H895" s="83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2.75">
      <c r="A896" s="6"/>
      <c r="B896" s="6"/>
      <c r="C896" s="6"/>
      <c r="D896" s="6"/>
      <c r="E896" s="6"/>
      <c r="F896" s="6"/>
      <c r="G896" s="6"/>
      <c r="H896" s="83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2.75">
      <c r="A897" s="6"/>
      <c r="B897" s="6"/>
      <c r="C897" s="6"/>
      <c r="D897" s="6"/>
      <c r="E897" s="6"/>
      <c r="F897" s="6"/>
      <c r="G897" s="6"/>
      <c r="H897" s="83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2.75">
      <c r="A898" s="6"/>
      <c r="B898" s="6"/>
      <c r="C898" s="6"/>
      <c r="D898" s="6"/>
      <c r="E898" s="6"/>
      <c r="F898" s="6"/>
      <c r="G898" s="6"/>
      <c r="H898" s="83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2.75">
      <c r="A899" s="6"/>
      <c r="B899" s="6"/>
      <c r="C899" s="6"/>
      <c r="D899" s="6"/>
      <c r="E899" s="6"/>
      <c r="F899" s="6"/>
      <c r="G899" s="6"/>
      <c r="H899" s="83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2.75">
      <c r="A900" s="6"/>
      <c r="B900" s="6"/>
      <c r="C900" s="6"/>
      <c r="D900" s="6"/>
      <c r="E900" s="6"/>
      <c r="F900" s="6"/>
      <c r="G900" s="6"/>
      <c r="H900" s="83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2.75">
      <c r="A901" s="6"/>
      <c r="B901" s="6"/>
      <c r="C901" s="6"/>
      <c r="D901" s="6"/>
      <c r="E901" s="6"/>
      <c r="F901" s="6"/>
      <c r="G901" s="6"/>
      <c r="H901" s="83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2.75">
      <c r="A902" s="6"/>
      <c r="B902" s="6"/>
      <c r="C902" s="6"/>
      <c r="D902" s="6"/>
      <c r="E902" s="6"/>
      <c r="F902" s="6"/>
      <c r="G902" s="6"/>
      <c r="H902" s="83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2.75">
      <c r="A903" s="6"/>
      <c r="B903" s="6"/>
      <c r="C903" s="6"/>
      <c r="D903" s="6"/>
      <c r="E903" s="6"/>
      <c r="F903" s="6"/>
      <c r="G903" s="6"/>
      <c r="H903" s="83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2.75">
      <c r="A904" s="6"/>
      <c r="B904" s="6"/>
      <c r="C904" s="6"/>
      <c r="D904" s="6"/>
      <c r="E904" s="6"/>
      <c r="F904" s="6"/>
      <c r="G904" s="6"/>
      <c r="H904" s="83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2.75">
      <c r="A905" s="6"/>
      <c r="B905" s="6"/>
      <c r="C905" s="6"/>
      <c r="D905" s="6"/>
      <c r="E905" s="6"/>
      <c r="F905" s="6"/>
      <c r="G905" s="6"/>
      <c r="H905" s="83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2.75">
      <c r="A906" s="6"/>
      <c r="B906" s="6"/>
      <c r="C906" s="6"/>
      <c r="D906" s="6"/>
      <c r="E906" s="6"/>
      <c r="F906" s="6"/>
      <c r="G906" s="6"/>
      <c r="H906" s="83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2.75">
      <c r="A907" s="6"/>
      <c r="B907" s="6"/>
      <c r="C907" s="6"/>
      <c r="D907" s="6"/>
      <c r="E907" s="6"/>
      <c r="F907" s="6"/>
      <c r="G907" s="6"/>
      <c r="H907" s="83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2.75">
      <c r="A908" s="6"/>
      <c r="B908" s="6"/>
      <c r="C908" s="6"/>
      <c r="D908" s="6"/>
      <c r="E908" s="6"/>
      <c r="F908" s="6"/>
      <c r="G908" s="6"/>
      <c r="H908" s="83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2.75">
      <c r="A909" s="6"/>
      <c r="B909" s="6"/>
      <c r="C909" s="6"/>
      <c r="D909" s="6"/>
      <c r="E909" s="6"/>
      <c r="F909" s="6"/>
      <c r="G909" s="6"/>
      <c r="H909" s="83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2.75">
      <c r="A910" s="6"/>
      <c r="B910" s="6"/>
      <c r="C910" s="6"/>
      <c r="D910" s="6"/>
      <c r="E910" s="6"/>
      <c r="F910" s="6"/>
      <c r="G910" s="6"/>
      <c r="H910" s="83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2.75">
      <c r="A911" s="6"/>
      <c r="B911" s="6"/>
      <c r="C911" s="6"/>
      <c r="D911" s="6"/>
      <c r="E911" s="6"/>
      <c r="F911" s="6"/>
      <c r="G911" s="6"/>
      <c r="H911" s="83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2.75">
      <c r="A912" s="6"/>
      <c r="B912" s="6"/>
      <c r="C912" s="6"/>
      <c r="D912" s="6"/>
      <c r="E912" s="6"/>
      <c r="F912" s="6"/>
      <c r="G912" s="6"/>
      <c r="H912" s="83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2.75">
      <c r="A913" s="6"/>
      <c r="B913" s="6"/>
      <c r="C913" s="6"/>
      <c r="D913" s="6"/>
      <c r="E913" s="6"/>
      <c r="F913" s="6"/>
      <c r="G913" s="6"/>
      <c r="H913" s="83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2.75">
      <c r="A914" s="6"/>
      <c r="B914" s="6"/>
      <c r="C914" s="6"/>
      <c r="D914" s="6"/>
      <c r="E914" s="6"/>
      <c r="F914" s="6"/>
      <c r="G914" s="6"/>
      <c r="H914" s="83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2.75">
      <c r="A915" s="6"/>
      <c r="B915" s="6"/>
      <c r="C915" s="6"/>
      <c r="D915" s="6"/>
      <c r="E915" s="6"/>
      <c r="F915" s="6"/>
      <c r="G915" s="6"/>
      <c r="H915" s="83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2.75">
      <c r="A916" s="6"/>
      <c r="B916" s="6"/>
      <c r="C916" s="6"/>
      <c r="D916" s="6"/>
      <c r="E916" s="6"/>
      <c r="F916" s="6"/>
      <c r="G916" s="6"/>
      <c r="H916" s="83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2.75">
      <c r="A917" s="6"/>
      <c r="B917" s="6"/>
      <c r="C917" s="6"/>
      <c r="D917" s="6"/>
      <c r="E917" s="6"/>
      <c r="F917" s="6"/>
      <c r="G917" s="6"/>
      <c r="H917" s="83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2.75">
      <c r="A918" s="6"/>
      <c r="B918" s="6"/>
      <c r="C918" s="6"/>
      <c r="D918" s="6"/>
      <c r="E918" s="6"/>
      <c r="F918" s="6"/>
      <c r="G918" s="6"/>
      <c r="H918" s="83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2.75">
      <c r="A919" s="6"/>
      <c r="B919" s="6"/>
      <c r="C919" s="6"/>
      <c r="D919" s="6"/>
      <c r="E919" s="6"/>
      <c r="F919" s="6"/>
      <c r="G919" s="6"/>
      <c r="H919" s="83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2.75">
      <c r="A920" s="6"/>
      <c r="B920" s="6"/>
      <c r="C920" s="6"/>
      <c r="D920" s="6"/>
      <c r="E920" s="6"/>
      <c r="F920" s="6"/>
      <c r="G920" s="6"/>
      <c r="H920" s="83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2.75">
      <c r="A921" s="6"/>
      <c r="B921" s="6"/>
      <c r="C921" s="6"/>
      <c r="D921" s="6"/>
      <c r="E921" s="6"/>
      <c r="F921" s="6"/>
      <c r="G921" s="6"/>
      <c r="H921" s="83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2.75">
      <c r="A922" s="6"/>
      <c r="B922" s="6"/>
      <c r="C922" s="6"/>
      <c r="D922" s="6"/>
      <c r="E922" s="6"/>
      <c r="F922" s="6"/>
      <c r="G922" s="6"/>
      <c r="H922" s="83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2.75">
      <c r="A923" s="6"/>
      <c r="B923" s="6"/>
      <c r="C923" s="6"/>
      <c r="D923" s="6"/>
      <c r="E923" s="6"/>
      <c r="F923" s="6"/>
      <c r="G923" s="6"/>
      <c r="H923" s="83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2.75">
      <c r="A924" s="6"/>
      <c r="B924" s="6"/>
      <c r="C924" s="6"/>
      <c r="D924" s="6"/>
      <c r="E924" s="6"/>
      <c r="F924" s="6"/>
      <c r="G924" s="6"/>
      <c r="H924" s="83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2.75">
      <c r="A925" s="6"/>
      <c r="B925" s="6"/>
      <c r="C925" s="6"/>
      <c r="D925" s="6"/>
      <c r="E925" s="6"/>
      <c r="F925" s="6"/>
      <c r="G925" s="6"/>
      <c r="H925" s="83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2.75">
      <c r="A926" s="6"/>
      <c r="B926" s="6"/>
      <c r="C926" s="6"/>
      <c r="D926" s="6"/>
      <c r="E926" s="6"/>
      <c r="F926" s="6"/>
      <c r="G926" s="6"/>
      <c r="H926" s="83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2.75">
      <c r="A927" s="6"/>
      <c r="B927" s="6"/>
      <c r="C927" s="6"/>
      <c r="D927" s="6"/>
      <c r="E927" s="6"/>
      <c r="F927" s="6"/>
      <c r="G927" s="6"/>
      <c r="H927" s="83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2.75">
      <c r="A928" s="6"/>
      <c r="B928" s="6"/>
      <c r="C928" s="6"/>
      <c r="D928" s="6"/>
      <c r="E928" s="6"/>
      <c r="F928" s="6"/>
      <c r="G928" s="6"/>
      <c r="H928" s="83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2.75">
      <c r="A929" s="6"/>
      <c r="B929" s="6"/>
      <c r="C929" s="6"/>
      <c r="D929" s="6"/>
      <c r="E929" s="6"/>
      <c r="F929" s="6"/>
      <c r="G929" s="6"/>
      <c r="H929" s="83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2.75">
      <c r="A930" s="6"/>
      <c r="B930" s="6"/>
      <c r="C930" s="6"/>
      <c r="D930" s="6"/>
      <c r="E930" s="6"/>
      <c r="F930" s="6"/>
      <c r="G930" s="6"/>
      <c r="H930" s="83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2.75">
      <c r="A931" s="6"/>
      <c r="B931" s="6"/>
      <c r="C931" s="6"/>
      <c r="D931" s="6"/>
      <c r="E931" s="6"/>
      <c r="F931" s="6"/>
      <c r="G931" s="6"/>
      <c r="H931" s="83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2.75">
      <c r="A932" s="6"/>
      <c r="B932" s="6"/>
      <c r="C932" s="6"/>
      <c r="D932" s="6"/>
      <c r="E932" s="6"/>
      <c r="F932" s="6"/>
      <c r="G932" s="6"/>
      <c r="H932" s="83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2.75">
      <c r="A933" s="6"/>
      <c r="B933" s="6"/>
      <c r="C933" s="6"/>
      <c r="D933" s="6"/>
      <c r="E933" s="6"/>
      <c r="F933" s="6"/>
      <c r="G933" s="6"/>
      <c r="H933" s="83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2.75">
      <c r="A934" s="6"/>
      <c r="B934" s="6"/>
      <c r="C934" s="6"/>
      <c r="D934" s="6"/>
      <c r="E934" s="6"/>
      <c r="F934" s="6"/>
      <c r="G934" s="6"/>
      <c r="H934" s="83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2.75">
      <c r="A935" s="6"/>
      <c r="B935" s="6"/>
      <c r="C935" s="6"/>
      <c r="D935" s="6"/>
      <c r="E935" s="6"/>
      <c r="F935" s="6"/>
      <c r="G935" s="6"/>
      <c r="H935" s="83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2.75">
      <c r="A936" s="6"/>
      <c r="B936" s="6"/>
      <c r="C936" s="6"/>
      <c r="D936" s="6"/>
      <c r="E936" s="6"/>
      <c r="F936" s="6"/>
      <c r="G936" s="6"/>
      <c r="H936" s="83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2.75">
      <c r="A937" s="6"/>
      <c r="B937" s="6"/>
      <c r="C937" s="6"/>
      <c r="D937" s="6"/>
      <c r="E937" s="6"/>
      <c r="F937" s="6"/>
      <c r="G937" s="6"/>
      <c r="H937" s="83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2.75">
      <c r="A938" s="6"/>
      <c r="B938" s="6"/>
      <c r="C938" s="6"/>
      <c r="D938" s="6"/>
      <c r="E938" s="6"/>
      <c r="F938" s="6"/>
      <c r="G938" s="6"/>
      <c r="H938" s="83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2.75">
      <c r="A939" s="6"/>
      <c r="B939" s="6"/>
      <c r="C939" s="6"/>
      <c r="D939" s="6"/>
      <c r="E939" s="6"/>
      <c r="F939" s="6"/>
      <c r="G939" s="6"/>
      <c r="H939" s="83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2.75">
      <c r="A940" s="6"/>
      <c r="B940" s="6"/>
      <c r="C940" s="6"/>
      <c r="D940" s="6"/>
      <c r="E940" s="6"/>
      <c r="F940" s="6"/>
      <c r="G940" s="6"/>
      <c r="H940" s="83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2.75">
      <c r="A941" s="6"/>
      <c r="B941" s="6"/>
      <c r="C941" s="6"/>
      <c r="D941" s="6"/>
      <c r="E941" s="6"/>
      <c r="F941" s="6"/>
      <c r="G941" s="6"/>
      <c r="H941" s="83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2.75">
      <c r="A942" s="6"/>
      <c r="B942" s="6"/>
      <c r="C942" s="6"/>
      <c r="D942" s="6"/>
      <c r="E942" s="6"/>
      <c r="F942" s="6"/>
      <c r="G942" s="6"/>
      <c r="H942" s="83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2.75">
      <c r="A943" s="6"/>
      <c r="B943" s="6"/>
      <c r="C943" s="6"/>
      <c r="D943" s="6"/>
      <c r="E943" s="6"/>
      <c r="F943" s="6"/>
      <c r="G943" s="6"/>
      <c r="H943" s="83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2.75">
      <c r="A944" s="6"/>
      <c r="B944" s="6"/>
      <c r="C944" s="6"/>
      <c r="D944" s="6"/>
      <c r="E944" s="6"/>
      <c r="F944" s="6"/>
      <c r="G944" s="6"/>
      <c r="H944" s="83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2.75">
      <c r="A945" s="6"/>
      <c r="B945" s="6"/>
      <c r="C945" s="6"/>
      <c r="D945" s="6"/>
      <c r="E945" s="6"/>
      <c r="F945" s="6"/>
      <c r="G945" s="6"/>
      <c r="H945" s="83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2.75">
      <c r="A946" s="6"/>
      <c r="B946" s="6"/>
      <c r="C946" s="6"/>
      <c r="D946" s="6"/>
      <c r="E946" s="6"/>
      <c r="F946" s="6"/>
      <c r="G946" s="6"/>
      <c r="H946" s="83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2.75">
      <c r="A947" s="6"/>
      <c r="B947" s="6"/>
      <c r="C947" s="6"/>
      <c r="D947" s="6"/>
      <c r="E947" s="6"/>
      <c r="F947" s="6"/>
      <c r="G947" s="6"/>
      <c r="H947" s="83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2.75">
      <c r="A948" s="6"/>
      <c r="B948" s="6"/>
      <c r="C948" s="6"/>
      <c r="D948" s="6"/>
      <c r="E948" s="6"/>
      <c r="F948" s="6"/>
      <c r="G948" s="6"/>
      <c r="H948" s="83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2.75">
      <c r="A949" s="6"/>
      <c r="B949" s="6"/>
      <c r="C949" s="6"/>
      <c r="D949" s="6"/>
      <c r="E949" s="6"/>
      <c r="F949" s="6"/>
      <c r="G949" s="6"/>
      <c r="H949" s="83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2.75">
      <c r="A950" s="6"/>
      <c r="B950" s="6"/>
      <c r="C950" s="6"/>
      <c r="D950" s="6"/>
      <c r="E950" s="6"/>
      <c r="F950" s="6"/>
      <c r="G950" s="6"/>
      <c r="H950" s="83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2.75">
      <c r="A951" s="6"/>
      <c r="B951" s="6"/>
      <c r="C951" s="6"/>
      <c r="D951" s="6"/>
      <c r="E951" s="6"/>
      <c r="F951" s="6"/>
      <c r="G951" s="6"/>
      <c r="H951" s="83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2.75">
      <c r="A952" s="6"/>
      <c r="B952" s="6"/>
      <c r="C952" s="6"/>
      <c r="D952" s="6"/>
      <c r="E952" s="6"/>
      <c r="F952" s="6"/>
      <c r="G952" s="6"/>
      <c r="H952" s="83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2.75">
      <c r="A953" s="6"/>
      <c r="B953" s="6"/>
      <c r="C953" s="6"/>
      <c r="D953" s="6"/>
      <c r="E953" s="6"/>
      <c r="F953" s="6"/>
      <c r="G953" s="6"/>
      <c r="H953" s="83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2.75">
      <c r="A954" s="6"/>
      <c r="B954" s="6"/>
      <c r="C954" s="6"/>
      <c r="D954" s="6"/>
      <c r="E954" s="6"/>
      <c r="F954" s="6"/>
      <c r="G954" s="6"/>
      <c r="H954" s="83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2.75">
      <c r="A955" s="6"/>
      <c r="B955" s="6"/>
      <c r="C955" s="6"/>
      <c r="D955" s="6"/>
      <c r="E955" s="6"/>
      <c r="F955" s="6"/>
      <c r="G955" s="6"/>
      <c r="H955" s="83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2.75">
      <c r="A956" s="6"/>
      <c r="B956" s="6"/>
      <c r="C956" s="6"/>
      <c r="D956" s="6"/>
      <c r="E956" s="6"/>
      <c r="F956" s="6"/>
      <c r="G956" s="6"/>
      <c r="H956" s="83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2.75">
      <c r="A957" s="6"/>
      <c r="B957" s="6"/>
      <c r="C957" s="6"/>
      <c r="D957" s="6"/>
      <c r="E957" s="6"/>
      <c r="F957" s="6"/>
      <c r="G957" s="6"/>
      <c r="H957" s="83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2.75">
      <c r="A958" s="6"/>
      <c r="B958" s="6"/>
      <c r="C958" s="6"/>
      <c r="D958" s="6"/>
      <c r="E958" s="6"/>
      <c r="F958" s="6"/>
      <c r="G958" s="6"/>
      <c r="H958" s="83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2.75">
      <c r="A959" s="6"/>
      <c r="B959" s="6"/>
      <c r="C959" s="6"/>
      <c r="D959" s="6"/>
      <c r="E959" s="6"/>
      <c r="F959" s="6"/>
      <c r="G959" s="6"/>
      <c r="H959" s="83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2.75">
      <c r="A960" s="6"/>
      <c r="B960" s="6"/>
      <c r="C960" s="6"/>
      <c r="D960" s="6"/>
      <c r="E960" s="6"/>
      <c r="F960" s="6"/>
      <c r="G960" s="6"/>
      <c r="H960" s="83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2.75">
      <c r="A961" s="6"/>
      <c r="B961" s="6"/>
      <c r="C961" s="6"/>
      <c r="D961" s="6"/>
      <c r="E961" s="6"/>
      <c r="F961" s="6"/>
      <c r="G961" s="6"/>
      <c r="H961" s="83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2.75">
      <c r="A962" s="6"/>
      <c r="B962" s="6"/>
      <c r="C962" s="6"/>
      <c r="D962" s="6"/>
      <c r="E962" s="6"/>
      <c r="F962" s="6"/>
      <c r="G962" s="6"/>
      <c r="H962" s="83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2.75">
      <c r="A963" s="6"/>
      <c r="B963" s="6"/>
      <c r="C963" s="6"/>
      <c r="D963" s="6"/>
      <c r="E963" s="6"/>
      <c r="F963" s="6"/>
      <c r="G963" s="6"/>
      <c r="H963" s="83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2.75">
      <c r="A964" s="6"/>
      <c r="B964" s="6"/>
      <c r="C964" s="6"/>
      <c r="D964" s="6"/>
      <c r="E964" s="6"/>
      <c r="F964" s="6"/>
      <c r="G964" s="6"/>
      <c r="H964" s="83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2.75">
      <c r="A965" s="6"/>
      <c r="B965" s="6"/>
      <c r="C965" s="6"/>
      <c r="D965" s="6"/>
      <c r="E965" s="6"/>
      <c r="F965" s="6"/>
      <c r="G965" s="6"/>
      <c r="H965" s="83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2.75">
      <c r="A966" s="6"/>
      <c r="B966" s="6"/>
      <c r="C966" s="6"/>
      <c r="D966" s="6"/>
      <c r="E966" s="6"/>
      <c r="F966" s="6"/>
      <c r="G966" s="6"/>
      <c r="H966" s="83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2.75">
      <c r="A967" s="6"/>
      <c r="B967" s="6"/>
      <c r="C967" s="6"/>
      <c r="D967" s="6"/>
      <c r="E967" s="6"/>
      <c r="F967" s="6"/>
      <c r="G967" s="6"/>
      <c r="H967" s="83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2.75">
      <c r="A968" s="6"/>
      <c r="B968" s="6"/>
      <c r="C968" s="6"/>
      <c r="D968" s="6"/>
      <c r="E968" s="6"/>
      <c r="F968" s="6"/>
      <c r="G968" s="6"/>
      <c r="H968" s="83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2.75">
      <c r="A969" s="6"/>
      <c r="B969" s="6"/>
      <c r="C969" s="6"/>
      <c r="D969" s="6"/>
      <c r="E969" s="6"/>
      <c r="F969" s="6"/>
      <c r="G969" s="6"/>
      <c r="H969" s="83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2.75">
      <c r="A970" s="6"/>
      <c r="B970" s="6"/>
      <c r="C970" s="6"/>
      <c r="D970" s="6"/>
      <c r="E970" s="6"/>
      <c r="F970" s="6"/>
      <c r="G970" s="6"/>
      <c r="H970" s="83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2.75">
      <c r="A971" s="6"/>
      <c r="B971" s="6"/>
      <c r="C971" s="6"/>
      <c r="D971" s="6"/>
      <c r="E971" s="6"/>
      <c r="F971" s="6"/>
      <c r="G971" s="6"/>
      <c r="H971" s="83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2.75">
      <c r="A972" s="6"/>
      <c r="B972" s="6"/>
      <c r="C972" s="6"/>
      <c r="D972" s="6"/>
      <c r="E972" s="6"/>
      <c r="F972" s="6"/>
      <c r="G972" s="6"/>
      <c r="H972" s="83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2.75">
      <c r="A973" s="6"/>
      <c r="B973" s="6"/>
      <c r="C973" s="6"/>
      <c r="D973" s="6"/>
      <c r="E973" s="6"/>
      <c r="F973" s="6"/>
      <c r="G973" s="6"/>
      <c r="H973" s="83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2.75">
      <c r="A974" s="6"/>
      <c r="B974" s="6"/>
      <c r="C974" s="6"/>
      <c r="D974" s="6"/>
      <c r="E974" s="6"/>
      <c r="F974" s="6"/>
      <c r="G974" s="6"/>
      <c r="H974" s="83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2.75">
      <c r="A975" s="6"/>
      <c r="B975" s="6"/>
      <c r="C975" s="6"/>
      <c r="D975" s="6"/>
      <c r="E975" s="6"/>
      <c r="F975" s="6"/>
      <c r="G975" s="6"/>
      <c r="H975" s="83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</sheetData>
  <autoFilter ref="A1:Q975" xr:uid="{00000000-0009-0000-0000-000007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P901"/>
  <sheetViews>
    <sheetView workbookViewId="0"/>
  </sheetViews>
  <sheetFormatPr defaultColWidth="12.5703125" defaultRowHeight="15" customHeight="1"/>
  <cols>
    <col min="1" max="1" width="14" customWidth="1"/>
    <col min="2" max="2" width="11.85546875" customWidth="1"/>
    <col min="3" max="3" width="20.42578125" customWidth="1"/>
    <col min="4" max="4" width="10.42578125" customWidth="1"/>
    <col min="5" max="5" width="25.28515625" customWidth="1"/>
    <col min="6" max="6" width="7.5703125" customWidth="1"/>
    <col min="7" max="9" width="10.7109375" customWidth="1"/>
    <col min="10" max="10" width="15.42578125" customWidth="1"/>
    <col min="11" max="11" width="10.85546875" customWidth="1"/>
    <col min="12" max="12" width="16.5703125" customWidth="1"/>
    <col min="13" max="13" width="91" customWidth="1"/>
    <col min="14" max="14" width="7.5703125" customWidth="1"/>
    <col min="15" max="15" width="39.7109375" customWidth="1"/>
    <col min="16" max="42" width="7.5703125" customWidth="1"/>
  </cols>
  <sheetData>
    <row r="1" spans="1:42" ht="29.25" customHeight="1">
      <c r="A1" s="42" t="s">
        <v>561</v>
      </c>
      <c r="B1" s="42" t="s">
        <v>562</v>
      </c>
      <c r="C1" s="42" t="s">
        <v>564</v>
      </c>
      <c r="D1" s="42" t="s">
        <v>565</v>
      </c>
      <c r="E1" s="42" t="s">
        <v>567</v>
      </c>
      <c r="F1" s="100" t="s">
        <v>568</v>
      </c>
      <c r="G1" s="42" t="s">
        <v>579</v>
      </c>
      <c r="H1" s="101" t="s">
        <v>2021</v>
      </c>
      <c r="I1" s="101" t="s">
        <v>2022</v>
      </c>
      <c r="J1" s="100" t="s">
        <v>573</v>
      </c>
      <c r="K1" s="100" t="s">
        <v>574</v>
      </c>
      <c r="L1" s="100" t="s">
        <v>576</v>
      </c>
      <c r="M1" s="102" t="s">
        <v>578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</row>
    <row r="2" spans="1:42" ht="24.75" customHeight="1">
      <c r="A2" s="3" t="s">
        <v>2023</v>
      </c>
      <c r="B2" s="3" t="s">
        <v>606</v>
      </c>
      <c r="C2" s="3" t="s">
        <v>28</v>
      </c>
      <c r="D2" s="3" t="s">
        <v>10</v>
      </c>
      <c r="E2" s="3" t="s">
        <v>50</v>
      </c>
      <c r="F2" s="3" t="s">
        <v>13</v>
      </c>
      <c r="G2" s="103">
        <v>1</v>
      </c>
      <c r="H2" s="3" t="s">
        <v>7</v>
      </c>
      <c r="I2" s="3" t="s">
        <v>7</v>
      </c>
      <c r="J2" s="3" t="s">
        <v>58</v>
      </c>
      <c r="K2" s="104" t="s">
        <v>7</v>
      </c>
      <c r="L2" s="3" t="s">
        <v>60</v>
      </c>
      <c r="M2" s="3" t="s">
        <v>608</v>
      </c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</row>
    <row r="3" spans="1:42" ht="24.75" customHeight="1">
      <c r="A3" s="3" t="s">
        <v>1990</v>
      </c>
      <c r="B3" s="3" t="s">
        <v>616</v>
      </c>
      <c r="C3" s="3" t="s">
        <v>28</v>
      </c>
      <c r="D3" s="3" t="s">
        <v>10</v>
      </c>
      <c r="E3" s="3" t="s">
        <v>50</v>
      </c>
      <c r="F3" s="3" t="s">
        <v>13</v>
      </c>
      <c r="G3" s="105">
        <v>0.33333333333333331</v>
      </c>
      <c r="H3" s="3" t="s">
        <v>7</v>
      </c>
      <c r="I3" s="3" t="s">
        <v>7</v>
      </c>
      <c r="J3" s="3" t="s">
        <v>58</v>
      </c>
      <c r="K3" s="104" t="s">
        <v>7</v>
      </c>
      <c r="L3" s="3" t="s">
        <v>621</v>
      </c>
      <c r="M3" s="3" t="s">
        <v>623</v>
      </c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</row>
    <row r="4" spans="1:42" ht="24.75" customHeight="1">
      <c r="A4" s="3" t="s">
        <v>1983</v>
      </c>
      <c r="B4" s="3" t="s">
        <v>628</v>
      </c>
      <c r="C4" s="3" t="s">
        <v>9</v>
      </c>
      <c r="D4" s="3" t="s">
        <v>10</v>
      </c>
      <c r="E4" s="3" t="s">
        <v>50</v>
      </c>
      <c r="F4" s="3" t="s">
        <v>13</v>
      </c>
      <c r="G4" s="103">
        <v>0.54166666666666663</v>
      </c>
      <c r="H4" s="3" t="s">
        <v>7</v>
      </c>
      <c r="I4" s="3" t="s">
        <v>7</v>
      </c>
      <c r="J4" s="3" t="s">
        <v>58</v>
      </c>
      <c r="K4" s="104" t="s">
        <v>7</v>
      </c>
      <c r="L4" s="3" t="s">
        <v>621</v>
      </c>
      <c r="M4" s="3" t="s">
        <v>635</v>
      </c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</row>
    <row r="5" spans="1:42" ht="24.75" customHeight="1">
      <c r="A5" s="3" t="s">
        <v>2024</v>
      </c>
      <c r="B5" s="3" t="s">
        <v>628</v>
      </c>
      <c r="C5" s="3" t="s">
        <v>9</v>
      </c>
      <c r="D5" s="3" t="s">
        <v>157</v>
      </c>
      <c r="E5" s="3" t="s">
        <v>30</v>
      </c>
      <c r="F5" s="3" t="s">
        <v>13</v>
      </c>
      <c r="G5" s="103">
        <v>1.8333333333333335</v>
      </c>
      <c r="H5" s="3" t="s">
        <v>7</v>
      </c>
      <c r="I5" s="3" t="s">
        <v>7</v>
      </c>
      <c r="J5" s="3" t="s">
        <v>21</v>
      </c>
      <c r="K5" s="104" t="s">
        <v>7</v>
      </c>
      <c r="L5" s="3" t="s">
        <v>621</v>
      </c>
      <c r="M5" s="3" t="s">
        <v>637</v>
      </c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</row>
    <row r="6" spans="1:42" ht="24.75" customHeight="1">
      <c r="A6" s="3" t="s">
        <v>1984</v>
      </c>
      <c r="B6" s="3" t="s">
        <v>628</v>
      </c>
      <c r="C6" s="3" t="s">
        <v>9</v>
      </c>
      <c r="D6" s="3" t="s">
        <v>157</v>
      </c>
      <c r="E6" s="3" t="s">
        <v>50</v>
      </c>
      <c r="F6" s="3">
        <v>1</v>
      </c>
      <c r="G6" s="103">
        <v>0.30555555555555558</v>
      </c>
      <c r="H6" s="3" t="s">
        <v>7</v>
      </c>
      <c r="I6" s="3" t="s">
        <v>7</v>
      </c>
      <c r="J6" s="3" t="s">
        <v>58</v>
      </c>
      <c r="K6" s="104" t="s">
        <v>7</v>
      </c>
      <c r="L6" s="3" t="s">
        <v>621</v>
      </c>
      <c r="M6" s="3" t="s">
        <v>649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</row>
    <row r="7" spans="1:42" ht="24.75" customHeight="1">
      <c r="A7" s="3" t="s">
        <v>2026</v>
      </c>
      <c r="B7" s="3" t="s">
        <v>654</v>
      </c>
      <c r="C7" s="3" t="s">
        <v>28</v>
      </c>
      <c r="D7" s="3" t="s">
        <v>10</v>
      </c>
      <c r="E7" s="3" t="s">
        <v>30</v>
      </c>
      <c r="F7" s="3" t="s">
        <v>13</v>
      </c>
      <c r="G7" s="105">
        <v>1.8333333333333333</v>
      </c>
      <c r="H7" s="3" t="s">
        <v>7</v>
      </c>
      <c r="I7" s="3" t="s">
        <v>7</v>
      </c>
      <c r="J7" s="3" t="s">
        <v>21</v>
      </c>
      <c r="K7" s="104" t="s">
        <v>7</v>
      </c>
      <c r="L7" s="3" t="s">
        <v>60</v>
      </c>
      <c r="M7" s="3" t="s">
        <v>655</v>
      </c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</row>
    <row r="8" spans="1:42" ht="24.75" customHeight="1">
      <c r="A8" s="3" t="s">
        <v>1561</v>
      </c>
      <c r="B8" s="3" t="s">
        <v>654</v>
      </c>
      <c r="C8" s="3" t="s">
        <v>9</v>
      </c>
      <c r="D8" s="3" t="s">
        <v>10</v>
      </c>
      <c r="E8" s="3" t="s">
        <v>50</v>
      </c>
      <c r="F8" s="3">
        <v>1</v>
      </c>
      <c r="G8" s="103">
        <v>0.5</v>
      </c>
      <c r="H8" s="3" t="s">
        <v>7</v>
      </c>
      <c r="I8" s="3" t="s">
        <v>7</v>
      </c>
      <c r="J8" s="3" t="s">
        <v>58</v>
      </c>
      <c r="K8" s="104" t="s">
        <v>7</v>
      </c>
      <c r="L8" s="3" t="s">
        <v>621</v>
      </c>
      <c r="M8" s="3" t="s">
        <v>668</v>
      </c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</row>
    <row r="9" spans="1:42" ht="24.75" customHeight="1">
      <c r="A9" s="3" t="s">
        <v>1562</v>
      </c>
      <c r="B9" s="3" t="s">
        <v>654</v>
      </c>
      <c r="C9" s="3" t="s">
        <v>9</v>
      </c>
      <c r="D9" s="3" t="s">
        <v>10</v>
      </c>
      <c r="E9" s="3" t="s">
        <v>50</v>
      </c>
      <c r="F9" s="3">
        <v>2</v>
      </c>
      <c r="G9" s="103">
        <v>1.6666666666666665</v>
      </c>
      <c r="H9" s="3" t="s">
        <v>7</v>
      </c>
      <c r="I9" s="3" t="s">
        <v>7</v>
      </c>
      <c r="J9" s="3" t="s">
        <v>58</v>
      </c>
      <c r="K9" s="104" t="s">
        <v>7</v>
      </c>
      <c r="L9" s="3" t="s">
        <v>621</v>
      </c>
      <c r="M9" s="3" t="s">
        <v>669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</row>
    <row r="10" spans="1:42" ht="24.75" customHeight="1">
      <c r="A10" s="3" t="s">
        <v>1665</v>
      </c>
      <c r="B10" s="3" t="s">
        <v>654</v>
      </c>
      <c r="C10" s="3" t="s">
        <v>9</v>
      </c>
      <c r="D10" s="3" t="s">
        <v>157</v>
      </c>
      <c r="E10" s="3" t="s">
        <v>50</v>
      </c>
      <c r="F10" s="3" t="s">
        <v>13</v>
      </c>
      <c r="G10" s="103">
        <v>1.0416666666666665</v>
      </c>
      <c r="H10" s="3" t="s">
        <v>7</v>
      </c>
      <c r="I10" s="3" t="s">
        <v>7</v>
      </c>
      <c r="J10" s="3" t="s">
        <v>677</v>
      </c>
      <c r="K10" s="104" t="s">
        <v>7</v>
      </c>
      <c r="L10" s="3" t="s">
        <v>621</v>
      </c>
      <c r="M10" s="3" t="s">
        <v>678</v>
      </c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</row>
    <row r="11" spans="1:42" ht="24.75" customHeight="1">
      <c r="A11" s="3" t="s">
        <v>1543</v>
      </c>
      <c r="B11" s="3" t="s">
        <v>689</v>
      </c>
      <c r="C11" s="3" t="s">
        <v>28</v>
      </c>
      <c r="D11" s="3" t="s">
        <v>10</v>
      </c>
      <c r="E11" s="3" t="s">
        <v>50</v>
      </c>
      <c r="F11" s="3">
        <v>1</v>
      </c>
      <c r="G11" s="103">
        <v>0.41666666666666663</v>
      </c>
      <c r="H11" s="3" t="s">
        <v>143</v>
      </c>
      <c r="I11" s="3" t="s">
        <v>7</v>
      </c>
      <c r="J11" s="3" t="s">
        <v>58</v>
      </c>
      <c r="K11" s="106">
        <v>0.2</v>
      </c>
      <c r="L11" s="3" t="s">
        <v>60</v>
      </c>
      <c r="M11" s="3" t="s">
        <v>694</v>
      </c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</row>
    <row r="12" spans="1:42" ht="24.75" customHeight="1">
      <c r="A12" s="3" t="s">
        <v>2025</v>
      </c>
      <c r="B12" s="3" t="s">
        <v>689</v>
      </c>
      <c r="C12" s="3" t="s">
        <v>28</v>
      </c>
      <c r="D12" s="3" t="s">
        <v>10</v>
      </c>
      <c r="E12" s="3" t="s">
        <v>50</v>
      </c>
      <c r="F12" s="3">
        <v>2</v>
      </c>
      <c r="G12" s="103">
        <v>8.3333333333333329E-2</v>
      </c>
      <c r="H12" s="3" t="s">
        <v>143</v>
      </c>
      <c r="I12" s="3" t="s">
        <v>7</v>
      </c>
      <c r="J12" s="3" t="s">
        <v>58</v>
      </c>
      <c r="K12" s="106">
        <v>0.2</v>
      </c>
      <c r="L12" s="3" t="s">
        <v>60</v>
      </c>
      <c r="M12" s="3" t="s">
        <v>699</v>
      </c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</row>
    <row r="13" spans="1:42" ht="24.75" customHeight="1">
      <c r="A13" s="3" t="s">
        <v>2028</v>
      </c>
      <c r="B13" s="3" t="s">
        <v>713</v>
      </c>
      <c r="C13" s="3" t="s">
        <v>28</v>
      </c>
      <c r="D13" s="3" t="s">
        <v>10</v>
      </c>
      <c r="E13" s="3" t="s">
        <v>30</v>
      </c>
      <c r="F13" s="3" t="s">
        <v>13</v>
      </c>
      <c r="G13" s="103">
        <v>1.8333333333333333</v>
      </c>
      <c r="H13" s="3" t="s">
        <v>143</v>
      </c>
      <c r="I13" s="3" t="s">
        <v>7</v>
      </c>
      <c r="J13" s="3" t="s">
        <v>21</v>
      </c>
      <c r="K13" s="106">
        <v>0.2</v>
      </c>
      <c r="L13" s="3" t="s">
        <v>60</v>
      </c>
      <c r="M13" s="3" t="s">
        <v>716</v>
      </c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</row>
    <row r="14" spans="1:42" ht="24.75" customHeight="1">
      <c r="A14" s="3" t="s">
        <v>1552</v>
      </c>
      <c r="B14" s="3" t="s">
        <v>724</v>
      </c>
      <c r="C14" s="3" t="s">
        <v>28</v>
      </c>
      <c r="D14" s="3" t="s">
        <v>10</v>
      </c>
      <c r="E14" s="3" t="s">
        <v>50</v>
      </c>
      <c r="F14" s="3">
        <v>1</v>
      </c>
      <c r="G14" s="103">
        <v>0.41666666666666663</v>
      </c>
      <c r="H14" s="3" t="s">
        <v>143</v>
      </c>
      <c r="I14" s="3" t="s">
        <v>7</v>
      </c>
      <c r="J14" s="3" t="s">
        <v>58</v>
      </c>
      <c r="K14" s="106">
        <v>0.2</v>
      </c>
      <c r="L14" s="3" t="s">
        <v>60</v>
      </c>
      <c r="M14" s="3" t="s">
        <v>732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</row>
    <row r="15" spans="1:42" ht="26.25" customHeight="1">
      <c r="A15" s="3" t="s">
        <v>1995</v>
      </c>
      <c r="B15" s="3" t="s">
        <v>724</v>
      </c>
      <c r="C15" s="3" t="s">
        <v>28</v>
      </c>
      <c r="D15" s="3" t="s">
        <v>10</v>
      </c>
      <c r="E15" s="3" t="s">
        <v>50</v>
      </c>
      <c r="F15" s="3">
        <v>2</v>
      </c>
      <c r="G15" s="103">
        <v>8.3333333333333329E-2</v>
      </c>
      <c r="H15" s="3" t="s">
        <v>143</v>
      </c>
      <c r="I15" s="3" t="s">
        <v>7</v>
      </c>
      <c r="J15" s="3" t="s">
        <v>58</v>
      </c>
      <c r="K15" s="106">
        <v>0.2</v>
      </c>
      <c r="L15" s="3" t="s">
        <v>60</v>
      </c>
      <c r="M15" s="3" t="s">
        <v>741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</row>
    <row r="16" spans="1:42" ht="26.25" customHeight="1">
      <c r="A16" s="3" t="s">
        <v>1553</v>
      </c>
      <c r="B16" s="3" t="s">
        <v>750</v>
      </c>
      <c r="C16" s="3" t="s">
        <v>28</v>
      </c>
      <c r="D16" s="3" t="s">
        <v>10</v>
      </c>
      <c r="E16" s="3" t="s">
        <v>50</v>
      </c>
      <c r="F16" s="3" t="s">
        <v>13</v>
      </c>
      <c r="G16" s="103">
        <v>1.40625</v>
      </c>
      <c r="H16" s="3" t="s">
        <v>143</v>
      </c>
      <c r="I16" s="3" t="s">
        <v>7</v>
      </c>
      <c r="J16" s="3" t="s">
        <v>58</v>
      </c>
      <c r="K16" s="106">
        <v>0.2</v>
      </c>
      <c r="L16" s="3" t="s">
        <v>60</v>
      </c>
      <c r="M16" s="3" t="s">
        <v>751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</row>
    <row r="17" spans="1:42" ht="26.25" customHeight="1">
      <c r="A17" s="3" t="s">
        <v>1527</v>
      </c>
      <c r="B17" s="3" t="s">
        <v>760</v>
      </c>
      <c r="C17" s="3" t="s">
        <v>28</v>
      </c>
      <c r="D17" s="3" t="s">
        <v>10</v>
      </c>
      <c r="E17" s="3" t="s">
        <v>30</v>
      </c>
      <c r="F17" s="3">
        <v>1</v>
      </c>
      <c r="G17" s="103">
        <v>1.8333333333333333</v>
      </c>
      <c r="H17" s="3" t="s">
        <v>143</v>
      </c>
      <c r="I17" s="3" t="s">
        <v>7</v>
      </c>
      <c r="J17" s="3" t="s">
        <v>21</v>
      </c>
      <c r="K17" s="106">
        <v>0.2</v>
      </c>
      <c r="L17" s="3" t="s">
        <v>60</v>
      </c>
      <c r="M17" s="3" t="s">
        <v>767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</row>
    <row r="18" spans="1:42" ht="26.25" customHeight="1">
      <c r="A18" s="3" t="s">
        <v>2030</v>
      </c>
      <c r="B18" s="3" t="s">
        <v>760</v>
      </c>
      <c r="C18" s="3" t="s">
        <v>28</v>
      </c>
      <c r="D18" s="3" t="s">
        <v>10</v>
      </c>
      <c r="E18" s="3" t="s">
        <v>30</v>
      </c>
      <c r="F18" s="3">
        <v>2</v>
      </c>
      <c r="G18" s="103">
        <v>1.8333333333333333</v>
      </c>
      <c r="H18" s="3" t="s">
        <v>143</v>
      </c>
      <c r="I18" s="3" t="s">
        <v>7</v>
      </c>
      <c r="J18" s="3" t="s">
        <v>21</v>
      </c>
      <c r="K18" s="106">
        <v>0.2</v>
      </c>
      <c r="L18" s="3" t="s">
        <v>60</v>
      </c>
      <c r="M18" s="3" t="s">
        <v>775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</row>
    <row r="19" spans="1:42" ht="26.25" customHeight="1">
      <c r="A19" s="3" t="s">
        <v>2031</v>
      </c>
      <c r="B19" s="3" t="s">
        <v>783</v>
      </c>
      <c r="C19" s="3" t="s">
        <v>28</v>
      </c>
      <c r="D19" s="3" t="s">
        <v>10</v>
      </c>
      <c r="E19" s="3" t="s">
        <v>50</v>
      </c>
      <c r="F19" s="3" t="s">
        <v>13</v>
      </c>
      <c r="G19" s="103">
        <v>1.8333333333333333</v>
      </c>
      <c r="H19" s="3" t="s">
        <v>143</v>
      </c>
      <c r="I19" s="3" t="s">
        <v>7</v>
      </c>
      <c r="J19" s="3" t="s">
        <v>784</v>
      </c>
      <c r="K19" s="106">
        <v>0.2</v>
      </c>
      <c r="L19" s="3" t="s">
        <v>60</v>
      </c>
      <c r="M19" s="3" t="s">
        <v>785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</row>
    <row r="20" spans="1:42" ht="26.25" customHeight="1">
      <c r="A20" s="3" t="s">
        <v>2018</v>
      </c>
      <c r="B20" s="3" t="s">
        <v>792</v>
      </c>
      <c r="C20" s="3" t="s">
        <v>28</v>
      </c>
      <c r="D20" s="3" t="s">
        <v>10</v>
      </c>
      <c r="E20" s="3" t="s">
        <v>30</v>
      </c>
      <c r="F20" s="3" t="s">
        <v>13</v>
      </c>
      <c r="G20" s="103">
        <v>1.8333333333333333</v>
      </c>
      <c r="H20" s="3" t="s">
        <v>143</v>
      </c>
      <c r="I20" s="3" t="s">
        <v>7</v>
      </c>
      <c r="J20" s="3" t="s">
        <v>784</v>
      </c>
      <c r="K20" s="106">
        <v>0.2</v>
      </c>
      <c r="L20" s="3" t="s">
        <v>60</v>
      </c>
      <c r="M20" s="3" t="s">
        <v>793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</row>
    <row r="21" spans="1:42" ht="26.25" customHeight="1">
      <c r="A21" s="3" t="s">
        <v>2032</v>
      </c>
      <c r="B21" s="3" t="s">
        <v>802</v>
      </c>
      <c r="C21" s="3" t="s">
        <v>28</v>
      </c>
      <c r="D21" s="3" t="s">
        <v>10</v>
      </c>
      <c r="E21" s="3" t="s">
        <v>50</v>
      </c>
      <c r="F21" s="3" t="s">
        <v>13</v>
      </c>
      <c r="G21" s="103">
        <v>0.91666666666666663</v>
      </c>
      <c r="H21" s="3" t="s">
        <v>143</v>
      </c>
      <c r="I21" s="3" t="s">
        <v>7</v>
      </c>
      <c r="J21" s="3" t="s">
        <v>677</v>
      </c>
      <c r="K21" s="106">
        <v>0.2</v>
      </c>
      <c r="L21" s="3" t="s">
        <v>60</v>
      </c>
      <c r="M21" s="3" t="s">
        <v>803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</row>
    <row r="22" spans="1:42" ht="26.25" customHeight="1">
      <c r="A22" s="3" t="s">
        <v>2010</v>
      </c>
      <c r="B22" s="3" t="s">
        <v>810</v>
      </c>
      <c r="C22" s="3" t="s">
        <v>28</v>
      </c>
      <c r="D22" s="3" t="s">
        <v>10</v>
      </c>
      <c r="E22" s="3" t="s">
        <v>50</v>
      </c>
      <c r="F22" s="3" t="s">
        <v>13</v>
      </c>
      <c r="G22" s="103">
        <v>1.25</v>
      </c>
      <c r="H22" s="3" t="s">
        <v>143</v>
      </c>
      <c r="I22" s="3" t="s">
        <v>7</v>
      </c>
      <c r="J22" s="3" t="s">
        <v>677</v>
      </c>
      <c r="K22" s="106">
        <v>0.2</v>
      </c>
      <c r="L22" s="3" t="s">
        <v>60</v>
      </c>
      <c r="M22" s="3" t="s">
        <v>811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</row>
    <row r="23" spans="1:42" ht="30.75" customHeight="1">
      <c r="A23" s="3" t="s">
        <v>2003</v>
      </c>
      <c r="B23" s="3" t="s">
        <v>819</v>
      </c>
      <c r="C23" s="3" t="s">
        <v>28</v>
      </c>
      <c r="D23" s="3" t="s">
        <v>10</v>
      </c>
      <c r="E23" s="3" t="s">
        <v>30</v>
      </c>
      <c r="F23" s="3" t="s">
        <v>13</v>
      </c>
      <c r="G23" s="103">
        <v>1.8333333333333333</v>
      </c>
      <c r="H23" s="3" t="s">
        <v>143</v>
      </c>
      <c r="I23" s="3" t="s">
        <v>7</v>
      </c>
      <c r="J23" s="3" t="s">
        <v>21</v>
      </c>
      <c r="K23" s="106">
        <v>0.2</v>
      </c>
      <c r="L23" s="3" t="s">
        <v>60</v>
      </c>
      <c r="M23" s="3" t="s">
        <v>821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</row>
    <row r="24" spans="1:42" ht="26.25" customHeight="1">
      <c r="A24" s="3" t="s">
        <v>2034</v>
      </c>
      <c r="B24" s="3" t="s">
        <v>828</v>
      </c>
      <c r="C24" s="3" t="s">
        <v>28</v>
      </c>
      <c r="D24" s="3" t="s">
        <v>10</v>
      </c>
      <c r="E24" s="3" t="s">
        <v>50</v>
      </c>
      <c r="F24" s="3" t="s">
        <v>13</v>
      </c>
      <c r="G24" s="103">
        <v>1.25</v>
      </c>
      <c r="H24" s="3" t="s">
        <v>143</v>
      </c>
      <c r="I24" s="3" t="s">
        <v>7</v>
      </c>
      <c r="J24" s="3" t="s">
        <v>677</v>
      </c>
      <c r="K24" s="106">
        <v>0.2</v>
      </c>
      <c r="L24" s="3" t="s">
        <v>60</v>
      </c>
      <c r="M24" s="3" t="s">
        <v>811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</row>
    <row r="25" spans="1:42" ht="33" customHeight="1">
      <c r="A25" s="3" t="s">
        <v>1997</v>
      </c>
      <c r="B25" s="3" t="s">
        <v>836</v>
      </c>
      <c r="C25" s="3" t="s">
        <v>28</v>
      </c>
      <c r="D25" s="3" t="s">
        <v>10</v>
      </c>
      <c r="E25" s="3" t="s">
        <v>50</v>
      </c>
      <c r="F25" s="3" t="s">
        <v>13</v>
      </c>
      <c r="G25" s="103">
        <v>1.0416666666666667</v>
      </c>
      <c r="H25" s="3" t="s">
        <v>143</v>
      </c>
      <c r="I25" s="3" t="s">
        <v>7</v>
      </c>
      <c r="J25" s="3" t="s">
        <v>677</v>
      </c>
      <c r="K25" s="106">
        <v>0.2</v>
      </c>
      <c r="L25" s="3" t="s">
        <v>60</v>
      </c>
      <c r="M25" s="3" t="s">
        <v>840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</row>
    <row r="26" spans="1:42" ht="26.25" customHeight="1">
      <c r="A26" s="3" t="s">
        <v>2035</v>
      </c>
      <c r="B26" s="3" t="s">
        <v>847</v>
      </c>
      <c r="C26" s="3" t="s">
        <v>28</v>
      </c>
      <c r="D26" s="3" t="s">
        <v>10</v>
      </c>
      <c r="E26" s="3" t="s">
        <v>50</v>
      </c>
      <c r="F26" s="3">
        <v>1</v>
      </c>
      <c r="G26" s="103">
        <v>0.70833333333333337</v>
      </c>
      <c r="H26" s="3" t="s">
        <v>143</v>
      </c>
      <c r="I26" s="3" t="s">
        <v>7</v>
      </c>
      <c r="J26" s="3" t="s">
        <v>58</v>
      </c>
      <c r="K26" s="106">
        <v>0.2</v>
      </c>
      <c r="L26" s="3" t="s">
        <v>60</v>
      </c>
      <c r="M26" s="3" t="s">
        <v>851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</row>
    <row r="27" spans="1:42" ht="26.25" customHeight="1">
      <c r="A27" s="3" t="s">
        <v>2036</v>
      </c>
      <c r="B27" s="3" t="s">
        <v>847</v>
      </c>
      <c r="C27" s="3" t="s">
        <v>28</v>
      </c>
      <c r="D27" s="3" t="s">
        <v>10</v>
      </c>
      <c r="E27" s="3" t="s">
        <v>50</v>
      </c>
      <c r="F27" s="3">
        <v>2</v>
      </c>
      <c r="G27" s="105">
        <v>0.5</v>
      </c>
      <c r="H27" s="3" t="s">
        <v>7</v>
      </c>
      <c r="I27" s="3" t="s">
        <v>7</v>
      </c>
      <c r="J27" s="3" t="s">
        <v>58</v>
      </c>
      <c r="K27" s="106">
        <v>0.2</v>
      </c>
      <c r="L27" s="3" t="s">
        <v>60</v>
      </c>
      <c r="M27" s="3" t="s">
        <v>863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</row>
    <row r="28" spans="1:42" ht="26.25" customHeight="1">
      <c r="A28" s="3" t="s">
        <v>2037</v>
      </c>
      <c r="B28" s="3" t="s">
        <v>847</v>
      </c>
      <c r="C28" s="3" t="s">
        <v>28</v>
      </c>
      <c r="D28" s="3" t="s">
        <v>10</v>
      </c>
      <c r="E28" s="3" t="s">
        <v>50</v>
      </c>
      <c r="F28" s="3">
        <v>3</v>
      </c>
      <c r="G28" s="105">
        <v>0.20833333333333334</v>
      </c>
      <c r="H28" s="3" t="s">
        <v>7</v>
      </c>
      <c r="I28" s="3" t="s">
        <v>7</v>
      </c>
      <c r="J28" s="3" t="s">
        <v>58</v>
      </c>
      <c r="K28" s="106">
        <v>0.2</v>
      </c>
      <c r="L28" s="3" t="s">
        <v>60</v>
      </c>
      <c r="M28" s="3" t="s">
        <v>874</v>
      </c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</row>
    <row r="29" spans="1:42" ht="26.25" customHeight="1">
      <c r="A29" s="3" t="s">
        <v>2008</v>
      </c>
      <c r="B29" s="3" t="s">
        <v>881</v>
      </c>
      <c r="C29" s="3" t="s">
        <v>28</v>
      </c>
      <c r="D29" s="3" t="s">
        <v>10</v>
      </c>
      <c r="E29" s="3" t="s">
        <v>50</v>
      </c>
      <c r="F29" s="3" t="s">
        <v>13</v>
      </c>
      <c r="G29" s="103">
        <v>1.25</v>
      </c>
      <c r="H29" s="3" t="s">
        <v>143</v>
      </c>
      <c r="I29" s="3" t="s">
        <v>7</v>
      </c>
      <c r="J29" s="3" t="s">
        <v>677</v>
      </c>
      <c r="K29" s="106">
        <v>0.2</v>
      </c>
      <c r="L29" s="3" t="s">
        <v>60</v>
      </c>
      <c r="M29" s="3" t="s">
        <v>811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</row>
    <row r="30" spans="1:42" ht="36.75" customHeight="1">
      <c r="A30" s="3" t="s">
        <v>2033</v>
      </c>
      <c r="B30" s="3" t="s">
        <v>892</v>
      </c>
      <c r="C30" s="3" t="s">
        <v>28</v>
      </c>
      <c r="D30" s="3" t="s">
        <v>10</v>
      </c>
      <c r="E30" s="3" t="s">
        <v>50</v>
      </c>
      <c r="F30" s="3" t="s">
        <v>13</v>
      </c>
      <c r="G30" s="105">
        <v>1.25</v>
      </c>
      <c r="H30" s="3" t="s">
        <v>143</v>
      </c>
      <c r="I30" s="3" t="s">
        <v>7</v>
      </c>
      <c r="J30" s="3" t="s">
        <v>677</v>
      </c>
      <c r="K30" s="106">
        <v>0.2</v>
      </c>
      <c r="L30" s="3" t="s">
        <v>60</v>
      </c>
      <c r="M30" s="3" t="s">
        <v>785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</row>
    <row r="31" spans="1:42" ht="26.25" customHeight="1">
      <c r="A31" s="3" t="s">
        <v>2020</v>
      </c>
      <c r="B31" s="3" t="s">
        <v>909</v>
      </c>
      <c r="C31" s="3" t="s">
        <v>28</v>
      </c>
      <c r="D31" s="3" t="s">
        <v>10</v>
      </c>
      <c r="E31" s="3" t="s">
        <v>30</v>
      </c>
      <c r="F31" s="3" t="s">
        <v>13</v>
      </c>
      <c r="G31" s="103">
        <v>1.8333333333333335</v>
      </c>
      <c r="H31" s="3" t="s">
        <v>143</v>
      </c>
      <c r="I31" s="3" t="s">
        <v>7</v>
      </c>
      <c r="J31" s="3" t="s">
        <v>21</v>
      </c>
      <c r="K31" s="106">
        <v>0.2</v>
      </c>
      <c r="L31" s="3" t="s">
        <v>916</v>
      </c>
      <c r="M31" s="3" t="s">
        <v>920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</row>
    <row r="32" spans="1:42" ht="26.25" customHeight="1">
      <c r="A32" s="3" t="s">
        <v>2039</v>
      </c>
      <c r="B32" s="3" t="s">
        <v>932</v>
      </c>
      <c r="C32" s="3" t="s">
        <v>28</v>
      </c>
      <c r="D32" s="3" t="s">
        <v>10</v>
      </c>
      <c r="E32" s="3" t="s">
        <v>30</v>
      </c>
      <c r="F32" s="3" t="s">
        <v>13</v>
      </c>
      <c r="G32" s="103">
        <v>1.8333333333333333</v>
      </c>
      <c r="H32" s="3" t="s">
        <v>143</v>
      </c>
      <c r="I32" s="3" t="s">
        <v>7</v>
      </c>
      <c r="J32" s="3" t="s">
        <v>21</v>
      </c>
      <c r="K32" s="106">
        <v>0.2</v>
      </c>
      <c r="L32" s="3" t="s">
        <v>60</v>
      </c>
      <c r="M32" s="3" t="s">
        <v>939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</row>
    <row r="33" spans="1:42" ht="26.25" customHeight="1">
      <c r="A33" s="3" t="s">
        <v>1544</v>
      </c>
      <c r="B33" s="3" t="s">
        <v>947</v>
      </c>
      <c r="C33" s="3" t="s">
        <v>28</v>
      </c>
      <c r="D33" s="3" t="s">
        <v>10</v>
      </c>
      <c r="E33" s="3" t="s">
        <v>50</v>
      </c>
      <c r="F33" s="3" t="s">
        <v>13</v>
      </c>
      <c r="G33" s="103">
        <v>1.2708333333333333</v>
      </c>
      <c r="H33" s="3" t="s">
        <v>143</v>
      </c>
      <c r="I33" s="3" t="s">
        <v>7</v>
      </c>
      <c r="J33" s="3" t="s">
        <v>677</v>
      </c>
      <c r="K33" s="106">
        <v>0.2</v>
      </c>
      <c r="L33" s="3" t="s">
        <v>60</v>
      </c>
      <c r="M33" s="3" t="s">
        <v>811</v>
      </c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</row>
    <row r="34" spans="1:42" ht="34.5" customHeight="1">
      <c r="A34" s="3" t="s">
        <v>2038</v>
      </c>
      <c r="B34" s="3" t="s">
        <v>963</v>
      </c>
      <c r="C34" s="3" t="s">
        <v>28</v>
      </c>
      <c r="D34" s="3" t="s">
        <v>10</v>
      </c>
      <c r="E34" s="3" t="s">
        <v>50</v>
      </c>
      <c r="F34" s="3" t="s">
        <v>13</v>
      </c>
      <c r="G34" s="105">
        <v>1.2083333333333333</v>
      </c>
      <c r="H34" s="3" t="s">
        <v>7</v>
      </c>
      <c r="I34" s="3" t="s">
        <v>7</v>
      </c>
      <c r="J34" s="3" t="s">
        <v>21</v>
      </c>
      <c r="K34" s="106">
        <v>0.2</v>
      </c>
      <c r="L34" s="3" t="s">
        <v>60</v>
      </c>
      <c r="M34" s="3" t="s">
        <v>964</v>
      </c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</row>
    <row r="35" spans="1:42" ht="26.25" customHeight="1">
      <c r="A35" s="3" t="s">
        <v>2041</v>
      </c>
      <c r="B35" s="3" t="s">
        <v>971</v>
      </c>
      <c r="C35" s="3" t="s">
        <v>28</v>
      </c>
      <c r="D35" s="3" t="s">
        <v>10</v>
      </c>
      <c r="E35" s="3" t="s">
        <v>30</v>
      </c>
      <c r="F35" s="3" t="s">
        <v>13</v>
      </c>
      <c r="G35" s="103">
        <v>1.8333333333333333</v>
      </c>
      <c r="H35" s="3" t="s">
        <v>143</v>
      </c>
      <c r="I35" s="3" t="s">
        <v>7</v>
      </c>
      <c r="J35" s="3" t="s">
        <v>21</v>
      </c>
      <c r="K35" s="106">
        <v>0.2</v>
      </c>
      <c r="L35" s="3" t="s">
        <v>60</v>
      </c>
      <c r="M35" s="3" t="s">
        <v>821</v>
      </c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</row>
    <row r="36" spans="1:42" ht="26.25" customHeight="1">
      <c r="A36" s="3" t="s">
        <v>2004</v>
      </c>
      <c r="B36" s="3" t="s">
        <v>985</v>
      </c>
      <c r="C36" s="3" t="s">
        <v>28</v>
      </c>
      <c r="D36" s="3" t="s">
        <v>10</v>
      </c>
      <c r="E36" s="3" t="s">
        <v>50</v>
      </c>
      <c r="F36" s="3" t="s">
        <v>13</v>
      </c>
      <c r="G36" s="103">
        <v>1.25</v>
      </c>
      <c r="H36" s="3" t="s">
        <v>143</v>
      </c>
      <c r="I36" s="3" t="s">
        <v>7</v>
      </c>
      <c r="J36" s="3" t="s">
        <v>677</v>
      </c>
      <c r="K36" s="106">
        <v>0.2</v>
      </c>
      <c r="L36" s="3" t="s">
        <v>60</v>
      </c>
      <c r="M36" s="3" t="s">
        <v>811</v>
      </c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</row>
    <row r="37" spans="1:42" ht="34.5" customHeight="1">
      <c r="A37" s="3" t="s">
        <v>2040</v>
      </c>
      <c r="B37" s="3" t="s">
        <v>1005</v>
      </c>
      <c r="C37" s="3" t="s">
        <v>28</v>
      </c>
      <c r="D37" s="3" t="s">
        <v>10</v>
      </c>
      <c r="E37" s="3" t="s">
        <v>50</v>
      </c>
      <c r="F37" s="3">
        <v>1</v>
      </c>
      <c r="G37" s="103">
        <v>0.64583333333333326</v>
      </c>
      <c r="H37" s="3" t="s">
        <v>7</v>
      </c>
      <c r="I37" s="3" t="s">
        <v>7</v>
      </c>
      <c r="J37" s="3" t="s">
        <v>58</v>
      </c>
      <c r="K37" s="104" t="s">
        <v>7</v>
      </c>
      <c r="L37" s="3" t="s">
        <v>60</v>
      </c>
      <c r="M37" s="3" t="s">
        <v>1011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</row>
    <row r="38" spans="1:42" ht="26.25" customHeight="1">
      <c r="A38" s="3" t="s">
        <v>2043</v>
      </c>
      <c r="B38" s="3" t="s">
        <v>1005</v>
      </c>
      <c r="C38" s="3" t="s">
        <v>28</v>
      </c>
      <c r="D38" s="3" t="s">
        <v>10</v>
      </c>
      <c r="E38" s="3" t="s">
        <v>50</v>
      </c>
      <c r="F38" s="3">
        <v>2</v>
      </c>
      <c r="G38" s="105">
        <v>0.33333333333333331</v>
      </c>
      <c r="H38" s="3" t="s">
        <v>7</v>
      </c>
      <c r="I38" s="3" t="s">
        <v>7</v>
      </c>
      <c r="J38" s="3" t="s">
        <v>58</v>
      </c>
      <c r="K38" s="104" t="s">
        <v>7</v>
      </c>
      <c r="L38" s="3" t="s">
        <v>60</v>
      </c>
      <c r="M38" s="3" t="s">
        <v>1034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</row>
    <row r="39" spans="1:42" ht="26.25" customHeight="1">
      <c r="A39" s="3" t="s">
        <v>1482</v>
      </c>
      <c r="B39" s="3" t="s">
        <v>1042</v>
      </c>
      <c r="C39" s="3" t="s">
        <v>28</v>
      </c>
      <c r="D39" s="3" t="s">
        <v>10</v>
      </c>
      <c r="E39" s="3" t="s">
        <v>30</v>
      </c>
      <c r="F39" s="3">
        <v>1</v>
      </c>
      <c r="G39" s="103">
        <v>1.8333333333333335</v>
      </c>
      <c r="H39" s="3" t="s">
        <v>7</v>
      </c>
      <c r="I39" s="3" t="s">
        <v>7</v>
      </c>
      <c r="J39" s="3" t="s">
        <v>21</v>
      </c>
      <c r="K39" s="104" t="s">
        <v>7</v>
      </c>
      <c r="L39" s="3" t="s">
        <v>1049</v>
      </c>
      <c r="M39" s="3" t="s">
        <v>1051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</row>
    <row r="40" spans="1:42" ht="26.25" customHeight="1">
      <c r="A40" s="3" t="s">
        <v>2044</v>
      </c>
      <c r="B40" s="3" t="s">
        <v>1042</v>
      </c>
      <c r="C40" s="3" t="s">
        <v>28</v>
      </c>
      <c r="D40" s="3" t="s">
        <v>10</v>
      </c>
      <c r="E40" s="3" t="s">
        <v>30</v>
      </c>
      <c r="F40" s="3">
        <v>2</v>
      </c>
      <c r="G40" s="103">
        <v>1.8333333333333335</v>
      </c>
      <c r="H40" s="3" t="s">
        <v>7</v>
      </c>
      <c r="I40" s="3" t="s">
        <v>7</v>
      </c>
      <c r="J40" s="3" t="s">
        <v>21</v>
      </c>
      <c r="K40" s="104" t="s">
        <v>7</v>
      </c>
      <c r="L40" s="3" t="s">
        <v>1049</v>
      </c>
      <c r="M40" s="3" t="s">
        <v>1051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</row>
    <row r="41" spans="1:42" ht="26.25" customHeight="1">
      <c r="A41" s="3" t="s">
        <v>1564</v>
      </c>
      <c r="B41" s="3" t="s">
        <v>1042</v>
      </c>
      <c r="C41" s="3" t="s">
        <v>28</v>
      </c>
      <c r="D41" s="3" t="s">
        <v>10</v>
      </c>
      <c r="E41" s="3" t="s">
        <v>30</v>
      </c>
      <c r="F41" s="3">
        <v>3</v>
      </c>
      <c r="G41" s="103">
        <v>1.8333333333333335</v>
      </c>
      <c r="H41" s="3" t="s">
        <v>7</v>
      </c>
      <c r="I41" s="3" t="s">
        <v>7</v>
      </c>
      <c r="J41" s="3" t="s">
        <v>21</v>
      </c>
      <c r="K41" s="104" t="s">
        <v>7</v>
      </c>
      <c r="L41" s="3" t="s">
        <v>1049</v>
      </c>
      <c r="M41" s="3" t="s">
        <v>1051</v>
      </c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</row>
    <row r="42" spans="1:42" ht="26.25" customHeight="1">
      <c r="A42" s="3" t="s">
        <v>2017</v>
      </c>
      <c r="B42" s="3" t="s">
        <v>1042</v>
      </c>
      <c r="C42" s="3" t="s">
        <v>28</v>
      </c>
      <c r="D42" s="3" t="s">
        <v>10</v>
      </c>
      <c r="E42" s="3" t="s">
        <v>30</v>
      </c>
      <c r="F42" s="3">
        <v>4</v>
      </c>
      <c r="G42" s="103">
        <v>1.8333333333333335</v>
      </c>
      <c r="H42" s="3" t="s">
        <v>7</v>
      </c>
      <c r="I42" s="3" t="s">
        <v>7</v>
      </c>
      <c r="J42" s="3" t="s">
        <v>21</v>
      </c>
      <c r="K42" s="104" t="s">
        <v>7</v>
      </c>
      <c r="L42" s="3" t="s">
        <v>1049</v>
      </c>
      <c r="M42" s="3" t="s">
        <v>1051</v>
      </c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</row>
    <row r="43" spans="1:42" ht="33.75" customHeight="1">
      <c r="A43" s="3" t="s">
        <v>2042</v>
      </c>
      <c r="B43" s="3" t="s">
        <v>1075</v>
      </c>
      <c r="C43" s="3" t="s">
        <v>28</v>
      </c>
      <c r="D43" s="3" t="s">
        <v>10</v>
      </c>
      <c r="E43" s="3" t="s">
        <v>50</v>
      </c>
      <c r="F43" s="3">
        <v>1</v>
      </c>
      <c r="G43" s="103">
        <v>0.58333333333333337</v>
      </c>
      <c r="H43" s="3" t="s">
        <v>7</v>
      </c>
      <c r="I43" s="3" t="s">
        <v>7</v>
      </c>
      <c r="J43" s="3" t="s">
        <v>58</v>
      </c>
      <c r="K43" s="104" t="s">
        <v>7</v>
      </c>
      <c r="L43" s="3" t="s">
        <v>60</v>
      </c>
      <c r="M43" s="3" t="s">
        <v>1081</v>
      </c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</row>
    <row r="44" spans="1:42" ht="26.25" customHeight="1">
      <c r="A44" s="3" t="s">
        <v>2012</v>
      </c>
      <c r="B44" s="3" t="s">
        <v>1075</v>
      </c>
      <c r="C44" s="3" t="s">
        <v>28</v>
      </c>
      <c r="D44" s="3" t="s">
        <v>10</v>
      </c>
      <c r="E44" s="3" t="s">
        <v>50</v>
      </c>
      <c r="F44" s="3">
        <v>2</v>
      </c>
      <c r="G44" s="105">
        <v>0.33333333333333337</v>
      </c>
      <c r="H44" s="3" t="s">
        <v>7</v>
      </c>
      <c r="I44" s="3" t="s">
        <v>7</v>
      </c>
      <c r="J44" s="3" t="s">
        <v>58</v>
      </c>
      <c r="K44" s="104" t="s">
        <v>7</v>
      </c>
      <c r="L44" s="3" t="s">
        <v>60</v>
      </c>
      <c r="M44" s="3" t="s">
        <v>1096</v>
      </c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</row>
    <row r="45" spans="1:42" ht="34.5" customHeight="1">
      <c r="A45" s="3" t="s">
        <v>2046</v>
      </c>
      <c r="B45" s="3" t="s">
        <v>1105</v>
      </c>
      <c r="C45" s="3" t="s">
        <v>28</v>
      </c>
      <c r="D45" s="3" t="s">
        <v>10</v>
      </c>
      <c r="E45" s="3" t="s">
        <v>50</v>
      </c>
      <c r="F45" s="3">
        <v>1</v>
      </c>
      <c r="G45" s="103">
        <v>0.33333333333333331</v>
      </c>
      <c r="H45" s="3" t="s">
        <v>7</v>
      </c>
      <c r="I45" s="3" t="s">
        <v>7</v>
      </c>
      <c r="J45" s="3" t="s">
        <v>58</v>
      </c>
      <c r="K45" s="104" t="s">
        <v>7</v>
      </c>
      <c r="L45" s="3" t="s">
        <v>60</v>
      </c>
      <c r="M45" s="3" t="s">
        <v>1108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</row>
    <row r="46" spans="1:42" ht="33.75" customHeight="1">
      <c r="A46" s="3" t="s">
        <v>1980</v>
      </c>
      <c r="B46" s="3" t="s">
        <v>1105</v>
      </c>
      <c r="C46" s="3" t="s">
        <v>93</v>
      </c>
      <c r="D46" s="3" t="s">
        <v>10</v>
      </c>
      <c r="E46" s="3" t="s">
        <v>50</v>
      </c>
      <c r="F46" s="3">
        <v>2</v>
      </c>
      <c r="G46" s="103">
        <v>0.20833333333333331</v>
      </c>
      <c r="H46" s="3" t="s">
        <v>7</v>
      </c>
      <c r="I46" s="3" t="s">
        <v>7</v>
      </c>
      <c r="J46" s="3" t="s">
        <v>58</v>
      </c>
      <c r="K46" s="104" t="s">
        <v>7</v>
      </c>
      <c r="L46" s="3" t="s">
        <v>60</v>
      </c>
      <c r="M46" s="3" t="s">
        <v>1115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</row>
    <row r="47" spans="1:42" ht="36" customHeight="1">
      <c r="A47" s="3" t="s">
        <v>1508</v>
      </c>
      <c r="B47" s="3" t="s">
        <v>1121</v>
      </c>
      <c r="C47" s="3" t="s">
        <v>28</v>
      </c>
      <c r="D47" s="3" t="s">
        <v>10</v>
      </c>
      <c r="E47" s="3" t="s">
        <v>50</v>
      </c>
      <c r="F47" s="3">
        <v>1</v>
      </c>
      <c r="G47" s="103">
        <v>0.83333333333333326</v>
      </c>
      <c r="H47" s="3" t="s">
        <v>7</v>
      </c>
      <c r="I47" s="3" t="s">
        <v>7</v>
      </c>
      <c r="J47" s="3" t="s">
        <v>58</v>
      </c>
      <c r="K47" s="104" t="s">
        <v>7</v>
      </c>
      <c r="L47" s="3" t="s">
        <v>60</v>
      </c>
      <c r="M47" s="3" t="s">
        <v>1122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</row>
    <row r="48" spans="1:42" ht="33.75" customHeight="1">
      <c r="A48" s="3" t="s">
        <v>1546</v>
      </c>
      <c r="B48" s="3" t="s">
        <v>1121</v>
      </c>
      <c r="C48" s="3" t="s">
        <v>28</v>
      </c>
      <c r="D48" s="3" t="s">
        <v>10</v>
      </c>
      <c r="E48" s="3" t="s">
        <v>50</v>
      </c>
      <c r="F48" s="3">
        <v>2</v>
      </c>
      <c r="G48" s="105">
        <v>0.16666666666666666</v>
      </c>
      <c r="H48" s="3" t="s">
        <v>7</v>
      </c>
      <c r="I48" s="3" t="s">
        <v>7</v>
      </c>
      <c r="J48" s="3" t="s">
        <v>58</v>
      </c>
      <c r="K48" s="104" t="s">
        <v>7</v>
      </c>
      <c r="L48" s="3" t="s">
        <v>60</v>
      </c>
      <c r="M48" s="3" t="s">
        <v>1135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</row>
    <row r="49" spans="1:42" ht="35.25" customHeight="1">
      <c r="A49" s="3" t="s">
        <v>2047</v>
      </c>
      <c r="B49" s="3" t="s">
        <v>1143</v>
      </c>
      <c r="C49" s="3" t="s">
        <v>28</v>
      </c>
      <c r="D49" s="3" t="s">
        <v>10</v>
      </c>
      <c r="E49" s="3" t="s">
        <v>50</v>
      </c>
      <c r="F49" s="3" t="s">
        <v>13</v>
      </c>
      <c r="G49" s="103">
        <v>0.125</v>
      </c>
      <c r="H49" s="3" t="s">
        <v>7</v>
      </c>
      <c r="I49" s="3" t="s">
        <v>7</v>
      </c>
      <c r="J49" s="3" t="s">
        <v>58</v>
      </c>
      <c r="K49" s="104" t="s">
        <v>7</v>
      </c>
      <c r="L49" s="3" t="s">
        <v>60</v>
      </c>
      <c r="M49" s="3" t="s">
        <v>1144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</row>
    <row r="50" spans="1:42" ht="30.75" customHeight="1">
      <c r="A50" s="3" t="s">
        <v>1537</v>
      </c>
      <c r="B50" s="3" t="s">
        <v>1149</v>
      </c>
      <c r="C50" s="3" t="s">
        <v>28</v>
      </c>
      <c r="D50" s="3" t="s">
        <v>10</v>
      </c>
      <c r="E50" s="3" t="s">
        <v>30</v>
      </c>
      <c r="F50" s="3" t="s">
        <v>13</v>
      </c>
      <c r="G50" s="103">
        <v>1.8333333333333335</v>
      </c>
      <c r="H50" s="3" t="s">
        <v>7</v>
      </c>
      <c r="I50" s="3" t="s">
        <v>7</v>
      </c>
      <c r="J50" s="3" t="s">
        <v>21</v>
      </c>
      <c r="K50" s="104" t="s">
        <v>7</v>
      </c>
      <c r="L50" s="3" t="s">
        <v>621</v>
      </c>
      <c r="M50" s="3" t="s">
        <v>1155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</row>
    <row r="51" spans="1:42" ht="36" customHeight="1">
      <c r="A51" s="3" t="s">
        <v>2049</v>
      </c>
      <c r="B51" s="3" t="s">
        <v>1149</v>
      </c>
      <c r="C51" s="3" t="s">
        <v>28</v>
      </c>
      <c r="D51" s="3" t="s">
        <v>10</v>
      </c>
      <c r="E51" s="3" t="s">
        <v>50</v>
      </c>
      <c r="F51" s="3">
        <v>1</v>
      </c>
      <c r="G51" s="103">
        <v>0.30555555555555558</v>
      </c>
      <c r="H51" s="3" t="s">
        <v>7</v>
      </c>
      <c r="I51" s="3" t="s">
        <v>7</v>
      </c>
      <c r="J51" s="3" t="s">
        <v>58</v>
      </c>
      <c r="K51" s="104" t="s">
        <v>7</v>
      </c>
      <c r="L51" s="3" t="s">
        <v>621</v>
      </c>
      <c r="M51" s="3" t="s">
        <v>1165</v>
      </c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</row>
    <row r="52" spans="1:42" ht="34.5" customHeight="1">
      <c r="A52" s="3" t="s">
        <v>2050</v>
      </c>
      <c r="B52" s="3" t="s">
        <v>1166</v>
      </c>
      <c r="C52" s="3" t="s">
        <v>28</v>
      </c>
      <c r="D52" s="3" t="s">
        <v>10</v>
      </c>
      <c r="E52" s="3" t="s">
        <v>50</v>
      </c>
      <c r="F52" s="3" t="s">
        <v>13</v>
      </c>
      <c r="G52" s="103">
        <v>0.16666666666666666</v>
      </c>
      <c r="H52" s="3" t="s">
        <v>7</v>
      </c>
      <c r="I52" s="3" t="s">
        <v>7</v>
      </c>
      <c r="J52" s="3" t="s">
        <v>58</v>
      </c>
      <c r="K52" s="104" t="s">
        <v>7</v>
      </c>
      <c r="L52" s="3" t="s">
        <v>60</v>
      </c>
      <c r="M52" s="3" t="s">
        <v>1175</v>
      </c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</row>
    <row r="53" spans="1:42" ht="26.25" customHeight="1">
      <c r="A53" s="3" t="s">
        <v>2016</v>
      </c>
      <c r="B53" s="3" t="s">
        <v>1182</v>
      </c>
      <c r="C53" s="3" t="s">
        <v>28</v>
      </c>
      <c r="D53" s="3" t="s">
        <v>10</v>
      </c>
      <c r="E53" s="3" t="s">
        <v>30</v>
      </c>
      <c r="F53" s="3">
        <v>1</v>
      </c>
      <c r="G53" s="103">
        <v>1.8333333333333333</v>
      </c>
      <c r="H53" s="3" t="s">
        <v>7</v>
      </c>
      <c r="I53" s="3" t="s">
        <v>7</v>
      </c>
      <c r="J53" s="3" t="s">
        <v>21</v>
      </c>
      <c r="K53" s="104" t="s">
        <v>7</v>
      </c>
      <c r="L53" s="3" t="s">
        <v>60</v>
      </c>
      <c r="M53" s="3" t="s">
        <v>1190</v>
      </c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</row>
    <row r="54" spans="1:42" ht="26.25" customHeight="1">
      <c r="A54" s="3" t="s">
        <v>2000</v>
      </c>
      <c r="B54" s="3" t="s">
        <v>1182</v>
      </c>
      <c r="C54" s="3" t="s">
        <v>28</v>
      </c>
      <c r="D54" s="3" t="s">
        <v>10</v>
      </c>
      <c r="E54" s="3" t="s">
        <v>30</v>
      </c>
      <c r="F54" s="3">
        <v>2</v>
      </c>
      <c r="G54" s="103">
        <v>1.8333333333333333</v>
      </c>
      <c r="H54" s="3" t="s">
        <v>7</v>
      </c>
      <c r="I54" s="3" t="s">
        <v>7</v>
      </c>
      <c r="J54" s="3" t="s">
        <v>21</v>
      </c>
      <c r="K54" s="104" t="s">
        <v>7</v>
      </c>
      <c r="L54" s="3" t="s">
        <v>60</v>
      </c>
      <c r="M54" s="3" t="s">
        <v>1190</v>
      </c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</row>
    <row r="55" spans="1:42" ht="26.25" customHeight="1">
      <c r="A55" s="3" t="s">
        <v>2053</v>
      </c>
      <c r="B55" s="3" t="s">
        <v>1182</v>
      </c>
      <c r="C55" s="3" t="s">
        <v>9</v>
      </c>
      <c r="D55" s="3" t="s">
        <v>10</v>
      </c>
      <c r="E55" s="3" t="s">
        <v>11</v>
      </c>
      <c r="F55" s="3">
        <v>1</v>
      </c>
      <c r="G55" s="103">
        <v>1.8333333333333333</v>
      </c>
      <c r="H55" s="3" t="s">
        <v>7</v>
      </c>
      <c r="I55" s="3" t="s">
        <v>7</v>
      </c>
      <c r="J55" s="3" t="s">
        <v>21</v>
      </c>
      <c r="K55" s="104" t="s">
        <v>7</v>
      </c>
      <c r="L55" s="3" t="s">
        <v>22</v>
      </c>
      <c r="M55" s="3" t="s">
        <v>1206</v>
      </c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</row>
    <row r="56" spans="1:42" ht="26.25" customHeight="1">
      <c r="A56" s="3" t="s">
        <v>2055</v>
      </c>
      <c r="B56" s="3" t="s">
        <v>1182</v>
      </c>
      <c r="C56" s="3" t="s">
        <v>9</v>
      </c>
      <c r="D56" s="3" t="s">
        <v>10</v>
      </c>
      <c r="E56" s="3" t="s">
        <v>11</v>
      </c>
      <c r="F56" s="3">
        <v>2</v>
      </c>
      <c r="G56" s="103">
        <v>1.8333333333333333</v>
      </c>
      <c r="H56" s="3" t="s">
        <v>7</v>
      </c>
      <c r="I56" s="3" t="s">
        <v>7</v>
      </c>
      <c r="J56" s="3" t="s">
        <v>21</v>
      </c>
      <c r="K56" s="104" t="s">
        <v>7</v>
      </c>
      <c r="L56" s="3" t="s">
        <v>22</v>
      </c>
      <c r="M56" s="3" t="s">
        <v>1206</v>
      </c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</row>
    <row r="57" spans="1:42" ht="33" customHeight="1">
      <c r="A57" s="3" t="s">
        <v>2056</v>
      </c>
      <c r="B57" s="3" t="s">
        <v>1182</v>
      </c>
      <c r="C57" s="3" t="s">
        <v>9</v>
      </c>
      <c r="D57" s="3" t="s">
        <v>157</v>
      </c>
      <c r="E57" s="3" t="s">
        <v>11</v>
      </c>
      <c r="F57" s="3">
        <v>1</v>
      </c>
      <c r="G57" s="103">
        <v>1.8333333333333333</v>
      </c>
      <c r="H57" s="3" t="s">
        <v>7</v>
      </c>
      <c r="I57" s="3" t="s">
        <v>7</v>
      </c>
      <c r="J57" s="3" t="s">
        <v>21</v>
      </c>
      <c r="K57" s="104" t="s">
        <v>7</v>
      </c>
      <c r="L57" s="3" t="s">
        <v>22</v>
      </c>
      <c r="M57" s="3" t="s">
        <v>1228</v>
      </c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</row>
    <row r="58" spans="1:42" ht="26.25" customHeight="1">
      <c r="A58" s="3" t="s">
        <v>1790</v>
      </c>
      <c r="B58" s="3" t="s">
        <v>1182</v>
      </c>
      <c r="C58" s="3" t="s">
        <v>9</v>
      </c>
      <c r="D58" s="3" t="s">
        <v>157</v>
      </c>
      <c r="E58" s="3" t="s">
        <v>11</v>
      </c>
      <c r="F58" s="3">
        <v>2</v>
      </c>
      <c r="G58" s="103">
        <v>1.8333333333333333</v>
      </c>
      <c r="H58" s="3" t="s">
        <v>7</v>
      </c>
      <c r="I58" s="3" t="s">
        <v>7</v>
      </c>
      <c r="J58" s="3" t="s">
        <v>21</v>
      </c>
      <c r="K58" s="104" t="s">
        <v>7</v>
      </c>
      <c r="L58" s="3" t="s">
        <v>22</v>
      </c>
      <c r="M58" s="3" t="s">
        <v>1228</v>
      </c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</row>
    <row r="59" spans="1:42" ht="33.75" customHeight="1">
      <c r="A59" s="3" t="s">
        <v>2013</v>
      </c>
      <c r="B59" s="3" t="s">
        <v>1240</v>
      </c>
      <c r="C59" s="3" t="s">
        <v>28</v>
      </c>
      <c r="D59" s="3" t="s">
        <v>10</v>
      </c>
      <c r="E59" s="3" t="s">
        <v>50</v>
      </c>
      <c r="F59" s="3" t="s">
        <v>13</v>
      </c>
      <c r="G59" s="103">
        <v>1</v>
      </c>
      <c r="H59" s="3" t="s">
        <v>7</v>
      </c>
      <c r="I59" s="3" t="s">
        <v>7</v>
      </c>
      <c r="J59" s="3" t="s">
        <v>677</v>
      </c>
      <c r="K59" s="104" t="s">
        <v>7</v>
      </c>
      <c r="L59" s="3" t="s">
        <v>60</v>
      </c>
      <c r="M59" s="3" t="s">
        <v>1241</v>
      </c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</row>
    <row r="60" spans="1:42" ht="26.25" customHeight="1">
      <c r="A60" s="3" t="s">
        <v>1991</v>
      </c>
      <c r="B60" s="3" t="s">
        <v>1246</v>
      </c>
      <c r="C60" s="3" t="s">
        <v>28</v>
      </c>
      <c r="D60" s="3" t="s">
        <v>10</v>
      </c>
      <c r="E60" s="3" t="s">
        <v>50</v>
      </c>
      <c r="F60" s="3" t="s">
        <v>13</v>
      </c>
      <c r="G60" s="103">
        <v>0.40625</v>
      </c>
      <c r="H60" s="3" t="s">
        <v>143</v>
      </c>
      <c r="I60" s="3" t="s">
        <v>7</v>
      </c>
      <c r="J60" s="3" t="s">
        <v>58</v>
      </c>
      <c r="K60" s="106">
        <v>0.2</v>
      </c>
      <c r="L60" s="3" t="s">
        <v>60</v>
      </c>
      <c r="M60" s="3" t="s">
        <v>1253</v>
      </c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</row>
    <row r="61" spans="1:42" ht="26.25" customHeight="1">
      <c r="A61" s="3" t="s">
        <v>2027</v>
      </c>
      <c r="B61" s="3" t="s">
        <v>1261</v>
      </c>
      <c r="C61" s="3" t="s">
        <v>28</v>
      </c>
      <c r="D61" s="3" t="s">
        <v>10</v>
      </c>
      <c r="E61" s="3" t="s">
        <v>50</v>
      </c>
      <c r="F61" s="3" t="s">
        <v>13</v>
      </c>
      <c r="G61" s="103">
        <v>0.25</v>
      </c>
      <c r="H61" s="3" t="s">
        <v>7</v>
      </c>
      <c r="I61" s="3" t="s">
        <v>7</v>
      </c>
      <c r="J61" s="3" t="s">
        <v>58</v>
      </c>
      <c r="K61" s="104" t="s">
        <v>7</v>
      </c>
      <c r="L61" s="3" t="s">
        <v>60</v>
      </c>
      <c r="M61" s="3" t="s">
        <v>1264</v>
      </c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</row>
    <row r="62" spans="1:42" ht="26.25" customHeight="1">
      <c r="A62" s="3" t="s">
        <v>2057</v>
      </c>
      <c r="B62" s="3" t="s">
        <v>1274</v>
      </c>
      <c r="C62" s="3" t="s">
        <v>28</v>
      </c>
      <c r="D62" s="3" t="s">
        <v>10</v>
      </c>
      <c r="E62" s="3" t="s">
        <v>50</v>
      </c>
      <c r="F62" s="3" t="s">
        <v>13</v>
      </c>
      <c r="G62" s="103">
        <v>0.16666666666666666</v>
      </c>
      <c r="H62" s="3" t="s">
        <v>7</v>
      </c>
      <c r="I62" s="3" t="s">
        <v>7</v>
      </c>
      <c r="J62" s="3" t="s">
        <v>58</v>
      </c>
      <c r="K62" s="104" t="s">
        <v>7</v>
      </c>
      <c r="L62" s="3" t="s">
        <v>60</v>
      </c>
      <c r="M62" s="3" t="s">
        <v>1280</v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</row>
    <row r="63" spans="1:42" ht="33" customHeight="1">
      <c r="A63" s="3" t="s">
        <v>2048</v>
      </c>
      <c r="B63" s="3" t="s">
        <v>1292</v>
      </c>
      <c r="C63" s="3" t="s">
        <v>9</v>
      </c>
      <c r="D63" s="3" t="s">
        <v>1293</v>
      </c>
      <c r="E63" s="3" t="s">
        <v>30</v>
      </c>
      <c r="F63" s="3" t="s">
        <v>13</v>
      </c>
      <c r="G63" s="105">
        <v>1.8333333333333333</v>
      </c>
      <c r="H63" s="3" t="s">
        <v>7</v>
      </c>
      <c r="I63" s="3" t="s">
        <v>7</v>
      </c>
      <c r="J63" s="3" t="s">
        <v>21</v>
      </c>
      <c r="K63" s="104" t="s">
        <v>7</v>
      </c>
      <c r="L63" s="3" t="s">
        <v>621</v>
      </c>
      <c r="M63" s="3" t="s">
        <v>1302</v>
      </c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</row>
    <row r="64" spans="1:42" ht="26.25" customHeight="1">
      <c r="A64" s="3" t="s">
        <v>2058</v>
      </c>
      <c r="B64" s="3" t="s">
        <v>1292</v>
      </c>
      <c r="C64" s="3" t="s">
        <v>9</v>
      </c>
      <c r="D64" s="3" t="s">
        <v>157</v>
      </c>
      <c r="E64" s="3" t="s">
        <v>50</v>
      </c>
      <c r="F64" s="3" t="s">
        <v>13</v>
      </c>
      <c r="G64" s="103">
        <v>1</v>
      </c>
      <c r="H64" s="3" t="s">
        <v>7</v>
      </c>
      <c r="I64" s="3" t="s">
        <v>7</v>
      </c>
      <c r="J64" s="3" t="s">
        <v>677</v>
      </c>
      <c r="K64" s="104" t="s">
        <v>7</v>
      </c>
      <c r="L64" s="3" t="s">
        <v>621</v>
      </c>
      <c r="M64" s="3" t="s">
        <v>1315</v>
      </c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</row>
    <row r="65" spans="1:42" ht="26.25" customHeight="1">
      <c r="A65" s="3" t="s">
        <v>1981</v>
      </c>
      <c r="B65" s="3" t="s">
        <v>1327</v>
      </c>
      <c r="C65" s="3" t="s">
        <v>388</v>
      </c>
      <c r="D65" s="3" t="s">
        <v>10</v>
      </c>
      <c r="E65" s="3" t="s">
        <v>50</v>
      </c>
      <c r="F65" s="3" t="s">
        <v>13</v>
      </c>
      <c r="G65" s="103">
        <v>0.16666666666666666</v>
      </c>
      <c r="H65" s="3" t="s">
        <v>7</v>
      </c>
      <c r="I65" s="3" t="s">
        <v>7</v>
      </c>
      <c r="J65" s="3" t="s">
        <v>58</v>
      </c>
      <c r="K65" s="104" t="s">
        <v>7</v>
      </c>
      <c r="L65" s="3" t="s">
        <v>60</v>
      </c>
      <c r="M65" s="3" t="s">
        <v>1330</v>
      </c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</row>
    <row r="66" spans="1:42" ht="26.25" customHeight="1">
      <c r="A66" s="3" t="s">
        <v>2059</v>
      </c>
      <c r="B66" s="3" t="s">
        <v>1327</v>
      </c>
      <c r="C66" s="3" t="s">
        <v>28</v>
      </c>
      <c r="D66" s="3" t="s">
        <v>10</v>
      </c>
      <c r="E66" s="3" t="s">
        <v>50</v>
      </c>
      <c r="F66" s="3" t="s">
        <v>13</v>
      </c>
      <c r="G66" s="103">
        <v>8.3333333333333329E-2</v>
      </c>
      <c r="H66" s="3" t="s">
        <v>7</v>
      </c>
      <c r="I66" s="3" t="s">
        <v>7</v>
      </c>
      <c r="J66" s="3" t="s">
        <v>58</v>
      </c>
      <c r="K66" s="104" t="s">
        <v>7</v>
      </c>
      <c r="L66" s="3" t="s">
        <v>60</v>
      </c>
      <c r="M66" s="3" t="s">
        <v>1346</v>
      </c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</row>
    <row r="67" spans="1:42" ht="26.25" customHeight="1">
      <c r="A67" s="3" t="s">
        <v>1554</v>
      </c>
      <c r="B67" s="3" t="s">
        <v>1360</v>
      </c>
      <c r="C67" s="3" t="s">
        <v>28</v>
      </c>
      <c r="D67" s="3" t="s">
        <v>10</v>
      </c>
      <c r="E67" s="3" t="s">
        <v>50</v>
      </c>
      <c r="F67" s="3" t="s">
        <v>13</v>
      </c>
      <c r="G67" s="103">
        <v>0.16666666666666666</v>
      </c>
      <c r="H67" s="3" t="s">
        <v>7</v>
      </c>
      <c r="I67" s="3" t="s">
        <v>7</v>
      </c>
      <c r="J67" s="3" t="s">
        <v>58</v>
      </c>
      <c r="K67" s="104" t="s">
        <v>7</v>
      </c>
      <c r="L67" s="3" t="s">
        <v>60</v>
      </c>
      <c r="M67" s="3" t="s">
        <v>1361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</row>
    <row r="68" spans="1:42" ht="32.25" customHeight="1">
      <c r="A68" s="3" t="s">
        <v>1502</v>
      </c>
      <c r="B68" s="3" t="s">
        <v>1371</v>
      </c>
      <c r="C68" s="3" t="s">
        <v>28</v>
      </c>
      <c r="D68" s="3" t="s">
        <v>10</v>
      </c>
      <c r="E68" s="3" t="s">
        <v>30</v>
      </c>
      <c r="F68" s="3">
        <v>1</v>
      </c>
      <c r="G68" s="105">
        <v>1.8333333333333335</v>
      </c>
      <c r="H68" s="3" t="s">
        <v>7</v>
      </c>
      <c r="I68" s="3" t="s">
        <v>7</v>
      </c>
      <c r="J68" s="3" t="s">
        <v>21</v>
      </c>
      <c r="K68" s="104" t="s">
        <v>7</v>
      </c>
      <c r="L68" s="3" t="s">
        <v>1049</v>
      </c>
      <c r="M68" s="3" t="s">
        <v>1378</v>
      </c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</row>
    <row r="69" spans="1:42" ht="26.25" customHeight="1">
      <c r="A69" s="3" t="s">
        <v>2060</v>
      </c>
      <c r="B69" s="3" t="s">
        <v>1371</v>
      </c>
      <c r="C69" s="3" t="s">
        <v>28</v>
      </c>
      <c r="D69" s="3" t="s">
        <v>10</v>
      </c>
      <c r="E69" s="3" t="s">
        <v>30</v>
      </c>
      <c r="F69" s="3">
        <v>2</v>
      </c>
      <c r="G69" s="105">
        <v>1.8333333333333335</v>
      </c>
      <c r="H69" s="3" t="s">
        <v>7</v>
      </c>
      <c r="I69" s="3" t="s">
        <v>7</v>
      </c>
      <c r="J69" s="3" t="s">
        <v>21</v>
      </c>
      <c r="K69" s="104" t="s">
        <v>7</v>
      </c>
      <c r="L69" s="3" t="s">
        <v>1049</v>
      </c>
      <c r="M69" s="3" t="s">
        <v>1378</v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</row>
    <row r="70" spans="1:42" ht="26.25" customHeight="1">
      <c r="A70" s="3" t="s">
        <v>2061</v>
      </c>
      <c r="B70" s="3" t="s">
        <v>1371</v>
      </c>
      <c r="C70" s="3" t="s">
        <v>28</v>
      </c>
      <c r="D70" s="3" t="s">
        <v>10</v>
      </c>
      <c r="E70" s="3" t="s">
        <v>30</v>
      </c>
      <c r="F70" s="3">
        <v>3</v>
      </c>
      <c r="G70" s="105">
        <v>1.8333333333333335</v>
      </c>
      <c r="H70" s="3" t="s">
        <v>7</v>
      </c>
      <c r="I70" s="3" t="s">
        <v>7</v>
      </c>
      <c r="J70" s="3" t="s">
        <v>21</v>
      </c>
      <c r="K70" s="104" t="s">
        <v>7</v>
      </c>
      <c r="L70" s="3" t="s">
        <v>1049</v>
      </c>
      <c r="M70" s="3" t="s">
        <v>1387</v>
      </c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</row>
    <row r="71" spans="1:42" ht="26.25" customHeight="1">
      <c r="A71" s="3" t="s">
        <v>2005</v>
      </c>
      <c r="B71" s="3" t="s">
        <v>1371</v>
      </c>
      <c r="C71" s="3" t="s">
        <v>28</v>
      </c>
      <c r="D71" s="3" t="s">
        <v>10</v>
      </c>
      <c r="E71" s="3" t="s">
        <v>30</v>
      </c>
      <c r="F71" s="3">
        <v>4</v>
      </c>
      <c r="G71" s="105">
        <v>1.8333333333333335</v>
      </c>
      <c r="H71" s="3" t="s">
        <v>7</v>
      </c>
      <c r="I71" s="3" t="s">
        <v>7</v>
      </c>
      <c r="J71" s="3" t="s">
        <v>21</v>
      </c>
      <c r="K71" s="104" t="s">
        <v>7</v>
      </c>
      <c r="L71" s="3" t="s">
        <v>1049</v>
      </c>
      <c r="M71" s="3" t="s">
        <v>1388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</row>
    <row r="72" spans="1:42" ht="26.25" customHeight="1">
      <c r="A72" s="3" t="s">
        <v>2062</v>
      </c>
      <c r="B72" s="3" t="s">
        <v>1371</v>
      </c>
      <c r="C72" s="3" t="s">
        <v>93</v>
      </c>
      <c r="D72" s="3" t="s">
        <v>10</v>
      </c>
      <c r="E72" s="3" t="s">
        <v>30</v>
      </c>
      <c r="F72" s="3">
        <v>1</v>
      </c>
      <c r="G72" s="105">
        <v>1.8333333333333335</v>
      </c>
      <c r="H72" s="3" t="s">
        <v>949</v>
      </c>
      <c r="I72" s="3" t="s">
        <v>949</v>
      </c>
      <c r="J72" s="3" t="s">
        <v>21</v>
      </c>
      <c r="K72" s="104" t="s">
        <v>7</v>
      </c>
      <c r="L72" s="3" t="s">
        <v>916</v>
      </c>
      <c r="M72" s="3" t="s">
        <v>1389</v>
      </c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</row>
    <row r="73" spans="1:42" ht="26.25" customHeight="1">
      <c r="A73" s="3" t="s">
        <v>2007</v>
      </c>
      <c r="B73" s="3" t="s">
        <v>1371</v>
      </c>
      <c r="C73" s="3" t="s">
        <v>93</v>
      </c>
      <c r="D73" s="3" t="s">
        <v>10</v>
      </c>
      <c r="E73" s="3" t="s">
        <v>30</v>
      </c>
      <c r="F73" s="3">
        <v>2</v>
      </c>
      <c r="G73" s="105">
        <v>1.8333333333333333</v>
      </c>
      <c r="H73" s="3" t="s">
        <v>7</v>
      </c>
      <c r="I73" s="3" t="s">
        <v>7</v>
      </c>
      <c r="J73" s="3" t="s">
        <v>21</v>
      </c>
      <c r="K73" s="104" t="s">
        <v>7</v>
      </c>
      <c r="L73" s="3" t="s">
        <v>916</v>
      </c>
      <c r="M73" s="3" t="s">
        <v>1390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</row>
    <row r="74" spans="1:42" ht="26.25" customHeight="1">
      <c r="A74" s="3" t="s">
        <v>2019</v>
      </c>
      <c r="B74" s="3" t="s">
        <v>1371</v>
      </c>
      <c r="C74" s="3" t="s">
        <v>9</v>
      </c>
      <c r="D74" s="3" t="s">
        <v>10</v>
      </c>
      <c r="E74" s="3" t="s">
        <v>11</v>
      </c>
      <c r="F74" s="3">
        <v>1</v>
      </c>
      <c r="G74" s="105">
        <v>1.8333333333333333</v>
      </c>
      <c r="H74" s="3" t="s">
        <v>7</v>
      </c>
      <c r="I74" s="3" t="s">
        <v>7</v>
      </c>
      <c r="J74" s="3" t="s">
        <v>784</v>
      </c>
      <c r="K74" s="104" t="s">
        <v>7</v>
      </c>
      <c r="L74" s="3" t="s">
        <v>22</v>
      </c>
      <c r="M74" s="3" t="s">
        <v>1392</v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</row>
    <row r="75" spans="1:42" ht="26.25" customHeight="1">
      <c r="A75" s="3" t="s">
        <v>1551</v>
      </c>
      <c r="B75" s="3" t="s">
        <v>1371</v>
      </c>
      <c r="C75" s="3" t="s">
        <v>9</v>
      </c>
      <c r="D75" s="3" t="s">
        <v>10</v>
      </c>
      <c r="E75" s="3" t="s">
        <v>11</v>
      </c>
      <c r="F75" s="3">
        <v>2</v>
      </c>
      <c r="G75" s="103">
        <v>1.8333333333333333</v>
      </c>
      <c r="H75" s="3" t="s">
        <v>7</v>
      </c>
      <c r="I75" s="3" t="s">
        <v>7</v>
      </c>
      <c r="J75" s="3" t="s">
        <v>784</v>
      </c>
      <c r="K75" s="104" t="s">
        <v>7</v>
      </c>
      <c r="L75" s="3" t="s">
        <v>22</v>
      </c>
      <c r="M75" s="3" t="s">
        <v>1392</v>
      </c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</row>
    <row r="76" spans="1:42" ht="26.25" customHeight="1">
      <c r="A76" s="3" t="s">
        <v>2054</v>
      </c>
      <c r="B76" s="3" t="s">
        <v>1371</v>
      </c>
      <c r="C76" s="3" t="s">
        <v>9</v>
      </c>
      <c r="D76" s="3" t="s">
        <v>10</v>
      </c>
      <c r="E76" s="3" t="s">
        <v>11</v>
      </c>
      <c r="F76" s="3">
        <v>3</v>
      </c>
      <c r="G76" s="105">
        <v>1.8333333333333333</v>
      </c>
      <c r="H76" s="3" t="s">
        <v>7</v>
      </c>
      <c r="I76" s="3" t="s">
        <v>7</v>
      </c>
      <c r="J76" s="3" t="s">
        <v>784</v>
      </c>
      <c r="K76" s="104" t="s">
        <v>7</v>
      </c>
      <c r="L76" s="3" t="s">
        <v>22</v>
      </c>
      <c r="M76" s="3" t="s">
        <v>1392</v>
      </c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</row>
    <row r="77" spans="1:42" ht="26.25" customHeight="1">
      <c r="A77" s="3" t="s">
        <v>1550</v>
      </c>
      <c r="B77" s="3" t="s">
        <v>1371</v>
      </c>
      <c r="C77" s="3" t="s">
        <v>9</v>
      </c>
      <c r="D77" s="3" t="s">
        <v>10</v>
      </c>
      <c r="E77" s="3" t="s">
        <v>11</v>
      </c>
      <c r="F77" s="3">
        <v>4</v>
      </c>
      <c r="G77" s="103">
        <v>1.8333333333333333</v>
      </c>
      <c r="H77" s="3" t="s">
        <v>7</v>
      </c>
      <c r="I77" s="3" t="s">
        <v>7</v>
      </c>
      <c r="J77" s="3" t="s">
        <v>784</v>
      </c>
      <c r="K77" s="104" t="s">
        <v>7</v>
      </c>
      <c r="L77" s="3" t="s">
        <v>22</v>
      </c>
      <c r="M77" s="3" t="s">
        <v>1392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</row>
    <row r="78" spans="1:42" ht="26.25" customHeight="1">
      <c r="A78" s="3" t="s">
        <v>1560</v>
      </c>
      <c r="B78" s="3" t="s">
        <v>1371</v>
      </c>
      <c r="C78" s="3" t="s">
        <v>9</v>
      </c>
      <c r="D78" s="3" t="s">
        <v>157</v>
      </c>
      <c r="E78" s="3" t="s">
        <v>11</v>
      </c>
      <c r="F78" s="3">
        <v>1</v>
      </c>
      <c r="G78" s="103">
        <v>1.8333333333333333</v>
      </c>
      <c r="H78" s="3" t="s">
        <v>7</v>
      </c>
      <c r="I78" s="3" t="s">
        <v>7</v>
      </c>
      <c r="J78" s="3" t="s">
        <v>784</v>
      </c>
      <c r="K78" s="104" t="s">
        <v>7</v>
      </c>
      <c r="L78" s="3" t="s">
        <v>22</v>
      </c>
      <c r="M78" s="3" t="s">
        <v>1228</v>
      </c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</row>
    <row r="79" spans="1:42" ht="26.25" customHeight="1">
      <c r="A79" s="3" t="s">
        <v>2011</v>
      </c>
      <c r="B79" s="3" t="s">
        <v>1371</v>
      </c>
      <c r="C79" s="3" t="s">
        <v>9</v>
      </c>
      <c r="D79" s="3" t="s">
        <v>157</v>
      </c>
      <c r="E79" s="3" t="s">
        <v>11</v>
      </c>
      <c r="F79" s="3">
        <v>2</v>
      </c>
      <c r="G79" s="103">
        <v>1.8333333333333333</v>
      </c>
      <c r="H79" s="3" t="s">
        <v>7</v>
      </c>
      <c r="I79" s="3" t="s">
        <v>7</v>
      </c>
      <c r="J79" s="3" t="s">
        <v>784</v>
      </c>
      <c r="K79" s="104" t="s">
        <v>7</v>
      </c>
      <c r="L79" s="3" t="s">
        <v>22</v>
      </c>
      <c r="M79" s="3" t="s">
        <v>1228</v>
      </c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</row>
    <row r="80" spans="1:42" ht="26.25" customHeight="1">
      <c r="A80" s="3" t="s">
        <v>1559</v>
      </c>
      <c r="B80" s="3" t="s">
        <v>1371</v>
      </c>
      <c r="C80" s="3" t="s">
        <v>9</v>
      </c>
      <c r="D80" s="3" t="s">
        <v>157</v>
      </c>
      <c r="E80" s="3" t="s">
        <v>11</v>
      </c>
      <c r="F80" s="3">
        <v>3</v>
      </c>
      <c r="G80" s="103">
        <v>1.8333333333333333</v>
      </c>
      <c r="H80" s="3" t="s">
        <v>7</v>
      </c>
      <c r="I80" s="3" t="s">
        <v>7</v>
      </c>
      <c r="J80" s="3" t="s">
        <v>784</v>
      </c>
      <c r="K80" s="104" t="s">
        <v>7</v>
      </c>
      <c r="L80" s="3" t="s">
        <v>22</v>
      </c>
      <c r="M80" s="3" t="s">
        <v>1228</v>
      </c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</row>
    <row r="81" spans="1:42" ht="26.25" customHeight="1">
      <c r="A81" s="3" t="s">
        <v>1608</v>
      </c>
      <c r="B81" s="3" t="s">
        <v>1371</v>
      </c>
      <c r="C81" s="3" t="s">
        <v>9</v>
      </c>
      <c r="D81" s="3" t="s">
        <v>157</v>
      </c>
      <c r="E81" s="3" t="s">
        <v>11</v>
      </c>
      <c r="F81" s="3">
        <v>4</v>
      </c>
      <c r="G81" s="103">
        <v>1.8333333333333333</v>
      </c>
      <c r="H81" s="3" t="s">
        <v>7</v>
      </c>
      <c r="I81" s="3" t="s">
        <v>7</v>
      </c>
      <c r="J81" s="3" t="s">
        <v>784</v>
      </c>
      <c r="K81" s="104" t="s">
        <v>7</v>
      </c>
      <c r="L81" s="3" t="s">
        <v>22</v>
      </c>
      <c r="M81" s="3" t="s">
        <v>1228</v>
      </c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</row>
    <row r="82" spans="1:42" ht="26.25" customHeight="1">
      <c r="A82" s="3" t="s">
        <v>2066</v>
      </c>
      <c r="B82" s="3" t="s">
        <v>1371</v>
      </c>
      <c r="C82" s="3" t="s">
        <v>1397</v>
      </c>
      <c r="D82" s="3" t="s">
        <v>10</v>
      </c>
      <c r="E82" s="3" t="s">
        <v>30</v>
      </c>
      <c r="F82" s="3" t="s">
        <v>13</v>
      </c>
      <c r="G82" s="105">
        <v>1.8333333333333333</v>
      </c>
      <c r="H82" s="3" t="s">
        <v>7</v>
      </c>
      <c r="I82" s="3" t="s">
        <v>7</v>
      </c>
      <c r="J82" s="3" t="s">
        <v>21</v>
      </c>
      <c r="K82" s="104" t="s">
        <v>7</v>
      </c>
      <c r="L82" s="3" t="s">
        <v>916</v>
      </c>
      <c r="M82" s="3" t="s">
        <v>1390</v>
      </c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</row>
    <row r="83" spans="1:42" ht="26.25" customHeight="1">
      <c r="A83" s="3" t="s">
        <v>2029</v>
      </c>
      <c r="B83" s="3" t="s">
        <v>1401</v>
      </c>
      <c r="C83" s="3" t="s">
        <v>28</v>
      </c>
      <c r="D83" s="3" t="s">
        <v>10</v>
      </c>
      <c r="E83" s="3" t="s">
        <v>50</v>
      </c>
      <c r="F83" s="3" t="s">
        <v>13</v>
      </c>
      <c r="G83" s="103">
        <v>0.83333333333333326</v>
      </c>
      <c r="H83" s="3" t="s">
        <v>7</v>
      </c>
      <c r="I83" s="3" t="s">
        <v>7</v>
      </c>
      <c r="J83" s="3" t="s">
        <v>58</v>
      </c>
      <c r="K83" s="104" t="s">
        <v>7</v>
      </c>
      <c r="L83" s="3" t="s">
        <v>60</v>
      </c>
      <c r="M83" s="3" t="s">
        <v>1404</v>
      </c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</row>
    <row r="84" spans="1:42" ht="26.25" customHeight="1">
      <c r="A84" s="3" t="s">
        <v>2067</v>
      </c>
      <c r="B84" s="3" t="s">
        <v>1406</v>
      </c>
      <c r="C84" s="3" t="s">
        <v>28</v>
      </c>
      <c r="D84" s="3" t="s">
        <v>10</v>
      </c>
      <c r="E84" s="3" t="s">
        <v>30</v>
      </c>
      <c r="F84" s="3" t="s">
        <v>13</v>
      </c>
      <c r="G84" s="105">
        <v>1.8333333333333335</v>
      </c>
      <c r="H84" s="3" t="s">
        <v>7</v>
      </c>
      <c r="I84" s="3" t="s">
        <v>7</v>
      </c>
      <c r="J84" s="3" t="s">
        <v>21</v>
      </c>
      <c r="K84" s="104" t="s">
        <v>7</v>
      </c>
      <c r="L84" s="3" t="s">
        <v>621</v>
      </c>
      <c r="M84" s="3" t="s">
        <v>1407</v>
      </c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</row>
    <row r="85" spans="1:42" ht="26.25" customHeight="1">
      <c r="A85" s="3" t="s">
        <v>1992</v>
      </c>
      <c r="B85" s="3" t="s">
        <v>1406</v>
      </c>
      <c r="C85" s="3" t="s">
        <v>28</v>
      </c>
      <c r="D85" s="3" t="s">
        <v>10</v>
      </c>
      <c r="E85" s="3" t="s">
        <v>50</v>
      </c>
      <c r="F85" s="3">
        <v>1</v>
      </c>
      <c r="G85" s="103">
        <v>0.30555555555555558</v>
      </c>
      <c r="H85" s="3" t="s">
        <v>7</v>
      </c>
      <c r="I85" s="3" t="s">
        <v>7</v>
      </c>
      <c r="J85" s="3" t="s">
        <v>58</v>
      </c>
      <c r="K85" s="104" t="s">
        <v>7</v>
      </c>
      <c r="L85" s="3" t="s">
        <v>621</v>
      </c>
      <c r="M85" s="3" t="s">
        <v>1410</v>
      </c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</row>
    <row r="86" spans="1:42" ht="32.25" customHeight="1">
      <c r="A86" s="3" t="s">
        <v>1431</v>
      </c>
      <c r="B86" s="3" t="s">
        <v>1406</v>
      </c>
      <c r="C86" s="3" t="s">
        <v>28</v>
      </c>
      <c r="D86" s="3" t="s">
        <v>10</v>
      </c>
      <c r="E86" s="3" t="s">
        <v>50</v>
      </c>
      <c r="F86" s="3">
        <v>2</v>
      </c>
      <c r="G86" s="103">
        <v>8.3333333333333329E-2</v>
      </c>
      <c r="H86" s="3" t="s">
        <v>7</v>
      </c>
      <c r="I86" s="3" t="s">
        <v>7</v>
      </c>
      <c r="J86" s="3" t="s">
        <v>58</v>
      </c>
      <c r="K86" s="104" t="s">
        <v>7</v>
      </c>
      <c r="L86" s="3" t="s">
        <v>60</v>
      </c>
      <c r="M86" s="3" t="s">
        <v>1415</v>
      </c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</row>
    <row r="87" spans="1:42" ht="26.25" customHeight="1">
      <c r="A87" s="3" t="s">
        <v>1558</v>
      </c>
      <c r="B87" s="3" t="s">
        <v>1406</v>
      </c>
      <c r="C87" s="3" t="s">
        <v>9</v>
      </c>
      <c r="D87" s="3" t="s">
        <v>10</v>
      </c>
      <c r="E87" s="3" t="s">
        <v>11</v>
      </c>
      <c r="F87" s="3">
        <v>1</v>
      </c>
      <c r="G87" s="103">
        <v>1.8333333333333333</v>
      </c>
      <c r="H87" s="3" t="s">
        <v>7</v>
      </c>
      <c r="I87" s="3" t="s">
        <v>7</v>
      </c>
      <c r="J87" s="3" t="s">
        <v>21</v>
      </c>
      <c r="K87" s="104" t="s">
        <v>7</v>
      </c>
      <c r="L87" s="3" t="s">
        <v>22</v>
      </c>
      <c r="M87" s="3" t="s">
        <v>1392</v>
      </c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</row>
    <row r="88" spans="1:42" ht="26.25" customHeight="1">
      <c r="A88" s="3" t="s">
        <v>1478</v>
      </c>
      <c r="B88" s="3" t="s">
        <v>1406</v>
      </c>
      <c r="C88" s="3" t="s">
        <v>9</v>
      </c>
      <c r="D88" s="3" t="s">
        <v>10</v>
      </c>
      <c r="E88" s="3" t="s">
        <v>11</v>
      </c>
      <c r="F88" s="3">
        <v>2</v>
      </c>
      <c r="G88" s="103">
        <v>1.8333333333333333</v>
      </c>
      <c r="H88" s="3" t="s">
        <v>7</v>
      </c>
      <c r="I88" s="3" t="s">
        <v>7</v>
      </c>
      <c r="J88" s="3" t="s">
        <v>21</v>
      </c>
      <c r="K88" s="104" t="s">
        <v>7</v>
      </c>
      <c r="L88" s="3" t="s">
        <v>22</v>
      </c>
      <c r="M88" s="3" t="s">
        <v>1392</v>
      </c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</row>
    <row r="89" spans="1:42" ht="32.25" customHeight="1">
      <c r="A89" s="3" t="s">
        <v>1489</v>
      </c>
      <c r="B89" s="3" t="s">
        <v>1406</v>
      </c>
      <c r="C89" s="3" t="s">
        <v>9</v>
      </c>
      <c r="D89" s="3" t="s">
        <v>157</v>
      </c>
      <c r="E89" s="3" t="s">
        <v>11</v>
      </c>
      <c r="F89" s="3">
        <v>1</v>
      </c>
      <c r="G89" s="103">
        <v>1.8333333333333333</v>
      </c>
      <c r="H89" s="3" t="s">
        <v>7</v>
      </c>
      <c r="I89" s="3" t="s">
        <v>7</v>
      </c>
      <c r="J89" s="3" t="s">
        <v>21</v>
      </c>
      <c r="K89" s="104" t="s">
        <v>7</v>
      </c>
      <c r="L89" s="3" t="s">
        <v>22</v>
      </c>
      <c r="M89" s="3" t="s">
        <v>1228</v>
      </c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</row>
    <row r="90" spans="1:42" ht="26.25" customHeight="1">
      <c r="A90" s="3" t="s">
        <v>1985</v>
      </c>
      <c r="B90" s="3" t="s">
        <v>1406</v>
      </c>
      <c r="C90" s="3" t="s">
        <v>9</v>
      </c>
      <c r="D90" s="3" t="s">
        <v>157</v>
      </c>
      <c r="E90" s="3" t="s">
        <v>11</v>
      </c>
      <c r="F90" s="3">
        <v>2</v>
      </c>
      <c r="G90" s="103">
        <v>1.8333333333333333</v>
      </c>
      <c r="H90" s="3" t="s">
        <v>7</v>
      </c>
      <c r="I90" s="3" t="s">
        <v>7</v>
      </c>
      <c r="J90" s="3" t="s">
        <v>21</v>
      </c>
      <c r="K90" s="104" t="s">
        <v>7</v>
      </c>
      <c r="L90" s="3" t="s">
        <v>22</v>
      </c>
      <c r="M90" s="3" t="s">
        <v>1228</v>
      </c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</row>
    <row r="91" spans="1:42" ht="26.25" customHeight="1">
      <c r="A91" s="3" t="s">
        <v>1547</v>
      </c>
      <c r="B91" s="3" t="s">
        <v>1430</v>
      </c>
      <c r="C91" s="3" t="s">
        <v>28</v>
      </c>
      <c r="D91" s="3" t="s">
        <v>10</v>
      </c>
      <c r="E91" s="3" t="s">
        <v>50</v>
      </c>
      <c r="F91" s="3" t="s">
        <v>13</v>
      </c>
      <c r="G91" s="103">
        <v>0.85416666666666663</v>
      </c>
      <c r="H91" s="3" t="s">
        <v>7</v>
      </c>
      <c r="I91" s="3" t="s">
        <v>7</v>
      </c>
      <c r="J91" s="3" t="s">
        <v>58</v>
      </c>
      <c r="K91" s="104" t="s">
        <v>7</v>
      </c>
      <c r="L91" s="3" t="s">
        <v>60</v>
      </c>
      <c r="M91" s="3" t="s">
        <v>1404</v>
      </c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</row>
    <row r="92" spans="1:42" ht="26.25" customHeight="1">
      <c r="A92" s="3" t="s">
        <v>2070</v>
      </c>
      <c r="B92" s="3" t="s">
        <v>1430</v>
      </c>
      <c r="C92" s="3" t="s">
        <v>9</v>
      </c>
      <c r="D92" s="3" t="s">
        <v>157</v>
      </c>
      <c r="E92" s="3" t="s">
        <v>11</v>
      </c>
      <c r="F92" s="3">
        <v>1</v>
      </c>
      <c r="G92" s="103">
        <v>1.8333333333333333</v>
      </c>
      <c r="H92" s="3" t="s">
        <v>7</v>
      </c>
      <c r="I92" s="3" t="s">
        <v>7</v>
      </c>
      <c r="J92" s="3" t="s">
        <v>21</v>
      </c>
      <c r="K92" s="104" t="s">
        <v>7</v>
      </c>
      <c r="L92" s="3" t="s">
        <v>22</v>
      </c>
      <c r="M92" s="3" t="s">
        <v>1228</v>
      </c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</row>
    <row r="93" spans="1:42" ht="26.25" customHeight="1">
      <c r="A93" s="3" t="s">
        <v>1986</v>
      </c>
      <c r="B93" s="3" t="s">
        <v>1430</v>
      </c>
      <c r="C93" s="3" t="s">
        <v>9</v>
      </c>
      <c r="D93" s="3" t="s">
        <v>157</v>
      </c>
      <c r="E93" s="3" t="s">
        <v>11</v>
      </c>
      <c r="F93" s="3">
        <v>2</v>
      </c>
      <c r="G93" s="103">
        <v>1.8333333333333333</v>
      </c>
      <c r="H93" s="3" t="s">
        <v>7</v>
      </c>
      <c r="I93" s="3" t="s">
        <v>7</v>
      </c>
      <c r="J93" s="3" t="s">
        <v>21</v>
      </c>
      <c r="K93" s="104" t="s">
        <v>7</v>
      </c>
      <c r="L93" s="3" t="s">
        <v>22</v>
      </c>
      <c r="M93" s="3" t="s">
        <v>1228</v>
      </c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</row>
    <row r="94" spans="1:42" ht="26.25" customHeight="1">
      <c r="A94" s="3" t="s">
        <v>2081</v>
      </c>
      <c r="B94" s="3" t="s">
        <v>1433</v>
      </c>
      <c r="C94" s="3" t="s">
        <v>28</v>
      </c>
      <c r="D94" s="3" t="s">
        <v>10</v>
      </c>
      <c r="E94" s="3" t="s">
        <v>50</v>
      </c>
      <c r="F94" s="3" t="s">
        <v>13</v>
      </c>
      <c r="G94" s="103">
        <v>8.3333333333333329E-2</v>
      </c>
      <c r="H94" s="3" t="s">
        <v>7</v>
      </c>
      <c r="I94" s="3" t="s">
        <v>7</v>
      </c>
      <c r="J94" s="3" t="s">
        <v>58</v>
      </c>
      <c r="K94" s="104" t="s">
        <v>7</v>
      </c>
      <c r="L94" s="3" t="s">
        <v>60</v>
      </c>
      <c r="M94" s="3" t="s">
        <v>1435</v>
      </c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</row>
    <row r="95" spans="1:42" ht="26.25" customHeight="1">
      <c r="A95" s="3" t="s">
        <v>2094</v>
      </c>
      <c r="B95" s="3" t="s">
        <v>1437</v>
      </c>
      <c r="C95" s="3" t="s">
        <v>28</v>
      </c>
      <c r="D95" s="3" t="s">
        <v>10</v>
      </c>
      <c r="E95" s="3" t="s">
        <v>50</v>
      </c>
      <c r="F95" s="3" t="s">
        <v>13</v>
      </c>
      <c r="G95" s="103">
        <v>8.3333333333333329E-2</v>
      </c>
      <c r="H95" s="3" t="s">
        <v>7</v>
      </c>
      <c r="I95" s="3" t="s">
        <v>7</v>
      </c>
      <c r="J95" s="3" t="s">
        <v>58</v>
      </c>
      <c r="K95" s="104" t="s">
        <v>7</v>
      </c>
      <c r="L95" s="3" t="s">
        <v>60</v>
      </c>
      <c r="M95" s="3" t="s">
        <v>1435</v>
      </c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</row>
    <row r="96" spans="1:42" ht="33.75" customHeight="1">
      <c r="A96" s="3" t="s">
        <v>2099</v>
      </c>
      <c r="B96" s="3" t="s">
        <v>1438</v>
      </c>
      <c r="C96" s="3" t="s">
        <v>28</v>
      </c>
      <c r="D96" s="3" t="s">
        <v>10</v>
      </c>
      <c r="E96" s="3" t="s">
        <v>50</v>
      </c>
      <c r="F96" s="3" t="s">
        <v>13</v>
      </c>
      <c r="G96" s="103">
        <v>8.3333333333333329E-2</v>
      </c>
      <c r="H96" s="3" t="s">
        <v>7</v>
      </c>
      <c r="I96" s="3" t="s">
        <v>7</v>
      </c>
      <c r="J96" s="3" t="s">
        <v>58</v>
      </c>
      <c r="K96" s="104" t="s">
        <v>7</v>
      </c>
      <c r="L96" s="3" t="s">
        <v>60</v>
      </c>
      <c r="M96" s="3" t="s">
        <v>1439</v>
      </c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</row>
    <row r="97" spans="1:42" ht="26.25" customHeight="1">
      <c r="A97" s="3" t="s">
        <v>1982</v>
      </c>
      <c r="B97" s="3" t="s">
        <v>1441</v>
      </c>
      <c r="C97" s="3" t="s">
        <v>388</v>
      </c>
      <c r="D97" s="3" t="s">
        <v>10</v>
      </c>
      <c r="E97" s="3" t="s">
        <v>50</v>
      </c>
      <c r="F97" s="3" t="s">
        <v>13</v>
      </c>
      <c r="G97" s="103">
        <v>0.16666666666666666</v>
      </c>
      <c r="H97" s="3" t="s">
        <v>7</v>
      </c>
      <c r="I97" s="3" t="s">
        <v>7</v>
      </c>
      <c r="J97" s="3" t="s">
        <v>58</v>
      </c>
      <c r="K97" s="104" t="s">
        <v>7</v>
      </c>
      <c r="L97" s="3" t="s">
        <v>60</v>
      </c>
      <c r="M97" s="3" t="s">
        <v>1451</v>
      </c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</row>
    <row r="98" spans="1:42" ht="32.25" customHeight="1">
      <c r="A98" s="3" t="s">
        <v>2103</v>
      </c>
      <c r="B98" s="3" t="s">
        <v>1441</v>
      </c>
      <c r="C98" s="3" t="s">
        <v>28</v>
      </c>
      <c r="D98" s="3" t="s">
        <v>10</v>
      </c>
      <c r="E98" s="3" t="s">
        <v>50</v>
      </c>
      <c r="F98" s="3" t="s">
        <v>13</v>
      </c>
      <c r="G98" s="103">
        <v>0.5</v>
      </c>
      <c r="H98" s="3" t="s">
        <v>7</v>
      </c>
      <c r="I98" s="3" t="s">
        <v>7</v>
      </c>
      <c r="J98" s="3" t="s">
        <v>58</v>
      </c>
      <c r="K98" s="104" t="s">
        <v>7</v>
      </c>
      <c r="L98" s="3" t="s">
        <v>60</v>
      </c>
      <c r="M98" s="3" t="s">
        <v>63</v>
      </c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</row>
    <row r="99" spans="1:42" ht="26.25" customHeight="1">
      <c r="A99" s="3" t="s">
        <v>1994</v>
      </c>
      <c r="B99" s="3" t="s">
        <v>1459</v>
      </c>
      <c r="C99" s="3" t="s">
        <v>28</v>
      </c>
      <c r="D99" s="3" t="s">
        <v>10</v>
      </c>
      <c r="E99" s="3" t="s">
        <v>50</v>
      </c>
      <c r="F99" s="3" t="s">
        <v>13</v>
      </c>
      <c r="G99" s="103">
        <v>0.83333333333333326</v>
      </c>
      <c r="H99" s="3" t="s">
        <v>7</v>
      </c>
      <c r="I99" s="3" t="s">
        <v>7</v>
      </c>
      <c r="J99" s="3" t="s">
        <v>58</v>
      </c>
      <c r="K99" s="104" t="s">
        <v>7</v>
      </c>
      <c r="L99" s="3" t="s">
        <v>60</v>
      </c>
      <c r="M99" s="3" t="s">
        <v>1462</v>
      </c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</row>
    <row r="100" spans="1:42" ht="26.25" customHeight="1">
      <c r="A100" s="3" t="s">
        <v>2107</v>
      </c>
      <c r="B100" s="3" t="s">
        <v>1465</v>
      </c>
      <c r="C100" s="3" t="s">
        <v>388</v>
      </c>
      <c r="D100" s="3" t="s">
        <v>10</v>
      </c>
      <c r="E100" s="3" t="s">
        <v>50</v>
      </c>
      <c r="F100" s="3">
        <v>1</v>
      </c>
      <c r="G100" s="103">
        <v>0.66666666666666663</v>
      </c>
      <c r="H100" s="3" t="s">
        <v>7</v>
      </c>
      <c r="I100" s="3" t="s">
        <v>7</v>
      </c>
      <c r="J100" s="3" t="s">
        <v>58</v>
      </c>
      <c r="K100" s="104" t="s">
        <v>7</v>
      </c>
      <c r="L100" s="3" t="s">
        <v>60</v>
      </c>
      <c r="M100" s="3" t="s">
        <v>1467</v>
      </c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</row>
    <row r="101" spans="1:42" ht="26.25" customHeight="1">
      <c r="A101" s="3" t="s">
        <v>1945</v>
      </c>
      <c r="B101" s="3" t="s">
        <v>1469</v>
      </c>
      <c r="C101" s="3" t="s">
        <v>1470</v>
      </c>
      <c r="D101" s="3" t="s">
        <v>10</v>
      </c>
      <c r="E101" s="3"/>
      <c r="F101" s="3"/>
      <c r="G101" s="103">
        <v>1.8333333333333335</v>
      </c>
      <c r="H101" s="3" t="s">
        <v>7</v>
      </c>
      <c r="I101" s="3" t="s">
        <v>7</v>
      </c>
      <c r="J101" s="3" t="s">
        <v>21</v>
      </c>
      <c r="K101" s="104" t="s">
        <v>7</v>
      </c>
      <c r="L101" s="3" t="s">
        <v>621</v>
      </c>
      <c r="M101" s="3" t="s">
        <v>1471</v>
      </c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</row>
    <row r="102" spans="1:42" ht="26.25" customHeight="1">
      <c r="A102" s="3" t="s">
        <v>1458</v>
      </c>
      <c r="B102" s="3" t="s">
        <v>1469</v>
      </c>
      <c r="C102" s="3" t="s">
        <v>28</v>
      </c>
      <c r="D102" s="3" t="s">
        <v>10</v>
      </c>
      <c r="E102" s="3" t="s">
        <v>30</v>
      </c>
      <c r="F102" s="3">
        <v>1</v>
      </c>
      <c r="G102" s="103">
        <v>1.8333333333333335</v>
      </c>
      <c r="H102" s="3" t="s">
        <v>7</v>
      </c>
      <c r="I102" s="3" t="s">
        <v>7</v>
      </c>
      <c r="J102" s="3" t="s">
        <v>21</v>
      </c>
      <c r="K102" s="104" t="s">
        <v>7</v>
      </c>
      <c r="L102" s="3" t="s">
        <v>621</v>
      </c>
      <c r="M102" s="3" t="s">
        <v>1051</v>
      </c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</row>
    <row r="103" spans="1:42" ht="26.25" customHeight="1">
      <c r="A103" s="3" t="s">
        <v>1532</v>
      </c>
      <c r="B103" s="3" t="s">
        <v>1469</v>
      </c>
      <c r="C103" s="3" t="s">
        <v>28</v>
      </c>
      <c r="D103" s="3" t="s">
        <v>10</v>
      </c>
      <c r="E103" s="3" t="s">
        <v>30</v>
      </c>
      <c r="F103" s="3">
        <v>2</v>
      </c>
      <c r="G103" s="103">
        <v>1.8333333333333335</v>
      </c>
      <c r="H103" s="3" t="s">
        <v>7</v>
      </c>
      <c r="I103" s="3" t="s">
        <v>7</v>
      </c>
      <c r="J103" s="3" t="s">
        <v>21</v>
      </c>
      <c r="K103" s="104" t="s">
        <v>7</v>
      </c>
      <c r="L103" s="3" t="s">
        <v>621</v>
      </c>
      <c r="M103" s="3" t="s">
        <v>1051</v>
      </c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</row>
    <row r="104" spans="1:42" ht="26.25" customHeight="1">
      <c r="A104" s="3" t="s">
        <v>2064</v>
      </c>
      <c r="B104" s="3" t="s">
        <v>1469</v>
      </c>
      <c r="C104" s="3" t="s">
        <v>28</v>
      </c>
      <c r="D104" s="3" t="s">
        <v>10</v>
      </c>
      <c r="E104" s="3" t="s">
        <v>30</v>
      </c>
      <c r="F104" s="3">
        <v>3</v>
      </c>
      <c r="G104" s="103">
        <v>1.8333333333333335</v>
      </c>
      <c r="H104" s="3" t="s">
        <v>7</v>
      </c>
      <c r="I104" s="3" t="s">
        <v>7</v>
      </c>
      <c r="J104" s="3" t="s">
        <v>21</v>
      </c>
      <c r="K104" s="104" t="s">
        <v>7</v>
      </c>
      <c r="L104" s="3" t="s">
        <v>621</v>
      </c>
      <c r="M104" s="3" t="s">
        <v>1051</v>
      </c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</row>
    <row r="105" spans="1:42" ht="34.5" customHeight="1">
      <c r="A105" s="3" t="s">
        <v>2065</v>
      </c>
      <c r="B105" s="3" t="s">
        <v>1469</v>
      </c>
      <c r="C105" s="3" t="s">
        <v>28</v>
      </c>
      <c r="D105" s="3" t="s">
        <v>10</v>
      </c>
      <c r="E105" s="3" t="s">
        <v>30</v>
      </c>
      <c r="F105" s="3">
        <v>4</v>
      </c>
      <c r="G105" s="103">
        <v>1.8333333333333335</v>
      </c>
      <c r="H105" s="3" t="s">
        <v>7</v>
      </c>
      <c r="I105" s="3" t="s">
        <v>7</v>
      </c>
      <c r="J105" s="3" t="s">
        <v>21</v>
      </c>
      <c r="K105" s="104" t="s">
        <v>7</v>
      </c>
      <c r="L105" s="3" t="s">
        <v>621</v>
      </c>
      <c r="M105" s="3" t="s">
        <v>1051</v>
      </c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</row>
    <row r="106" spans="1:42" ht="26.25" customHeight="1">
      <c r="A106" s="3" t="s">
        <v>2119</v>
      </c>
      <c r="B106" s="3" t="s">
        <v>1469</v>
      </c>
      <c r="C106" s="3" t="s">
        <v>28</v>
      </c>
      <c r="D106" s="3" t="s">
        <v>10</v>
      </c>
      <c r="E106" s="3" t="s">
        <v>30</v>
      </c>
      <c r="F106" s="3">
        <v>5</v>
      </c>
      <c r="G106" s="103">
        <v>1.8333333333333335</v>
      </c>
      <c r="H106" s="3" t="s">
        <v>7</v>
      </c>
      <c r="I106" s="3" t="s">
        <v>7</v>
      </c>
      <c r="J106" s="3" t="s">
        <v>21</v>
      </c>
      <c r="K106" s="104" t="s">
        <v>7</v>
      </c>
      <c r="L106" s="3" t="s">
        <v>621</v>
      </c>
      <c r="M106" s="3" t="s">
        <v>1051</v>
      </c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</row>
    <row r="107" spans="1:42" ht="26.25" customHeight="1">
      <c r="A107" s="3" t="s">
        <v>1998</v>
      </c>
      <c r="B107" s="3" t="s">
        <v>1469</v>
      </c>
      <c r="C107" s="3" t="s">
        <v>28</v>
      </c>
      <c r="D107" s="3" t="s">
        <v>10</v>
      </c>
      <c r="E107" s="3" t="s">
        <v>30</v>
      </c>
      <c r="F107" s="3">
        <v>6</v>
      </c>
      <c r="G107" s="103">
        <v>1.8333333333333335</v>
      </c>
      <c r="H107" s="3" t="s">
        <v>7</v>
      </c>
      <c r="I107" s="3" t="s">
        <v>7</v>
      </c>
      <c r="J107" s="3" t="s">
        <v>21</v>
      </c>
      <c r="K107" s="104" t="s">
        <v>7</v>
      </c>
      <c r="L107" s="3" t="s">
        <v>621</v>
      </c>
      <c r="M107" s="3" t="s">
        <v>1051</v>
      </c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</row>
    <row r="108" spans="1:42" ht="33.75" customHeight="1">
      <c r="A108" s="3" t="s">
        <v>2124</v>
      </c>
      <c r="B108" s="3" t="s">
        <v>1469</v>
      </c>
      <c r="C108" s="3" t="s">
        <v>28</v>
      </c>
      <c r="D108" s="3" t="s">
        <v>10</v>
      </c>
      <c r="E108" s="3" t="s">
        <v>30</v>
      </c>
      <c r="F108" s="3">
        <v>7</v>
      </c>
      <c r="G108" s="103">
        <v>1.8333333333333335</v>
      </c>
      <c r="H108" s="3" t="s">
        <v>7</v>
      </c>
      <c r="I108" s="3" t="s">
        <v>7</v>
      </c>
      <c r="J108" s="3" t="s">
        <v>21</v>
      </c>
      <c r="K108" s="104" t="s">
        <v>7</v>
      </c>
      <c r="L108" s="3" t="s">
        <v>621</v>
      </c>
      <c r="M108" s="3" t="s">
        <v>1051</v>
      </c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</row>
    <row r="109" spans="1:42" ht="26.25" customHeight="1">
      <c r="A109" s="3" t="s">
        <v>1713</v>
      </c>
      <c r="B109" s="3" t="s">
        <v>1469</v>
      </c>
      <c r="C109" s="3" t="s">
        <v>28</v>
      </c>
      <c r="D109" s="3" t="s">
        <v>10</v>
      </c>
      <c r="E109" s="3" t="s">
        <v>30</v>
      </c>
      <c r="F109" s="3">
        <v>8</v>
      </c>
      <c r="G109" s="103">
        <v>1.8333333333333335</v>
      </c>
      <c r="H109" s="3" t="s">
        <v>7</v>
      </c>
      <c r="I109" s="3" t="s">
        <v>7</v>
      </c>
      <c r="J109" s="3" t="s">
        <v>21</v>
      </c>
      <c r="K109" s="104" t="s">
        <v>7</v>
      </c>
      <c r="L109" s="3" t="s">
        <v>621</v>
      </c>
      <c r="M109" s="3" t="s">
        <v>1480</v>
      </c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</row>
    <row r="110" spans="1:42" ht="33" customHeight="1">
      <c r="A110" s="3" t="s">
        <v>1548</v>
      </c>
      <c r="B110" s="3" t="s">
        <v>1469</v>
      </c>
      <c r="C110" s="3" t="s">
        <v>28</v>
      </c>
      <c r="D110" s="3" t="s">
        <v>10</v>
      </c>
      <c r="E110" s="3" t="s">
        <v>50</v>
      </c>
      <c r="F110" s="3">
        <v>1</v>
      </c>
      <c r="G110" s="105">
        <v>0.38194444444444448</v>
      </c>
      <c r="H110" s="3" t="s">
        <v>7</v>
      </c>
      <c r="I110" s="3" t="s">
        <v>7</v>
      </c>
      <c r="J110" s="3" t="s">
        <v>58</v>
      </c>
      <c r="K110" s="104" t="s">
        <v>7</v>
      </c>
      <c r="L110" s="3" t="s">
        <v>60</v>
      </c>
      <c r="M110" s="3" t="s">
        <v>1486</v>
      </c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</row>
    <row r="111" spans="1:42" ht="26.25" customHeight="1">
      <c r="A111" s="3" t="s">
        <v>1514</v>
      </c>
      <c r="B111" s="3" t="s">
        <v>1469</v>
      </c>
      <c r="C111" s="3" t="s">
        <v>28</v>
      </c>
      <c r="D111" s="3" t="s">
        <v>10</v>
      </c>
      <c r="E111" s="3" t="s">
        <v>50</v>
      </c>
      <c r="F111" s="3">
        <v>2</v>
      </c>
      <c r="G111" s="105">
        <v>0.30555555555555558</v>
      </c>
      <c r="H111" s="3" t="s">
        <v>7</v>
      </c>
      <c r="I111" s="3" t="s">
        <v>7</v>
      </c>
      <c r="J111" s="3" t="s">
        <v>58</v>
      </c>
      <c r="K111" s="104" t="s">
        <v>7</v>
      </c>
      <c r="L111" s="3" t="s">
        <v>60</v>
      </c>
      <c r="M111" s="3" t="s">
        <v>1488</v>
      </c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</row>
    <row r="112" spans="1:42" ht="26.25" customHeight="1">
      <c r="A112" s="3" t="s">
        <v>1521</v>
      </c>
      <c r="B112" s="3" t="s">
        <v>1492</v>
      </c>
      <c r="C112" s="3" t="s">
        <v>28</v>
      </c>
      <c r="D112" s="3" t="s">
        <v>10</v>
      </c>
      <c r="E112" s="3" t="s">
        <v>50</v>
      </c>
      <c r="F112" s="3" t="s">
        <v>13</v>
      </c>
      <c r="G112" s="103">
        <v>0.34375</v>
      </c>
      <c r="H112" s="3" t="s">
        <v>7</v>
      </c>
      <c r="I112" s="3" t="s">
        <v>7</v>
      </c>
      <c r="J112" s="3" t="s">
        <v>58</v>
      </c>
      <c r="K112" s="104" t="s">
        <v>7</v>
      </c>
      <c r="L112" s="3" t="s">
        <v>60</v>
      </c>
      <c r="M112" s="3" t="s">
        <v>1493</v>
      </c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</row>
    <row r="113" spans="1:42" ht="26.25" customHeight="1">
      <c r="A113" s="3" t="s">
        <v>2134</v>
      </c>
      <c r="B113" s="3" t="s">
        <v>1497</v>
      </c>
      <c r="C113" s="3" t="s">
        <v>28</v>
      </c>
      <c r="D113" s="3" t="s">
        <v>10</v>
      </c>
      <c r="E113" s="3" t="s">
        <v>50</v>
      </c>
      <c r="F113" s="3" t="s">
        <v>13</v>
      </c>
      <c r="G113" s="103">
        <v>8.3333333333333329E-2</v>
      </c>
      <c r="H113" s="3" t="s">
        <v>7</v>
      </c>
      <c r="I113" s="3" t="s">
        <v>7</v>
      </c>
      <c r="J113" s="3" t="s">
        <v>58</v>
      </c>
      <c r="K113" s="104" t="s">
        <v>7</v>
      </c>
      <c r="L113" s="3" t="s">
        <v>60</v>
      </c>
      <c r="M113" s="3" t="s">
        <v>1439</v>
      </c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</row>
    <row r="114" spans="1:42" ht="26.25" customHeight="1">
      <c r="A114" s="3" t="s">
        <v>1989</v>
      </c>
      <c r="B114" s="3" t="s">
        <v>1498</v>
      </c>
      <c r="C114" s="3" t="s">
        <v>93</v>
      </c>
      <c r="D114" s="3" t="s">
        <v>10</v>
      </c>
      <c r="E114" s="3" t="s">
        <v>30</v>
      </c>
      <c r="F114" s="3" t="s">
        <v>13</v>
      </c>
      <c r="G114" s="103">
        <v>1.8333333333333333</v>
      </c>
      <c r="H114" s="3" t="s">
        <v>7</v>
      </c>
      <c r="I114" s="3" t="s">
        <v>7</v>
      </c>
      <c r="J114" s="3" t="s">
        <v>21</v>
      </c>
      <c r="K114" s="104" t="s">
        <v>7</v>
      </c>
      <c r="L114" s="3" t="s">
        <v>60</v>
      </c>
      <c r="M114" s="3" t="s">
        <v>1500</v>
      </c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</row>
    <row r="115" spans="1:42" ht="22.5" customHeight="1">
      <c r="A115" s="3" t="s">
        <v>1556</v>
      </c>
      <c r="B115" s="3" t="s">
        <v>1501</v>
      </c>
      <c r="C115" s="3" t="s">
        <v>28</v>
      </c>
      <c r="D115" s="3" t="s">
        <v>10</v>
      </c>
      <c r="E115" s="3" t="s">
        <v>50</v>
      </c>
      <c r="F115" s="3" t="s">
        <v>13</v>
      </c>
      <c r="G115" s="103">
        <v>0.16666666666666666</v>
      </c>
      <c r="H115" s="3" t="s">
        <v>7</v>
      </c>
      <c r="I115" s="3" t="s">
        <v>7</v>
      </c>
      <c r="J115" s="3" t="s">
        <v>58</v>
      </c>
      <c r="K115" s="104" t="s">
        <v>7</v>
      </c>
      <c r="L115" s="3" t="s">
        <v>60</v>
      </c>
      <c r="M115" s="3" t="s">
        <v>1503</v>
      </c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</row>
    <row r="116" spans="1:42" ht="26.25" customHeight="1">
      <c r="A116" s="3" t="s">
        <v>2006</v>
      </c>
      <c r="B116" s="3" t="s">
        <v>1505</v>
      </c>
      <c r="C116" s="3" t="s">
        <v>28</v>
      </c>
      <c r="D116" s="3" t="s">
        <v>10</v>
      </c>
      <c r="E116" s="3" t="s">
        <v>50</v>
      </c>
      <c r="F116" s="3" t="s">
        <v>13</v>
      </c>
      <c r="G116" s="103">
        <v>0.99999999999999989</v>
      </c>
      <c r="H116" s="3" t="s">
        <v>7</v>
      </c>
      <c r="I116" s="3" t="s">
        <v>7</v>
      </c>
      <c r="J116" s="3" t="s">
        <v>58</v>
      </c>
      <c r="K116" s="104" t="s">
        <v>7</v>
      </c>
      <c r="L116" s="3" t="s">
        <v>60</v>
      </c>
      <c r="M116" s="3" t="s">
        <v>1506</v>
      </c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</row>
    <row r="117" spans="1:42" ht="26.25" customHeight="1">
      <c r="A117" s="3" t="s">
        <v>1479</v>
      </c>
      <c r="B117" s="3" t="s">
        <v>1507</v>
      </c>
      <c r="C117" s="3" t="s">
        <v>28</v>
      </c>
      <c r="D117" s="3" t="s">
        <v>10</v>
      </c>
      <c r="E117" s="3" t="s">
        <v>11</v>
      </c>
      <c r="F117" s="3">
        <v>1</v>
      </c>
      <c r="G117" s="103">
        <v>1.8333333333333333</v>
      </c>
      <c r="H117" s="3" t="s">
        <v>7</v>
      </c>
      <c r="I117" s="3" t="s">
        <v>7</v>
      </c>
      <c r="J117" s="3" t="s">
        <v>21</v>
      </c>
      <c r="K117" s="104" t="s">
        <v>7</v>
      </c>
      <c r="L117" s="3" t="s">
        <v>22</v>
      </c>
      <c r="M117" s="3" t="s">
        <v>1509</v>
      </c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</row>
    <row r="118" spans="1:42" ht="26.25" customHeight="1">
      <c r="A118" s="3" t="s">
        <v>1863</v>
      </c>
      <c r="B118" s="3" t="s">
        <v>1507</v>
      </c>
      <c r="C118" s="3" t="s">
        <v>28</v>
      </c>
      <c r="D118" s="3" t="s">
        <v>10</v>
      </c>
      <c r="E118" s="3" t="s">
        <v>11</v>
      </c>
      <c r="F118" s="3">
        <v>2</v>
      </c>
      <c r="G118" s="103">
        <v>1.8333333333333333</v>
      </c>
      <c r="H118" s="3" t="s">
        <v>7</v>
      </c>
      <c r="I118" s="3" t="s">
        <v>7</v>
      </c>
      <c r="J118" s="3" t="s">
        <v>21</v>
      </c>
      <c r="K118" s="104" t="s">
        <v>7</v>
      </c>
      <c r="L118" s="3" t="s">
        <v>22</v>
      </c>
      <c r="M118" s="3" t="s">
        <v>1509</v>
      </c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</row>
    <row r="119" spans="1:42" ht="27" customHeight="1">
      <c r="A119" s="3" t="s">
        <v>2045</v>
      </c>
      <c r="B119" s="3" t="s">
        <v>1511</v>
      </c>
      <c r="C119" s="3" t="s">
        <v>28</v>
      </c>
      <c r="D119" s="3" t="s">
        <v>10</v>
      </c>
      <c r="E119" s="3" t="s">
        <v>30</v>
      </c>
      <c r="F119" s="3">
        <v>1</v>
      </c>
      <c r="G119" s="103">
        <v>1.6666666666666665</v>
      </c>
      <c r="H119" s="3" t="s">
        <v>7</v>
      </c>
      <c r="I119" s="3" t="s">
        <v>7</v>
      </c>
      <c r="J119" s="3" t="s">
        <v>58</v>
      </c>
      <c r="K119" s="104" t="s">
        <v>7</v>
      </c>
      <c r="L119" s="3" t="s">
        <v>60</v>
      </c>
      <c r="M119" s="3" t="s">
        <v>1513</v>
      </c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</row>
    <row r="120" spans="1:42" ht="26.25" customHeight="1">
      <c r="A120" s="3" t="s">
        <v>2144</v>
      </c>
      <c r="B120" s="3" t="s">
        <v>1511</v>
      </c>
      <c r="C120" s="3" t="s">
        <v>28</v>
      </c>
      <c r="D120" s="3" t="s">
        <v>10</v>
      </c>
      <c r="E120" s="3" t="s">
        <v>50</v>
      </c>
      <c r="F120" s="3" t="s">
        <v>13</v>
      </c>
      <c r="G120" s="105">
        <v>0.33333333333333331</v>
      </c>
      <c r="H120" s="3" t="s">
        <v>7</v>
      </c>
      <c r="I120" s="3" t="s">
        <v>7</v>
      </c>
      <c r="J120" s="3" t="s">
        <v>58</v>
      </c>
      <c r="K120" s="104" t="s">
        <v>7</v>
      </c>
      <c r="L120" s="3" t="s">
        <v>60</v>
      </c>
      <c r="M120" s="3" t="s">
        <v>1516</v>
      </c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</row>
    <row r="121" spans="1:42" ht="34.5" customHeight="1">
      <c r="A121" s="3" t="s">
        <v>2014</v>
      </c>
      <c r="B121" s="3" t="s">
        <v>1517</v>
      </c>
      <c r="C121" s="3" t="s">
        <v>28</v>
      </c>
      <c r="D121" s="3" t="s">
        <v>10</v>
      </c>
      <c r="E121" s="3" t="s">
        <v>50</v>
      </c>
      <c r="F121" s="3" t="s">
        <v>13</v>
      </c>
      <c r="G121" s="105">
        <v>0.33333333333333331</v>
      </c>
      <c r="H121" s="3" t="s">
        <v>7</v>
      </c>
      <c r="I121" s="3" t="s">
        <v>7</v>
      </c>
      <c r="J121" s="3" t="s">
        <v>58</v>
      </c>
      <c r="K121" s="104" t="s">
        <v>7</v>
      </c>
      <c r="L121" s="3" t="s">
        <v>60</v>
      </c>
      <c r="M121" s="3" t="s">
        <v>1518</v>
      </c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</row>
    <row r="122" spans="1:42" ht="26.25" customHeight="1">
      <c r="A122" s="3" t="s">
        <v>1472</v>
      </c>
      <c r="B122" s="3" t="s">
        <v>1519</v>
      </c>
      <c r="C122" s="3" t="s">
        <v>28</v>
      </c>
      <c r="D122" s="3" t="s">
        <v>10</v>
      </c>
      <c r="E122" s="3" t="s">
        <v>30</v>
      </c>
      <c r="F122" s="3" t="s">
        <v>13</v>
      </c>
      <c r="G122" s="105">
        <v>1.8333333333333333</v>
      </c>
      <c r="H122" s="3" t="s">
        <v>7</v>
      </c>
      <c r="I122" s="3" t="s">
        <v>7</v>
      </c>
      <c r="J122" s="3" t="s">
        <v>21</v>
      </c>
      <c r="K122" s="104" t="s">
        <v>7</v>
      </c>
      <c r="L122" s="3" t="s">
        <v>60</v>
      </c>
      <c r="M122" s="3" t="s">
        <v>1522</v>
      </c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</row>
    <row r="123" spans="1:42" ht="26.25" customHeight="1">
      <c r="A123" s="3" t="s">
        <v>1420</v>
      </c>
      <c r="B123" s="3" t="s">
        <v>1524</v>
      </c>
      <c r="C123" s="3" t="s">
        <v>9</v>
      </c>
      <c r="D123" s="3" t="s">
        <v>10</v>
      </c>
      <c r="E123" s="3" t="s">
        <v>11</v>
      </c>
      <c r="F123" s="3">
        <v>1</v>
      </c>
      <c r="G123" s="103">
        <v>1.8333333333333333</v>
      </c>
      <c r="H123" s="3" t="s">
        <v>7</v>
      </c>
      <c r="I123" s="3" t="s">
        <v>7</v>
      </c>
      <c r="J123" s="3" t="s">
        <v>21</v>
      </c>
      <c r="K123" s="104" t="s">
        <v>7</v>
      </c>
      <c r="L123" s="3" t="s">
        <v>22</v>
      </c>
      <c r="M123" s="3" t="s">
        <v>1392</v>
      </c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</row>
    <row r="124" spans="1:42" ht="26.25" customHeight="1">
      <c r="A124" s="3" t="s">
        <v>1877</v>
      </c>
      <c r="B124" s="3" t="s">
        <v>1524</v>
      </c>
      <c r="C124" s="3" t="s">
        <v>9</v>
      </c>
      <c r="D124" s="3" t="s">
        <v>10</v>
      </c>
      <c r="E124" s="3" t="s">
        <v>11</v>
      </c>
      <c r="F124" s="3">
        <v>2</v>
      </c>
      <c r="G124" s="103">
        <v>1.8333333333333333</v>
      </c>
      <c r="H124" s="3" t="s">
        <v>7</v>
      </c>
      <c r="I124" s="3" t="s">
        <v>7</v>
      </c>
      <c r="J124" s="3" t="s">
        <v>21</v>
      </c>
      <c r="K124" s="104" t="s">
        <v>7</v>
      </c>
      <c r="L124" s="3" t="s">
        <v>22</v>
      </c>
      <c r="M124" s="3" t="s">
        <v>1392</v>
      </c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</row>
    <row r="125" spans="1:42" ht="26.25" customHeight="1">
      <c r="A125" s="3" t="s">
        <v>1742</v>
      </c>
      <c r="B125" s="3" t="s">
        <v>1524</v>
      </c>
      <c r="C125" s="3" t="s">
        <v>9</v>
      </c>
      <c r="D125" s="3" t="s">
        <v>157</v>
      </c>
      <c r="E125" s="3" t="s">
        <v>11</v>
      </c>
      <c r="F125" s="3">
        <v>1</v>
      </c>
      <c r="G125" s="103">
        <v>1.8333333333333333</v>
      </c>
      <c r="H125" s="3" t="s">
        <v>7</v>
      </c>
      <c r="I125" s="3" t="s">
        <v>7</v>
      </c>
      <c r="J125" s="3" t="s">
        <v>21</v>
      </c>
      <c r="K125" s="104" t="s">
        <v>7</v>
      </c>
      <c r="L125" s="3" t="s">
        <v>22</v>
      </c>
      <c r="M125" s="3" t="s">
        <v>1228</v>
      </c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</row>
    <row r="126" spans="1:42" ht="26.25" customHeight="1">
      <c r="A126" s="3" t="s">
        <v>1413</v>
      </c>
      <c r="B126" s="3" t="s">
        <v>1524</v>
      </c>
      <c r="C126" s="3" t="s">
        <v>9</v>
      </c>
      <c r="D126" s="3" t="s">
        <v>157</v>
      </c>
      <c r="E126" s="3" t="s">
        <v>11</v>
      </c>
      <c r="F126" s="3">
        <v>2</v>
      </c>
      <c r="G126" s="103">
        <v>1.8333333333333333</v>
      </c>
      <c r="H126" s="3" t="s">
        <v>7</v>
      </c>
      <c r="I126" s="3" t="s">
        <v>7</v>
      </c>
      <c r="J126" s="3" t="s">
        <v>21</v>
      </c>
      <c r="K126" s="104" t="s">
        <v>7</v>
      </c>
      <c r="L126" s="3" t="s">
        <v>22</v>
      </c>
      <c r="M126" s="3" t="s">
        <v>1228</v>
      </c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</row>
    <row r="127" spans="1:42" ht="21.75" customHeight="1">
      <c r="A127" s="3" t="s">
        <v>1557</v>
      </c>
      <c r="B127" s="3" t="s">
        <v>1530</v>
      </c>
      <c r="C127" s="3" t="s">
        <v>28</v>
      </c>
      <c r="D127" s="3" t="s">
        <v>10</v>
      </c>
      <c r="E127" s="3" t="s">
        <v>50</v>
      </c>
      <c r="F127" s="3" t="s">
        <v>13</v>
      </c>
      <c r="G127" s="105">
        <v>0.33333333333333331</v>
      </c>
      <c r="H127" s="3" t="s">
        <v>7</v>
      </c>
      <c r="I127" s="3" t="s">
        <v>7</v>
      </c>
      <c r="J127" s="3" t="s">
        <v>58</v>
      </c>
      <c r="K127" s="104" t="s">
        <v>7</v>
      </c>
      <c r="L127" s="3" t="s">
        <v>60</v>
      </c>
      <c r="M127" s="3" t="s">
        <v>1531</v>
      </c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</row>
    <row r="128" spans="1:42" ht="12.75">
      <c r="F128" s="121"/>
      <c r="K128" s="122"/>
    </row>
    <row r="129" spans="6:11" ht="12.75">
      <c r="F129" s="121"/>
      <c r="K129" s="122"/>
    </row>
    <row r="130" spans="6:11" ht="12.75">
      <c r="F130" s="121"/>
      <c r="K130" s="122"/>
    </row>
    <row r="131" spans="6:11" ht="12.75">
      <c r="F131" s="121"/>
      <c r="K131" s="122"/>
    </row>
    <row r="132" spans="6:11" ht="12.75">
      <c r="F132" s="121"/>
      <c r="K132" s="122"/>
    </row>
    <row r="133" spans="6:11" ht="12.75">
      <c r="F133" s="121"/>
      <c r="K133" s="122"/>
    </row>
    <row r="134" spans="6:11" ht="12.75">
      <c r="F134" s="121"/>
      <c r="K134" s="122"/>
    </row>
    <row r="135" spans="6:11" ht="12.75">
      <c r="F135" s="121"/>
      <c r="K135" s="122"/>
    </row>
    <row r="136" spans="6:11" ht="12.75">
      <c r="F136" s="121"/>
      <c r="K136" s="122"/>
    </row>
    <row r="137" spans="6:11" ht="12.75">
      <c r="F137" s="121"/>
      <c r="K137" s="122"/>
    </row>
    <row r="138" spans="6:11" ht="12.75">
      <c r="F138" s="121"/>
      <c r="K138" s="122"/>
    </row>
    <row r="139" spans="6:11" ht="12.75">
      <c r="F139" s="121"/>
      <c r="K139" s="122"/>
    </row>
    <row r="140" spans="6:11" ht="12.75">
      <c r="F140" s="121"/>
      <c r="K140" s="122"/>
    </row>
    <row r="141" spans="6:11" ht="12.75">
      <c r="F141" s="121"/>
      <c r="K141" s="122"/>
    </row>
    <row r="142" spans="6:11" ht="12.75">
      <c r="F142" s="121"/>
      <c r="K142" s="122"/>
    </row>
    <row r="143" spans="6:11" ht="12.75">
      <c r="F143" s="121"/>
      <c r="K143" s="122"/>
    </row>
    <row r="144" spans="6:11" ht="12.75">
      <c r="F144" s="121"/>
      <c r="K144" s="122"/>
    </row>
    <row r="145" spans="6:11" ht="12.75">
      <c r="F145" s="121"/>
      <c r="K145" s="122"/>
    </row>
    <row r="146" spans="6:11" ht="12.75">
      <c r="F146" s="121"/>
      <c r="K146" s="122"/>
    </row>
    <row r="147" spans="6:11" ht="12.75">
      <c r="F147" s="121"/>
      <c r="K147" s="122"/>
    </row>
    <row r="148" spans="6:11" ht="12.75">
      <c r="F148" s="121"/>
      <c r="K148" s="122"/>
    </row>
    <row r="149" spans="6:11" ht="12.75">
      <c r="F149" s="121"/>
      <c r="K149" s="122"/>
    </row>
    <row r="150" spans="6:11" ht="12.75">
      <c r="F150" s="121"/>
      <c r="K150" s="122"/>
    </row>
    <row r="151" spans="6:11" ht="12.75">
      <c r="F151" s="121"/>
      <c r="K151" s="122"/>
    </row>
    <row r="152" spans="6:11" ht="12.75">
      <c r="F152" s="121"/>
      <c r="K152" s="122"/>
    </row>
    <row r="153" spans="6:11" ht="12.75">
      <c r="F153" s="121"/>
      <c r="K153" s="122"/>
    </row>
    <row r="154" spans="6:11" ht="12.75">
      <c r="F154" s="121"/>
      <c r="K154" s="122"/>
    </row>
    <row r="155" spans="6:11" ht="12.75">
      <c r="F155" s="121"/>
      <c r="K155" s="122"/>
    </row>
    <row r="156" spans="6:11" ht="12.75">
      <c r="F156" s="121"/>
      <c r="K156" s="122"/>
    </row>
    <row r="157" spans="6:11" ht="12.75">
      <c r="F157" s="121"/>
      <c r="K157" s="122"/>
    </row>
    <row r="158" spans="6:11" ht="12.75">
      <c r="F158" s="121"/>
      <c r="K158" s="122"/>
    </row>
    <row r="159" spans="6:11" ht="12.75">
      <c r="F159" s="121"/>
      <c r="K159" s="122"/>
    </row>
    <row r="160" spans="6:11" ht="12.75">
      <c r="F160" s="121"/>
      <c r="K160" s="122"/>
    </row>
    <row r="161" spans="6:11" ht="12.75">
      <c r="F161" s="121"/>
      <c r="K161" s="122"/>
    </row>
    <row r="162" spans="6:11" ht="12.75">
      <c r="F162" s="121"/>
      <c r="K162" s="122"/>
    </row>
    <row r="163" spans="6:11" ht="12.75">
      <c r="F163" s="121"/>
      <c r="K163" s="122"/>
    </row>
    <row r="164" spans="6:11" ht="12.75">
      <c r="F164" s="121"/>
      <c r="K164" s="122"/>
    </row>
    <row r="165" spans="6:11" ht="12.75">
      <c r="F165" s="121"/>
      <c r="K165" s="122"/>
    </row>
    <row r="166" spans="6:11" ht="12.75">
      <c r="F166" s="121"/>
      <c r="K166" s="122"/>
    </row>
    <row r="167" spans="6:11" ht="12.75">
      <c r="F167" s="121"/>
      <c r="K167" s="122"/>
    </row>
    <row r="168" spans="6:11" ht="12.75">
      <c r="F168" s="121"/>
      <c r="K168" s="122"/>
    </row>
    <row r="169" spans="6:11" ht="12.75">
      <c r="F169" s="121"/>
      <c r="K169" s="122"/>
    </row>
    <row r="170" spans="6:11" ht="12.75">
      <c r="F170" s="121"/>
      <c r="K170" s="122"/>
    </row>
    <row r="171" spans="6:11" ht="12.75">
      <c r="F171" s="121"/>
      <c r="K171" s="122"/>
    </row>
    <row r="172" spans="6:11" ht="12.75">
      <c r="F172" s="121"/>
      <c r="K172" s="122"/>
    </row>
    <row r="173" spans="6:11" ht="12.75">
      <c r="F173" s="121"/>
      <c r="K173" s="122"/>
    </row>
    <row r="174" spans="6:11" ht="12.75">
      <c r="F174" s="121"/>
      <c r="K174" s="122"/>
    </row>
    <row r="175" spans="6:11" ht="12.75">
      <c r="F175" s="121"/>
      <c r="K175" s="122"/>
    </row>
    <row r="176" spans="6:11" ht="12.75">
      <c r="F176" s="121"/>
      <c r="K176" s="122"/>
    </row>
    <row r="177" spans="6:11" ht="12.75">
      <c r="F177" s="121"/>
      <c r="K177" s="122"/>
    </row>
    <row r="178" spans="6:11" ht="12.75">
      <c r="F178" s="121"/>
      <c r="K178" s="122"/>
    </row>
    <row r="179" spans="6:11" ht="12.75">
      <c r="F179" s="121"/>
      <c r="K179" s="122"/>
    </row>
    <row r="180" spans="6:11" ht="12.75">
      <c r="F180" s="121"/>
      <c r="K180" s="122"/>
    </row>
    <row r="181" spans="6:11" ht="12.75">
      <c r="F181" s="121"/>
      <c r="K181" s="122"/>
    </row>
    <row r="182" spans="6:11" ht="12.75">
      <c r="F182" s="121"/>
      <c r="K182" s="122"/>
    </row>
    <row r="183" spans="6:11" ht="12.75">
      <c r="F183" s="121"/>
      <c r="K183" s="122"/>
    </row>
    <row r="184" spans="6:11" ht="12.75">
      <c r="F184" s="121"/>
      <c r="K184" s="122"/>
    </row>
    <row r="185" spans="6:11" ht="12.75">
      <c r="F185" s="121"/>
      <c r="K185" s="122"/>
    </row>
    <row r="186" spans="6:11" ht="12.75">
      <c r="F186" s="121"/>
      <c r="K186" s="122"/>
    </row>
    <row r="187" spans="6:11" ht="12.75">
      <c r="F187" s="121"/>
      <c r="K187" s="122"/>
    </row>
    <row r="188" spans="6:11" ht="12.75">
      <c r="F188" s="121"/>
      <c r="K188" s="122"/>
    </row>
    <row r="189" spans="6:11" ht="12.75">
      <c r="F189" s="121"/>
      <c r="K189" s="122"/>
    </row>
    <row r="190" spans="6:11" ht="12.75">
      <c r="F190" s="121"/>
      <c r="K190" s="122"/>
    </row>
    <row r="191" spans="6:11" ht="12.75">
      <c r="F191" s="121"/>
      <c r="K191" s="122"/>
    </row>
    <row r="192" spans="6:11" ht="12.75">
      <c r="F192" s="121"/>
      <c r="K192" s="122"/>
    </row>
    <row r="193" spans="6:11" ht="12.75">
      <c r="F193" s="121"/>
      <c r="K193" s="122"/>
    </row>
    <row r="194" spans="6:11" ht="12.75">
      <c r="F194" s="121"/>
      <c r="K194" s="122"/>
    </row>
    <row r="195" spans="6:11" ht="12.75">
      <c r="F195" s="121"/>
      <c r="K195" s="122"/>
    </row>
    <row r="196" spans="6:11" ht="12.75">
      <c r="F196" s="121"/>
      <c r="K196" s="122"/>
    </row>
    <row r="197" spans="6:11" ht="12.75">
      <c r="F197" s="121"/>
      <c r="K197" s="122"/>
    </row>
    <row r="198" spans="6:11" ht="12.75">
      <c r="F198" s="121"/>
      <c r="K198" s="122"/>
    </row>
    <row r="199" spans="6:11" ht="12.75">
      <c r="F199" s="121"/>
      <c r="K199" s="122"/>
    </row>
    <row r="200" spans="6:11" ht="12.75">
      <c r="F200" s="121"/>
      <c r="K200" s="122"/>
    </row>
    <row r="201" spans="6:11" ht="12.75">
      <c r="F201" s="121"/>
      <c r="K201" s="122"/>
    </row>
    <row r="202" spans="6:11" ht="12.75">
      <c r="F202" s="121"/>
      <c r="K202" s="122"/>
    </row>
    <row r="203" spans="6:11" ht="12.75">
      <c r="F203" s="121"/>
      <c r="K203" s="122"/>
    </row>
    <row r="204" spans="6:11" ht="12.75">
      <c r="F204" s="121"/>
      <c r="K204" s="122"/>
    </row>
    <row r="205" spans="6:11" ht="12.75">
      <c r="F205" s="121"/>
      <c r="K205" s="122"/>
    </row>
    <row r="206" spans="6:11" ht="12.75">
      <c r="F206" s="121"/>
      <c r="K206" s="122"/>
    </row>
    <row r="207" spans="6:11" ht="12.75">
      <c r="F207" s="121"/>
      <c r="K207" s="122"/>
    </row>
    <row r="208" spans="6:11" ht="12.75">
      <c r="F208" s="121"/>
      <c r="K208" s="122"/>
    </row>
    <row r="209" spans="6:11" ht="12.75">
      <c r="F209" s="121"/>
      <c r="K209" s="122"/>
    </row>
    <row r="210" spans="6:11" ht="12.75">
      <c r="F210" s="121"/>
      <c r="K210" s="122"/>
    </row>
    <row r="211" spans="6:11" ht="12.75">
      <c r="F211" s="121"/>
      <c r="K211" s="122"/>
    </row>
    <row r="212" spans="6:11" ht="12.75">
      <c r="F212" s="121"/>
      <c r="K212" s="122"/>
    </row>
    <row r="213" spans="6:11" ht="12.75">
      <c r="F213" s="121"/>
      <c r="K213" s="122"/>
    </row>
    <row r="214" spans="6:11" ht="12.75">
      <c r="F214" s="121"/>
      <c r="K214" s="122"/>
    </row>
    <row r="215" spans="6:11" ht="12.75">
      <c r="F215" s="121"/>
      <c r="K215" s="122"/>
    </row>
    <row r="216" spans="6:11" ht="12.75">
      <c r="F216" s="121"/>
      <c r="K216" s="122"/>
    </row>
    <row r="217" spans="6:11" ht="12.75">
      <c r="F217" s="121"/>
      <c r="K217" s="122"/>
    </row>
    <row r="218" spans="6:11" ht="12.75">
      <c r="F218" s="121"/>
      <c r="K218" s="122"/>
    </row>
    <row r="219" spans="6:11" ht="12.75">
      <c r="F219" s="121"/>
      <c r="K219" s="122"/>
    </row>
    <row r="220" spans="6:11" ht="12.75">
      <c r="F220" s="121"/>
      <c r="K220" s="122"/>
    </row>
    <row r="221" spans="6:11" ht="12.75">
      <c r="F221" s="121"/>
      <c r="K221" s="122"/>
    </row>
    <row r="222" spans="6:11" ht="12.75">
      <c r="F222" s="121"/>
      <c r="K222" s="122"/>
    </row>
    <row r="223" spans="6:11" ht="12.75">
      <c r="F223" s="121"/>
      <c r="K223" s="122"/>
    </row>
    <row r="224" spans="6:11" ht="12.75">
      <c r="F224" s="121"/>
      <c r="K224" s="122"/>
    </row>
    <row r="225" spans="6:11" ht="12.75">
      <c r="F225" s="121"/>
      <c r="K225" s="122"/>
    </row>
    <row r="226" spans="6:11" ht="12.75">
      <c r="F226" s="121"/>
      <c r="K226" s="122"/>
    </row>
    <row r="227" spans="6:11" ht="12.75">
      <c r="F227" s="121"/>
      <c r="K227" s="122"/>
    </row>
    <row r="228" spans="6:11" ht="12.75">
      <c r="F228" s="121"/>
      <c r="K228" s="122"/>
    </row>
    <row r="229" spans="6:11" ht="12.75">
      <c r="F229" s="121"/>
      <c r="K229" s="122"/>
    </row>
    <row r="230" spans="6:11" ht="12.75">
      <c r="F230" s="121"/>
      <c r="K230" s="122"/>
    </row>
    <row r="231" spans="6:11" ht="12.75">
      <c r="F231" s="121"/>
      <c r="K231" s="122"/>
    </row>
    <row r="232" spans="6:11" ht="12.75">
      <c r="F232" s="121"/>
      <c r="K232" s="122"/>
    </row>
    <row r="233" spans="6:11" ht="12.75">
      <c r="F233" s="121"/>
      <c r="K233" s="122"/>
    </row>
    <row r="234" spans="6:11" ht="12.75">
      <c r="F234" s="121"/>
      <c r="K234" s="122"/>
    </row>
    <row r="235" spans="6:11" ht="12.75">
      <c r="F235" s="121"/>
      <c r="K235" s="122"/>
    </row>
    <row r="236" spans="6:11" ht="12.75">
      <c r="F236" s="121"/>
      <c r="K236" s="122"/>
    </row>
    <row r="237" spans="6:11" ht="12.75">
      <c r="F237" s="121"/>
      <c r="K237" s="122"/>
    </row>
    <row r="238" spans="6:11" ht="12.75">
      <c r="F238" s="121"/>
      <c r="K238" s="122"/>
    </row>
    <row r="239" spans="6:11" ht="12.75">
      <c r="F239" s="121"/>
      <c r="K239" s="122"/>
    </row>
    <row r="240" spans="6:11" ht="12.75">
      <c r="F240" s="121"/>
      <c r="K240" s="122"/>
    </row>
    <row r="241" spans="6:11" ht="12.75">
      <c r="F241" s="121"/>
      <c r="K241" s="122"/>
    </row>
    <row r="242" spans="6:11" ht="12.75">
      <c r="F242" s="121"/>
      <c r="K242" s="122"/>
    </row>
    <row r="243" spans="6:11" ht="12.75">
      <c r="F243" s="121"/>
      <c r="K243" s="122"/>
    </row>
    <row r="244" spans="6:11" ht="12.75">
      <c r="F244" s="121"/>
      <c r="K244" s="122"/>
    </row>
    <row r="245" spans="6:11" ht="12.75">
      <c r="F245" s="121"/>
      <c r="K245" s="122"/>
    </row>
    <row r="246" spans="6:11" ht="12.75">
      <c r="F246" s="121"/>
      <c r="K246" s="122"/>
    </row>
    <row r="247" spans="6:11" ht="12.75">
      <c r="F247" s="121"/>
      <c r="K247" s="122"/>
    </row>
    <row r="248" spans="6:11" ht="12.75">
      <c r="F248" s="121"/>
      <c r="K248" s="122"/>
    </row>
    <row r="249" spans="6:11" ht="12.75">
      <c r="F249" s="121"/>
      <c r="K249" s="122"/>
    </row>
    <row r="250" spans="6:11" ht="12.75">
      <c r="F250" s="121"/>
      <c r="K250" s="122"/>
    </row>
    <row r="251" spans="6:11" ht="12.75">
      <c r="F251" s="121"/>
      <c r="K251" s="122"/>
    </row>
    <row r="252" spans="6:11" ht="12.75">
      <c r="F252" s="121"/>
      <c r="K252" s="122"/>
    </row>
    <row r="253" spans="6:11" ht="12.75">
      <c r="F253" s="121"/>
      <c r="K253" s="122"/>
    </row>
    <row r="254" spans="6:11" ht="12.75">
      <c r="F254" s="121"/>
      <c r="K254" s="122"/>
    </row>
    <row r="255" spans="6:11" ht="12.75">
      <c r="F255" s="121"/>
      <c r="K255" s="122"/>
    </row>
    <row r="256" spans="6:11" ht="12.75">
      <c r="F256" s="121"/>
      <c r="K256" s="122"/>
    </row>
    <row r="257" spans="6:11" ht="12.75">
      <c r="F257" s="121"/>
      <c r="K257" s="122"/>
    </row>
    <row r="258" spans="6:11" ht="12.75">
      <c r="F258" s="121"/>
      <c r="K258" s="122"/>
    </row>
    <row r="259" spans="6:11" ht="12.75">
      <c r="F259" s="121"/>
      <c r="K259" s="122"/>
    </row>
    <row r="260" spans="6:11" ht="12.75">
      <c r="F260" s="121"/>
      <c r="K260" s="122"/>
    </row>
    <row r="261" spans="6:11" ht="12.75">
      <c r="F261" s="121"/>
      <c r="K261" s="122"/>
    </row>
    <row r="262" spans="6:11" ht="12.75">
      <c r="F262" s="121"/>
      <c r="K262" s="122"/>
    </row>
    <row r="263" spans="6:11" ht="12.75">
      <c r="F263" s="121"/>
      <c r="K263" s="122"/>
    </row>
    <row r="264" spans="6:11" ht="12.75">
      <c r="F264" s="121"/>
      <c r="K264" s="122"/>
    </row>
    <row r="265" spans="6:11" ht="12.75">
      <c r="F265" s="121"/>
      <c r="K265" s="122"/>
    </row>
    <row r="266" spans="6:11" ht="12.75">
      <c r="F266" s="121"/>
      <c r="K266" s="122"/>
    </row>
    <row r="267" spans="6:11" ht="12.75">
      <c r="F267" s="121"/>
      <c r="K267" s="122"/>
    </row>
    <row r="268" spans="6:11" ht="12.75">
      <c r="F268" s="121"/>
      <c r="K268" s="122"/>
    </row>
    <row r="269" spans="6:11" ht="12.75">
      <c r="F269" s="121"/>
      <c r="K269" s="122"/>
    </row>
    <row r="270" spans="6:11" ht="12.75">
      <c r="F270" s="121"/>
      <c r="K270" s="122"/>
    </row>
    <row r="271" spans="6:11" ht="12.75">
      <c r="F271" s="121"/>
      <c r="K271" s="122"/>
    </row>
    <row r="272" spans="6:11" ht="12.75">
      <c r="F272" s="121"/>
      <c r="K272" s="122"/>
    </row>
    <row r="273" spans="6:11" ht="12.75">
      <c r="F273" s="121"/>
      <c r="K273" s="122"/>
    </row>
    <row r="274" spans="6:11" ht="12.75">
      <c r="F274" s="121"/>
      <c r="K274" s="122"/>
    </row>
    <row r="275" spans="6:11" ht="12.75">
      <c r="F275" s="121"/>
      <c r="K275" s="122"/>
    </row>
    <row r="276" spans="6:11" ht="12.75">
      <c r="F276" s="121"/>
      <c r="K276" s="122"/>
    </row>
    <row r="277" spans="6:11" ht="12.75">
      <c r="F277" s="121"/>
      <c r="K277" s="122"/>
    </row>
    <row r="278" spans="6:11" ht="12.75">
      <c r="F278" s="121"/>
      <c r="K278" s="122"/>
    </row>
    <row r="279" spans="6:11" ht="12.75">
      <c r="F279" s="121"/>
      <c r="K279" s="122"/>
    </row>
    <row r="280" spans="6:11" ht="12.75">
      <c r="F280" s="121"/>
      <c r="K280" s="122"/>
    </row>
    <row r="281" spans="6:11" ht="12.75">
      <c r="F281" s="121"/>
      <c r="K281" s="122"/>
    </row>
    <row r="282" spans="6:11" ht="12.75">
      <c r="F282" s="121"/>
      <c r="K282" s="122"/>
    </row>
    <row r="283" spans="6:11" ht="12.75">
      <c r="F283" s="121"/>
      <c r="K283" s="122"/>
    </row>
    <row r="284" spans="6:11" ht="12.75">
      <c r="F284" s="121"/>
      <c r="K284" s="122"/>
    </row>
    <row r="285" spans="6:11" ht="12.75">
      <c r="F285" s="121"/>
      <c r="K285" s="122"/>
    </row>
    <row r="286" spans="6:11" ht="12.75">
      <c r="F286" s="121"/>
      <c r="K286" s="122"/>
    </row>
    <row r="287" spans="6:11" ht="12.75">
      <c r="F287" s="121"/>
      <c r="K287" s="122"/>
    </row>
    <row r="288" spans="6:11" ht="12.75">
      <c r="F288" s="121"/>
      <c r="K288" s="122"/>
    </row>
    <row r="289" spans="6:11" ht="12.75">
      <c r="F289" s="121"/>
      <c r="K289" s="122"/>
    </row>
    <row r="290" spans="6:11" ht="12.75">
      <c r="F290" s="121"/>
      <c r="K290" s="122"/>
    </row>
    <row r="291" spans="6:11" ht="12.75">
      <c r="F291" s="121"/>
      <c r="K291" s="122"/>
    </row>
    <row r="292" spans="6:11" ht="12.75">
      <c r="F292" s="121"/>
      <c r="K292" s="122"/>
    </row>
    <row r="293" spans="6:11" ht="12.75">
      <c r="F293" s="121"/>
      <c r="K293" s="122"/>
    </row>
    <row r="294" spans="6:11" ht="12.75">
      <c r="F294" s="121"/>
      <c r="K294" s="122"/>
    </row>
    <row r="295" spans="6:11" ht="12.75">
      <c r="F295" s="121"/>
      <c r="K295" s="122"/>
    </row>
    <row r="296" spans="6:11" ht="12.75">
      <c r="F296" s="121"/>
      <c r="K296" s="122"/>
    </row>
    <row r="297" spans="6:11" ht="12.75">
      <c r="F297" s="121"/>
      <c r="K297" s="122"/>
    </row>
    <row r="298" spans="6:11" ht="12.75">
      <c r="F298" s="121"/>
      <c r="K298" s="122"/>
    </row>
    <row r="299" spans="6:11" ht="12.75">
      <c r="F299" s="121"/>
      <c r="K299" s="122"/>
    </row>
    <row r="300" spans="6:11" ht="12.75">
      <c r="F300" s="121"/>
      <c r="K300" s="122"/>
    </row>
    <row r="301" spans="6:11" ht="12.75">
      <c r="F301" s="121"/>
      <c r="K301" s="122"/>
    </row>
    <row r="302" spans="6:11" ht="12.75">
      <c r="F302" s="121"/>
      <c r="K302" s="122"/>
    </row>
    <row r="303" spans="6:11" ht="12.75">
      <c r="F303" s="121"/>
      <c r="K303" s="122"/>
    </row>
    <row r="304" spans="6:11" ht="12.75">
      <c r="F304" s="121"/>
      <c r="K304" s="122"/>
    </row>
    <row r="305" spans="6:11" ht="12.75">
      <c r="F305" s="121"/>
      <c r="K305" s="122"/>
    </row>
    <row r="306" spans="6:11" ht="12.75">
      <c r="F306" s="121"/>
      <c r="K306" s="122"/>
    </row>
    <row r="307" spans="6:11" ht="12.75">
      <c r="F307" s="121"/>
      <c r="K307" s="122"/>
    </row>
    <row r="308" spans="6:11" ht="12.75">
      <c r="F308" s="121"/>
      <c r="K308" s="122"/>
    </row>
    <row r="309" spans="6:11" ht="12.75">
      <c r="F309" s="121"/>
      <c r="K309" s="122"/>
    </row>
    <row r="310" spans="6:11" ht="12.75">
      <c r="F310" s="121"/>
      <c r="K310" s="122"/>
    </row>
    <row r="311" spans="6:11" ht="12.75">
      <c r="F311" s="121"/>
      <c r="K311" s="122"/>
    </row>
    <row r="312" spans="6:11" ht="12.75">
      <c r="F312" s="121"/>
      <c r="K312" s="122"/>
    </row>
    <row r="313" spans="6:11" ht="12.75">
      <c r="F313" s="121"/>
      <c r="K313" s="122"/>
    </row>
    <row r="314" spans="6:11" ht="12.75">
      <c r="F314" s="121"/>
      <c r="K314" s="122"/>
    </row>
    <row r="315" spans="6:11" ht="12.75">
      <c r="F315" s="121"/>
      <c r="K315" s="122"/>
    </row>
    <row r="316" spans="6:11" ht="12.75">
      <c r="F316" s="121"/>
      <c r="K316" s="122"/>
    </row>
    <row r="317" spans="6:11" ht="12.75">
      <c r="F317" s="121"/>
      <c r="K317" s="122"/>
    </row>
    <row r="318" spans="6:11" ht="12.75">
      <c r="F318" s="121"/>
      <c r="K318" s="122"/>
    </row>
    <row r="319" spans="6:11" ht="12.75">
      <c r="F319" s="121"/>
      <c r="K319" s="122"/>
    </row>
    <row r="320" spans="6:11" ht="12.75">
      <c r="F320" s="121"/>
      <c r="K320" s="122"/>
    </row>
    <row r="321" spans="6:11" ht="12.75">
      <c r="F321" s="121"/>
      <c r="K321" s="122"/>
    </row>
    <row r="322" spans="6:11" ht="12.75">
      <c r="F322" s="121"/>
      <c r="K322" s="122"/>
    </row>
    <row r="323" spans="6:11" ht="12.75">
      <c r="F323" s="121"/>
      <c r="K323" s="122"/>
    </row>
    <row r="324" spans="6:11" ht="12.75">
      <c r="F324" s="121"/>
      <c r="K324" s="122"/>
    </row>
    <row r="325" spans="6:11" ht="12.75">
      <c r="F325" s="121"/>
      <c r="K325" s="122"/>
    </row>
    <row r="326" spans="6:11" ht="12.75">
      <c r="F326" s="121"/>
      <c r="K326" s="122"/>
    </row>
    <row r="327" spans="6:11" ht="12.75">
      <c r="F327" s="121"/>
      <c r="K327" s="122"/>
    </row>
    <row r="328" spans="6:11" ht="12.75">
      <c r="F328" s="121"/>
      <c r="K328" s="122"/>
    </row>
    <row r="329" spans="6:11" ht="12.75">
      <c r="F329" s="121"/>
      <c r="K329" s="122"/>
    </row>
    <row r="330" spans="6:11" ht="12.75">
      <c r="F330" s="121"/>
      <c r="K330" s="122"/>
    </row>
    <row r="331" spans="6:11" ht="12.75">
      <c r="F331" s="121"/>
      <c r="K331" s="122"/>
    </row>
    <row r="332" spans="6:11" ht="12.75">
      <c r="F332" s="121"/>
      <c r="K332" s="122"/>
    </row>
    <row r="333" spans="6:11" ht="12.75">
      <c r="F333" s="121"/>
      <c r="K333" s="122"/>
    </row>
    <row r="334" spans="6:11" ht="12.75">
      <c r="F334" s="121"/>
      <c r="K334" s="122"/>
    </row>
    <row r="335" spans="6:11" ht="12.75">
      <c r="F335" s="121"/>
      <c r="K335" s="122"/>
    </row>
    <row r="336" spans="6:11" ht="12.75">
      <c r="F336" s="121"/>
      <c r="K336" s="122"/>
    </row>
    <row r="337" spans="6:11" ht="12.75">
      <c r="F337" s="121"/>
      <c r="K337" s="122"/>
    </row>
    <row r="338" spans="6:11" ht="12.75">
      <c r="F338" s="121"/>
      <c r="K338" s="122"/>
    </row>
    <row r="339" spans="6:11" ht="12.75">
      <c r="F339" s="121"/>
      <c r="K339" s="122"/>
    </row>
    <row r="340" spans="6:11" ht="12.75">
      <c r="F340" s="121"/>
      <c r="K340" s="122"/>
    </row>
    <row r="341" spans="6:11" ht="12.75">
      <c r="F341" s="121"/>
      <c r="K341" s="122"/>
    </row>
    <row r="342" spans="6:11" ht="12.75">
      <c r="F342" s="121"/>
      <c r="K342" s="122"/>
    </row>
    <row r="343" spans="6:11" ht="12.75">
      <c r="F343" s="121"/>
      <c r="K343" s="122"/>
    </row>
    <row r="344" spans="6:11" ht="12.75">
      <c r="F344" s="121"/>
      <c r="K344" s="122"/>
    </row>
    <row r="345" spans="6:11" ht="12.75">
      <c r="F345" s="121"/>
      <c r="K345" s="122"/>
    </row>
    <row r="346" spans="6:11" ht="12.75">
      <c r="F346" s="121"/>
      <c r="K346" s="122"/>
    </row>
    <row r="347" spans="6:11" ht="12.75">
      <c r="F347" s="121"/>
      <c r="K347" s="122"/>
    </row>
    <row r="348" spans="6:11" ht="12.75">
      <c r="F348" s="121"/>
      <c r="K348" s="122"/>
    </row>
    <row r="349" spans="6:11" ht="12.75">
      <c r="F349" s="121"/>
      <c r="K349" s="122"/>
    </row>
    <row r="350" spans="6:11" ht="12.75">
      <c r="F350" s="121"/>
      <c r="K350" s="122"/>
    </row>
    <row r="351" spans="6:11" ht="12.75">
      <c r="F351" s="121"/>
      <c r="K351" s="122"/>
    </row>
    <row r="352" spans="6:11" ht="12.75">
      <c r="F352" s="121"/>
      <c r="K352" s="122"/>
    </row>
    <row r="353" spans="6:11" ht="12.75">
      <c r="F353" s="121"/>
      <c r="K353" s="122"/>
    </row>
    <row r="354" spans="6:11" ht="12.75">
      <c r="F354" s="121"/>
      <c r="K354" s="122"/>
    </row>
    <row r="355" spans="6:11" ht="12.75">
      <c r="F355" s="121"/>
      <c r="K355" s="122"/>
    </row>
    <row r="356" spans="6:11" ht="12.75">
      <c r="F356" s="121"/>
      <c r="K356" s="122"/>
    </row>
    <row r="357" spans="6:11" ht="12.75">
      <c r="F357" s="121"/>
      <c r="K357" s="122"/>
    </row>
    <row r="358" spans="6:11" ht="12.75">
      <c r="F358" s="121"/>
      <c r="K358" s="122"/>
    </row>
    <row r="359" spans="6:11" ht="12.75">
      <c r="F359" s="121"/>
      <c r="K359" s="122"/>
    </row>
    <row r="360" spans="6:11" ht="12.75">
      <c r="F360" s="121"/>
      <c r="K360" s="122"/>
    </row>
    <row r="361" spans="6:11" ht="12.75">
      <c r="F361" s="121"/>
      <c r="K361" s="122"/>
    </row>
    <row r="362" spans="6:11" ht="12.75">
      <c r="F362" s="121"/>
      <c r="K362" s="122"/>
    </row>
    <row r="363" spans="6:11" ht="12.75">
      <c r="F363" s="121"/>
      <c r="K363" s="122"/>
    </row>
    <row r="364" spans="6:11" ht="12.75">
      <c r="F364" s="121"/>
      <c r="K364" s="122"/>
    </row>
    <row r="365" spans="6:11" ht="12.75">
      <c r="F365" s="121"/>
      <c r="K365" s="122"/>
    </row>
    <row r="366" spans="6:11" ht="12.75">
      <c r="F366" s="121"/>
      <c r="K366" s="122"/>
    </row>
    <row r="367" spans="6:11" ht="12.75">
      <c r="F367" s="121"/>
      <c r="K367" s="122"/>
    </row>
    <row r="368" spans="6:11" ht="12.75">
      <c r="F368" s="121"/>
      <c r="K368" s="122"/>
    </row>
    <row r="369" spans="6:11" ht="12.75">
      <c r="F369" s="121"/>
      <c r="K369" s="122"/>
    </row>
    <row r="370" spans="6:11" ht="12.75">
      <c r="F370" s="121"/>
      <c r="K370" s="122"/>
    </row>
    <row r="371" spans="6:11" ht="12.75">
      <c r="F371" s="121"/>
      <c r="K371" s="122"/>
    </row>
    <row r="372" spans="6:11" ht="12.75">
      <c r="F372" s="121"/>
      <c r="K372" s="122"/>
    </row>
    <row r="373" spans="6:11" ht="12.75">
      <c r="F373" s="121"/>
      <c r="K373" s="122"/>
    </row>
    <row r="374" spans="6:11" ht="12.75">
      <c r="F374" s="121"/>
      <c r="K374" s="122"/>
    </row>
    <row r="375" spans="6:11" ht="12.75">
      <c r="F375" s="121"/>
      <c r="K375" s="122"/>
    </row>
    <row r="376" spans="6:11" ht="12.75">
      <c r="F376" s="121"/>
      <c r="K376" s="122"/>
    </row>
    <row r="377" spans="6:11" ht="12.75">
      <c r="F377" s="121"/>
      <c r="K377" s="122"/>
    </row>
    <row r="378" spans="6:11" ht="12.75">
      <c r="F378" s="121"/>
      <c r="K378" s="122"/>
    </row>
    <row r="379" spans="6:11" ht="12.75">
      <c r="F379" s="121"/>
      <c r="K379" s="122"/>
    </row>
    <row r="380" spans="6:11" ht="12.75">
      <c r="F380" s="121"/>
      <c r="K380" s="122"/>
    </row>
    <row r="381" spans="6:11" ht="12.75">
      <c r="F381" s="121"/>
      <c r="K381" s="122"/>
    </row>
    <row r="382" spans="6:11" ht="12.75">
      <c r="F382" s="121"/>
      <c r="K382" s="122"/>
    </row>
    <row r="383" spans="6:11" ht="12.75">
      <c r="F383" s="121"/>
      <c r="K383" s="122"/>
    </row>
    <row r="384" spans="6:11" ht="12.75">
      <c r="F384" s="121"/>
      <c r="K384" s="122"/>
    </row>
    <row r="385" spans="6:11" ht="12.75">
      <c r="F385" s="121"/>
      <c r="K385" s="122"/>
    </row>
    <row r="386" spans="6:11" ht="12.75">
      <c r="F386" s="121"/>
      <c r="K386" s="122"/>
    </row>
    <row r="387" spans="6:11" ht="12.75">
      <c r="F387" s="121"/>
      <c r="K387" s="122"/>
    </row>
    <row r="388" spans="6:11" ht="12.75">
      <c r="F388" s="121"/>
      <c r="K388" s="122"/>
    </row>
    <row r="389" spans="6:11" ht="12.75">
      <c r="F389" s="121"/>
      <c r="K389" s="122"/>
    </row>
    <row r="390" spans="6:11" ht="12.75">
      <c r="F390" s="121"/>
      <c r="K390" s="122"/>
    </row>
    <row r="391" spans="6:11" ht="12.75">
      <c r="F391" s="121"/>
      <c r="K391" s="122"/>
    </row>
    <row r="392" spans="6:11" ht="12.75">
      <c r="F392" s="121"/>
      <c r="K392" s="122"/>
    </row>
    <row r="393" spans="6:11" ht="12.75">
      <c r="F393" s="121"/>
      <c r="K393" s="122"/>
    </row>
    <row r="394" spans="6:11" ht="12.75">
      <c r="F394" s="121"/>
      <c r="K394" s="122"/>
    </row>
    <row r="395" spans="6:11" ht="12.75">
      <c r="F395" s="121"/>
      <c r="K395" s="122"/>
    </row>
    <row r="396" spans="6:11" ht="12.75">
      <c r="F396" s="121"/>
      <c r="K396" s="122"/>
    </row>
    <row r="397" spans="6:11" ht="12.75">
      <c r="F397" s="121"/>
      <c r="K397" s="122"/>
    </row>
    <row r="398" spans="6:11" ht="12.75">
      <c r="F398" s="121"/>
      <c r="K398" s="122"/>
    </row>
    <row r="399" spans="6:11" ht="12.75">
      <c r="F399" s="121"/>
      <c r="K399" s="122"/>
    </row>
    <row r="400" spans="6:11" ht="12.75">
      <c r="F400" s="121"/>
      <c r="K400" s="122"/>
    </row>
    <row r="401" spans="6:11" ht="12.75">
      <c r="F401" s="121"/>
      <c r="K401" s="122"/>
    </row>
    <row r="402" spans="6:11" ht="12.75">
      <c r="F402" s="121"/>
      <c r="K402" s="122"/>
    </row>
    <row r="403" spans="6:11" ht="12.75">
      <c r="F403" s="121"/>
      <c r="K403" s="122"/>
    </row>
    <row r="404" spans="6:11" ht="12.75">
      <c r="F404" s="121"/>
      <c r="K404" s="122"/>
    </row>
    <row r="405" spans="6:11" ht="12.75">
      <c r="F405" s="121"/>
      <c r="K405" s="122"/>
    </row>
    <row r="406" spans="6:11" ht="12.75">
      <c r="F406" s="121"/>
      <c r="K406" s="122"/>
    </row>
    <row r="407" spans="6:11" ht="12.75">
      <c r="F407" s="121"/>
      <c r="K407" s="122"/>
    </row>
    <row r="408" spans="6:11" ht="12.75">
      <c r="F408" s="121"/>
      <c r="K408" s="122"/>
    </row>
    <row r="409" spans="6:11" ht="12.75">
      <c r="F409" s="121"/>
      <c r="K409" s="122"/>
    </row>
    <row r="410" spans="6:11" ht="12.75">
      <c r="F410" s="121"/>
      <c r="K410" s="122"/>
    </row>
    <row r="411" spans="6:11" ht="12.75">
      <c r="F411" s="121"/>
      <c r="K411" s="122"/>
    </row>
    <row r="412" spans="6:11" ht="12.75">
      <c r="F412" s="121"/>
      <c r="K412" s="122"/>
    </row>
    <row r="413" spans="6:11" ht="12.75">
      <c r="F413" s="121"/>
      <c r="K413" s="122"/>
    </row>
    <row r="414" spans="6:11" ht="12.75">
      <c r="F414" s="121"/>
      <c r="K414" s="122"/>
    </row>
    <row r="415" spans="6:11" ht="12.75">
      <c r="F415" s="121"/>
      <c r="K415" s="122"/>
    </row>
    <row r="416" spans="6:11" ht="12.75">
      <c r="F416" s="121"/>
      <c r="K416" s="122"/>
    </row>
    <row r="417" spans="6:11" ht="12.75">
      <c r="F417" s="121"/>
      <c r="K417" s="122"/>
    </row>
    <row r="418" spans="6:11" ht="12.75">
      <c r="F418" s="121"/>
      <c r="K418" s="122"/>
    </row>
    <row r="419" spans="6:11" ht="12.75">
      <c r="F419" s="121"/>
      <c r="K419" s="122"/>
    </row>
    <row r="420" spans="6:11" ht="12.75">
      <c r="F420" s="121"/>
      <c r="K420" s="122"/>
    </row>
    <row r="421" spans="6:11" ht="12.75">
      <c r="F421" s="121"/>
      <c r="K421" s="122"/>
    </row>
    <row r="422" spans="6:11" ht="12.75">
      <c r="F422" s="121"/>
      <c r="K422" s="122"/>
    </row>
    <row r="423" spans="6:11" ht="12.75">
      <c r="F423" s="121"/>
      <c r="K423" s="122"/>
    </row>
    <row r="424" spans="6:11" ht="12.75">
      <c r="F424" s="121"/>
      <c r="K424" s="122"/>
    </row>
    <row r="425" spans="6:11" ht="12.75">
      <c r="F425" s="121"/>
      <c r="K425" s="122"/>
    </row>
    <row r="426" spans="6:11" ht="12.75">
      <c r="F426" s="121"/>
      <c r="K426" s="122"/>
    </row>
    <row r="427" spans="6:11" ht="12.75">
      <c r="F427" s="121"/>
      <c r="K427" s="122"/>
    </row>
    <row r="428" spans="6:11" ht="12.75">
      <c r="F428" s="121"/>
      <c r="K428" s="122"/>
    </row>
    <row r="429" spans="6:11" ht="12.75">
      <c r="F429" s="121"/>
      <c r="K429" s="122"/>
    </row>
    <row r="430" spans="6:11" ht="12.75">
      <c r="F430" s="121"/>
      <c r="K430" s="122"/>
    </row>
    <row r="431" spans="6:11" ht="12.75">
      <c r="F431" s="121"/>
      <c r="K431" s="122"/>
    </row>
    <row r="432" spans="6:11" ht="12.75">
      <c r="F432" s="121"/>
      <c r="K432" s="122"/>
    </row>
    <row r="433" spans="6:11" ht="12.75">
      <c r="F433" s="121"/>
      <c r="K433" s="122"/>
    </row>
    <row r="434" spans="6:11" ht="12.75">
      <c r="F434" s="121"/>
      <c r="K434" s="122"/>
    </row>
    <row r="435" spans="6:11" ht="12.75">
      <c r="F435" s="121"/>
      <c r="K435" s="122"/>
    </row>
    <row r="436" spans="6:11" ht="12.75">
      <c r="F436" s="121"/>
      <c r="K436" s="122"/>
    </row>
    <row r="437" spans="6:11" ht="12.75">
      <c r="F437" s="121"/>
      <c r="K437" s="122"/>
    </row>
    <row r="438" spans="6:11" ht="12.75">
      <c r="F438" s="121"/>
      <c r="K438" s="122"/>
    </row>
    <row r="439" spans="6:11" ht="12.75">
      <c r="F439" s="121"/>
      <c r="K439" s="122"/>
    </row>
    <row r="440" spans="6:11" ht="12.75">
      <c r="F440" s="121"/>
      <c r="K440" s="122"/>
    </row>
    <row r="441" spans="6:11" ht="12.75">
      <c r="F441" s="121"/>
      <c r="K441" s="122"/>
    </row>
    <row r="442" spans="6:11" ht="12.75">
      <c r="F442" s="121"/>
      <c r="K442" s="122"/>
    </row>
    <row r="443" spans="6:11" ht="12.75">
      <c r="F443" s="121"/>
      <c r="K443" s="122"/>
    </row>
    <row r="444" spans="6:11" ht="12.75">
      <c r="F444" s="121"/>
      <c r="K444" s="122"/>
    </row>
    <row r="445" spans="6:11" ht="12.75">
      <c r="F445" s="121"/>
      <c r="K445" s="122"/>
    </row>
    <row r="446" spans="6:11" ht="12.75">
      <c r="F446" s="121"/>
      <c r="K446" s="122"/>
    </row>
    <row r="447" spans="6:11" ht="12.75">
      <c r="F447" s="121"/>
      <c r="K447" s="122"/>
    </row>
    <row r="448" spans="6:11" ht="12.75">
      <c r="F448" s="121"/>
      <c r="K448" s="122"/>
    </row>
    <row r="449" spans="6:11" ht="12.75">
      <c r="F449" s="121"/>
      <c r="K449" s="122"/>
    </row>
    <row r="450" spans="6:11" ht="12.75">
      <c r="F450" s="121"/>
      <c r="K450" s="122"/>
    </row>
    <row r="451" spans="6:11" ht="12.75">
      <c r="F451" s="121"/>
      <c r="K451" s="122"/>
    </row>
    <row r="452" spans="6:11" ht="12.75">
      <c r="F452" s="121"/>
      <c r="K452" s="122"/>
    </row>
    <row r="453" spans="6:11" ht="12.75">
      <c r="F453" s="121"/>
      <c r="K453" s="122"/>
    </row>
    <row r="454" spans="6:11" ht="12.75">
      <c r="F454" s="121"/>
      <c r="K454" s="122"/>
    </row>
    <row r="455" spans="6:11" ht="12.75">
      <c r="F455" s="121"/>
      <c r="K455" s="122"/>
    </row>
    <row r="456" spans="6:11" ht="12.75">
      <c r="F456" s="121"/>
      <c r="K456" s="122"/>
    </row>
    <row r="457" spans="6:11" ht="12.75">
      <c r="F457" s="121"/>
      <c r="K457" s="122"/>
    </row>
    <row r="458" spans="6:11" ht="12.75">
      <c r="F458" s="121"/>
      <c r="K458" s="122"/>
    </row>
    <row r="459" spans="6:11" ht="12.75">
      <c r="F459" s="121"/>
      <c r="K459" s="122"/>
    </row>
    <row r="460" spans="6:11" ht="12.75">
      <c r="F460" s="121"/>
      <c r="K460" s="122"/>
    </row>
    <row r="461" spans="6:11" ht="12.75">
      <c r="F461" s="121"/>
      <c r="K461" s="122"/>
    </row>
    <row r="462" spans="6:11" ht="12.75">
      <c r="F462" s="121"/>
      <c r="K462" s="122"/>
    </row>
    <row r="463" spans="6:11" ht="12.75">
      <c r="F463" s="121"/>
      <c r="K463" s="122"/>
    </row>
    <row r="464" spans="6:11" ht="12.75">
      <c r="F464" s="121"/>
      <c r="K464" s="122"/>
    </row>
    <row r="465" spans="6:11" ht="12.75">
      <c r="F465" s="121"/>
      <c r="K465" s="122"/>
    </row>
    <row r="466" spans="6:11" ht="12.75">
      <c r="F466" s="121"/>
      <c r="K466" s="122"/>
    </row>
    <row r="467" spans="6:11" ht="12.75">
      <c r="F467" s="121"/>
      <c r="K467" s="122"/>
    </row>
    <row r="468" spans="6:11" ht="12.75">
      <c r="F468" s="121"/>
      <c r="K468" s="122"/>
    </row>
    <row r="469" spans="6:11" ht="12.75">
      <c r="F469" s="121"/>
      <c r="K469" s="122"/>
    </row>
    <row r="470" spans="6:11" ht="12.75">
      <c r="F470" s="121"/>
      <c r="K470" s="122"/>
    </row>
    <row r="471" spans="6:11" ht="12.75">
      <c r="F471" s="121"/>
      <c r="K471" s="122"/>
    </row>
    <row r="472" spans="6:11" ht="12.75">
      <c r="F472" s="121"/>
      <c r="K472" s="122"/>
    </row>
    <row r="473" spans="6:11" ht="12.75">
      <c r="F473" s="121"/>
      <c r="K473" s="122"/>
    </row>
    <row r="474" spans="6:11" ht="12.75">
      <c r="F474" s="121"/>
      <c r="K474" s="122"/>
    </row>
    <row r="475" spans="6:11" ht="12.75">
      <c r="F475" s="121"/>
      <c r="K475" s="122"/>
    </row>
    <row r="476" spans="6:11" ht="12.75">
      <c r="F476" s="121"/>
      <c r="K476" s="122"/>
    </row>
    <row r="477" spans="6:11" ht="12.75">
      <c r="F477" s="121"/>
      <c r="K477" s="122"/>
    </row>
    <row r="478" spans="6:11" ht="12.75">
      <c r="F478" s="121"/>
      <c r="K478" s="122"/>
    </row>
    <row r="479" spans="6:11" ht="12.75">
      <c r="F479" s="121"/>
      <c r="K479" s="122"/>
    </row>
    <row r="480" spans="6:11" ht="12.75">
      <c r="F480" s="121"/>
      <c r="K480" s="122"/>
    </row>
    <row r="481" spans="6:11" ht="12.75">
      <c r="F481" s="121"/>
      <c r="K481" s="122"/>
    </row>
    <row r="482" spans="6:11" ht="12.75">
      <c r="F482" s="121"/>
      <c r="K482" s="122"/>
    </row>
    <row r="483" spans="6:11" ht="12.75">
      <c r="F483" s="121"/>
      <c r="K483" s="122"/>
    </row>
    <row r="484" spans="6:11" ht="12.75">
      <c r="F484" s="121"/>
      <c r="K484" s="122"/>
    </row>
    <row r="485" spans="6:11" ht="12.75">
      <c r="F485" s="121"/>
      <c r="K485" s="122"/>
    </row>
    <row r="486" spans="6:11" ht="12.75">
      <c r="F486" s="121"/>
      <c r="K486" s="122"/>
    </row>
    <row r="487" spans="6:11" ht="12.75">
      <c r="F487" s="121"/>
      <c r="K487" s="122"/>
    </row>
    <row r="488" spans="6:11" ht="12.75">
      <c r="F488" s="121"/>
      <c r="K488" s="122"/>
    </row>
    <row r="489" spans="6:11" ht="12.75">
      <c r="F489" s="121"/>
      <c r="K489" s="122"/>
    </row>
    <row r="490" spans="6:11" ht="12.75">
      <c r="F490" s="121"/>
      <c r="K490" s="122"/>
    </row>
    <row r="491" spans="6:11" ht="12.75">
      <c r="F491" s="121"/>
      <c r="K491" s="122"/>
    </row>
    <row r="492" spans="6:11" ht="12.75">
      <c r="F492" s="121"/>
      <c r="K492" s="122"/>
    </row>
    <row r="493" spans="6:11" ht="12.75">
      <c r="F493" s="121"/>
      <c r="K493" s="122"/>
    </row>
    <row r="494" spans="6:11" ht="12.75">
      <c r="F494" s="121"/>
      <c r="K494" s="122"/>
    </row>
    <row r="495" spans="6:11" ht="12.75">
      <c r="F495" s="121"/>
      <c r="K495" s="122"/>
    </row>
    <row r="496" spans="6:11" ht="12.75">
      <c r="F496" s="121"/>
      <c r="K496" s="122"/>
    </row>
    <row r="497" spans="6:11" ht="12.75">
      <c r="F497" s="121"/>
      <c r="K497" s="122"/>
    </row>
    <row r="498" spans="6:11" ht="12.75">
      <c r="F498" s="121"/>
      <c r="K498" s="122"/>
    </row>
    <row r="499" spans="6:11" ht="12.75">
      <c r="F499" s="121"/>
      <c r="K499" s="122"/>
    </row>
    <row r="500" spans="6:11" ht="12.75">
      <c r="F500" s="121"/>
      <c r="K500" s="122"/>
    </row>
    <row r="501" spans="6:11" ht="12.75">
      <c r="F501" s="121"/>
      <c r="K501" s="122"/>
    </row>
    <row r="502" spans="6:11" ht="12.75">
      <c r="F502" s="121"/>
      <c r="K502" s="122"/>
    </row>
    <row r="503" spans="6:11" ht="12.75">
      <c r="F503" s="121"/>
      <c r="K503" s="122"/>
    </row>
    <row r="504" spans="6:11" ht="12.75">
      <c r="F504" s="121"/>
      <c r="K504" s="122"/>
    </row>
    <row r="505" spans="6:11" ht="12.75">
      <c r="F505" s="121"/>
      <c r="K505" s="122"/>
    </row>
    <row r="506" spans="6:11" ht="12.75">
      <c r="F506" s="121"/>
      <c r="K506" s="122"/>
    </row>
    <row r="507" spans="6:11" ht="12.75">
      <c r="F507" s="121"/>
      <c r="K507" s="122"/>
    </row>
    <row r="508" spans="6:11" ht="12.75">
      <c r="F508" s="121"/>
      <c r="K508" s="122"/>
    </row>
    <row r="509" spans="6:11" ht="12.75">
      <c r="F509" s="121"/>
      <c r="K509" s="122"/>
    </row>
    <row r="510" spans="6:11" ht="12.75">
      <c r="F510" s="121"/>
      <c r="K510" s="122"/>
    </row>
    <row r="511" spans="6:11" ht="12.75">
      <c r="F511" s="121"/>
      <c r="K511" s="122"/>
    </row>
    <row r="512" spans="6:11" ht="12.75">
      <c r="F512" s="121"/>
      <c r="K512" s="122"/>
    </row>
    <row r="513" spans="6:11" ht="12.75">
      <c r="F513" s="121"/>
      <c r="K513" s="122"/>
    </row>
    <row r="514" spans="6:11" ht="12.75">
      <c r="F514" s="121"/>
      <c r="K514" s="122"/>
    </row>
    <row r="515" spans="6:11" ht="12.75">
      <c r="F515" s="121"/>
      <c r="K515" s="122"/>
    </row>
    <row r="516" spans="6:11" ht="12.75">
      <c r="F516" s="121"/>
      <c r="K516" s="122"/>
    </row>
    <row r="517" spans="6:11" ht="12.75">
      <c r="F517" s="121"/>
      <c r="K517" s="122"/>
    </row>
    <row r="518" spans="6:11" ht="12.75">
      <c r="F518" s="121"/>
      <c r="K518" s="122"/>
    </row>
    <row r="519" spans="6:11" ht="12.75">
      <c r="F519" s="121"/>
      <c r="K519" s="122"/>
    </row>
    <row r="520" spans="6:11" ht="12.75">
      <c r="F520" s="121"/>
      <c r="K520" s="122"/>
    </row>
    <row r="521" spans="6:11" ht="12.75">
      <c r="F521" s="121"/>
      <c r="K521" s="122"/>
    </row>
    <row r="522" spans="6:11" ht="12.75">
      <c r="F522" s="121"/>
      <c r="K522" s="122"/>
    </row>
    <row r="523" spans="6:11" ht="12.75">
      <c r="F523" s="121"/>
      <c r="K523" s="122"/>
    </row>
    <row r="524" spans="6:11" ht="12.75">
      <c r="F524" s="121"/>
      <c r="K524" s="122"/>
    </row>
    <row r="525" spans="6:11" ht="12.75">
      <c r="F525" s="121"/>
      <c r="K525" s="122"/>
    </row>
    <row r="526" spans="6:11" ht="12.75">
      <c r="F526" s="121"/>
      <c r="K526" s="122"/>
    </row>
    <row r="527" spans="6:11" ht="12.75">
      <c r="F527" s="121"/>
      <c r="K527" s="122"/>
    </row>
    <row r="528" spans="6:11" ht="12.75">
      <c r="F528" s="121"/>
      <c r="K528" s="122"/>
    </row>
    <row r="529" spans="6:11" ht="12.75">
      <c r="F529" s="121"/>
      <c r="K529" s="122"/>
    </row>
    <row r="530" spans="6:11" ht="12.75">
      <c r="F530" s="121"/>
      <c r="K530" s="122"/>
    </row>
    <row r="531" spans="6:11" ht="12.75">
      <c r="F531" s="121"/>
      <c r="K531" s="122"/>
    </row>
    <row r="532" spans="6:11" ht="12.75">
      <c r="F532" s="121"/>
      <c r="K532" s="122"/>
    </row>
    <row r="533" spans="6:11" ht="12.75">
      <c r="F533" s="121"/>
      <c r="K533" s="122"/>
    </row>
    <row r="534" spans="6:11" ht="12.75">
      <c r="F534" s="121"/>
      <c r="K534" s="122"/>
    </row>
    <row r="535" spans="6:11" ht="12.75">
      <c r="F535" s="121"/>
      <c r="K535" s="122"/>
    </row>
    <row r="536" spans="6:11" ht="12.75">
      <c r="F536" s="121"/>
      <c r="K536" s="122"/>
    </row>
    <row r="537" spans="6:11" ht="12.75">
      <c r="F537" s="121"/>
      <c r="K537" s="122"/>
    </row>
    <row r="538" spans="6:11" ht="12.75">
      <c r="F538" s="121"/>
      <c r="K538" s="122"/>
    </row>
    <row r="539" spans="6:11" ht="12.75">
      <c r="F539" s="121"/>
      <c r="K539" s="122"/>
    </row>
    <row r="540" spans="6:11" ht="12.75">
      <c r="F540" s="121"/>
      <c r="K540" s="122"/>
    </row>
    <row r="541" spans="6:11" ht="12.75">
      <c r="F541" s="121"/>
      <c r="K541" s="122"/>
    </row>
    <row r="542" spans="6:11" ht="12.75">
      <c r="F542" s="121"/>
      <c r="K542" s="122"/>
    </row>
    <row r="543" spans="6:11" ht="12.75">
      <c r="F543" s="121"/>
      <c r="K543" s="122"/>
    </row>
    <row r="544" spans="6:11" ht="12.75">
      <c r="F544" s="121"/>
      <c r="K544" s="122"/>
    </row>
    <row r="545" spans="6:11" ht="12.75">
      <c r="F545" s="121"/>
      <c r="K545" s="122"/>
    </row>
    <row r="546" spans="6:11" ht="12.75">
      <c r="F546" s="121"/>
      <c r="K546" s="122"/>
    </row>
    <row r="547" spans="6:11" ht="12.75">
      <c r="F547" s="121"/>
      <c r="K547" s="122"/>
    </row>
    <row r="548" spans="6:11" ht="12.75">
      <c r="F548" s="121"/>
      <c r="K548" s="122"/>
    </row>
    <row r="549" spans="6:11" ht="12.75">
      <c r="F549" s="121"/>
      <c r="K549" s="122"/>
    </row>
    <row r="550" spans="6:11" ht="12.75">
      <c r="F550" s="121"/>
      <c r="K550" s="122"/>
    </row>
    <row r="551" spans="6:11" ht="12.75">
      <c r="F551" s="121"/>
      <c r="K551" s="122"/>
    </row>
    <row r="552" spans="6:11" ht="12.75">
      <c r="F552" s="121"/>
      <c r="K552" s="122"/>
    </row>
    <row r="553" spans="6:11" ht="12.75">
      <c r="F553" s="121"/>
      <c r="K553" s="122"/>
    </row>
    <row r="554" spans="6:11" ht="12.75">
      <c r="F554" s="121"/>
      <c r="K554" s="122"/>
    </row>
    <row r="555" spans="6:11" ht="12.75">
      <c r="F555" s="121"/>
      <c r="K555" s="122"/>
    </row>
    <row r="556" spans="6:11" ht="12.75">
      <c r="F556" s="121"/>
      <c r="K556" s="122"/>
    </row>
    <row r="557" spans="6:11" ht="12.75">
      <c r="F557" s="121"/>
      <c r="K557" s="122"/>
    </row>
    <row r="558" spans="6:11" ht="12.75">
      <c r="F558" s="121"/>
      <c r="K558" s="122"/>
    </row>
    <row r="559" spans="6:11" ht="12.75">
      <c r="F559" s="121"/>
      <c r="K559" s="122"/>
    </row>
    <row r="560" spans="6:11" ht="12.75">
      <c r="F560" s="121"/>
      <c r="K560" s="122"/>
    </row>
    <row r="561" spans="6:11" ht="12.75">
      <c r="F561" s="121"/>
      <c r="K561" s="122"/>
    </row>
    <row r="562" spans="6:11" ht="12.75">
      <c r="F562" s="121"/>
      <c r="K562" s="122"/>
    </row>
    <row r="563" spans="6:11" ht="12.75">
      <c r="F563" s="121"/>
      <c r="K563" s="122"/>
    </row>
    <row r="564" spans="6:11" ht="12.75">
      <c r="F564" s="121"/>
      <c r="K564" s="122"/>
    </row>
    <row r="565" spans="6:11" ht="12.75">
      <c r="F565" s="121"/>
      <c r="K565" s="122"/>
    </row>
    <row r="566" spans="6:11" ht="12.75">
      <c r="F566" s="121"/>
      <c r="K566" s="122"/>
    </row>
    <row r="567" spans="6:11" ht="12.75">
      <c r="F567" s="121"/>
      <c r="K567" s="122"/>
    </row>
    <row r="568" spans="6:11" ht="12.75">
      <c r="F568" s="121"/>
      <c r="K568" s="122"/>
    </row>
    <row r="569" spans="6:11" ht="12.75">
      <c r="F569" s="121"/>
      <c r="K569" s="122"/>
    </row>
    <row r="570" spans="6:11" ht="12.75">
      <c r="F570" s="121"/>
      <c r="K570" s="122"/>
    </row>
    <row r="571" spans="6:11" ht="12.75">
      <c r="F571" s="121"/>
      <c r="K571" s="122"/>
    </row>
    <row r="572" spans="6:11" ht="12.75">
      <c r="F572" s="121"/>
      <c r="K572" s="122"/>
    </row>
    <row r="573" spans="6:11" ht="12.75">
      <c r="F573" s="121"/>
      <c r="K573" s="122"/>
    </row>
    <row r="574" spans="6:11" ht="12.75">
      <c r="F574" s="121"/>
      <c r="K574" s="122"/>
    </row>
    <row r="575" spans="6:11" ht="12.75">
      <c r="F575" s="121"/>
      <c r="K575" s="122"/>
    </row>
    <row r="576" spans="6:11" ht="12.75">
      <c r="F576" s="121"/>
      <c r="K576" s="122"/>
    </row>
    <row r="577" spans="6:11" ht="12.75">
      <c r="F577" s="121"/>
      <c r="K577" s="122"/>
    </row>
    <row r="578" spans="6:11" ht="12.75">
      <c r="F578" s="121"/>
      <c r="K578" s="122"/>
    </row>
    <row r="579" spans="6:11" ht="12.75">
      <c r="F579" s="121"/>
      <c r="K579" s="122"/>
    </row>
    <row r="580" spans="6:11" ht="12.75">
      <c r="F580" s="121"/>
      <c r="K580" s="122"/>
    </row>
    <row r="581" spans="6:11" ht="12.75">
      <c r="F581" s="121"/>
      <c r="K581" s="122"/>
    </row>
    <row r="582" spans="6:11" ht="12.75">
      <c r="F582" s="121"/>
      <c r="K582" s="122"/>
    </row>
    <row r="583" spans="6:11" ht="12.75">
      <c r="F583" s="121"/>
      <c r="K583" s="122"/>
    </row>
    <row r="584" spans="6:11" ht="12.75">
      <c r="F584" s="121"/>
      <c r="K584" s="122"/>
    </row>
    <row r="585" spans="6:11" ht="12.75">
      <c r="F585" s="121"/>
      <c r="K585" s="122"/>
    </row>
    <row r="586" spans="6:11" ht="12.75">
      <c r="F586" s="121"/>
      <c r="K586" s="122"/>
    </row>
    <row r="587" spans="6:11" ht="12.75">
      <c r="F587" s="121"/>
      <c r="K587" s="122"/>
    </row>
    <row r="588" spans="6:11" ht="12.75">
      <c r="F588" s="121"/>
      <c r="K588" s="122"/>
    </row>
    <row r="589" spans="6:11" ht="12.75">
      <c r="F589" s="121"/>
      <c r="K589" s="122"/>
    </row>
    <row r="590" spans="6:11" ht="12.75">
      <c r="F590" s="121"/>
      <c r="K590" s="122"/>
    </row>
    <row r="591" spans="6:11" ht="12.75">
      <c r="F591" s="121"/>
      <c r="K591" s="122"/>
    </row>
    <row r="592" spans="6:11" ht="12.75">
      <c r="F592" s="121"/>
      <c r="K592" s="122"/>
    </row>
    <row r="593" spans="6:11" ht="12.75">
      <c r="F593" s="121"/>
      <c r="K593" s="122"/>
    </row>
    <row r="594" spans="6:11" ht="12.75">
      <c r="F594" s="121"/>
      <c r="K594" s="122"/>
    </row>
    <row r="595" spans="6:11" ht="12.75">
      <c r="F595" s="121"/>
      <c r="K595" s="122"/>
    </row>
    <row r="596" spans="6:11" ht="12.75">
      <c r="F596" s="121"/>
      <c r="K596" s="122"/>
    </row>
    <row r="597" spans="6:11" ht="12.75">
      <c r="F597" s="121"/>
      <c r="K597" s="122"/>
    </row>
    <row r="598" spans="6:11" ht="12.75">
      <c r="F598" s="121"/>
      <c r="K598" s="122"/>
    </row>
    <row r="599" spans="6:11" ht="12.75">
      <c r="F599" s="121"/>
      <c r="K599" s="122"/>
    </row>
    <row r="600" spans="6:11" ht="12.75">
      <c r="F600" s="121"/>
      <c r="K600" s="122"/>
    </row>
    <row r="601" spans="6:11" ht="12.75">
      <c r="F601" s="121"/>
      <c r="K601" s="122"/>
    </row>
    <row r="602" spans="6:11" ht="12.75">
      <c r="F602" s="121"/>
      <c r="K602" s="122"/>
    </row>
    <row r="603" spans="6:11" ht="12.75">
      <c r="F603" s="121"/>
      <c r="K603" s="122"/>
    </row>
    <row r="604" spans="6:11" ht="12.75">
      <c r="F604" s="121"/>
      <c r="K604" s="122"/>
    </row>
    <row r="605" spans="6:11" ht="12.75">
      <c r="F605" s="121"/>
      <c r="K605" s="122"/>
    </row>
    <row r="606" spans="6:11" ht="12.75">
      <c r="F606" s="121"/>
      <c r="K606" s="122"/>
    </row>
    <row r="607" spans="6:11" ht="12.75">
      <c r="F607" s="121"/>
      <c r="K607" s="122"/>
    </row>
    <row r="608" spans="6:11" ht="12.75">
      <c r="F608" s="121"/>
      <c r="K608" s="122"/>
    </row>
    <row r="609" spans="6:11" ht="12.75">
      <c r="F609" s="121"/>
      <c r="K609" s="122"/>
    </row>
    <row r="610" spans="6:11" ht="12.75">
      <c r="F610" s="121"/>
      <c r="K610" s="122"/>
    </row>
    <row r="611" spans="6:11" ht="12.75">
      <c r="F611" s="121"/>
      <c r="K611" s="122"/>
    </row>
    <row r="612" spans="6:11" ht="12.75">
      <c r="F612" s="121"/>
      <c r="K612" s="122"/>
    </row>
    <row r="613" spans="6:11" ht="12.75">
      <c r="F613" s="121"/>
      <c r="K613" s="122"/>
    </row>
    <row r="614" spans="6:11" ht="12.75">
      <c r="F614" s="121"/>
      <c r="K614" s="122"/>
    </row>
    <row r="615" spans="6:11" ht="12.75">
      <c r="F615" s="121"/>
      <c r="K615" s="122"/>
    </row>
    <row r="616" spans="6:11" ht="12.75">
      <c r="F616" s="121"/>
      <c r="K616" s="122"/>
    </row>
    <row r="617" spans="6:11" ht="12.75">
      <c r="F617" s="121"/>
      <c r="K617" s="122"/>
    </row>
    <row r="618" spans="6:11" ht="12.75">
      <c r="F618" s="121"/>
      <c r="K618" s="122"/>
    </row>
    <row r="619" spans="6:11" ht="12.75">
      <c r="F619" s="121"/>
      <c r="K619" s="122"/>
    </row>
    <row r="620" spans="6:11" ht="12.75">
      <c r="F620" s="121"/>
      <c r="K620" s="122"/>
    </row>
    <row r="621" spans="6:11" ht="12.75">
      <c r="F621" s="121"/>
      <c r="K621" s="122"/>
    </row>
    <row r="622" spans="6:11" ht="12.75">
      <c r="F622" s="121"/>
      <c r="K622" s="122"/>
    </row>
    <row r="623" spans="6:11" ht="12.75">
      <c r="F623" s="121"/>
      <c r="K623" s="122"/>
    </row>
    <row r="624" spans="6:11" ht="12.75">
      <c r="F624" s="121"/>
      <c r="K624" s="122"/>
    </row>
    <row r="625" spans="6:11" ht="12.75">
      <c r="F625" s="121"/>
      <c r="K625" s="122"/>
    </row>
    <row r="626" spans="6:11" ht="12.75">
      <c r="F626" s="121"/>
      <c r="K626" s="122"/>
    </row>
    <row r="627" spans="6:11" ht="12.75">
      <c r="F627" s="121"/>
      <c r="K627" s="122"/>
    </row>
    <row r="628" spans="6:11" ht="12.75">
      <c r="F628" s="121"/>
      <c r="K628" s="122"/>
    </row>
    <row r="629" spans="6:11" ht="12.75">
      <c r="F629" s="121"/>
      <c r="K629" s="122"/>
    </row>
    <row r="630" spans="6:11" ht="12.75">
      <c r="F630" s="121"/>
      <c r="K630" s="122"/>
    </row>
    <row r="631" spans="6:11" ht="12.75">
      <c r="F631" s="121"/>
      <c r="K631" s="122"/>
    </row>
    <row r="632" spans="6:11" ht="12.75">
      <c r="F632" s="121"/>
      <c r="K632" s="122"/>
    </row>
    <row r="633" spans="6:11" ht="12.75">
      <c r="F633" s="121"/>
      <c r="K633" s="122"/>
    </row>
    <row r="634" spans="6:11" ht="12.75">
      <c r="F634" s="121"/>
      <c r="K634" s="122"/>
    </row>
    <row r="635" spans="6:11" ht="12.75">
      <c r="F635" s="121"/>
      <c r="K635" s="122"/>
    </row>
    <row r="636" spans="6:11" ht="12.75">
      <c r="F636" s="121"/>
      <c r="K636" s="122"/>
    </row>
    <row r="637" spans="6:11" ht="12.75">
      <c r="F637" s="121"/>
      <c r="K637" s="122"/>
    </row>
    <row r="638" spans="6:11" ht="12.75">
      <c r="F638" s="121"/>
      <c r="K638" s="122"/>
    </row>
    <row r="639" spans="6:11" ht="12.75">
      <c r="F639" s="121"/>
      <c r="K639" s="122"/>
    </row>
    <row r="640" spans="6:11" ht="12.75">
      <c r="F640" s="121"/>
      <c r="K640" s="122"/>
    </row>
    <row r="641" spans="6:11" ht="12.75">
      <c r="F641" s="121"/>
      <c r="K641" s="122"/>
    </row>
    <row r="642" spans="6:11" ht="12.75">
      <c r="F642" s="121"/>
      <c r="K642" s="122"/>
    </row>
    <row r="643" spans="6:11" ht="12.75">
      <c r="F643" s="121"/>
      <c r="K643" s="122"/>
    </row>
    <row r="644" spans="6:11" ht="12.75">
      <c r="F644" s="121"/>
      <c r="K644" s="122"/>
    </row>
    <row r="645" spans="6:11" ht="12.75">
      <c r="F645" s="121"/>
      <c r="K645" s="122"/>
    </row>
    <row r="646" spans="6:11" ht="12.75">
      <c r="F646" s="121"/>
      <c r="K646" s="122"/>
    </row>
    <row r="647" spans="6:11" ht="12.75">
      <c r="F647" s="121"/>
      <c r="K647" s="122"/>
    </row>
    <row r="648" spans="6:11" ht="12.75">
      <c r="F648" s="121"/>
      <c r="K648" s="122"/>
    </row>
    <row r="649" spans="6:11" ht="12.75">
      <c r="F649" s="121"/>
      <c r="K649" s="122"/>
    </row>
    <row r="650" spans="6:11" ht="12.75">
      <c r="F650" s="121"/>
      <c r="K650" s="122"/>
    </row>
    <row r="651" spans="6:11" ht="12.75">
      <c r="F651" s="121"/>
      <c r="K651" s="122"/>
    </row>
    <row r="652" spans="6:11" ht="12.75">
      <c r="F652" s="121"/>
      <c r="K652" s="122"/>
    </row>
    <row r="653" spans="6:11" ht="12.75">
      <c r="F653" s="121"/>
      <c r="K653" s="122"/>
    </row>
    <row r="654" spans="6:11" ht="12.75">
      <c r="F654" s="121"/>
      <c r="K654" s="122"/>
    </row>
    <row r="655" spans="6:11" ht="12.75">
      <c r="F655" s="121"/>
      <c r="K655" s="122"/>
    </row>
    <row r="656" spans="6:11" ht="12.75">
      <c r="F656" s="121"/>
      <c r="K656" s="122"/>
    </row>
    <row r="657" spans="6:11" ht="12.75">
      <c r="F657" s="121"/>
      <c r="K657" s="122"/>
    </row>
    <row r="658" spans="6:11" ht="12.75">
      <c r="F658" s="121"/>
      <c r="K658" s="122"/>
    </row>
    <row r="659" spans="6:11" ht="12.75">
      <c r="F659" s="121"/>
      <c r="K659" s="122"/>
    </row>
    <row r="660" spans="6:11" ht="12.75">
      <c r="F660" s="121"/>
      <c r="K660" s="122"/>
    </row>
    <row r="661" spans="6:11" ht="12.75">
      <c r="F661" s="121"/>
      <c r="K661" s="122"/>
    </row>
    <row r="662" spans="6:11" ht="12.75">
      <c r="F662" s="121"/>
      <c r="K662" s="122"/>
    </row>
    <row r="663" spans="6:11" ht="12.75">
      <c r="F663" s="121"/>
      <c r="K663" s="122"/>
    </row>
    <row r="664" spans="6:11" ht="12.75">
      <c r="F664" s="121"/>
      <c r="K664" s="122"/>
    </row>
    <row r="665" spans="6:11" ht="12.75">
      <c r="F665" s="121"/>
      <c r="K665" s="122"/>
    </row>
    <row r="666" spans="6:11" ht="12.75">
      <c r="F666" s="121"/>
      <c r="K666" s="122"/>
    </row>
    <row r="667" spans="6:11" ht="12.75">
      <c r="F667" s="121"/>
      <c r="K667" s="122"/>
    </row>
    <row r="668" spans="6:11" ht="12.75">
      <c r="F668" s="121"/>
      <c r="K668" s="122"/>
    </row>
    <row r="669" spans="6:11" ht="12.75">
      <c r="F669" s="121"/>
      <c r="K669" s="122"/>
    </row>
    <row r="670" spans="6:11" ht="12.75">
      <c r="F670" s="121"/>
      <c r="K670" s="122"/>
    </row>
    <row r="671" spans="6:11" ht="12.75">
      <c r="F671" s="121"/>
      <c r="K671" s="122"/>
    </row>
    <row r="672" spans="6:11" ht="12.75">
      <c r="F672" s="121"/>
      <c r="K672" s="122"/>
    </row>
    <row r="673" spans="6:11" ht="12.75">
      <c r="F673" s="121"/>
      <c r="K673" s="122"/>
    </row>
    <row r="674" spans="6:11" ht="12.75">
      <c r="F674" s="121"/>
      <c r="K674" s="122"/>
    </row>
    <row r="675" spans="6:11" ht="12.75">
      <c r="F675" s="121"/>
      <c r="K675" s="122"/>
    </row>
    <row r="676" spans="6:11" ht="12.75">
      <c r="F676" s="121"/>
      <c r="K676" s="122"/>
    </row>
    <row r="677" spans="6:11" ht="12.75">
      <c r="F677" s="121"/>
      <c r="K677" s="122"/>
    </row>
    <row r="678" spans="6:11" ht="12.75">
      <c r="F678" s="121"/>
      <c r="K678" s="122"/>
    </row>
    <row r="679" spans="6:11" ht="12.75">
      <c r="F679" s="121"/>
      <c r="K679" s="122"/>
    </row>
    <row r="680" spans="6:11" ht="12.75">
      <c r="F680" s="121"/>
      <c r="K680" s="122"/>
    </row>
    <row r="681" spans="6:11" ht="12.75">
      <c r="F681" s="121"/>
      <c r="K681" s="122"/>
    </row>
    <row r="682" spans="6:11" ht="12.75">
      <c r="F682" s="121"/>
      <c r="K682" s="122"/>
    </row>
    <row r="683" spans="6:11" ht="12.75">
      <c r="F683" s="121"/>
      <c r="K683" s="122"/>
    </row>
    <row r="684" spans="6:11" ht="12.75">
      <c r="F684" s="121"/>
      <c r="K684" s="122"/>
    </row>
    <row r="685" spans="6:11" ht="12.75">
      <c r="F685" s="121"/>
      <c r="K685" s="122"/>
    </row>
    <row r="686" spans="6:11" ht="12.75">
      <c r="F686" s="121"/>
      <c r="K686" s="122"/>
    </row>
    <row r="687" spans="6:11" ht="12.75">
      <c r="F687" s="121"/>
      <c r="K687" s="122"/>
    </row>
    <row r="688" spans="6:11" ht="12.75">
      <c r="F688" s="121"/>
      <c r="K688" s="122"/>
    </row>
    <row r="689" spans="6:11" ht="12.75">
      <c r="F689" s="121"/>
      <c r="K689" s="122"/>
    </row>
    <row r="690" spans="6:11" ht="12.75">
      <c r="F690" s="121"/>
      <c r="K690" s="122"/>
    </row>
    <row r="691" spans="6:11" ht="12.75">
      <c r="F691" s="121"/>
      <c r="K691" s="122"/>
    </row>
    <row r="692" spans="6:11" ht="12.75">
      <c r="F692" s="121"/>
      <c r="K692" s="122"/>
    </row>
    <row r="693" spans="6:11" ht="12.75">
      <c r="F693" s="121"/>
      <c r="K693" s="122"/>
    </row>
    <row r="694" spans="6:11" ht="12.75">
      <c r="F694" s="121"/>
      <c r="K694" s="122"/>
    </row>
    <row r="695" spans="6:11" ht="12.75">
      <c r="F695" s="121"/>
      <c r="K695" s="122"/>
    </row>
    <row r="696" spans="6:11" ht="12.75">
      <c r="F696" s="121"/>
      <c r="K696" s="122"/>
    </row>
    <row r="697" spans="6:11" ht="12.75">
      <c r="F697" s="121"/>
      <c r="K697" s="122"/>
    </row>
    <row r="698" spans="6:11" ht="12.75">
      <c r="F698" s="121"/>
      <c r="K698" s="122"/>
    </row>
    <row r="699" spans="6:11" ht="12.75">
      <c r="F699" s="121"/>
      <c r="K699" s="122"/>
    </row>
    <row r="700" spans="6:11" ht="12.75">
      <c r="F700" s="121"/>
      <c r="K700" s="122"/>
    </row>
    <row r="701" spans="6:11" ht="12.75">
      <c r="F701" s="121"/>
      <c r="K701" s="122"/>
    </row>
    <row r="702" spans="6:11" ht="12.75">
      <c r="F702" s="121"/>
      <c r="K702" s="122"/>
    </row>
    <row r="703" spans="6:11" ht="12.75">
      <c r="F703" s="121"/>
      <c r="K703" s="122"/>
    </row>
    <row r="704" spans="6:11" ht="12.75">
      <c r="F704" s="121"/>
      <c r="K704" s="122"/>
    </row>
    <row r="705" spans="6:11" ht="12.75">
      <c r="F705" s="121"/>
      <c r="K705" s="122"/>
    </row>
    <row r="706" spans="6:11" ht="12.75">
      <c r="F706" s="121"/>
      <c r="K706" s="122"/>
    </row>
    <row r="707" spans="6:11" ht="12.75">
      <c r="F707" s="121"/>
      <c r="K707" s="122"/>
    </row>
    <row r="708" spans="6:11" ht="12.75">
      <c r="F708" s="121"/>
      <c r="K708" s="122"/>
    </row>
    <row r="709" spans="6:11" ht="12.75">
      <c r="F709" s="121"/>
      <c r="K709" s="122"/>
    </row>
    <row r="710" spans="6:11" ht="12.75">
      <c r="F710" s="121"/>
      <c r="K710" s="122"/>
    </row>
    <row r="711" spans="6:11" ht="12.75">
      <c r="F711" s="121"/>
      <c r="K711" s="122"/>
    </row>
    <row r="712" spans="6:11" ht="12.75">
      <c r="F712" s="121"/>
      <c r="K712" s="122"/>
    </row>
    <row r="713" spans="6:11" ht="12.75">
      <c r="F713" s="121"/>
      <c r="K713" s="122"/>
    </row>
    <row r="714" spans="6:11" ht="12.75">
      <c r="F714" s="121"/>
      <c r="K714" s="122"/>
    </row>
    <row r="715" spans="6:11" ht="12.75">
      <c r="F715" s="121"/>
      <c r="K715" s="122"/>
    </row>
    <row r="716" spans="6:11" ht="12.75">
      <c r="F716" s="121"/>
      <c r="K716" s="122"/>
    </row>
    <row r="717" spans="6:11" ht="12.75">
      <c r="F717" s="121"/>
      <c r="K717" s="122"/>
    </row>
    <row r="718" spans="6:11" ht="12.75">
      <c r="F718" s="121"/>
      <c r="K718" s="122"/>
    </row>
    <row r="719" spans="6:11" ht="12.75">
      <c r="F719" s="121"/>
      <c r="K719" s="122"/>
    </row>
    <row r="720" spans="6:11" ht="12.75">
      <c r="F720" s="121"/>
      <c r="K720" s="122"/>
    </row>
    <row r="721" spans="6:11" ht="12.75">
      <c r="F721" s="121"/>
      <c r="K721" s="122"/>
    </row>
    <row r="722" spans="6:11" ht="12.75">
      <c r="F722" s="121"/>
      <c r="K722" s="122"/>
    </row>
    <row r="723" spans="6:11" ht="12.75">
      <c r="F723" s="121"/>
      <c r="K723" s="122"/>
    </row>
    <row r="724" spans="6:11" ht="12.75">
      <c r="F724" s="121"/>
      <c r="K724" s="122"/>
    </row>
    <row r="725" spans="6:11" ht="12.75">
      <c r="F725" s="121"/>
      <c r="K725" s="122"/>
    </row>
    <row r="726" spans="6:11" ht="12.75">
      <c r="F726" s="121"/>
      <c r="K726" s="122"/>
    </row>
    <row r="727" spans="6:11" ht="12.75">
      <c r="F727" s="121"/>
      <c r="K727" s="122"/>
    </row>
    <row r="728" spans="6:11" ht="12.75">
      <c r="F728" s="121"/>
      <c r="K728" s="122"/>
    </row>
    <row r="729" spans="6:11" ht="12.75">
      <c r="F729" s="121"/>
      <c r="K729" s="122"/>
    </row>
    <row r="730" spans="6:11" ht="12.75">
      <c r="F730" s="121"/>
      <c r="K730" s="122"/>
    </row>
    <row r="731" spans="6:11" ht="12.75">
      <c r="F731" s="121"/>
      <c r="K731" s="122"/>
    </row>
    <row r="732" spans="6:11" ht="12.75">
      <c r="F732" s="121"/>
      <c r="K732" s="122"/>
    </row>
    <row r="733" spans="6:11" ht="12.75">
      <c r="F733" s="121"/>
      <c r="K733" s="122"/>
    </row>
    <row r="734" spans="6:11" ht="12.75">
      <c r="F734" s="121"/>
      <c r="K734" s="122"/>
    </row>
    <row r="735" spans="6:11" ht="12.75">
      <c r="F735" s="121"/>
      <c r="K735" s="122"/>
    </row>
    <row r="736" spans="6:11" ht="12.75">
      <c r="F736" s="121"/>
      <c r="K736" s="122"/>
    </row>
    <row r="737" spans="6:11" ht="12.75">
      <c r="F737" s="121"/>
      <c r="K737" s="122"/>
    </row>
    <row r="738" spans="6:11" ht="12.75">
      <c r="F738" s="121"/>
      <c r="K738" s="122"/>
    </row>
    <row r="739" spans="6:11" ht="12.75">
      <c r="F739" s="121"/>
      <c r="K739" s="122"/>
    </row>
    <row r="740" spans="6:11" ht="12.75">
      <c r="F740" s="121"/>
      <c r="K740" s="122"/>
    </row>
    <row r="741" spans="6:11" ht="12.75">
      <c r="F741" s="121"/>
      <c r="K741" s="122"/>
    </row>
    <row r="742" spans="6:11" ht="12.75">
      <c r="F742" s="121"/>
      <c r="K742" s="122"/>
    </row>
    <row r="743" spans="6:11" ht="12.75">
      <c r="F743" s="121"/>
      <c r="K743" s="122"/>
    </row>
    <row r="744" spans="6:11" ht="12.75">
      <c r="F744" s="121"/>
      <c r="K744" s="122"/>
    </row>
    <row r="745" spans="6:11" ht="12.75">
      <c r="F745" s="121"/>
      <c r="K745" s="122"/>
    </row>
    <row r="746" spans="6:11" ht="12.75">
      <c r="F746" s="121"/>
      <c r="K746" s="122"/>
    </row>
    <row r="747" spans="6:11" ht="12.75">
      <c r="F747" s="121"/>
      <c r="K747" s="122"/>
    </row>
    <row r="748" spans="6:11" ht="12.75">
      <c r="F748" s="121"/>
      <c r="K748" s="122"/>
    </row>
    <row r="749" spans="6:11" ht="12.75">
      <c r="F749" s="121"/>
      <c r="K749" s="122"/>
    </row>
    <row r="750" spans="6:11" ht="12.75">
      <c r="F750" s="121"/>
      <c r="K750" s="122"/>
    </row>
    <row r="751" spans="6:11" ht="12.75">
      <c r="F751" s="121"/>
      <c r="K751" s="122"/>
    </row>
    <row r="752" spans="6:11" ht="12.75">
      <c r="F752" s="121"/>
      <c r="K752" s="122"/>
    </row>
    <row r="753" spans="6:11" ht="12.75">
      <c r="F753" s="121"/>
      <c r="K753" s="122"/>
    </row>
    <row r="754" spans="6:11" ht="12.75">
      <c r="F754" s="121"/>
      <c r="K754" s="122"/>
    </row>
    <row r="755" spans="6:11" ht="12.75">
      <c r="F755" s="121"/>
      <c r="K755" s="122"/>
    </row>
    <row r="756" spans="6:11" ht="12.75">
      <c r="F756" s="121"/>
      <c r="K756" s="122"/>
    </row>
    <row r="757" spans="6:11" ht="12.75">
      <c r="F757" s="121"/>
      <c r="K757" s="122"/>
    </row>
    <row r="758" spans="6:11" ht="12.75">
      <c r="F758" s="121"/>
      <c r="K758" s="122"/>
    </row>
    <row r="759" spans="6:11" ht="12.75">
      <c r="F759" s="121"/>
      <c r="K759" s="122"/>
    </row>
    <row r="760" spans="6:11" ht="12.75">
      <c r="F760" s="121"/>
      <c r="K760" s="122"/>
    </row>
    <row r="761" spans="6:11" ht="12.75">
      <c r="F761" s="121"/>
      <c r="K761" s="122"/>
    </row>
    <row r="762" spans="6:11" ht="12.75">
      <c r="F762" s="121"/>
      <c r="K762" s="122"/>
    </row>
    <row r="763" spans="6:11" ht="12.75">
      <c r="F763" s="121"/>
      <c r="K763" s="122"/>
    </row>
    <row r="764" spans="6:11" ht="12.75">
      <c r="F764" s="121"/>
      <c r="K764" s="122"/>
    </row>
    <row r="765" spans="6:11" ht="12.75">
      <c r="F765" s="121"/>
      <c r="K765" s="122"/>
    </row>
    <row r="766" spans="6:11" ht="12.75">
      <c r="F766" s="121"/>
      <c r="K766" s="122"/>
    </row>
    <row r="767" spans="6:11" ht="12.75">
      <c r="F767" s="121"/>
      <c r="K767" s="122"/>
    </row>
    <row r="768" spans="6:11" ht="12.75">
      <c r="F768" s="121"/>
      <c r="K768" s="122"/>
    </row>
    <row r="769" spans="6:11" ht="12.75">
      <c r="F769" s="121"/>
      <c r="K769" s="122"/>
    </row>
    <row r="770" spans="6:11" ht="12.75">
      <c r="F770" s="121"/>
      <c r="K770" s="122"/>
    </row>
    <row r="771" spans="6:11" ht="12.75">
      <c r="F771" s="121"/>
      <c r="K771" s="122"/>
    </row>
    <row r="772" spans="6:11" ht="12.75">
      <c r="F772" s="121"/>
      <c r="K772" s="122"/>
    </row>
    <row r="773" spans="6:11" ht="12.75">
      <c r="F773" s="121"/>
      <c r="K773" s="122"/>
    </row>
    <row r="774" spans="6:11" ht="12.75">
      <c r="F774" s="121"/>
      <c r="K774" s="122"/>
    </row>
    <row r="775" spans="6:11" ht="12.75">
      <c r="F775" s="121"/>
      <c r="K775" s="122"/>
    </row>
    <row r="776" spans="6:11" ht="12.75">
      <c r="F776" s="121"/>
      <c r="K776" s="122"/>
    </row>
    <row r="777" spans="6:11" ht="12.75">
      <c r="F777" s="121"/>
      <c r="K777" s="122"/>
    </row>
    <row r="778" spans="6:11" ht="12.75">
      <c r="F778" s="121"/>
      <c r="K778" s="122"/>
    </row>
    <row r="779" spans="6:11" ht="12.75">
      <c r="F779" s="121"/>
      <c r="K779" s="122"/>
    </row>
    <row r="780" spans="6:11" ht="12.75">
      <c r="F780" s="121"/>
      <c r="K780" s="122"/>
    </row>
    <row r="781" spans="6:11" ht="12.75">
      <c r="F781" s="121"/>
      <c r="K781" s="122"/>
    </row>
    <row r="782" spans="6:11" ht="12.75">
      <c r="F782" s="121"/>
      <c r="K782" s="122"/>
    </row>
    <row r="783" spans="6:11" ht="12.75">
      <c r="F783" s="121"/>
      <c r="K783" s="122"/>
    </row>
    <row r="784" spans="6:11" ht="12.75">
      <c r="F784" s="121"/>
      <c r="K784" s="122"/>
    </row>
    <row r="785" spans="6:11" ht="12.75">
      <c r="F785" s="121"/>
      <c r="K785" s="122"/>
    </row>
    <row r="786" spans="6:11" ht="12.75">
      <c r="F786" s="121"/>
      <c r="K786" s="122"/>
    </row>
    <row r="787" spans="6:11" ht="12.75">
      <c r="F787" s="121"/>
      <c r="K787" s="122"/>
    </row>
    <row r="788" spans="6:11" ht="12.75">
      <c r="F788" s="121"/>
      <c r="K788" s="122"/>
    </row>
    <row r="789" spans="6:11" ht="12.75">
      <c r="F789" s="121"/>
      <c r="K789" s="122"/>
    </row>
    <row r="790" spans="6:11" ht="12.75">
      <c r="F790" s="121"/>
      <c r="K790" s="122"/>
    </row>
    <row r="791" spans="6:11" ht="12.75">
      <c r="F791" s="121"/>
      <c r="K791" s="122"/>
    </row>
    <row r="792" spans="6:11" ht="12.75">
      <c r="F792" s="121"/>
      <c r="K792" s="122"/>
    </row>
    <row r="793" spans="6:11" ht="12.75">
      <c r="F793" s="121"/>
      <c r="K793" s="122"/>
    </row>
    <row r="794" spans="6:11" ht="12.75">
      <c r="F794" s="121"/>
      <c r="K794" s="122"/>
    </row>
    <row r="795" spans="6:11" ht="12.75">
      <c r="F795" s="121"/>
      <c r="K795" s="122"/>
    </row>
    <row r="796" spans="6:11" ht="12.75">
      <c r="F796" s="121"/>
      <c r="K796" s="122"/>
    </row>
    <row r="797" spans="6:11" ht="12.75">
      <c r="F797" s="121"/>
      <c r="K797" s="122"/>
    </row>
    <row r="798" spans="6:11" ht="12.75">
      <c r="F798" s="121"/>
      <c r="K798" s="122"/>
    </row>
    <row r="799" spans="6:11" ht="12.75">
      <c r="F799" s="121"/>
      <c r="K799" s="122"/>
    </row>
    <row r="800" spans="6:11" ht="12.75">
      <c r="F800" s="121"/>
      <c r="K800" s="122"/>
    </row>
    <row r="801" spans="6:11" ht="12.75">
      <c r="F801" s="121"/>
      <c r="K801" s="122"/>
    </row>
    <row r="802" spans="6:11" ht="12.75">
      <c r="F802" s="121"/>
      <c r="K802" s="122"/>
    </row>
    <row r="803" spans="6:11" ht="12.75">
      <c r="F803" s="121"/>
      <c r="K803" s="122"/>
    </row>
    <row r="804" spans="6:11" ht="12.75">
      <c r="F804" s="121"/>
      <c r="K804" s="122"/>
    </row>
    <row r="805" spans="6:11" ht="12.75">
      <c r="F805" s="121"/>
      <c r="K805" s="122"/>
    </row>
    <row r="806" spans="6:11" ht="12.75">
      <c r="F806" s="121"/>
      <c r="K806" s="122"/>
    </row>
    <row r="807" spans="6:11" ht="12.75">
      <c r="F807" s="121"/>
      <c r="K807" s="122"/>
    </row>
    <row r="808" spans="6:11" ht="12.75">
      <c r="F808" s="121"/>
      <c r="K808" s="122"/>
    </row>
    <row r="809" spans="6:11" ht="12.75">
      <c r="F809" s="121"/>
      <c r="K809" s="122"/>
    </row>
    <row r="810" spans="6:11" ht="12.75">
      <c r="F810" s="121"/>
      <c r="K810" s="122"/>
    </row>
    <row r="811" spans="6:11" ht="12.75">
      <c r="F811" s="121"/>
      <c r="K811" s="122"/>
    </row>
    <row r="812" spans="6:11" ht="12.75">
      <c r="F812" s="121"/>
      <c r="K812" s="122"/>
    </row>
    <row r="813" spans="6:11" ht="12.75">
      <c r="F813" s="121"/>
      <c r="K813" s="122"/>
    </row>
    <row r="814" spans="6:11" ht="12.75">
      <c r="F814" s="121"/>
      <c r="K814" s="122"/>
    </row>
    <row r="815" spans="6:11" ht="12.75">
      <c r="F815" s="121"/>
      <c r="K815" s="122"/>
    </row>
    <row r="816" spans="6:11" ht="12.75">
      <c r="F816" s="121"/>
      <c r="K816" s="122"/>
    </row>
    <row r="817" spans="6:11" ht="12.75">
      <c r="F817" s="121"/>
      <c r="K817" s="122"/>
    </row>
    <row r="818" spans="6:11" ht="12.75">
      <c r="F818" s="121"/>
      <c r="K818" s="122"/>
    </row>
    <row r="819" spans="6:11" ht="12.75">
      <c r="F819" s="121"/>
      <c r="K819" s="122"/>
    </row>
    <row r="820" spans="6:11" ht="12.75">
      <c r="F820" s="121"/>
      <c r="K820" s="122"/>
    </row>
    <row r="821" spans="6:11" ht="12.75">
      <c r="F821" s="121"/>
      <c r="K821" s="122"/>
    </row>
    <row r="822" spans="6:11" ht="12.75">
      <c r="F822" s="121"/>
      <c r="K822" s="122"/>
    </row>
    <row r="823" spans="6:11" ht="12.75">
      <c r="F823" s="121"/>
      <c r="K823" s="122"/>
    </row>
    <row r="824" spans="6:11" ht="12.75">
      <c r="F824" s="121"/>
      <c r="K824" s="122"/>
    </row>
    <row r="825" spans="6:11" ht="12.75">
      <c r="F825" s="121"/>
      <c r="K825" s="122"/>
    </row>
    <row r="826" spans="6:11" ht="12.75">
      <c r="F826" s="121"/>
      <c r="K826" s="122"/>
    </row>
    <row r="827" spans="6:11" ht="12.75">
      <c r="F827" s="121"/>
      <c r="K827" s="122"/>
    </row>
    <row r="828" spans="6:11" ht="12.75">
      <c r="F828" s="121"/>
      <c r="K828" s="122"/>
    </row>
    <row r="829" spans="6:11" ht="12.75">
      <c r="F829" s="121"/>
      <c r="K829" s="122"/>
    </row>
    <row r="830" spans="6:11" ht="12.75">
      <c r="F830" s="121"/>
      <c r="K830" s="122"/>
    </row>
    <row r="831" spans="6:11" ht="12.75">
      <c r="F831" s="121"/>
      <c r="K831" s="122"/>
    </row>
    <row r="832" spans="6:11" ht="12.75">
      <c r="F832" s="121"/>
      <c r="K832" s="122"/>
    </row>
    <row r="833" spans="6:11" ht="12.75">
      <c r="F833" s="121"/>
      <c r="K833" s="122"/>
    </row>
    <row r="834" spans="6:11" ht="12.75">
      <c r="F834" s="121"/>
      <c r="K834" s="122"/>
    </row>
    <row r="835" spans="6:11" ht="12.75">
      <c r="F835" s="121"/>
      <c r="K835" s="122"/>
    </row>
    <row r="836" spans="6:11" ht="12.75">
      <c r="F836" s="121"/>
      <c r="K836" s="122"/>
    </row>
    <row r="837" spans="6:11" ht="12.75">
      <c r="F837" s="121"/>
      <c r="K837" s="122"/>
    </row>
    <row r="838" spans="6:11" ht="12.75">
      <c r="F838" s="121"/>
      <c r="K838" s="122"/>
    </row>
    <row r="839" spans="6:11" ht="12.75">
      <c r="F839" s="121"/>
      <c r="K839" s="122"/>
    </row>
    <row r="840" spans="6:11" ht="12.75">
      <c r="F840" s="121"/>
      <c r="K840" s="122"/>
    </row>
    <row r="841" spans="6:11" ht="12.75">
      <c r="F841" s="121"/>
      <c r="K841" s="122"/>
    </row>
    <row r="842" spans="6:11" ht="12.75">
      <c r="F842" s="121"/>
      <c r="K842" s="122"/>
    </row>
    <row r="843" spans="6:11" ht="12.75">
      <c r="F843" s="121"/>
      <c r="K843" s="122"/>
    </row>
    <row r="844" spans="6:11" ht="12.75">
      <c r="F844" s="121"/>
      <c r="K844" s="122"/>
    </row>
    <row r="845" spans="6:11" ht="12.75">
      <c r="F845" s="121"/>
      <c r="K845" s="122"/>
    </row>
    <row r="846" spans="6:11" ht="12.75">
      <c r="F846" s="121"/>
      <c r="K846" s="122"/>
    </row>
    <row r="847" spans="6:11" ht="12.75">
      <c r="F847" s="121"/>
      <c r="K847" s="122"/>
    </row>
    <row r="848" spans="6:11" ht="12.75">
      <c r="F848" s="121"/>
      <c r="K848" s="122"/>
    </row>
    <row r="849" spans="6:11" ht="12.75">
      <c r="F849" s="121"/>
      <c r="K849" s="122"/>
    </row>
    <row r="850" spans="6:11" ht="12.75">
      <c r="F850" s="121"/>
      <c r="K850" s="122"/>
    </row>
    <row r="851" spans="6:11" ht="12.75">
      <c r="F851" s="121"/>
      <c r="K851" s="122"/>
    </row>
    <row r="852" spans="6:11" ht="12.75">
      <c r="F852" s="121"/>
      <c r="K852" s="122"/>
    </row>
    <row r="853" spans="6:11" ht="12.75">
      <c r="F853" s="121"/>
      <c r="K853" s="122"/>
    </row>
    <row r="854" spans="6:11" ht="12.75">
      <c r="F854" s="121"/>
      <c r="K854" s="122"/>
    </row>
    <row r="855" spans="6:11" ht="12.75">
      <c r="F855" s="121"/>
      <c r="K855" s="122"/>
    </row>
    <row r="856" spans="6:11" ht="12.75">
      <c r="F856" s="121"/>
      <c r="K856" s="122"/>
    </row>
    <row r="857" spans="6:11" ht="12.75">
      <c r="F857" s="121"/>
      <c r="K857" s="122"/>
    </row>
    <row r="858" spans="6:11" ht="12.75">
      <c r="F858" s="121"/>
      <c r="K858" s="122"/>
    </row>
    <row r="859" spans="6:11" ht="12.75">
      <c r="F859" s="121"/>
      <c r="K859" s="122"/>
    </row>
    <row r="860" spans="6:11" ht="12.75">
      <c r="F860" s="121"/>
      <c r="K860" s="122"/>
    </row>
    <row r="861" spans="6:11" ht="12.75">
      <c r="F861" s="121"/>
      <c r="K861" s="122"/>
    </row>
    <row r="862" spans="6:11" ht="12.75">
      <c r="F862" s="121"/>
      <c r="K862" s="122"/>
    </row>
    <row r="863" spans="6:11" ht="12.75">
      <c r="F863" s="121"/>
      <c r="K863" s="122"/>
    </row>
    <row r="864" spans="6:11" ht="12.75">
      <c r="F864" s="121"/>
      <c r="K864" s="122"/>
    </row>
    <row r="865" spans="6:11" ht="12.75">
      <c r="F865" s="121"/>
      <c r="K865" s="122"/>
    </row>
    <row r="866" spans="6:11" ht="12.75">
      <c r="F866" s="121"/>
      <c r="K866" s="122"/>
    </row>
    <row r="867" spans="6:11" ht="12.75">
      <c r="F867" s="121"/>
      <c r="K867" s="122"/>
    </row>
    <row r="868" spans="6:11" ht="12.75">
      <c r="F868" s="121"/>
      <c r="K868" s="122"/>
    </row>
    <row r="869" spans="6:11" ht="12.75">
      <c r="F869" s="121"/>
      <c r="K869" s="122"/>
    </row>
    <row r="870" spans="6:11" ht="12.75">
      <c r="F870" s="121"/>
      <c r="K870" s="122"/>
    </row>
    <row r="871" spans="6:11" ht="12.75">
      <c r="F871" s="121"/>
      <c r="K871" s="122"/>
    </row>
    <row r="872" spans="6:11" ht="12.75">
      <c r="F872" s="121"/>
      <c r="K872" s="122"/>
    </row>
    <row r="873" spans="6:11" ht="12.75">
      <c r="F873" s="121"/>
      <c r="K873" s="122"/>
    </row>
    <row r="874" spans="6:11" ht="12.75">
      <c r="F874" s="121"/>
      <c r="K874" s="122"/>
    </row>
    <row r="875" spans="6:11" ht="12.75">
      <c r="F875" s="121"/>
      <c r="K875" s="122"/>
    </row>
    <row r="876" spans="6:11" ht="12.75">
      <c r="F876" s="121"/>
      <c r="K876" s="122"/>
    </row>
    <row r="877" spans="6:11" ht="12.75">
      <c r="F877" s="121"/>
      <c r="K877" s="122"/>
    </row>
    <row r="878" spans="6:11" ht="12.75">
      <c r="F878" s="121"/>
      <c r="K878" s="122"/>
    </row>
    <row r="879" spans="6:11" ht="12.75">
      <c r="F879" s="121"/>
      <c r="K879" s="122"/>
    </row>
    <row r="880" spans="6:11" ht="12.75">
      <c r="F880" s="121"/>
      <c r="K880" s="122"/>
    </row>
    <row r="881" spans="6:11" ht="12.75">
      <c r="F881" s="121"/>
      <c r="K881" s="122"/>
    </row>
    <row r="882" spans="6:11" ht="12.75">
      <c r="F882" s="121"/>
      <c r="K882" s="122"/>
    </row>
    <row r="883" spans="6:11" ht="12.75">
      <c r="F883" s="121"/>
      <c r="K883" s="122"/>
    </row>
    <row r="884" spans="6:11" ht="12.75">
      <c r="F884" s="121"/>
      <c r="K884" s="122"/>
    </row>
    <row r="885" spans="6:11" ht="12.75">
      <c r="F885" s="121"/>
      <c r="K885" s="122"/>
    </row>
    <row r="886" spans="6:11" ht="12.75">
      <c r="F886" s="121"/>
      <c r="K886" s="122"/>
    </row>
    <row r="887" spans="6:11" ht="12.75">
      <c r="F887" s="121"/>
      <c r="K887" s="122"/>
    </row>
    <row r="888" spans="6:11" ht="12.75">
      <c r="F888" s="121"/>
      <c r="K888" s="122"/>
    </row>
    <row r="889" spans="6:11" ht="12.75">
      <c r="F889" s="121"/>
      <c r="K889" s="122"/>
    </row>
    <row r="890" spans="6:11" ht="12.75">
      <c r="F890" s="121"/>
      <c r="K890" s="122"/>
    </row>
    <row r="891" spans="6:11" ht="12.75">
      <c r="F891" s="121"/>
      <c r="K891" s="122"/>
    </row>
    <row r="892" spans="6:11" ht="12.75">
      <c r="F892" s="121"/>
      <c r="K892" s="122"/>
    </row>
    <row r="893" spans="6:11" ht="12.75">
      <c r="F893" s="121"/>
      <c r="K893" s="122"/>
    </row>
    <row r="894" spans="6:11" ht="12.75">
      <c r="F894" s="121"/>
      <c r="K894" s="122"/>
    </row>
    <row r="895" spans="6:11" ht="12.75">
      <c r="F895" s="121"/>
      <c r="K895" s="122"/>
    </row>
    <row r="896" spans="6:11" ht="12.75">
      <c r="F896" s="121"/>
      <c r="K896" s="122"/>
    </row>
    <row r="897" spans="6:11" ht="12.75">
      <c r="F897" s="121"/>
      <c r="K897" s="122"/>
    </row>
    <row r="898" spans="6:11" ht="12.75">
      <c r="F898" s="121"/>
      <c r="K898" s="122"/>
    </row>
    <row r="899" spans="6:11" ht="12.75">
      <c r="F899" s="121"/>
      <c r="K899" s="122"/>
    </row>
    <row r="900" spans="6:11" ht="12.75">
      <c r="F900" s="121"/>
      <c r="K900" s="122"/>
    </row>
    <row r="901" spans="6:11" ht="12.75">
      <c r="F901" s="121"/>
      <c r="K901" s="122"/>
    </row>
  </sheetData>
  <autoFilter ref="A1:M901" xr:uid="{00000000-0009-0000-0000-000008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H99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" sqref="F1"/>
    </sheetView>
  </sheetViews>
  <sheetFormatPr defaultColWidth="12.5703125" defaultRowHeight="15" customHeight="1"/>
  <cols>
    <col min="1" max="1" width="8" customWidth="1"/>
    <col min="2" max="2" width="44" customWidth="1"/>
    <col min="3" max="3" width="14.42578125" customWidth="1"/>
    <col min="4" max="4" width="13.140625" customWidth="1"/>
    <col min="5" max="5" width="15.7109375" customWidth="1"/>
    <col min="6" max="6" width="23.85546875" customWidth="1"/>
    <col min="7" max="7" width="11.7109375" customWidth="1"/>
    <col min="8" max="8" width="16.42578125" customWidth="1"/>
    <col min="9" max="9" width="7.7109375" customWidth="1"/>
    <col min="10" max="10" width="14" customWidth="1"/>
    <col min="11" max="11" width="9" customWidth="1"/>
    <col min="12" max="12" width="38.42578125" customWidth="1"/>
    <col min="13" max="13" width="9.42578125" customWidth="1"/>
    <col min="14" max="14" width="18.7109375" customWidth="1"/>
    <col min="15" max="15" width="20" customWidth="1"/>
    <col min="16" max="16" width="5.140625" customWidth="1"/>
    <col min="17" max="17" width="15.42578125" customWidth="1"/>
    <col min="18" max="19" width="16.42578125" customWidth="1"/>
    <col min="20" max="20" width="17.5703125" customWidth="1"/>
    <col min="21" max="21" width="15.42578125" hidden="1" customWidth="1"/>
    <col min="22" max="22" width="20.42578125" hidden="1" customWidth="1"/>
    <col min="23" max="23" width="13.85546875" hidden="1" customWidth="1"/>
    <col min="24" max="24" width="17.42578125" hidden="1" customWidth="1"/>
    <col min="25" max="25" width="15.7109375" hidden="1" customWidth="1"/>
    <col min="26" max="27" width="11.7109375" customWidth="1"/>
    <col min="28" max="28" width="17.42578125" customWidth="1"/>
    <col min="29" max="29" width="12.7109375" customWidth="1"/>
    <col min="30" max="34" width="16.85546875" customWidth="1"/>
  </cols>
  <sheetData>
    <row r="1" spans="1:34" ht="24.75" customHeight="1">
      <c r="A1" s="107" t="s">
        <v>2071</v>
      </c>
      <c r="B1" s="107" t="s">
        <v>2072</v>
      </c>
      <c r="C1" s="107" t="s">
        <v>2073</v>
      </c>
      <c r="D1" s="107" t="s">
        <v>2074</v>
      </c>
      <c r="E1" s="107" t="s">
        <v>2075</v>
      </c>
      <c r="F1" s="107" t="s">
        <v>2076</v>
      </c>
      <c r="G1" s="107" t="s">
        <v>2077</v>
      </c>
      <c r="H1" s="107" t="s">
        <v>2078</v>
      </c>
      <c r="I1" s="108" t="s">
        <v>2079</v>
      </c>
      <c r="J1" s="108" t="s">
        <v>2080</v>
      </c>
      <c r="K1" s="107" t="s">
        <v>1570</v>
      </c>
      <c r="L1" s="107" t="s">
        <v>1571</v>
      </c>
      <c r="M1" s="107" t="s">
        <v>1572</v>
      </c>
      <c r="N1" s="107" t="s">
        <v>1574</v>
      </c>
      <c r="O1" s="107" t="s">
        <v>1575</v>
      </c>
      <c r="P1" s="107" t="s">
        <v>1576</v>
      </c>
      <c r="Q1" s="107" t="s">
        <v>2082</v>
      </c>
      <c r="R1" s="107" t="s">
        <v>2083</v>
      </c>
      <c r="S1" s="107" t="s">
        <v>2084</v>
      </c>
      <c r="T1" s="107" t="s">
        <v>2085</v>
      </c>
      <c r="U1" s="107" t="s">
        <v>2086</v>
      </c>
      <c r="V1" s="107" t="s">
        <v>2087</v>
      </c>
      <c r="W1" s="107" t="s">
        <v>2088</v>
      </c>
      <c r="X1" s="107" t="s">
        <v>2089</v>
      </c>
      <c r="Y1" s="107" t="s">
        <v>2090</v>
      </c>
      <c r="Z1" s="107" t="s">
        <v>1386</v>
      </c>
      <c r="AA1" s="107" t="s">
        <v>2091</v>
      </c>
      <c r="AB1" s="107" t="s">
        <v>2083</v>
      </c>
      <c r="AC1" s="107" t="s">
        <v>2092</v>
      </c>
      <c r="AD1" s="107" t="s">
        <v>2093</v>
      </c>
      <c r="AE1" s="107"/>
      <c r="AF1" s="107"/>
      <c r="AG1" s="107"/>
      <c r="AH1" s="107"/>
    </row>
    <row r="2" spans="1:34" ht="12.75">
      <c r="A2" s="109" t="s">
        <v>661</v>
      </c>
      <c r="B2" s="109" t="s">
        <v>660</v>
      </c>
      <c r="C2" s="110" t="s">
        <v>2095</v>
      </c>
      <c r="D2" s="109"/>
      <c r="E2" s="111"/>
      <c r="F2" s="112" t="s">
        <v>2096</v>
      </c>
      <c r="G2" s="113">
        <v>11950735770</v>
      </c>
      <c r="H2" s="109" t="s">
        <v>2097</v>
      </c>
      <c r="I2" s="109"/>
      <c r="J2" s="109" t="s">
        <v>2098</v>
      </c>
      <c r="K2" s="114" t="s">
        <v>664</v>
      </c>
      <c r="L2" s="114" t="s">
        <v>662</v>
      </c>
      <c r="M2" s="114" t="s">
        <v>663</v>
      </c>
      <c r="N2" s="114" t="s">
        <v>549</v>
      </c>
      <c r="O2" s="112" t="s">
        <v>1588</v>
      </c>
      <c r="P2" s="114" t="s">
        <v>16</v>
      </c>
      <c r="Q2" s="109" t="s">
        <v>2100</v>
      </c>
      <c r="R2" s="110">
        <v>46177</v>
      </c>
      <c r="S2" s="109" t="s">
        <v>2</v>
      </c>
      <c r="T2" s="115">
        <v>1.8333333333333333</v>
      </c>
      <c r="U2" s="109" t="s">
        <v>3</v>
      </c>
      <c r="V2" s="109" t="s">
        <v>2101</v>
      </c>
      <c r="W2" s="109"/>
      <c r="X2" s="110">
        <v>46324</v>
      </c>
      <c r="Y2" s="109"/>
      <c r="Z2" s="110">
        <v>41065</v>
      </c>
      <c r="AA2" s="111"/>
      <c r="AB2" s="116">
        <v>46177</v>
      </c>
      <c r="AC2" s="109"/>
      <c r="AD2" s="109"/>
      <c r="AE2" s="117"/>
      <c r="AF2" s="117"/>
      <c r="AG2" s="117"/>
      <c r="AH2" s="117"/>
    </row>
    <row r="3" spans="1:34" ht="12.75">
      <c r="A3" s="109" t="s">
        <v>4</v>
      </c>
      <c r="B3" s="109" t="s">
        <v>0</v>
      </c>
      <c r="C3" s="110" t="s">
        <v>2102</v>
      </c>
      <c r="D3" s="109"/>
      <c r="E3" s="111"/>
      <c r="F3" s="112" t="s">
        <v>5</v>
      </c>
      <c r="G3" s="112" t="s">
        <v>1</v>
      </c>
      <c r="H3" s="109" t="s">
        <v>2097</v>
      </c>
      <c r="I3" s="109"/>
      <c r="J3" s="109" t="s">
        <v>2098</v>
      </c>
      <c r="K3" s="114" t="s">
        <v>15</v>
      </c>
      <c r="L3" s="114" t="s">
        <v>8</v>
      </c>
      <c r="M3" s="114" t="s">
        <v>12</v>
      </c>
      <c r="N3" s="114" t="s">
        <v>14</v>
      </c>
      <c r="O3" s="112" t="s">
        <v>1588</v>
      </c>
      <c r="P3" s="114" t="s">
        <v>16</v>
      </c>
      <c r="Q3" s="109" t="s">
        <v>2100</v>
      </c>
      <c r="R3" s="110">
        <v>46482</v>
      </c>
      <c r="S3" s="109" t="s">
        <v>2</v>
      </c>
      <c r="T3" s="115">
        <v>1.8333333333333333</v>
      </c>
      <c r="U3" s="109" t="s">
        <v>3</v>
      </c>
      <c r="V3" s="109" t="s">
        <v>2101</v>
      </c>
      <c r="W3" s="109"/>
      <c r="X3" s="110">
        <v>46478</v>
      </c>
      <c r="Y3" s="109"/>
      <c r="Z3" s="110">
        <v>46118</v>
      </c>
      <c r="AA3" s="111"/>
      <c r="AB3" s="116">
        <v>46482</v>
      </c>
      <c r="AC3" s="109"/>
      <c r="AD3" s="109"/>
      <c r="AE3" s="117"/>
      <c r="AF3" s="117"/>
      <c r="AG3" s="117"/>
      <c r="AH3" s="117"/>
    </row>
    <row r="4" spans="1:34" ht="12.75">
      <c r="A4" s="109" t="s">
        <v>667</v>
      </c>
      <c r="B4" s="109" t="s">
        <v>665</v>
      </c>
      <c r="C4" s="110" t="s">
        <v>2104</v>
      </c>
      <c r="D4" s="109"/>
      <c r="E4" s="110" t="s">
        <v>2105</v>
      </c>
      <c r="F4" s="112" t="s">
        <v>2106</v>
      </c>
      <c r="G4" s="112" t="s">
        <v>666</v>
      </c>
      <c r="H4" s="109" t="s">
        <v>2097</v>
      </c>
      <c r="I4" s="109"/>
      <c r="J4" s="109" t="s">
        <v>2098</v>
      </c>
      <c r="K4" s="114" t="s">
        <v>672</v>
      </c>
      <c r="L4" s="114" t="s">
        <v>670</v>
      </c>
      <c r="M4" s="114" t="s">
        <v>39</v>
      </c>
      <c r="N4" s="114" t="s">
        <v>671</v>
      </c>
      <c r="O4" s="112" t="s">
        <v>274</v>
      </c>
      <c r="P4" s="114" t="s">
        <v>16</v>
      </c>
      <c r="Q4" s="109" t="s">
        <v>2100</v>
      </c>
      <c r="R4" s="110">
        <v>46277</v>
      </c>
      <c r="S4" s="109" t="s">
        <v>2</v>
      </c>
      <c r="T4" s="115">
        <v>1.8333333333333333</v>
      </c>
      <c r="U4" s="109" t="s">
        <v>529</v>
      </c>
      <c r="V4" s="109" t="s">
        <v>2101</v>
      </c>
      <c r="W4" s="109"/>
      <c r="X4" s="110">
        <v>46323</v>
      </c>
      <c r="Y4" s="109"/>
      <c r="Z4" s="110">
        <v>42626</v>
      </c>
      <c r="AA4" s="111"/>
      <c r="AB4" s="116">
        <v>46277</v>
      </c>
      <c r="AC4" s="109"/>
      <c r="AD4" s="109"/>
      <c r="AE4" s="117"/>
      <c r="AF4" s="117"/>
      <c r="AG4" s="117"/>
      <c r="AH4" s="117"/>
    </row>
    <row r="5" spans="1:34" ht="12.75">
      <c r="A5" s="109" t="s">
        <v>675</v>
      </c>
      <c r="B5" s="109" t="s">
        <v>673</v>
      </c>
      <c r="C5" s="110" t="s">
        <v>2108</v>
      </c>
      <c r="D5" s="109"/>
      <c r="E5" s="111"/>
      <c r="F5" s="112" t="s">
        <v>2109</v>
      </c>
      <c r="G5" s="112" t="s">
        <v>674</v>
      </c>
      <c r="H5" s="109" t="s">
        <v>2097</v>
      </c>
      <c r="I5" s="109"/>
      <c r="J5" s="109" t="s">
        <v>2110</v>
      </c>
      <c r="K5" s="114" t="s">
        <v>681</v>
      </c>
      <c r="L5" s="114" t="s">
        <v>679</v>
      </c>
      <c r="M5" s="114" t="s">
        <v>680</v>
      </c>
      <c r="N5" s="114" t="s">
        <v>418</v>
      </c>
      <c r="O5" s="112" t="s">
        <v>1588</v>
      </c>
      <c r="P5" s="114" t="s">
        <v>16</v>
      </c>
      <c r="Q5" s="109" t="s">
        <v>2100</v>
      </c>
      <c r="R5" s="110">
        <v>46289</v>
      </c>
      <c r="S5" s="109" t="s">
        <v>2</v>
      </c>
      <c r="T5" s="115">
        <v>1.8333333333333333</v>
      </c>
      <c r="U5" s="109" t="s">
        <v>72</v>
      </c>
      <c r="V5" s="109" t="s">
        <v>2101</v>
      </c>
      <c r="W5" s="109"/>
      <c r="X5" s="110">
        <v>46546</v>
      </c>
      <c r="Y5" s="109"/>
      <c r="Z5" s="110">
        <v>43733</v>
      </c>
      <c r="AA5" s="111"/>
      <c r="AB5" s="116">
        <v>46289</v>
      </c>
      <c r="AC5" s="109"/>
      <c r="AD5" s="109"/>
      <c r="AE5" s="117"/>
      <c r="AF5" s="117"/>
      <c r="AG5" s="117"/>
      <c r="AH5" s="117"/>
    </row>
    <row r="6" spans="1:34" ht="12.75">
      <c r="A6" s="109" t="s">
        <v>367</v>
      </c>
      <c r="B6" s="109" t="s">
        <v>364</v>
      </c>
      <c r="C6" s="110" t="s">
        <v>2111</v>
      </c>
      <c r="D6" s="109"/>
      <c r="E6" s="111"/>
      <c r="F6" s="112" t="s">
        <v>2112</v>
      </c>
      <c r="G6" s="112" t="s">
        <v>365</v>
      </c>
      <c r="H6" s="109" t="s">
        <v>2097</v>
      </c>
      <c r="I6" s="109"/>
      <c r="J6" s="109" t="s">
        <v>2098</v>
      </c>
      <c r="K6" s="114" t="s">
        <v>373</v>
      </c>
      <c r="L6" s="114" t="s">
        <v>371</v>
      </c>
      <c r="M6" s="114" t="s">
        <v>372</v>
      </c>
      <c r="N6" s="114" t="s">
        <v>88</v>
      </c>
      <c r="O6" s="112" t="s">
        <v>1588</v>
      </c>
      <c r="P6" s="114" t="s">
        <v>16</v>
      </c>
      <c r="Q6" s="109" t="s">
        <v>2100</v>
      </c>
      <c r="R6" s="110">
        <v>45686</v>
      </c>
      <c r="S6" s="109" t="s">
        <v>2</v>
      </c>
      <c r="T6" s="118" t="s">
        <v>366</v>
      </c>
      <c r="U6" s="109" t="s">
        <v>3</v>
      </c>
      <c r="V6" s="109" t="s">
        <v>2113</v>
      </c>
      <c r="W6" s="109"/>
      <c r="X6" s="119" t="s">
        <v>2114</v>
      </c>
      <c r="Y6" s="109"/>
      <c r="Z6" s="110">
        <v>45321</v>
      </c>
      <c r="AA6" s="111"/>
      <c r="AB6" s="116">
        <v>45686</v>
      </c>
      <c r="AC6" s="109"/>
      <c r="AD6" s="109"/>
      <c r="AE6" s="117"/>
      <c r="AF6" s="117"/>
      <c r="AG6" s="117"/>
      <c r="AH6" s="117"/>
    </row>
    <row r="7" spans="1:34" ht="12.75">
      <c r="A7" s="109" t="s">
        <v>685</v>
      </c>
      <c r="B7" s="109" t="s">
        <v>682</v>
      </c>
      <c r="C7" s="110" t="s">
        <v>2115</v>
      </c>
      <c r="D7" s="109"/>
      <c r="E7" s="111"/>
      <c r="F7" s="112" t="s">
        <v>2116</v>
      </c>
      <c r="G7" s="112" t="s">
        <v>683</v>
      </c>
      <c r="H7" s="109" t="s">
        <v>2097</v>
      </c>
      <c r="I7" s="109"/>
      <c r="J7" s="109" t="s">
        <v>2110</v>
      </c>
      <c r="K7" s="114" t="s">
        <v>688</v>
      </c>
      <c r="L7" s="114" t="s">
        <v>686</v>
      </c>
      <c r="M7" s="114" t="s">
        <v>687</v>
      </c>
      <c r="N7" s="114" t="s">
        <v>88</v>
      </c>
      <c r="O7" s="112" t="s">
        <v>1588</v>
      </c>
      <c r="P7" s="114" t="s">
        <v>16</v>
      </c>
      <c r="Q7" s="109" t="s">
        <v>2100</v>
      </c>
      <c r="R7" s="110">
        <v>46083</v>
      </c>
      <c r="S7" s="109" t="s">
        <v>2</v>
      </c>
      <c r="T7" s="118" t="s">
        <v>366</v>
      </c>
      <c r="U7" s="109" t="s">
        <v>3</v>
      </c>
      <c r="V7" s="109" t="s">
        <v>2101</v>
      </c>
      <c r="W7" s="109"/>
      <c r="X7" s="110">
        <v>46426</v>
      </c>
      <c r="Y7" s="109"/>
      <c r="Z7" s="110">
        <v>45719</v>
      </c>
      <c r="AA7" s="111"/>
      <c r="AB7" s="116">
        <v>46083</v>
      </c>
      <c r="AC7" s="109"/>
      <c r="AD7" s="109"/>
      <c r="AE7" s="117"/>
      <c r="AF7" s="117"/>
      <c r="AG7" s="117"/>
      <c r="AH7" s="117"/>
    </row>
    <row r="8" spans="1:34" ht="12.75">
      <c r="A8" s="109" t="s">
        <v>692</v>
      </c>
      <c r="B8" s="109" t="s">
        <v>690</v>
      </c>
      <c r="C8" s="110" t="s">
        <v>2117</v>
      </c>
      <c r="D8" s="109"/>
      <c r="E8" s="111"/>
      <c r="F8" s="112" t="s">
        <v>2118</v>
      </c>
      <c r="G8" s="112" t="s">
        <v>691</v>
      </c>
      <c r="H8" s="109" t="s">
        <v>2097</v>
      </c>
      <c r="I8" s="109"/>
      <c r="J8" s="109" t="s">
        <v>2098</v>
      </c>
      <c r="K8" s="114" t="s">
        <v>672</v>
      </c>
      <c r="L8" s="114" t="s">
        <v>670</v>
      </c>
      <c r="M8" s="114" t="s">
        <v>39</v>
      </c>
      <c r="N8" s="114" t="s">
        <v>671</v>
      </c>
      <c r="O8" s="112" t="s">
        <v>274</v>
      </c>
      <c r="P8" s="114" t="s">
        <v>16</v>
      </c>
      <c r="Q8" s="109" t="s">
        <v>2100</v>
      </c>
      <c r="R8" s="110">
        <v>46599</v>
      </c>
      <c r="S8" s="109" t="s">
        <v>2</v>
      </c>
      <c r="T8" s="115">
        <v>1.8333333333333333</v>
      </c>
      <c r="U8" s="109" t="s">
        <v>529</v>
      </c>
      <c r="V8" s="109" t="s">
        <v>2101</v>
      </c>
      <c r="W8" s="109"/>
      <c r="X8" s="110">
        <v>46352</v>
      </c>
      <c r="Y8" s="109"/>
      <c r="Z8" s="110">
        <v>43313</v>
      </c>
      <c r="AA8" s="111"/>
      <c r="AB8" s="116">
        <v>46599</v>
      </c>
      <c r="AC8" s="109"/>
      <c r="AD8" s="109"/>
      <c r="AE8" s="117"/>
      <c r="AF8" s="117"/>
      <c r="AG8" s="117"/>
      <c r="AH8" s="117"/>
    </row>
    <row r="9" spans="1:34" ht="12.75">
      <c r="A9" s="109" t="s">
        <v>698</v>
      </c>
      <c r="B9" s="109" t="s">
        <v>696</v>
      </c>
      <c r="C9" s="110" t="s">
        <v>2120</v>
      </c>
      <c r="D9" s="109"/>
      <c r="E9" s="111"/>
      <c r="F9" s="112" t="s">
        <v>2121</v>
      </c>
      <c r="G9" s="112" t="s">
        <v>697</v>
      </c>
      <c r="H9" s="109" t="s">
        <v>2097</v>
      </c>
      <c r="I9" s="109"/>
      <c r="J9" s="109" t="s">
        <v>2098</v>
      </c>
      <c r="K9" s="114" t="s">
        <v>702</v>
      </c>
      <c r="L9" s="114" t="s">
        <v>700</v>
      </c>
      <c r="M9" s="114" t="s">
        <v>237</v>
      </c>
      <c r="N9" s="114" t="s">
        <v>701</v>
      </c>
      <c r="O9" s="112" t="s">
        <v>274</v>
      </c>
      <c r="P9" s="114" t="s">
        <v>16</v>
      </c>
      <c r="Q9" s="109" t="s">
        <v>2100</v>
      </c>
      <c r="R9" s="110">
        <v>46549</v>
      </c>
      <c r="S9" s="109" t="s">
        <v>2</v>
      </c>
      <c r="T9" s="115">
        <v>1.8333333333333333</v>
      </c>
      <c r="U9" s="109" t="s">
        <v>529</v>
      </c>
      <c r="V9" s="109" t="s">
        <v>2101</v>
      </c>
      <c r="W9" s="109"/>
      <c r="X9" s="110">
        <v>46394</v>
      </c>
      <c r="Y9" s="109"/>
      <c r="Z9" s="110">
        <v>43994</v>
      </c>
      <c r="AA9" s="111"/>
      <c r="AB9" s="116">
        <v>46549</v>
      </c>
      <c r="AC9" s="109"/>
      <c r="AD9" s="109"/>
      <c r="AE9" s="117"/>
      <c r="AF9" s="117"/>
      <c r="AG9" s="117"/>
      <c r="AH9" s="117"/>
    </row>
    <row r="10" spans="1:34" ht="12.75">
      <c r="A10" s="109" t="s">
        <v>376</v>
      </c>
      <c r="B10" s="109" t="s">
        <v>374</v>
      </c>
      <c r="C10" s="110" t="s">
        <v>2122</v>
      </c>
      <c r="D10" s="109"/>
      <c r="E10" s="110" t="s">
        <v>2123</v>
      </c>
      <c r="F10" s="112" t="s">
        <v>377</v>
      </c>
      <c r="G10" s="112" t="s">
        <v>375</v>
      </c>
      <c r="H10" s="109" t="s">
        <v>2097</v>
      </c>
      <c r="I10" s="109"/>
      <c r="J10" s="109" t="s">
        <v>2098</v>
      </c>
      <c r="K10" s="114" t="s">
        <v>384</v>
      </c>
      <c r="L10" s="114" t="s">
        <v>381</v>
      </c>
      <c r="M10" s="114" t="s">
        <v>382</v>
      </c>
      <c r="N10" s="114" t="s">
        <v>383</v>
      </c>
      <c r="O10" s="112" t="s">
        <v>378</v>
      </c>
      <c r="P10" s="114" t="s">
        <v>16</v>
      </c>
      <c r="Q10" s="109" t="s">
        <v>2100</v>
      </c>
      <c r="R10" s="110">
        <v>43631</v>
      </c>
      <c r="S10" s="109" t="s">
        <v>2</v>
      </c>
      <c r="T10" s="115">
        <v>1.8333333333333333</v>
      </c>
      <c r="U10" s="109" t="s">
        <v>3</v>
      </c>
      <c r="V10" s="109" t="s">
        <v>2113</v>
      </c>
      <c r="W10" s="109"/>
      <c r="X10" s="119" t="s">
        <v>2114</v>
      </c>
      <c r="Y10" s="109"/>
      <c r="Z10" s="110">
        <v>43267</v>
      </c>
      <c r="AA10" s="111"/>
      <c r="AB10" s="116">
        <v>43631</v>
      </c>
      <c r="AC10" s="109"/>
      <c r="AD10" s="109"/>
      <c r="AE10" s="117"/>
      <c r="AF10" s="117"/>
      <c r="AG10" s="117"/>
      <c r="AH10" s="117"/>
    </row>
    <row r="11" spans="1:34" ht="12.75">
      <c r="A11" s="109" t="s">
        <v>387</v>
      </c>
      <c r="B11" s="109" t="s">
        <v>385</v>
      </c>
      <c r="C11" s="110" t="s">
        <v>2125</v>
      </c>
      <c r="D11" s="109"/>
      <c r="E11" s="110" t="s">
        <v>2126</v>
      </c>
      <c r="F11" s="112" t="s">
        <v>2127</v>
      </c>
      <c r="G11" s="112" t="s">
        <v>386</v>
      </c>
      <c r="H11" s="109" t="s">
        <v>2097</v>
      </c>
      <c r="I11" s="109"/>
      <c r="J11" s="109" t="s">
        <v>2098</v>
      </c>
      <c r="K11" s="114" t="s">
        <v>392</v>
      </c>
      <c r="L11" s="114" t="s">
        <v>390</v>
      </c>
      <c r="M11" s="114" t="s">
        <v>39</v>
      </c>
      <c r="N11" s="114" t="s">
        <v>391</v>
      </c>
      <c r="O11" s="112" t="s">
        <v>1588</v>
      </c>
      <c r="P11" s="114" t="s">
        <v>16</v>
      </c>
      <c r="Q11" s="109" t="s">
        <v>2100</v>
      </c>
      <c r="R11" s="110">
        <v>46081</v>
      </c>
      <c r="S11" s="109" t="s">
        <v>2</v>
      </c>
      <c r="T11" s="115">
        <v>1.8333333333333333</v>
      </c>
      <c r="U11" s="109" t="s">
        <v>3</v>
      </c>
      <c r="V11" s="109" t="s">
        <v>2113</v>
      </c>
      <c r="W11" s="109"/>
      <c r="X11" s="119" t="s">
        <v>2114</v>
      </c>
      <c r="Y11" s="109"/>
      <c r="Z11" s="110">
        <v>43525</v>
      </c>
      <c r="AA11" s="111"/>
      <c r="AB11" s="116">
        <v>46081</v>
      </c>
      <c r="AC11" s="109"/>
      <c r="AD11" s="109"/>
      <c r="AE11" s="117"/>
      <c r="AF11" s="117"/>
      <c r="AG11" s="117"/>
      <c r="AH11" s="117"/>
    </row>
    <row r="12" spans="1:34" ht="12.75">
      <c r="A12" s="109" t="s">
        <v>523</v>
      </c>
      <c r="B12" s="109" t="s">
        <v>520</v>
      </c>
      <c r="C12" s="110" t="s">
        <v>2128</v>
      </c>
      <c r="D12" s="109"/>
      <c r="E12" s="110" t="s">
        <v>2129</v>
      </c>
      <c r="F12" s="112" t="s">
        <v>2130</v>
      </c>
      <c r="G12" s="112" t="s">
        <v>521</v>
      </c>
      <c r="H12" s="109" t="s">
        <v>522</v>
      </c>
      <c r="I12" s="109"/>
      <c r="J12" s="109" t="s">
        <v>2098</v>
      </c>
      <c r="K12" s="114" t="s">
        <v>526</v>
      </c>
      <c r="L12" s="114" t="s">
        <v>525</v>
      </c>
      <c r="M12" s="114" t="s">
        <v>246</v>
      </c>
      <c r="N12" s="114" t="s">
        <v>68</v>
      </c>
      <c r="O12" s="112" t="s">
        <v>1588</v>
      </c>
      <c r="P12" s="114" t="s">
        <v>16</v>
      </c>
      <c r="Q12" s="109" t="s">
        <v>2100</v>
      </c>
      <c r="R12" s="110">
        <v>46507</v>
      </c>
      <c r="S12" s="109" t="s">
        <v>2</v>
      </c>
      <c r="T12" s="115">
        <v>1.8333333333333333</v>
      </c>
      <c r="U12" s="109" t="s">
        <v>522</v>
      </c>
      <c r="V12" s="109" t="s">
        <v>2101</v>
      </c>
      <c r="W12" s="109"/>
      <c r="X12" s="110">
        <v>46328</v>
      </c>
      <c r="Y12" s="109"/>
      <c r="Z12" s="110">
        <v>42125</v>
      </c>
      <c r="AA12" s="111"/>
      <c r="AB12" s="116">
        <v>46507</v>
      </c>
      <c r="AC12" s="109"/>
      <c r="AD12" s="109"/>
      <c r="AE12" s="117"/>
      <c r="AF12" s="117"/>
      <c r="AG12" s="117"/>
      <c r="AH12" s="117"/>
    </row>
    <row r="13" spans="1:34" ht="12.75">
      <c r="A13" s="109" t="s">
        <v>395</v>
      </c>
      <c r="B13" s="109" t="s">
        <v>393</v>
      </c>
      <c r="C13" s="110" t="s">
        <v>2131</v>
      </c>
      <c r="D13" s="109"/>
      <c r="E13" s="110" t="s">
        <v>2132</v>
      </c>
      <c r="F13" s="112" t="s">
        <v>2133</v>
      </c>
      <c r="G13" s="112" t="s">
        <v>394</v>
      </c>
      <c r="H13" s="109" t="s">
        <v>2097</v>
      </c>
      <c r="I13" s="109"/>
      <c r="J13" s="109" t="s">
        <v>2098</v>
      </c>
      <c r="K13" s="114" t="s">
        <v>98</v>
      </c>
      <c r="L13" s="114" t="s">
        <v>399</v>
      </c>
      <c r="M13" s="114" t="s">
        <v>400</v>
      </c>
      <c r="N13" s="114" t="s">
        <v>401</v>
      </c>
      <c r="O13" s="112" t="s">
        <v>1717</v>
      </c>
      <c r="P13" s="114" t="s">
        <v>16</v>
      </c>
      <c r="Q13" s="109" t="s">
        <v>2100</v>
      </c>
      <c r="R13" s="110">
        <v>45716</v>
      </c>
      <c r="S13" s="109" t="s">
        <v>2</v>
      </c>
      <c r="T13" s="115">
        <v>1.8333333333333333</v>
      </c>
      <c r="U13" s="109" t="s">
        <v>3</v>
      </c>
      <c r="V13" s="109" t="s">
        <v>2113</v>
      </c>
      <c r="W13" s="109"/>
      <c r="X13" s="119" t="s">
        <v>2114</v>
      </c>
      <c r="Y13" s="109"/>
      <c r="Z13" s="110">
        <v>45351</v>
      </c>
      <c r="AA13" s="111"/>
      <c r="AB13" s="116">
        <v>45716</v>
      </c>
      <c r="AC13" s="109"/>
      <c r="AD13" s="109"/>
      <c r="AE13" s="117"/>
      <c r="AF13" s="117"/>
      <c r="AG13" s="117"/>
      <c r="AH13" s="117"/>
    </row>
    <row r="14" spans="1:34" ht="12.75">
      <c r="A14" s="109" t="s">
        <v>705</v>
      </c>
      <c r="B14" s="109" t="s">
        <v>703</v>
      </c>
      <c r="C14" s="110" t="s">
        <v>2135</v>
      </c>
      <c r="D14" s="109"/>
      <c r="E14" s="111"/>
      <c r="F14" s="112" t="s">
        <v>707</v>
      </c>
      <c r="G14" s="112" t="s">
        <v>704</v>
      </c>
      <c r="H14" s="109" t="s">
        <v>2097</v>
      </c>
      <c r="I14" s="109"/>
      <c r="J14" s="109" t="s">
        <v>2098</v>
      </c>
      <c r="K14" s="114" t="s">
        <v>711</v>
      </c>
      <c r="L14" s="114" t="s">
        <v>708</v>
      </c>
      <c r="M14" s="114" t="s">
        <v>709</v>
      </c>
      <c r="N14" s="114" t="s">
        <v>710</v>
      </c>
      <c r="O14" s="112" t="s">
        <v>1588</v>
      </c>
      <c r="P14" s="114" t="s">
        <v>16</v>
      </c>
      <c r="Q14" s="109" t="s">
        <v>2100</v>
      </c>
      <c r="R14" s="110">
        <v>46580</v>
      </c>
      <c r="S14" s="109" t="s">
        <v>2</v>
      </c>
      <c r="T14" s="115">
        <v>1.8333333333333333</v>
      </c>
      <c r="U14" s="109" t="s">
        <v>3</v>
      </c>
      <c r="V14" s="109" t="s">
        <v>2101</v>
      </c>
      <c r="W14" s="109"/>
      <c r="X14" s="110">
        <v>46576</v>
      </c>
      <c r="Y14" s="109"/>
      <c r="Z14" s="110">
        <v>46216</v>
      </c>
      <c r="AA14" s="119" t="s">
        <v>2136</v>
      </c>
      <c r="AB14" s="116">
        <v>46580</v>
      </c>
      <c r="AC14" s="109"/>
      <c r="AD14" s="109"/>
      <c r="AE14" s="117"/>
      <c r="AF14" s="117"/>
      <c r="AG14" s="117"/>
      <c r="AH14" s="117"/>
    </row>
    <row r="15" spans="1:34" ht="12.75">
      <c r="A15" s="109" t="s">
        <v>715</v>
      </c>
      <c r="B15" s="109" t="s">
        <v>712</v>
      </c>
      <c r="C15" s="110" t="s">
        <v>2137</v>
      </c>
      <c r="D15" s="109"/>
      <c r="E15" s="111"/>
      <c r="F15" s="112" t="s">
        <v>2138</v>
      </c>
      <c r="G15" s="112" t="s">
        <v>714</v>
      </c>
      <c r="H15" s="109" t="s">
        <v>2097</v>
      </c>
      <c r="I15" s="109"/>
      <c r="J15" s="109" t="s">
        <v>2110</v>
      </c>
      <c r="K15" s="114" t="s">
        <v>720</v>
      </c>
      <c r="L15" s="114" t="s">
        <v>718</v>
      </c>
      <c r="M15" s="114" t="s">
        <v>719</v>
      </c>
      <c r="N15" s="114" t="s">
        <v>174</v>
      </c>
      <c r="O15" s="112" t="s">
        <v>1588</v>
      </c>
      <c r="P15" s="114" t="s">
        <v>16</v>
      </c>
      <c r="Q15" s="109" t="s">
        <v>2100</v>
      </c>
      <c r="R15" s="110">
        <v>46203</v>
      </c>
      <c r="S15" s="109" t="s">
        <v>2</v>
      </c>
      <c r="T15" s="115">
        <v>1.8333333333333333</v>
      </c>
      <c r="U15" s="109" t="s">
        <v>72</v>
      </c>
      <c r="V15" s="109" t="s">
        <v>2101</v>
      </c>
      <c r="W15" s="109"/>
      <c r="X15" s="110">
        <v>46471</v>
      </c>
      <c r="Y15" s="109"/>
      <c r="Z15" s="110">
        <v>42186</v>
      </c>
      <c r="AA15" s="111"/>
      <c r="AB15" s="116">
        <v>46203</v>
      </c>
      <c r="AC15" s="109"/>
      <c r="AD15" s="109"/>
      <c r="AE15" s="117"/>
      <c r="AF15" s="117"/>
      <c r="AG15" s="117"/>
      <c r="AH15" s="117"/>
    </row>
    <row r="16" spans="1:34" ht="12.75">
      <c r="A16" s="109" t="s">
        <v>19</v>
      </c>
      <c r="B16" s="109" t="s">
        <v>17</v>
      </c>
      <c r="C16" s="110" t="s">
        <v>2139</v>
      </c>
      <c r="D16" s="109"/>
      <c r="E16" s="111"/>
      <c r="F16" s="112" t="s">
        <v>2140</v>
      </c>
      <c r="G16" s="112" t="s">
        <v>18</v>
      </c>
      <c r="H16" s="109" t="s">
        <v>2097</v>
      </c>
      <c r="I16" s="109"/>
      <c r="J16" s="109" t="s">
        <v>2098</v>
      </c>
      <c r="K16" s="114" t="s">
        <v>27</v>
      </c>
      <c r="L16" s="114" t="s">
        <v>24</v>
      </c>
      <c r="M16" s="114" t="s">
        <v>25</v>
      </c>
      <c r="N16" s="114" t="s">
        <v>26</v>
      </c>
      <c r="O16" s="112" t="s">
        <v>1588</v>
      </c>
      <c r="P16" s="114" t="s">
        <v>16</v>
      </c>
      <c r="Q16" s="109" t="s">
        <v>2100</v>
      </c>
      <c r="R16" s="110">
        <v>46419</v>
      </c>
      <c r="S16" s="109" t="s">
        <v>2</v>
      </c>
      <c r="T16" s="115">
        <v>1.8333333333333333</v>
      </c>
      <c r="U16" s="109" t="s">
        <v>3</v>
      </c>
      <c r="V16" s="109" t="s">
        <v>2101</v>
      </c>
      <c r="W16" s="109"/>
      <c r="X16" s="110">
        <v>46415</v>
      </c>
      <c r="Y16" s="109"/>
      <c r="Z16" s="110">
        <v>46055</v>
      </c>
      <c r="AA16" s="111"/>
      <c r="AB16" s="116">
        <v>46419</v>
      </c>
      <c r="AC16" s="109"/>
      <c r="AD16" s="109"/>
      <c r="AE16" s="117"/>
      <c r="AF16" s="117"/>
      <c r="AG16" s="117"/>
      <c r="AH16" s="117"/>
    </row>
    <row r="17" spans="1:34" ht="12.75">
      <c r="A17" s="109" t="s">
        <v>217</v>
      </c>
      <c r="B17" s="109" t="s">
        <v>213</v>
      </c>
      <c r="C17" s="110" t="s">
        <v>2141</v>
      </c>
      <c r="D17" s="109"/>
      <c r="E17" s="111"/>
      <c r="F17" s="112" t="s">
        <v>218</v>
      </c>
      <c r="G17" s="112" t="s">
        <v>214</v>
      </c>
      <c r="H17" s="109" t="s">
        <v>2097</v>
      </c>
      <c r="I17" s="109"/>
      <c r="J17" s="109" t="s">
        <v>2098</v>
      </c>
      <c r="K17" s="114" t="s">
        <v>224</v>
      </c>
      <c r="L17" s="114" t="s">
        <v>221</v>
      </c>
      <c r="M17" s="114" t="s">
        <v>222</v>
      </c>
      <c r="N17" s="114" t="s">
        <v>223</v>
      </c>
      <c r="O17" s="112" t="s">
        <v>151</v>
      </c>
      <c r="P17" s="114" t="s">
        <v>16</v>
      </c>
      <c r="Q17" s="109" t="s">
        <v>2100</v>
      </c>
      <c r="R17" s="110">
        <v>46225</v>
      </c>
      <c r="S17" s="109" t="s">
        <v>215</v>
      </c>
      <c r="T17" s="118" t="s">
        <v>216</v>
      </c>
      <c r="U17" s="109" t="s">
        <v>3</v>
      </c>
      <c r="V17" s="109" t="s">
        <v>2101</v>
      </c>
      <c r="W17" s="109"/>
      <c r="X17" s="110">
        <v>46574</v>
      </c>
      <c r="Y17" s="109"/>
      <c r="Z17" s="110">
        <v>45861</v>
      </c>
      <c r="AA17" s="111"/>
      <c r="AB17" s="116">
        <v>46225</v>
      </c>
      <c r="AC17" s="109"/>
      <c r="AD17" s="109"/>
      <c r="AE17" s="117"/>
      <c r="AF17" s="117"/>
      <c r="AG17" s="117"/>
      <c r="AH17" s="117"/>
    </row>
    <row r="18" spans="1:34" ht="12.75">
      <c r="A18" s="109" t="s">
        <v>723</v>
      </c>
      <c r="B18" s="109" t="s">
        <v>721</v>
      </c>
      <c r="C18" s="110" t="s">
        <v>2142</v>
      </c>
      <c r="D18" s="109"/>
      <c r="E18" s="111"/>
      <c r="F18" s="112" t="s">
        <v>2143</v>
      </c>
      <c r="G18" s="112" t="s">
        <v>722</v>
      </c>
      <c r="H18" s="109" t="s">
        <v>2097</v>
      </c>
      <c r="I18" s="109"/>
      <c r="J18" s="109" t="s">
        <v>2098</v>
      </c>
      <c r="K18" s="114" t="s">
        <v>728</v>
      </c>
      <c r="L18" s="114" t="s">
        <v>725</v>
      </c>
      <c r="M18" s="114" t="s">
        <v>726</v>
      </c>
      <c r="N18" s="114" t="s">
        <v>727</v>
      </c>
      <c r="O18" s="112" t="s">
        <v>274</v>
      </c>
      <c r="P18" s="114" t="s">
        <v>16</v>
      </c>
      <c r="Q18" s="109" t="s">
        <v>2100</v>
      </c>
      <c r="R18" s="110">
        <v>46427</v>
      </c>
      <c r="S18" s="109" t="s">
        <v>2</v>
      </c>
      <c r="T18" s="115">
        <v>1.8333333333333333</v>
      </c>
      <c r="U18" s="109" t="s">
        <v>3</v>
      </c>
      <c r="V18" s="109" t="s">
        <v>2101</v>
      </c>
      <c r="W18" s="109"/>
      <c r="X18" s="110">
        <v>46399</v>
      </c>
      <c r="Y18" s="109"/>
      <c r="Z18" s="110">
        <v>44602</v>
      </c>
      <c r="AA18" s="111"/>
      <c r="AB18" s="116">
        <v>46427</v>
      </c>
      <c r="AC18" s="109"/>
      <c r="AD18" s="109"/>
      <c r="AE18" s="117"/>
      <c r="AF18" s="117"/>
      <c r="AG18" s="117"/>
      <c r="AH18" s="117"/>
    </row>
    <row r="19" spans="1:34" ht="12.75">
      <c r="A19" s="109" t="s">
        <v>227</v>
      </c>
      <c r="B19" s="109" t="s">
        <v>225</v>
      </c>
      <c r="C19" s="110" t="s">
        <v>2146</v>
      </c>
      <c r="D19" s="109"/>
      <c r="E19" s="111"/>
      <c r="F19" s="112" t="s">
        <v>228</v>
      </c>
      <c r="G19" s="112" t="s">
        <v>226</v>
      </c>
      <c r="H19" s="109" t="s">
        <v>2097</v>
      </c>
      <c r="I19" s="109"/>
      <c r="J19" s="109" t="s">
        <v>2098</v>
      </c>
      <c r="K19" s="114" t="s">
        <v>231</v>
      </c>
      <c r="L19" s="114" t="s">
        <v>229</v>
      </c>
      <c r="M19" s="114" t="s">
        <v>230</v>
      </c>
      <c r="N19" s="114" t="s">
        <v>165</v>
      </c>
      <c r="O19" s="112" t="s">
        <v>48</v>
      </c>
      <c r="P19" s="114" t="s">
        <v>16</v>
      </c>
      <c r="Q19" s="109" t="s">
        <v>2100</v>
      </c>
      <c r="R19" s="110">
        <v>46069</v>
      </c>
      <c r="S19" s="109" t="s">
        <v>215</v>
      </c>
      <c r="T19" s="118" t="s">
        <v>216</v>
      </c>
      <c r="U19" s="109" t="s">
        <v>3</v>
      </c>
      <c r="V19" s="109" t="s">
        <v>2101</v>
      </c>
      <c r="W19" s="109"/>
      <c r="X19" s="110">
        <v>46475</v>
      </c>
      <c r="Y19" s="109"/>
      <c r="Z19" s="110">
        <v>45705</v>
      </c>
      <c r="AA19" s="111"/>
      <c r="AB19" s="116">
        <v>46069</v>
      </c>
      <c r="AC19" s="109"/>
      <c r="AD19" s="109"/>
      <c r="AE19" s="117"/>
      <c r="AF19" s="117"/>
      <c r="AG19" s="117"/>
      <c r="AH19" s="117"/>
    </row>
    <row r="20" spans="1:34" ht="12.75">
      <c r="A20" s="109" t="s">
        <v>731</v>
      </c>
      <c r="B20" s="109" t="s">
        <v>729</v>
      </c>
      <c r="C20" s="110" t="s">
        <v>2148</v>
      </c>
      <c r="D20" s="109"/>
      <c r="E20" s="111"/>
      <c r="F20" s="112" t="s">
        <v>2149</v>
      </c>
      <c r="G20" s="112" t="s">
        <v>730</v>
      </c>
      <c r="H20" s="109" t="s">
        <v>2097</v>
      </c>
      <c r="I20" s="109"/>
      <c r="J20" s="109" t="s">
        <v>2110</v>
      </c>
      <c r="K20" s="114" t="s">
        <v>737</v>
      </c>
      <c r="L20" s="114" t="s">
        <v>735</v>
      </c>
      <c r="M20" s="114" t="s">
        <v>39</v>
      </c>
      <c r="N20" s="114" t="s">
        <v>736</v>
      </c>
      <c r="O20" s="112" t="s">
        <v>1588</v>
      </c>
      <c r="P20" s="114" t="s">
        <v>16</v>
      </c>
      <c r="Q20" s="109" t="s">
        <v>2100</v>
      </c>
      <c r="R20" s="110">
        <v>46199</v>
      </c>
      <c r="S20" s="109" t="s">
        <v>2</v>
      </c>
      <c r="T20" s="115">
        <v>1.8333333333333333</v>
      </c>
      <c r="U20" s="109" t="s">
        <v>72</v>
      </c>
      <c r="V20" s="109" t="s">
        <v>2101</v>
      </c>
      <c r="W20" s="109"/>
      <c r="X20" s="110">
        <v>46540</v>
      </c>
      <c r="Y20" s="109"/>
      <c r="Z20" s="110">
        <v>44009</v>
      </c>
      <c r="AA20" s="111"/>
      <c r="AB20" s="116">
        <v>46199</v>
      </c>
      <c r="AC20" s="109"/>
      <c r="AD20" s="109"/>
      <c r="AE20" s="117"/>
      <c r="AF20" s="117"/>
      <c r="AG20" s="117"/>
      <c r="AH20" s="117"/>
    </row>
    <row r="21" spans="1:34" ht="12.75">
      <c r="A21" s="109" t="s">
        <v>530</v>
      </c>
      <c r="B21" s="109" t="s">
        <v>527</v>
      </c>
      <c r="C21" s="110" t="s">
        <v>2150</v>
      </c>
      <c r="D21" s="109"/>
      <c r="E21" s="111"/>
      <c r="F21" s="112" t="s">
        <v>531</v>
      </c>
      <c r="G21" s="112" t="s">
        <v>528</v>
      </c>
      <c r="H21" s="109" t="s">
        <v>522</v>
      </c>
      <c r="I21" s="109"/>
      <c r="J21" s="109" t="s">
        <v>2098</v>
      </c>
      <c r="K21" s="114" t="s">
        <v>535</v>
      </c>
      <c r="L21" s="114" t="s">
        <v>532</v>
      </c>
      <c r="M21" s="114" t="s">
        <v>533</v>
      </c>
      <c r="N21" s="114" t="s">
        <v>534</v>
      </c>
      <c r="O21" s="112" t="s">
        <v>2151</v>
      </c>
      <c r="P21" s="114" t="s">
        <v>536</v>
      </c>
      <c r="Q21" s="109" t="s">
        <v>2100</v>
      </c>
      <c r="R21" s="110">
        <v>46276</v>
      </c>
      <c r="S21" s="109" t="s">
        <v>2</v>
      </c>
      <c r="T21" s="115">
        <v>1.8333333333333333</v>
      </c>
      <c r="U21" s="109" t="s">
        <v>529</v>
      </c>
      <c r="V21" s="109" t="s">
        <v>2101</v>
      </c>
      <c r="W21" s="109"/>
      <c r="X21" s="110">
        <v>46238</v>
      </c>
      <c r="Y21" s="109"/>
      <c r="Z21" s="110">
        <v>44816</v>
      </c>
      <c r="AA21" s="111"/>
      <c r="AB21" s="116">
        <v>46276</v>
      </c>
      <c r="AC21" s="109"/>
      <c r="AD21" s="109"/>
      <c r="AE21" s="117"/>
      <c r="AF21" s="117"/>
      <c r="AG21" s="117"/>
      <c r="AH21" s="117"/>
    </row>
    <row r="22" spans="1:34" ht="12.75">
      <c r="A22" s="109" t="s">
        <v>740</v>
      </c>
      <c r="B22" s="109" t="s">
        <v>738</v>
      </c>
      <c r="C22" s="110" t="s">
        <v>2152</v>
      </c>
      <c r="D22" s="109"/>
      <c r="E22" s="110" t="s">
        <v>2153</v>
      </c>
      <c r="F22" s="112" t="s">
        <v>2154</v>
      </c>
      <c r="G22" s="112" t="s">
        <v>739</v>
      </c>
      <c r="H22" s="109" t="s">
        <v>2097</v>
      </c>
      <c r="I22" s="109"/>
      <c r="J22" s="109" t="s">
        <v>2098</v>
      </c>
      <c r="K22" s="114" t="s">
        <v>744</v>
      </c>
      <c r="L22" s="114" t="s">
        <v>742</v>
      </c>
      <c r="M22" s="114" t="s">
        <v>316</v>
      </c>
      <c r="N22" s="114" t="s">
        <v>743</v>
      </c>
      <c r="O22" s="112" t="s">
        <v>1588</v>
      </c>
      <c r="P22" s="114" t="s">
        <v>16</v>
      </c>
      <c r="Q22" s="109" t="s">
        <v>2100</v>
      </c>
      <c r="R22" s="110">
        <v>46305</v>
      </c>
      <c r="S22" s="109" t="s">
        <v>2</v>
      </c>
      <c r="T22" s="115">
        <v>1.8333333333333333</v>
      </c>
      <c r="U22" s="109" t="s">
        <v>3</v>
      </c>
      <c r="V22" s="109" t="s">
        <v>2101</v>
      </c>
      <c r="W22" s="109"/>
      <c r="X22" s="110">
        <v>46281</v>
      </c>
      <c r="Y22" s="109"/>
      <c r="Z22" s="110">
        <v>44480</v>
      </c>
      <c r="AA22" s="111"/>
      <c r="AB22" s="120">
        <v>46305</v>
      </c>
      <c r="AC22" s="109"/>
      <c r="AD22" s="109"/>
      <c r="AE22" s="117"/>
      <c r="AF22" s="117"/>
      <c r="AG22" s="117"/>
      <c r="AH22" s="117"/>
    </row>
    <row r="23" spans="1:34" ht="12.75">
      <c r="A23" s="109" t="s">
        <v>748</v>
      </c>
      <c r="B23" s="109" t="s">
        <v>746</v>
      </c>
      <c r="C23" s="110" t="s">
        <v>2155</v>
      </c>
      <c r="D23" s="109"/>
      <c r="E23" s="111"/>
      <c r="F23" s="112" t="s">
        <v>749</v>
      </c>
      <c r="G23" s="112" t="s">
        <v>747</v>
      </c>
      <c r="H23" s="109" t="s">
        <v>2097</v>
      </c>
      <c r="I23" s="109"/>
      <c r="J23" s="109" t="s">
        <v>2098</v>
      </c>
      <c r="K23" s="114" t="s">
        <v>755</v>
      </c>
      <c r="L23" s="114" t="s">
        <v>752</v>
      </c>
      <c r="M23" s="114" t="s">
        <v>753</v>
      </c>
      <c r="N23" s="114" t="s">
        <v>754</v>
      </c>
      <c r="O23" s="112" t="s">
        <v>1588</v>
      </c>
      <c r="P23" s="114" t="s">
        <v>16</v>
      </c>
      <c r="Q23" s="109" t="s">
        <v>2100</v>
      </c>
      <c r="R23" s="110">
        <v>46140</v>
      </c>
      <c r="S23" s="109" t="s">
        <v>2</v>
      </c>
      <c r="T23" s="115">
        <v>1.8333333333333333</v>
      </c>
      <c r="U23" s="109" t="s">
        <v>3</v>
      </c>
      <c r="V23" s="109" t="s">
        <v>2101</v>
      </c>
      <c r="W23" s="109"/>
      <c r="X23" s="110">
        <v>46289</v>
      </c>
      <c r="Y23" s="109"/>
      <c r="Z23" s="110">
        <v>45045</v>
      </c>
      <c r="AA23" s="111"/>
      <c r="AB23" s="116">
        <v>46140</v>
      </c>
      <c r="AC23" s="109"/>
      <c r="AD23" s="109"/>
      <c r="AE23" s="117"/>
      <c r="AF23" s="117"/>
      <c r="AG23" s="117"/>
      <c r="AH23" s="117"/>
    </row>
    <row r="24" spans="1:34" ht="12.75">
      <c r="A24" s="109" t="s">
        <v>758</v>
      </c>
      <c r="B24" s="109" t="s">
        <v>756</v>
      </c>
      <c r="C24" s="110" t="s">
        <v>2156</v>
      </c>
      <c r="D24" s="109"/>
      <c r="E24" s="110" t="s">
        <v>2157</v>
      </c>
      <c r="F24" s="112" t="s">
        <v>1120</v>
      </c>
      <c r="G24" s="112" t="s">
        <v>757</v>
      </c>
      <c r="H24" s="109" t="s">
        <v>2097</v>
      </c>
      <c r="I24" s="109"/>
      <c r="J24" s="109" t="s">
        <v>2098</v>
      </c>
      <c r="K24" s="114" t="s">
        <v>763</v>
      </c>
      <c r="L24" s="114" t="s">
        <v>761</v>
      </c>
      <c r="M24" s="114" t="s">
        <v>762</v>
      </c>
      <c r="N24" s="114" t="s">
        <v>710</v>
      </c>
      <c r="O24" s="112" t="s">
        <v>1588</v>
      </c>
      <c r="P24" s="114" t="s">
        <v>16</v>
      </c>
      <c r="Q24" s="109" t="s">
        <v>2100</v>
      </c>
      <c r="R24" s="110">
        <v>46560</v>
      </c>
      <c r="S24" s="109" t="s">
        <v>2</v>
      </c>
      <c r="T24" s="115">
        <v>1.8333333333333333</v>
      </c>
      <c r="U24" s="109" t="s">
        <v>3</v>
      </c>
      <c r="V24" s="109" t="s">
        <v>2101</v>
      </c>
      <c r="W24" s="109"/>
      <c r="X24" s="110">
        <v>46559</v>
      </c>
      <c r="Y24" s="109"/>
      <c r="Z24" s="110">
        <v>46196</v>
      </c>
      <c r="AA24" s="119" t="s">
        <v>2136</v>
      </c>
      <c r="AB24" s="116">
        <v>46560</v>
      </c>
      <c r="AC24" s="109"/>
      <c r="AD24" s="109"/>
      <c r="AE24" s="117"/>
      <c r="AF24" s="117"/>
      <c r="AG24" s="117"/>
      <c r="AH24" s="117"/>
    </row>
    <row r="25" spans="1:34" ht="12.75">
      <c r="A25" s="109" t="s">
        <v>539</v>
      </c>
      <c r="B25" s="109" t="s">
        <v>537</v>
      </c>
      <c r="C25" s="110" t="s">
        <v>2158</v>
      </c>
      <c r="D25" s="109"/>
      <c r="E25" s="110" t="s">
        <v>2159</v>
      </c>
      <c r="F25" s="112" t="s">
        <v>540</v>
      </c>
      <c r="G25" s="112" t="s">
        <v>538</v>
      </c>
      <c r="H25" s="109" t="s">
        <v>522</v>
      </c>
      <c r="I25" s="109"/>
      <c r="J25" s="109" t="s">
        <v>2098</v>
      </c>
      <c r="K25" s="114" t="s">
        <v>318</v>
      </c>
      <c r="L25" s="114" t="s">
        <v>315</v>
      </c>
      <c r="M25" s="114" t="s">
        <v>542</v>
      </c>
      <c r="N25" s="114" t="s">
        <v>317</v>
      </c>
      <c r="O25" s="112" t="s">
        <v>1588</v>
      </c>
      <c r="P25" s="114" t="s">
        <v>16</v>
      </c>
      <c r="Q25" s="109" t="s">
        <v>2100</v>
      </c>
      <c r="R25" s="110">
        <v>46507</v>
      </c>
      <c r="S25" s="109" t="s">
        <v>2</v>
      </c>
      <c r="T25" s="115">
        <v>1.8333333333333333</v>
      </c>
      <c r="U25" s="109" t="s">
        <v>522</v>
      </c>
      <c r="V25" s="109" t="s">
        <v>2101</v>
      </c>
      <c r="W25" s="109"/>
      <c r="X25" s="110">
        <v>46559</v>
      </c>
      <c r="Y25" s="109"/>
      <c r="Z25" s="110">
        <v>42491</v>
      </c>
      <c r="AA25" s="111"/>
      <c r="AB25" s="116">
        <v>46507</v>
      </c>
      <c r="AC25" s="109"/>
      <c r="AD25" s="109"/>
      <c r="AE25" s="117"/>
      <c r="AF25" s="117"/>
      <c r="AG25" s="117"/>
      <c r="AH25" s="117"/>
    </row>
    <row r="26" spans="1:34" ht="12.75">
      <c r="A26" s="109" t="s">
        <v>766</v>
      </c>
      <c r="B26" s="109" t="s">
        <v>764</v>
      </c>
      <c r="C26" s="110" t="s">
        <v>2160</v>
      </c>
      <c r="D26" s="109"/>
      <c r="E26" s="111"/>
      <c r="F26" s="112" t="s">
        <v>2161</v>
      </c>
      <c r="G26" s="112" t="s">
        <v>765</v>
      </c>
      <c r="H26" s="109" t="s">
        <v>2097</v>
      </c>
      <c r="I26" s="109"/>
      <c r="J26" s="109" t="s">
        <v>2098</v>
      </c>
      <c r="K26" s="114" t="s">
        <v>770</v>
      </c>
      <c r="L26" s="114" t="s">
        <v>768</v>
      </c>
      <c r="M26" s="114" t="s">
        <v>769</v>
      </c>
      <c r="N26" s="114" t="s">
        <v>504</v>
      </c>
      <c r="O26" s="112" t="s">
        <v>1588</v>
      </c>
      <c r="P26" s="114" t="s">
        <v>16</v>
      </c>
      <c r="Q26" s="109" t="s">
        <v>2100</v>
      </c>
      <c r="R26" s="110">
        <v>46376</v>
      </c>
      <c r="S26" s="109" t="s">
        <v>2</v>
      </c>
      <c r="T26" s="115">
        <v>1.8333333333333333</v>
      </c>
      <c r="U26" s="109" t="s">
        <v>3</v>
      </c>
      <c r="V26" s="109" t="s">
        <v>2101</v>
      </c>
      <c r="W26" s="109"/>
      <c r="X26" s="110">
        <v>46352</v>
      </c>
      <c r="Y26" s="109"/>
      <c r="Z26" s="110">
        <v>45281</v>
      </c>
      <c r="AA26" s="111"/>
      <c r="AB26" s="120">
        <v>46376</v>
      </c>
      <c r="AC26" s="109"/>
      <c r="AD26" s="109"/>
      <c r="AE26" s="117"/>
      <c r="AF26" s="117"/>
      <c r="AG26" s="117"/>
      <c r="AH26" s="117"/>
    </row>
    <row r="27" spans="1:34" ht="12.75">
      <c r="A27" s="109" t="s">
        <v>545</v>
      </c>
      <c r="B27" s="109" t="s">
        <v>543</v>
      </c>
      <c r="C27" s="110" t="s">
        <v>2162</v>
      </c>
      <c r="D27" s="109"/>
      <c r="E27" s="110" t="s">
        <v>2163</v>
      </c>
      <c r="F27" s="112" t="s">
        <v>546</v>
      </c>
      <c r="G27" s="112" t="s">
        <v>544</v>
      </c>
      <c r="H27" s="109" t="s">
        <v>522</v>
      </c>
      <c r="I27" s="109"/>
      <c r="J27" s="109" t="s">
        <v>2098</v>
      </c>
      <c r="K27" s="114" t="s">
        <v>550</v>
      </c>
      <c r="L27" s="114" t="s">
        <v>547</v>
      </c>
      <c r="M27" s="114" t="s">
        <v>548</v>
      </c>
      <c r="N27" s="114" t="s">
        <v>549</v>
      </c>
      <c r="O27" s="112" t="s">
        <v>1588</v>
      </c>
      <c r="P27" s="114" t="s">
        <v>16</v>
      </c>
      <c r="Q27" s="109" t="s">
        <v>2100</v>
      </c>
      <c r="R27" s="110">
        <v>46447</v>
      </c>
      <c r="S27" s="109" t="s">
        <v>2</v>
      </c>
      <c r="T27" s="115">
        <v>1.8333333333333333</v>
      </c>
      <c r="U27" s="109" t="s">
        <v>522</v>
      </c>
      <c r="V27" s="109" t="s">
        <v>2101</v>
      </c>
      <c r="W27" s="109"/>
      <c r="X27" s="110">
        <v>46268</v>
      </c>
      <c r="Y27" s="109"/>
      <c r="Z27" s="110">
        <v>42796</v>
      </c>
      <c r="AA27" s="111"/>
      <c r="AB27" s="116">
        <v>46447</v>
      </c>
      <c r="AC27" s="109"/>
      <c r="AD27" s="109"/>
      <c r="AE27" s="117"/>
      <c r="AF27" s="117"/>
      <c r="AG27" s="117"/>
      <c r="AH27" s="117"/>
    </row>
    <row r="28" spans="1:34" ht="12.75">
      <c r="A28" s="109" t="s">
        <v>773</v>
      </c>
      <c r="B28" s="109" t="s">
        <v>771</v>
      </c>
      <c r="C28" s="110" t="s">
        <v>2164</v>
      </c>
      <c r="D28" s="109"/>
      <c r="E28" s="110" t="s">
        <v>2165</v>
      </c>
      <c r="F28" s="112" t="s">
        <v>774</v>
      </c>
      <c r="G28" s="112" t="s">
        <v>772</v>
      </c>
      <c r="H28" s="109" t="s">
        <v>2097</v>
      </c>
      <c r="I28" s="109"/>
      <c r="J28" s="109" t="s">
        <v>2098</v>
      </c>
      <c r="K28" s="114" t="s">
        <v>778</v>
      </c>
      <c r="L28" s="114" t="s">
        <v>776</v>
      </c>
      <c r="M28" s="114" t="s">
        <v>777</v>
      </c>
      <c r="N28" s="114" t="s">
        <v>317</v>
      </c>
      <c r="O28" s="112" t="s">
        <v>1588</v>
      </c>
      <c r="P28" s="114" t="s">
        <v>16</v>
      </c>
      <c r="Q28" s="109" t="s">
        <v>2100</v>
      </c>
      <c r="R28" s="110">
        <v>46587</v>
      </c>
      <c r="S28" s="109" t="s">
        <v>2</v>
      </c>
      <c r="T28" s="115">
        <v>1.8333333333333333</v>
      </c>
      <c r="U28" s="109" t="s">
        <v>3</v>
      </c>
      <c r="V28" s="109" t="s">
        <v>2101</v>
      </c>
      <c r="W28" s="109"/>
      <c r="X28" s="110">
        <v>46583</v>
      </c>
      <c r="Y28" s="109"/>
      <c r="Z28" s="110">
        <v>46223</v>
      </c>
      <c r="AA28" s="119" t="s">
        <v>2136</v>
      </c>
      <c r="AB28" s="116">
        <v>46587</v>
      </c>
      <c r="AC28" s="109"/>
      <c r="AD28" s="109"/>
      <c r="AE28" s="117"/>
      <c r="AF28" s="117"/>
      <c r="AG28" s="117"/>
      <c r="AH28" s="117"/>
    </row>
    <row r="29" spans="1:34" ht="12.75">
      <c r="A29" s="109" t="s">
        <v>781</v>
      </c>
      <c r="B29" s="109" t="s">
        <v>779</v>
      </c>
      <c r="C29" s="110" t="s">
        <v>2166</v>
      </c>
      <c r="D29" s="109"/>
      <c r="E29" s="110" t="s">
        <v>2167</v>
      </c>
      <c r="F29" s="112" t="s">
        <v>782</v>
      </c>
      <c r="G29" s="112" t="s">
        <v>780</v>
      </c>
      <c r="H29" s="109" t="s">
        <v>2097</v>
      </c>
      <c r="I29" s="109"/>
      <c r="J29" s="109" t="s">
        <v>2110</v>
      </c>
      <c r="K29" s="114" t="s">
        <v>788</v>
      </c>
      <c r="L29" s="114" t="s">
        <v>786</v>
      </c>
      <c r="M29" s="114" t="s">
        <v>39</v>
      </c>
      <c r="N29" s="114" t="s">
        <v>787</v>
      </c>
      <c r="O29" s="112" t="s">
        <v>1588</v>
      </c>
      <c r="P29" s="114" t="s">
        <v>16</v>
      </c>
      <c r="Q29" s="109" t="s">
        <v>2100</v>
      </c>
      <c r="R29" s="110">
        <v>46531</v>
      </c>
      <c r="S29" s="109" t="s">
        <v>2</v>
      </c>
      <c r="T29" s="115">
        <v>1.8333333333333333</v>
      </c>
      <c r="U29" s="109" t="s">
        <v>72</v>
      </c>
      <c r="V29" s="109" t="s">
        <v>2101</v>
      </c>
      <c r="W29" s="109"/>
      <c r="X29" s="110">
        <v>46528</v>
      </c>
      <c r="Y29" s="109"/>
      <c r="Z29" s="110">
        <v>46167</v>
      </c>
      <c r="AA29" s="111"/>
      <c r="AB29" s="116">
        <v>46531</v>
      </c>
      <c r="AC29" s="109"/>
      <c r="AD29" s="109"/>
      <c r="AE29" s="117"/>
      <c r="AF29" s="117"/>
      <c r="AG29" s="117"/>
      <c r="AH29" s="117"/>
    </row>
    <row r="30" spans="1:34" ht="12.75">
      <c r="A30" s="109" t="s">
        <v>405</v>
      </c>
      <c r="B30" s="109" t="s">
        <v>402</v>
      </c>
      <c r="C30" s="110" t="s">
        <v>2168</v>
      </c>
      <c r="D30" s="109"/>
      <c r="E30" s="111"/>
      <c r="F30" s="112" t="s">
        <v>406</v>
      </c>
      <c r="G30" s="112" t="s">
        <v>403</v>
      </c>
      <c r="H30" s="109" t="s">
        <v>2097</v>
      </c>
      <c r="I30" s="109"/>
      <c r="J30" s="109" t="s">
        <v>2098</v>
      </c>
      <c r="K30" s="114" t="s">
        <v>412</v>
      </c>
      <c r="L30" s="114" t="s">
        <v>409</v>
      </c>
      <c r="M30" s="114" t="s">
        <v>410</v>
      </c>
      <c r="N30" s="114" t="s">
        <v>411</v>
      </c>
      <c r="O30" s="112" t="s">
        <v>1588</v>
      </c>
      <c r="P30" s="114" t="s">
        <v>16</v>
      </c>
      <c r="Q30" s="109" t="s">
        <v>2100</v>
      </c>
      <c r="R30" s="110">
        <v>46095</v>
      </c>
      <c r="S30" s="109" t="s">
        <v>2</v>
      </c>
      <c r="T30" s="115">
        <v>1.8333333333333333</v>
      </c>
      <c r="U30" s="109" t="s">
        <v>404</v>
      </c>
      <c r="V30" s="109" t="s">
        <v>2113</v>
      </c>
      <c r="W30" s="109"/>
      <c r="X30" s="119" t="s">
        <v>2114</v>
      </c>
      <c r="Y30" s="109"/>
      <c r="Z30" s="110">
        <v>45731</v>
      </c>
      <c r="AA30" s="111"/>
      <c r="AB30" s="116">
        <v>46095</v>
      </c>
      <c r="AC30" s="109"/>
      <c r="AD30" s="109"/>
      <c r="AE30" s="117"/>
      <c r="AF30" s="117"/>
      <c r="AG30" s="117"/>
      <c r="AH30" s="117"/>
    </row>
    <row r="31" spans="1:34" ht="12.75">
      <c r="A31" s="109" t="s">
        <v>791</v>
      </c>
      <c r="B31" s="109" t="s">
        <v>789</v>
      </c>
      <c r="C31" s="110" t="s">
        <v>2169</v>
      </c>
      <c r="D31" s="109"/>
      <c r="E31" s="111"/>
      <c r="F31" s="112" t="s">
        <v>2170</v>
      </c>
      <c r="G31" s="112" t="s">
        <v>790</v>
      </c>
      <c r="H31" s="109" t="s">
        <v>2097</v>
      </c>
      <c r="I31" s="109"/>
      <c r="J31" s="109" t="s">
        <v>2098</v>
      </c>
      <c r="K31" s="114" t="s">
        <v>798</v>
      </c>
      <c r="L31" s="114" t="s">
        <v>796</v>
      </c>
      <c r="M31" s="114" t="s">
        <v>797</v>
      </c>
      <c r="N31" s="114" t="s">
        <v>14</v>
      </c>
      <c r="O31" s="112" t="s">
        <v>1588</v>
      </c>
      <c r="P31" s="114" t="s">
        <v>16</v>
      </c>
      <c r="Q31" s="109" t="s">
        <v>2100</v>
      </c>
      <c r="R31" s="110">
        <v>46287</v>
      </c>
      <c r="S31" s="109" t="s">
        <v>2</v>
      </c>
      <c r="T31" s="115">
        <v>1.8333333333333333</v>
      </c>
      <c r="U31" s="109" t="s">
        <v>3</v>
      </c>
      <c r="V31" s="109" t="s">
        <v>2101</v>
      </c>
      <c r="W31" s="109"/>
      <c r="X31" s="110">
        <v>46275</v>
      </c>
      <c r="Y31" s="109"/>
      <c r="Z31" s="110">
        <v>44097</v>
      </c>
      <c r="AA31" s="111"/>
      <c r="AB31" s="116">
        <v>46287</v>
      </c>
      <c r="AC31" s="109"/>
      <c r="AD31" s="109"/>
      <c r="AE31" s="117"/>
      <c r="AF31" s="117"/>
      <c r="AG31" s="117"/>
      <c r="AH31" s="117"/>
    </row>
    <row r="32" spans="1:34" ht="12.75">
      <c r="A32" s="109" t="s">
        <v>801</v>
      </c>
      <c r="B32" s="109" t="s">
        <v>799</v>
      </c>
      <c r="C32" s="110" t="s">
        <v>2171</v>
      </c>
      <c r="D32" s="109"/>
      <c r="E32" s="111"/>
      <c r="F32" s="112" t="s">
        <v>2172</v>
      </c>
      <c r="G32" s="112" t="s">
        <v>800</v>
      </c>
      <c r="H32" s="109" t="s">
        <v>2097</v>
      </c>
      <c r="I32" s="109"/>
      <c r="J32" s="109" t="s">
        <v>2110</v>
      </c>
      <c r="K32" s="114" t="s">
        <v>505</v>
      </c>
      <c r="L32" s="114" t="s">
        <v>806</v>
      </c>
      <c r="M32" s="114" t="s">
        <v>325</v>
      </c>
      <c r="N32" s="114" t="s">
        <v>504</v>
      </c>
      <c r="O32" s="112" t="s">
        <v>1588</v>
      </c>
      <c r="P32" s="114" t="s">
        <v>16</v>
      </c>
      <c r="Q32" s="109" t="s">
        <v>2100</v>
      </c>
      <c r="R32" s="110">
        <v>46336</v>
      </c>
      <c r="S32" s="109" t="s">
        <v>2</v>
      </c>
      <c r="T32" s="115">
        <v>1.8333333333333333</v>
      </c>
      <c r="U32" s="109" t="s">
        <v>72</v>
      </c>
      <c r="V32" s="109" t="s">
        <v>2101</v>
      </c>
      <c r="W32" s="109"/>
      <c r="X32" s="110">
        <v>46519</v>
      </c>
      <c r="Y32" s="109"/>
      <c r="Z32" s="110">
        <v>45241</v>
      </c>
      <c r="AA32" s="111"/>
      <c r="AB32" s="120">
        <v>46336</v>
      </c>
      <c r="AC32" s="109"/>
      <c r="AD32" s="109"/>
      <c r="AE32" s="117"/>
      <c r="AF32" s="117"/>
      <c r="AG32" s="117"/>
      <c r="AH32" s="117"/>
    </row>
    <row r="33" spans="1:34" ht="12.75">
      <c r="A33" s="109" t="s">
        <v>415</v>
      </c>
      <c r="B33" s="109" t="s">
        <v>413</v>
      </c>
      <c r="C33" s="110" t="s">
        <v>2173</v>
      </c>
      <c r="D33" s="109"/>
      <c r="E33" s="110" t="s">
        <v>2174</v>
      </c>
      <c r="F33" s="112" t="s">
        <v>2175</v>
      </c>
      <c r="G33" s="112" t="s">
        <v>414</v>
      </c>
      <c r="H33" s="109" t="s">
        <v>2097</v>
      </c>
      <c r="I33" s="109"/>
      <c r="J33" s="109" t="s">
        <v>2098</v>
      </c>
      <c r="K33" s="114" t="s">
        <v>419</v>
      </c>
      <c r="L33" s="114" t="s">
        <v>416</v>
      </c>
      <c r="M33" s="114" t="s">
        <v>417</v>
      </c>
      <c r="N33" s="114" t="s">
        <v>418</v>
      </c>
      <c r="O33" s="112" t="s">
        <v>1588</v>
      </c>
      <c r="P33" s="114" t="s">
        <v>16</v>
      </c>
      <c r="Q33" s="109" t="s">
        <v>2100</v>
      </c>
      <c r="R33" s="110">
        <v>46683</v>
      </c>
      <c r="S33" s="109" t="s">
        <v>2</v>
      </c>
      <c r="T33" s="115">
        <v>1.8333333333333333</v>
      </c>
      <c r="U33" s="109" t="s">
        <v>3</v>
      </c>
      <c r="V33" s="109" t="s">
        <v>2113</v>
      </c>
      <c r="W33" s="109"/>
      <c r="X33" s="119" t="s">
        <v>2114</v>
      </c>
      <c r="Y33" s="109"/>
      <c r="Z33" s="110">
        <v>43254</v>
      </c>
      <c r="AA33" s="111"/>
      <c r="AB33" s="120">
        <v>46683</v>
      </c>
      <c r="AC33" s="109"/>
      <c r="AD33" s="109"/>
      <c r="AE33" s="117"/>
      <c r="AF33" s="117"/>
      <c r="AG33" s="117"/>
      <c r="AH33" s="117"/>
    </row>
    <row r="34" spans="1:34" ht="12.75">
      <c r="A34" s="109" t="s">
        <v>554</v>
      </c>
      <c r="B34" s="109" t="s">
        <v>551</v>
      </c>
      <c r="C34" s="110" t="s">
        <v>2176</v>
      </c>
      <c r="D34" s="109"/>
      <c r="E34" s="110" t="s">
        <v>2177</v>
      </c>
      <c r="F34" s="112" t="s">
        <v>555</v>
      </c>
      <c r="G34" s="112" t="s">
        <v>553</v>
      </c>
      <c r="H34" s="109" t="s">
        <v>522</v>
      </c>
      <c r="I34" s="109"/>
      <c r="J34" s="109" t="s">
        <v>2098</v>
      </c>
      <c r="K34" s="114" t="s">
        <v>559</v>
      </c>
      <c r="L34" s="114" t="s">
        <v>556</v>
      </c>
      <c r="M34" s="114" t="s">
        <v>557</v>
      </c>
      <c r="N34" s="114" t="s">
        <v>558</v>
      </c>
      <c r="O34" s="112" t="s">
        <v>1588</v>
      </c>
      <c r="P34" s="114" t="s">
        <v>16</v>
      </c>
      <c r="Q34" s="109" t="s">
        <v>2100</v>
      </c>
      <c r="R34" s="110">
        <v>46055</v>
      </c>
      <c r="S34" s="109" t="s">
        <v>2</v>
      </c>
      <c r="T34" s="115">
        <v>1.8333333333333333</v>
      </c>
      <c r="U34" s="109" t="s">
        <v>529</v>
      </c>
      <c r="V34" s="109" t="s">
        <v>2101</v>
      </c>
      <c r="W34" s="109"/>
      <c r="X34" s="110">
        <v>46394</v>
      </c>
      <c r="Y34" s="109"/>
      <c r="Z34" s="110">
        <v>44960</v>
      </c>
      <c r="AA34" s="111"/>
      <c r="AB34" s="116">
        <v>46055</v>
      </c>
      <c r="AC34" s="109"/>
      <c r="AD34" s="109"/>
      <c r="AE34" s="117"/>
      <c r="AF34" s="117"/>
      <c r="AG34" s="117"/>
      <c r="AH34" s="117"/>
    </row>
    <row r="35" spans="1:34" ht="12.75">
      <c r="A35" s="109" t="s">
        <v>236</v>
      </c>
      <c r="B35" s="109" t="s">
        <v>233</v>
      </c>
      <c r="C35" s="110" t="s">
        <v>2178</v>
      </c>
      <c r="D35" s="109"/>
      <c r="E35" s="111"/>
      <c r="F35" s="112" t="s">
        <v>2179</v>
      </c>
      <c r="G35" s="112" t="s">
        <v>235</v>
      </c>
      <c r="H35" s="109" t="s">
        <v>2097</v>
      </c>
      <c r="I35" s="109"/>
      <c r="J35" s="109" t="s">
        <v>2098</v>
      </c>
      <c r="K35" s="114" t="s">
        <v>239</v>
      </c>
      <c r="L35" s="114" t="s">
        <v>152</v>
      </c>
      <c r="M35" s="114" t="s">
        <v>237</v>
      </c>
      <c r="N35" s="114" t="s">
        <v>238</v>
      </c>
      <c r="O35" s="112" t="s">
        <v>151</v>
      </c>
      <c r="P35" s="114" t="s">
        <v>16</v>
      </c>
      <c r="Q35" s="109" t="s">
        <v>2100</v>
      </c>
      <c r="R35" s="110">
        <v>46273</v>
      </c>
      <c r="S35" s="109" t="s">
        <v>215</v>
      </c>
      <c r="T35" s="118" t="s">
        <v>216</v>
      </c>
      <c r="U35" s="109" t="s">
        <v>3</v>
      </c>
      <c r="V35" s="109" t="s">
        <v>2101</v>
      </c>
      <c r="W35" s="109"/>
      <c r="X35" s="110">
        <v>46258</v>
      </c>
      <c r="Y35" s="109"/>
      <c r="Z35" s="110">
        <v>45544</v>
      </c>
      <c r="AA35" s="111"/>
      <c r="AB35" s="116">
        <v>46273</v>
      </c>
      <c r="AC35" s="109"/>
      <c r="AD35" s="109"/>
      <c r="AE35" s="117"/>
      <c r="AF35" s="117"/>
      <c r="AG35" s="117"/>
      <c r="AH35" s="117"/>
    </row>
    <row r="36" spans="1:34" ht="12.75">
      <c r="A36" s="109" t="s">
        <v>422</v>
      </c>
      <c r="B36" s="109" t="s">
        <v>420</v>
      </c>
      <c r="C36" s="110" t="s">
        <v>2180</v>
      </c>
      <c r="D36" s="109"/>
      <c r="E36" s="110" t="s">
        <v>2181</v>
      </c>
      <c r="F36" s="112" t="s">
        <v>2182</v>
      </c>
      <c r="G36" s="112" t="s">
        <v>421</v>
      </c>
      <c r="H36" s="109" t="s">
        <v>2097</v>
      </c>
      <c r="I36" s="109"/>
      <c r="J36" s="109" t="s">
        <v>2110</v>
      </c>
      <c r="K36" s="114" t="s">
        <v>428</v>
      </c>
      <c r="L36" s="114" t="s">
        <v>425</v>
      </c>
      <c r="M36" s="114" t="s">
        <v>426</v>
      </c>
      <c r="N36" s="114" t="s">
        <v>427</v>
      </c>
      <c r="O36" s="112" t="s">
        <v>1588</v>
      </c>
      <c r="P36" s="114" t="s">
        <v>16</v>
      </c>
      <c r="Q36" s="109" t="s">
        <v>2100</v>
      </c>
      <c r="R36" s="110">
        <v>45935</v>
      </c>
      <c r="S36" s="109" t="s">
        <v>2</v>
      </c>
      <c r="T36" s="115">
        <v>1.8333333333333333</v>
      </c>
      <c r="U36" s="109" t="s">
        <v>72</v>
      </c>
      <c r="V36" s="109" t="s">
        <v>2113</v>
      </c>
      <c r="W36" s="109"/>
      <c r="X36" s="119" t="s">
        <v>2114</v>
      </c>
      <c r="Y36" s="109"/>
      <c r="Z36" s="110">
        <v>44475</v>
      </c>
      <c r="AA36" s="111"/>
      <c r="AB36" s="116">
        <v>45935</v>
      </c>
      <c r="AC36" s="109"/>
      <c r="AD36" s="109"/>
      <c r="AE36" s="117"/>
      <c r="AF36" s="117"/>
      <c r="AG36" s="117"/>
      <c r="AH36" s="117"/>
    </row>
    <row r="37" spans="1:34" ht="12.75">
      <c r="A37" s="109" t="s">
        <v>809</v>
      </c>
      <c r="B37" s="109" t="s">
        <v>807</v>
      </c>
      <c r="C37" s="110" t="s">
        <v>2183</v>
      </c>
      <c r="D37" s="109"/>
      <c r="E37" s="110" t="s">
        <v>2184</v>
      </c>
      <c r="F37" s="112" t="s">
        <v>2185</v>
      </c>
      <c r="G37" s="112" t="s">
        <v>808</v>
      </c>
      <c r="H37" s="109" t="s">
        <v>2097</v>
      </c>
      <c r="I37" s="109"/>
      <c r="J37" s="109" t="s">
        <v>2110</v>
      </c>
      <c r="K37" s="114" t="s">
        <v>815</v>
      </c>
      <c r="L37" s="114" t="s">
        <v>813</v>
      </c>
      <c r="M37" s="114" t="s">
        <v>814</v>
      </c>
      <c r="N37" s="114" t="s">
        <v>26</v>
      </c>
      <c r="O37" s="112" t="s">
        <v>1588</v>
      </c>
      <c r="P37" s="114" t="s">
        <v>16</v>
      </c>
      <c r="Q37" s="109" t="s">
        <v>2100</v>
      </c>
      <c r="R37" s="110">
        <v>46096</v>
      </c>
      <c r="S37" s="109" t="s">
        <v>2</v>
      </c>
      <c r="T37" s="115">
        <v>1.8333333333333333</v>
      </c>
      <c r="U37" s="109" t="s">
        <v>72</v>
      </c>
      <c r="V37" s="109" t="s">
        <v>2101</v>
      </c>
      <c r="W37" s="109"/>
      <c r="X37" s="110">
        <v>46420</v>
      </c>
      <c r="Y37" s="109"/>
      <c r="Z37" s="110">
        <v>43906</v>
      </c>
      <c r="AA37" s="111"/>
      <c r="AB37" s="116">
        <v>46096</v>
      </c>
      <c r="AC37" s="109"/>
      <c r="AD37" s="109"/>
      <c r="AE37" s="117"/>
      <c r="AF37" s="117"/>
      <c r="AG37" s="117"/>
      <c r="AH37" s="117"/>
    </row>
    <row r="38" spans="1:34" ht="12.75">
      <c r="A38" s="109" t="s">
        <v>431</v>
      </c>
      <c r="B38" s="109" t="s">
        <v>429</v>
      </c>
      <c r="C38" s="111"/>
      <c r="D38" s="109"/>
      <c r="E38" s="110" t="s">
        <v>2186</v>
      </c>
      <c r="F38" s="112" t="s">
        <v>432</v>
      </c>
      <c r="G38" s="112" t="s">
        <v>430</v>
      </c>
      <c r="H38" s="109" t="s">
        <v>2097</v>
      </c>
      <c r="I38" s="109"/>
      <c r="J38" s="109" t="s">
        <v>2098</v>
      </c>
      <c r="K38" s="114" t="s">
        <v>437</v>
      </c>
      <c r="L38" s="114" t="s">
        <v>435</v>
      </c>
      <c r="M38" s="114" t="s">
        <v>436</v>
      </c>
      <c r="N38" s="114" t="s">
        <v>88</v>
      </c>
      <c r="O38" s="112" t="s">
        <v>1588</v>
      </c>
      <c r="P38" s="114" t="s">
        <v>16</v>
      </c>
      <c r="Q38" s="109" t="s">
        <v>2100</v>
      </c>
      <c r="R38" s="110">
        <v>46264</v>
      </c>
      <c r="S38" s="109" t="s">
        <v>2</v>
      </c>
      <c r="T38" s="115">
        <v>1.8333333333333333</v>
      </c>
      <c r="U38" s="109" t="s">
        <v>3</v>
      </c>
      <c r="V38" s="109" t="s">
        <v>2113</v>
      </c>
      <c r="W38" s="109"/>
      <c r="X38" s="119" t="s">
        <v>2114</v>
      </c>
      <c r="Y38" s="109"/>
      <c r="Z38" s="110">
        <v>39497</v>
      </c>
      <c r="AA38" s="111"/>
      <c r="AB38" s="116">
        <v>46264</v>
      </c>
      <c r="AC38" s="109"/>
      <c r="AD38" s="109"/>
      <c r="AE38" s="117"/>
      <c r="AF38" s="117"/>
      <c r="AG38" s="117"/>
      <c r="AH38" s="117"/>
    </row>
    <row r="39" spans="1:34" ht="12.75">
      <c r="A39" s="109" t="s">
        <v>818</v>
      </c>
      <c r="B39" s="109" t="s">
        <v>816</v>
      </c>
      <c r="C39" s="110" t="s">
        <v>2188</v>
      </c>
      <c r="D39" s="109"/>
      <c r="E39" s="110" t="s">
        <v>2189</v>
      </c>
      <c r="F39" s="112" t="s">
        <v>2190</v>
      </c>
      <c r="G39" s="112" t="s">
        <v>817</v>
      </c>
      <c r="H39" s="109" t="s">
        <v>2097</v>
      </c>
      <c r="I39" s="109"/>
      <c r="J39" s="109" t="s">
        <v>2098</v>
      </c>
      <c r="K39" s="114" t="s">
        <v>744</v>
      </c>
      <c r="L39" s="114" t="s">
        <v>822</v>
      </c>
      <c r="M39" s="114" t="s">
        <v>823</v>
      </c>
      <c r="N39" s="114" t="s">
        <v>824</v>
      </c>
      <c r="O39" s="112" t="s">
        <v>1588</v>
      </c>
      <c r="P39" s="114" t="s">
        <v>16</v>
      </c>
      <c r="Q39" s="109" t="s">
        <v>2100</v>
      </c>
      <c r="R39" s="110">
        <v>46312</v>
      </c>
      <c r="S39" s="109" t="s">
        <v>2</v>
      </c>
      <c r="T39" s="115">
        <v>1.8333333333333333</v>
      </c>
      <c r="U39" s="109" t="s">
        <v>3</v>
      </c>
      <c r="V39" s="109" t="s">
        <v>2101</v>
      </c>
      <c r="W39" s="109"/>
      <c r="X39" s="110">
        <v>46310</v>
      </c>
      <c r="Y39" s="109"/>
      <c r="Z39" s="110">
        <v>45948</v>
      </c>
      <c r="AA39" s="111"/>
      <c r="AB39" s="120">
        <v>46312</v>
      </c>
      <c r="AC39" s="109"/>
      <c r="AD39" s="109"/>
      <c r="AE39" s="117"/>
      <c r="AF39" s="117"/>
      <c r="AG39" s="117"/>
      <c r="AH39" s="117"/>
    </row>
    <row r="40" spans="1:34" ht="12.75">
      <c r="A40" s="109" t="s">
        <v>827</v>
      </c>
      <c r="B40" s="109" t="s">
        <v>825</v>
      </c>
      <c r="C40" s="110" t="s">
        <v>2191</v>
      </c>
      <c r="D40" s="109"/>
      <c r="E40" s="110" t="s">
        <v>2192</v>
      </c>
      <c r="F40" s="112" t="s">
        <v>2193</v>
      </c>
      <c r="G40" s="112" t="s">
        <v>826</v>
      </c>
      <c r="H40" s="109" t="s">
        <v>2097</v>
      </c>
      <c r="I40" s="109"/>
      <c r="J40" s="109" t="s">
        <v>2098</v>
      </c>
      <c r="K40" s="114" t="s">
        <v>831</v>
      </c>
      <c r="L40" s="114" t="s">
        <v>829</v>
      </c>
      <c r="M40" s="114" t="s">
        <v>830</v>
      </c>
      <c r="N40" s="114" t="s">
        <v>743</v>
      </c>
      <c r="O40" s="112" t="s">
        <v>1588</v>
      </c>
      <c r="P40" s="114" t="s">
        <v>16</v>
      </c>
      <c r="Q40" s="109" t="s">
        <v>2100</v>
      </c>
      <c r="R40" s="110">
        <v>46186</v>
      </c>
      <c r="S40" s="109" t="s">
        <v>2</v>
      </c>
      <c r="T40" s="115">
        <v>1.8333333333333333</v>
      </c>
      <c r="U40" s="109" t="s">
        <v>3</v>
      </c>
      <c r="V40" s="109" t="s">
        <v>2101</v>
      </c>
      <c r="W40" s="109"/>
      <c r="X40" s="110">
        <v>46398</v>
      </c>
      <c r="Y40" s="109"/>
      <c r="Z40" s="110">
        <v>41074</v>
      </c>
      <c r="AA40" s="111"/>
      <c r="AB40" s="116">
        <v>46186</v>
      </c>
      <c r="AC40" s="109"/>
      <c r="AD40" s="109"/>
      <c r="AE40" s="117"/>
      <c r="AF40" s="117"/>
      <c r="AG40" s="117"/>
      <c r="AH40" s="117"/>
    </row>
    <row r="41" spans="1:34" ht="12.75">
      <c r="A41" s="109" t="s">
        <v>440</v>
      </c>
      <c r="B41" s="109" t="s">
        <v>438</v>
      </c>
      <c r="C41" s="110" t="s">
        <v>2194</v>
      </c>
      <c r="D41" s="109"/>
      <c r="E41" s="110" t="s">
        <v>2195</v>
      </c>
      <c r="F41" s="112" t="s">
        <v>441</v>
      </c>
      <c r="G41" s="112" t="s">
        <v>439</v>
      </c>
      <c r="H41" s="109" t="s">
        <v>2097</v>
      </c>
      <c r="I41" s="109"/>
      <c r="J41" s="109" t="s">
        <v>2098</v>
      </c>
      <c r="K41" s="114" t="s">
        <v>444</v>
      </c>
      <c r="L41" s="114" t="s">
        <v>442</v>
      </c>
      <c r="M41" s="114" t="s">
        <v>443</v>
      </c>
      <c r="N41" s="114" t="s">
        <v>335</v>
      </c>
      <c r="O41" s="112" t="s">
        <v>1588</v>
      </c>
      <c r="P41" s="114" t="s">
        <v>16</v>
      </c>
      <c r="Q41" s="109" t="s">
        <v>2100</v>
      </c>
      <c r="R41" s="111"/>
      <c r="S41" s="109" t="s">
        <v>2</v>
      </c>
      <c r="T41" s="115">
        <v>1.8333333333333333</v>
      </c>
      <c r="U41" s="109" t="s">
        <v>3</v>
      </c>
      <c r="V41" s="109" t="s">
        <v>2113</v>
      </c>
      <c r="W41" s="109"/>
      <c r="X41" s="119" t="s">
        <v>2114</v>
      </c>
      <c r="Y41" s="109"/>
      <c r="Z41" s="110">
        <v>45397</v>
      </c>
      <c r="AA41" s="111"/>
      <c r="AB41" s="109"/>
      <c r="AC41" s="109"/>
      <c r="AD41" s="109"/>
      <c r="AE41" s="117"/>
      <c r="AF41" s="117"/>
      <c r="AG41" s="117"/>
      <c r="AH41" s="117"/>
    </row>
    <row r="42" spans="1:34" ht="12.75">
      <c r="A42" s="109" t="s">
        <v>834</v>
      </c>
      <c r="B42" s="109" t="s">
        <v>832</v>
      </c>
      <c r="C42" s="110" t="s">
        <v>2196</v>
      </c>
      <c r="D42" s="109"/>
      <c r="E42" s="111"/>
      <c r="F42" s="112" t="s">
        <v>835</v>
      </c>
      <c r="G42" s="112" t="s">
        <v>833</v>
      </c>
      <c r="H42" s="109" t="s">
        <v>2097</v>
      </c>
      <c r="I42" s="109"/>
      <c r="J42" s="109" t="s">
        <v>2110</v>
      </c>
      <c r="K42" s="114" t="s">
        <v>839</v>
      </c>
      <c r="L42" s="114" t="s">
        <v>837</v>
      </c>
      <c r="M42" s="114" t="s">
        <v>838</v>
      </c>
      <c r="N42" s="114" t="s">
        <v>287</v>
      </c>
      <c r="O42" s="112" t="s">
        <v>1588</v>
      </c>
      <c r="P42" s="114" t="s">
        <v>16</v>
      </c>
      <c r="Q42" s="109" t="s">
        <v>2100</v>
      </c>
      <c r="R42" s="110">
        <v>46234</v>
      </c>
      <c r="S42" s="109" t="s">
        <v>2</v>
      </c>
      <c r="T42" s="118" t="s">
        <v>366</v>
      </c>
      <c r="U42" s="109" t="s">
        <v>72</v>
      </c>
      <c r="V42" s="109" t="s">
        <v>2101</v>
      </c>
      <c r="W42" s="109"/>
      <c r="X42" s="110">
        <v>46569</v>
      </c>
      <c r="Y42" s="109"/>
      <c r="Z42" s="110">
        <v>45870</v>
      </c>
      <c r="AA42" s="111"/>
      <c r="AB42" s="116">
        <v>46234</v>
      </c>
      <c r="AC42" s="109"/>
      <c r="AD42" s="109"/>
      <c r="AE42" s="117"/>
      <c r="AF42" s="117"/>
      <c r="AG42" s="117"/>
      <c r="AH42" s="117"/>
    </row>
    <row r="43" spans="1:34" ht="12.75">
      <c r="A43" s="109" t="s">
        <v>843</v>
      </c>
      <c r="B43" s="109" t="s">
        <v>841</v>
      </c>
      <c r="C43" s="110" t="s">
        <v>2197</v>
      </c>
      <c r="D43" s="109"/>
      <c r="E43" s="110" t="s">
        <v>2198</v>
      </c>
      <c r="F43" s="112" t="s">
        <v>2199</v>
      </c>
      <c r="G43" s="112" t="s">
        <v>842</v>
      </c>
      <c r="H43" s="109" t="s">
        <v>2097</v>
      </c>
      <c r="I43" s="109"/>
      <c r="J43" s="109" t="s">
        <v>2110</v>
      </c>
      <c r="K43" s="114" t="s">
        <v>454</v>
      </c>
      <c r="L43" s="114" t="s">
        <v>451</v>
      </c>
      <c r="M43" s="114" t="s">
        <v>844</v>
      </c>
      <c r="N43" s="114" t="s">
        <v>453</v>
      </c>
      <c r="O43" s="112" t="s">
        <v>1588</v>
      </c>
      <c r="P43" s="114" t="s">
        <v>16</v>
      </c>
      <c r="Q43" s="109" t="s">
        <v>2100</v>
      </c>
      <c r="R43" s="110">
        <v>46538</v>
      </c>
      <c r="S43" s="109" t="s">
        <v>2</v>
      </c>
      <c r="T43" s="115">
        <v>1.8333333333333333</v>
      </c>
      <c r="U43" s="109" t="s">
        <v>72</v>
      </c>
      <c r="V43" s="109" t="s">
        <v>2101</v>
      </c>
      <c r="W43" s="109"/>
      <c r="X43" s="110">
        <v>46533</v>
      </c>
      <c r="Y43" s="109"/>
      <c r="Z43" s="110">
        <v>46174</v>
      </c>
      <c r="AA43" s="111"/>
      <c r="AB43" s="116">
        <v>46538</v>
      </c>
      <c r="AC43" s="109"/>
      <c r="AD43" s="109"/>
      <c r="AE43" s="117"/>
      <c r="AF43" s="117"/>
      <c r="AG43" s="117"/>
      <c r="AH43" s="117"/>
    </row>
    <row r="44" spans="1:34" ht="12.75">
      <c r="A44" s="109" t="s">
        <v>448</v>
      </c>
      <c r="B44" s="109" t="s">
        <v>445</v>
      </c>
      <c r="C44" s="110" t="s">
        <v>2200</v>
      </c>
      <c r="D44" s="109"/>
      <c r="E44" s="111"/>
      <c r="F44" s="112" t="s">
        <v>449</v>
      </c>
      <c r="G44" s="112" t="s">
        <v>447</v>
      </c>
      <c r="H44" s="109" t="s">
        <v>2097</v>
      </c>
      <c r="I44" s="109"/>
      <c r="J44" s="109" t="s">
        <v>2098</v>
      </c>
      <c r="K44" s="114" t="s">
        <v>454</v>
      </c>
      <c r="L44" s="114" t="s">
        <v>451</v>
      </c>
      <c r="M44" s="114" t="s">
        <v>452</v>
      </c>
      <c r="N44" s="114" t="s">
        <v>453</v>
      </c>
      <c r="O44" s="112" t="s">
        <v>1588</v>
      </c>
      <c r="P44" s="114" t="s">
        <v>16</v>
      </c>
      <c r="Q44" s="109" t="s">
        <v>2100</v>
      </c>
      <c r="R44" s="110">
        <v>46112</v>
      </c>
      <c r="S44" s="109" t="s">
        <v>2</v>
      </c>
      <c r="T44" s="115">
        <v>1.8333333333333333</v>
      </c>
      <c r="U44" s="109" t="s">
        <v>3</v>
      </c>
      <c r="V44" s="109" t="s">
        <v>2113</v>
      </c>
      <c r="W44" s="109"/>
      <c r="X44" s="119" t="s">
        <v>2114</v>
      </c>
      <c r="Y44" s="109"/>
      <c r="Z44" s="110">
        <v>45045</v>
      </c>
      <c r="AA44" s="111"/>
      <c r="AB44" s="116">
        <v>46112</v>
      </c>
      <c r="AC44" s="109"/>
      <c r="AD44" s="109"/>
      <c r="AE44" s="117"/>
      <c r="AF44" s="117"/>
      <c r="AG44" s="117"/>
      <c r="AH44" s="117"/>
    </row>
    <row r="45" spans="1:34" ht="12.75">
      <c r="A45" s="109" t="s">
        <v>848</v>
      </c>
      <c r="B45" s="109" t="s">
        <v>845</v>
      </c>
      <c r="C45" s="110" t="s">
        <v>2201</v>
      </c>
      <c r="D45" s="109"/>
      <c r="E45" s="111"/>
      <c r="F45" s="112" t="s">
        <v>849</v>
      </c>
      <c r="G45" s="112" t="s">
        <v>846</v>
      </c>
      <c r="H45" s="109" t="s">
        <v>2097</v>
      </c>
      <c r="I45" s="109"/>
      <c r="J45" s="109" t="s">
        <v>2110</v>
      </c>
      <c r="K45" s="114" t="s">
        <v>854</v>
      </c>
      <c r="L45" s="114" t="s">
        <v>852</v>
      </c>
      <c r="M45" s="114" t="s">
        <v>116</v>
      </c>
      <c r="N45" s="114" t="s">
        <v>853</v>
      </c>
      <c r="O45" s="112" t="s">
        <v>1588</v>
      </c>
      <c r="P45" s="114" t="s">
        <v>16</v>
      </c>
      <c r="Q45" s="109" t="s">
        <v>2100</v>
      </c>
      <c r="R45" s="110">
        <v>46547</v>
      </c>
      <c r="S45" s="109" t="s">
        <v>2</v>
      </c>
      <c r="T45" s="115">
        <v>1.8333333333333333</v>
      </c>
      <c r="U45" s="109" t="s">
        <v>72</v>
      </c>
      <c r="V45" s="109" t="s">
        <v>2101</v>
      </c>
      <c r="W45" s="109"/>
      <c r="X45" s="110">
        <v>46545</v>
      </c>
      <c r="Y45" s="109"/>
      <c r="Z45" s="110">
        <v>46183</v>
      </c>
      <c r="AA45" s="111"/>
      <c r="AB45" s="116">
        <v>46547</v>
      </c>
      <c r="AC45" s="109"/>
      <c r="AD45" s="109"/>
      <c r="AE45" s="117"/>
      <c r="AF45" s="117"/>
      <c r="AG45" s="117"/>
      <c r="AH45" s="117"/>
    </row>
    <row r="46" spans="1:34" ht="12.75">
      <c r="A46" s="109" t="s">
        <v>857</v>
      </c>
      <c r="B46" s="109" t="s">
        <v>855</v>
      </c>
      <c r="C46" s="110" t="s">
        <v>2202</v>
      </c>
      <c r="D46" s="109"/>
      <c r="E46" s="111"/>
      <c r="F46" s="112" t="s">
        <v>858</v>
      </c>
      <c r="G46" s="112" t="s">
        <v>856</v>
      </c>
      <c r="H46" s="109" t="s">
        <v>2097</v>
      </c>
      <c r="I46" s="109"/>
      <c r="J46" s="109" t="s">
        <v>2098</v>
      </c>
      <c r="K46" s="114" t="s">
        <v>859</v>
      </c>
      <c r="L46" s="114" t="s">
        <v>796</v>
      </c>
      <c r="M46" s="114" t="s">
        <v>797</v>
      </c>
      <c r="N46" s="114" t="s">
        <v>14</v>
      </c>
      <c r="O46" s="112" t="s">
        <v>1588</v>
      </c>
      <c r="P46" s="114" t="s">
        <v>16</v>
      </c>
      <c r="Q46" s="109" t="s">
        <v>2100</v>
      </c>
      <c r="R46" s="110">
        <v>46428</v>
      </c>
      <c r="S46" s="109" t="s">
        <v>2</v>
      </c>
      <c r="T46" s="115">
        <v>1.8333333333333333</v>
      </c>
      <c r="U46" s="109" t="s">
        <v>3</v>
      </c>
      <c r="V46" s="109" t="s">
        <v>2101</v>
      </c>
      <c r="W46" s="109"/>
      <c r="X46" s="110">
        <v>46426</v>
      </c>
      <c r="Y46" s="109"/>
      <c r="Z46" s="110">
        <v>46064</v>
      </c>
      <c r="AA46" s="111"/>
      <c r="AB46" s="116">
        <v>46428</v>
      </c>
      <c r="AC46" s="109"/>
      <c r="AD46" s="109"/>
      <c r="AE46" s="117"/>
      <c r="AF46" s="117"/>
      <c r="AG46" s="117"/>
      <c r="AH46" s="117"/>
    </row>
    <row r="47" spans="1:34" ht="12.75">
      <c r="A47" s="109" t="s">
        <v>33</v>
      </c>
      <c r="B47" s="109" t="s">
        <v>29</v>
      </c>
      <c r="C47" s="110" t="s">
        <v>2203</v>
      </c>
      <c r="D47" s="109"/>
      <c r="E47" s="110" t="s">
        <v>2204</v>
      </c>
      <c r="F47" s="112" t="s">
        <v>34</v>
      </c>
      <c r="G47" s="112" t="s">
        <v>31</v>
      </c>
      <c r="H47" s="109" t="s">
        <v>2097</v>
      </c>
      <c r="I47" s="109"/>
      <c r="J47" s="109" t="s">
        <v>2098</v>
      </c>
      <c r="K47" s="114" t="s">
        <v>41</v>
      </c>
      <c r="L47" s="114" t="s">
        <v>38</v>
      </c>
      <c r="M47" s="114" t="s">
        <v>39</v>
      </c>
      <c r="N47" s="114" t="s">
        <v>40</v>
      </c>
      <c r="O47" s="112" t="s">
        <v>1588</v>
      </c>
      <c r="P47" s="114" t="s">
        <v>16</v>
      </c>
      <c r="Q47" s="109" t="s">
        <v>2100</v>
      </c>
      <c r="R47" s="110">
        <v>45976</v>
      </c>
      <c r="S47" s="109" t="s">
        <v>32</v>
      </c>
      <c r="T47" s="115">
        <v>0.75</v>
      </c>
      <c r="U47" s="109" t="s">
        <v>3</v>
      </c>
      <c r="V47" s="109" t="s">
        <v>2101</v>
      </c>
      <c r="W47" s="109"/>
      <c r="X47" s="110">
        <v>46406</v>
      </c>
      <c r="Y47" s="109"/>
      <c r="Z47" s="110">
        <v>45175</v>
      </c>
      <c r="AA47" s="111"/>
      <c r="AB47" s="120">
        <v>45976</v>
      </c>
      <c r="AC47" s="109"/>
      <c r="AD47" s="109"/>
      <c r="AE47" s="117"/>
      <c r="AF47" s="117"/>
      <c r="AG47" s="117"/>
      <c r="AH47" s="117"/>
    </row>
    <row r="48" spans="1:34" ht="12.75">
      <c r="A48" s="109" t="s">
        <v>862</v>
      </c>
      <c r="B48" s="109" t="s">
        <v>860</v>
      </c>
      <c r="C48" s="110" t="s">
        <v>2205</v>
      </c>
      <c r="D48" s="109"/>
      <c r="E48" s="111"/>
      <c r="F48" s="112" t="s">
        <v>2206</v>
      </c>
      <c r="G48" s="112" t="s">
        <v>861</v>
      </c>
      <c r="H48" s="109" t="s">
        <v>2097</v>
      </c>
      <c r="I48" s="109"/>
      <c r="J48" s="109" t="s">
        <v>2110</v>
      </c>
      <c r="K48" s="114" t="s">
        <v>867</v>
      </c>
      <c r="L48" s="114" t="s">
        <v>864</v>
      </c>
      <c r="M48" s="114" t="s">
        <v>865</v>
      </c>
      <c r="N48" s="114" t="s">
        <v>866</v>
      </c>
      <c r="O48" s="112" t="s">
        <v>1588</v>
      </c>
      <c r="P48" s="114" t="s">
        <v>16</v>
      </c>
      <c r="Q48" s="109" t="s">
        <v>2100</v>
      </c>
      <c r="R48" s="110">
        <v>46241</v>
      </c>
      <c r="S48" s="109" t="s">
        <v>2</v>
      </c>
      <c r="T48" s="115">
        <v>1.8333333333333333</v>
      </c>
      <c r="U48" s="109" t="s">
        <v>72</v>
      </c>
      <c r="V48" s="109" t="s">
        <v>2101</v>
      </c>
      <c r="W48" s="109"/>
      <c r="X48" s="110">
        <v>46553</v>
      </c>
      <c r="Y48" s="109"/>
      <c r="Z48" s="110">
        <v>44781</v>
      </c>
      <c r="AA48" s="111"/>
      <c r="AB48" s="116">
        <v>46241</v>
      </c>
      <c r="AC48" s="109"/>
      <c r="AD48" s="109"/>
      <c r="AE48" s="117"/>
      <c r="AF48" s="117"/>
      <c r="AG48" s="117"/>
      <c r="AH48" s="117"/>
    </row>
    <row r="49" spans="1:34" ht="12.75">
      <c r="A49" s="109" t="s">
        <v>870</v>
      </c>
      <c r="B49" s="109" t="s">
        <v>868</v>
      </c>
      <c r="C49" s="110" t="s">
        <v>2207</v>
      </c>
      <c r="D49" s="109"/>
      <c r="E49" s="111"/>
      <c r="F49" s="112" t="s">
        <v>2208</v>
      </c>
      <c r="G49" s="112" t="s">
        <v>869</v>
      </c>
      <c r="H49" s="109" t="s">
        <v>2097</v>
      </c>
      <c r="I49" s="109"/>
      <c r="J49" s="109" t="s">
        <v>2110</v>
      </c>
      <c r="K49" s="114" t="s">
        <v>873</v>
      </c>
      <c r="L49" s="114" t="s">
        <v>871</v>
      </c>
      <c r="M49" s="114" t="s">
        <v>872</v>
      </c>
      <c r="N49" s="114" t="s">
        <v>471</v>
      </c>
      <c r="O49" s="112" t="s">
        <v>1588</v>
      </c>
      <c r="P49" s="114" t="s">
        <v>16</v>
      </c>
      <c r="Q49" s="109" t="s">
        <v>2100</v>
      </c>
      <c r="R49" s="110">
        <v>46528</v>
      </c>
      <c r="S49" s="109" t="s">
        <v>2</v>
      </c>
      <c r="T49" s="115">
        <v>1.8333333333333333</v>
      </c>
      <c r="U49" s="109" t="s">
        <v>72</v>
      </c>
      <c r="V49" s="109" t="s">
        <v>2101</v>
      </c>
      <c r="W49" s="109"/>
      <c r="X49" s="110">
        <v>46524</v>
      </c>
      <c r="Y49" s="109"/>
      <c r="Z49" s="110">
        <v>46164</v>
      </c>
      <c r="AA49" s="111"/>
      <c r="AB49" s="116">
        <v>46528</v>
      </c>
      <c r="AC49" s="109"/>
      <c r="AD49" s="109"/>
      <c r="AE49" s="117"/>
      <c r="AF49" s="117"/>
      <c r="AG49" s="117"/>
      <c r="AH49" s="117"/>
    </row>
    <row r="50" spans="1:34" ht="12.75">
      <c r="A50" s="109" t="s">
        <v>877</v>
      </c>
      <c r="B50" s="109" t="s">
        <v>875</v>
      </c>
      <c r="C50" s="110" t="s">
        <v>2209</v>
      </c>
      <c r="D50" s="109"/>
      <c r="E50" s="111"/>
      <c r="F50" s="112" t="s">
        <v>878</v>
      </c>
      <c r="G50" s="112" t="s">
        <v>876</v>
      </c>
      <c r="H50" s="109" t="s">
        <v>2097</v>
      </c>
      <c r="I50" s="109"/>
      <c r="J50" s="109" t="s">
        <v>2110</v>
      </c>
      <c r="K50" s="114" t="s">
        <v>737</v>
      </c>
      <c r="L50" s="114" t="s">
        <v>735</v>
      </c>
      <c r="M50" s="114" t="s">
        <v>879</v>
      </c>
      <c r="N50" s="114" t="s">
        <v>317</v>
      </c>
      <c r="O50" s="112" t="s">
        <v>1588</v>
      </c>
      <c r="P50" s="114" t="s">
        <v>16</v>
      </c>
      <c r="Q50" s="109" t="s">
        <v>2100</v>
      </c>
      <c r="R50" s="110">
        <v>46490</v>
      </c>
      <c r="S50" s="109" t="s">
        <v>2</v>
      </c>
      <c r="T50" s="115">
        <v>1.8333333333333333</v>
      </c>
      <c r="U50" s="109" t="s">
        <v>72</v>
      </c>
      <c r="V50" s="109" t="s">
        <v>2101</v>
      </c>
      <c r="W50" s="109"/>
      <c r="X50" s="110">
        <v>46590</v>
      </c>
      <c r="Y50" s="109"/>
      <c r="Z50" s="110">
        <v>46126</v>
      </c>
      <c r="AA50" s="111"/>
      <c r="AB50" s="116">
        <v>46490</v>
      </c>
      <c r="AC50" s="109"/>
      <c r="AD50" s="109"/>
      <c r="AE50" s="117"/>
      <c r="AF50" s="117"/>
      <c r="AG50" s="117"/>
      <c r="AH50" s="117"/>
    </row>
    <row r="51" spans="1:34" ht="12.75">
      <c r="A51" s="109" t="s">
        <v>459</v>
      </c>
      <c r="B51" s="109" t="s">
        <v>456</v>
      </c>
      <c r="C51" s="110" t="s">
        <v>2210</v>
      </c>
      <c r="D51" s="109"/>
      <c r="E51" s="111"/>
      <c r="F51" s="112" t="s">
        <v>460</v>
      </c>
      <c r="G51" s="112" t="s">
        <v>457</v>
      </c>
      <c r="H51" s="109" t="s">
        <v>2097</v>
      </c>
      <c r="I51" s="109"/>
      <c r="J51" s="109" t="s">
        <v>2098</v>
      </c>
      <c r="K51" s="114" t="s">
        <v>464</v>
      </c>
      <c r="L51" s="114" t="s">
        <v>463</v>
      </c>
      <c r="M51" s="114" t="s">
        <v>400</v>
      </c>
      <c r="N51" s="114" t="s">
        <v>26</v>
      </c>
      <c r="O51" s="112" t="s">
        <v>1588</v>
      </c>
      <c r="P51" s="114" t="s">
        <v>16</v>
      </c>
      <c r="Q51" s="109" t="s">
        <v>2100</v>
      </c>
      <c r="R51" s="110">
        <v>46003</v>
      </c>
      <c r="S51" s="109" t="s">
        <v>2</v>
      </c>
      <c r="T51" s="118" t="s">
        <v>366</v>
      </c>
      <c r="U51" s="109" t="s">
        <v>3</v>
      </c>
      <c r="V51" s="109" t="s">
        <v>2113</v>
      </c>
      <c r="W51" s="109"/>
      <c r="X51" s="110">
        <v>46401</v>
      </c>
      <c r="Y51" s="109"/>
      <c r="Z51" s="110">
        <v>41621</v>
      </c>
      <c r="AA51" s="111"/>
      <c r="AB51" s="120">
        <v>46003</v>
      </c>
      <c r="AC51" s="109"/>
      <c r="AD51" s="109"/>
      <c r="AE51" s="117"/>
      <c r="AF51" s="117"/>
      <c r="AG51" s="117"/>
      <c r="AH51" s="117"/>
    </row>
    <row r="52" spans="1:34" ht="12.75">
      <c r="A52" s="109" t="s">
        <v>467</v>
      </c>
      <c r="B52" s="109" t="s">
        <v>465</v>
      </c>
      <c r="C52" s="110" t="s">
        <v>2211</v>
      </c>
      <c r="D52" s="109"/>
      <c r="E52" s="111"/>
      <c r="F52" s="112" t="s">
        <v>468</v>
      </c>
      <c r="G52" s="112" t="s">
        <v>466</v>
      </c>
      <c r="H52" s="109" t="s">
        <v>2097</v>
      </c>
      <c r="I52" s="109"/>
      <c r="J52" s="109" t="s">
        <v>2098</v>
      </c>
      <c r="K52" s="114" t="s">
        <v>472</v>
      </c>
      <c r="L52" s="114" t="s">
        <v>469</v>
      </c>
      <c r="M52" s="114" t="s">
        <v>470</v>
      </c>
      <c r="N52" s="114" t="s">
        <v>471</v>
      </c>
      <c r="O52" s="112" t="s">
        <v>1588</v>
      </c>
      <c r="P52" s="114" t="s">
        <v>16</v>
      </c>
      <c r="Q52" s="109" t="s">
        <v>2100</v>
      </c>
      <c r="R52" s="110">
        <v>45141</v>
      </c>
      <c r="S52" s="109" t="s">
        <v>2</v>
      </c>
      <c r="T52" s="115">
        <v>1.8333333333333333</v>
      </c>
      <c r="U52" s="109" t="s">
        <v>3</v>
      </c>
      <c r="V52" s="109" t="s">
        <v>2113</v>
      </c>
      <c r="W52" s="109"/>
      <c r="X52" s="119" t="s">
        <v>2114</v>
      </c>
      <c r="Y52" s="109"/>
      <c r="Z52" s="110">
        <v>43316</v>
      </c>
      <c r="AA52" s="111"/>
      <c r="AB52" s="116">
        <v>45141</v>
      </c>
      <c r="AC52" s="109"/>
      <c r="AD52" s="109"/>
      <c r="AE52" s="117"/>
      <c r="AF52" s="117"/>
      <c r="AG52" s="117"/>
      <c r="AH52" s="117"/>
    </row>
    <row r="53" spans="1:34" ht="12.75">
      <c r="A53" s="109" t="s">
        <v>883</v>
      </c>
      <c r="B53" s="109" t="s">
        <v>880</v>
      </c>
      <c r="C53" s="110" t="s">
        <v>2212</v>
      </c>
      <c r="D53" s="109"/>
      <c r="E53" s="110" t="s">
        <v>2213</v>
      </c>
      <c r="F53" s="112" t="s">
        <v>2214</v>
      </c>
      <c r="G53" s="112" t="s">
        <v>882</v>
      </c>
      <c r="H53" s="109" t="s">
        <v>2097</v>
      </c>
      <c r="I53" s="109"/>
      <c r="J53" s="109" t="s">
        <v>2098</v>
      </c>
      <c r="K53" s="114" t="s">
        <v>887</v>
      </c>
      <c r="L53" s="114" t="s">
        <v>885</v>
      </c>
      <c r="M53" s="114" t="s">
        <v>886</v>
      </c>
      <c r="N53" s="114" t="s">
        <v>40</v>
      </c>
      <c r="O53" s="112" t="s">
        <v>1588</v>
      </c>
      <c r="P53" s="114" t="s">
        <v>16</v>
      </c>
      <c r="Q53" s="109" t="s">
        <v>2100</v>
      </c>
      <c r="R53" s="110">
        <v>46140</v>
      </c>
      <c r="S53" s="109" t="s">
        <v>2</v>
      </c>
      <c r="T53" s="115">
        <v>1.8333333333333333</v>
      </c>
      <c r="U53" s="109" t="s">
        <v>72</v>
      </c>
      <c r="V53" s="109" t="s">
        <v>2101</v>
      </c>
      <c r="W53" s="109"/>
      <c r="X53" s="110">
        <v>46478</v>
      </c>
      <c r="Y53" s="109"/>
      <c r="Z53" s="110">
        <v>45411</v>
      </c>
      <c r="AA53" s="111"/>
      <c r="AB53" s="116">
        <v>46140</v>
      </c>
      <c r="AC53" s="109"/>
      <c r="AD53" s="109"/>
      <c r="AE53" s="117"/>
      <c r="AF53" s="117"/>
      <c r="AG53" s="117"/>
      <c r="AH53" s="117"/>
    </row>
    <row r="54" spans="1:34" ht="12.75">
      <c r="A54" s="109" t="s">
        <v>890</v>
      </c>
      <c r="B54" s="109" t="s">
        <v>888</v>
      </c>
      <c r="C54" s="110" t="s">
        <v>2217</v>
      </c>
      <c r="D54" s="109"/>
      <c r="E54" s="110" t="s">
        <v>2218</v>
      </c>
      <c r="F54" s="112" t="s">
        <v>891</v>
      </c>
      <c r="G54" s="112" t="s">
        <v>889</v>
      </c>
      <c r="H54" s="109" t="s">
        <v>2097</v>
      </c>
      <c r="I54" s="109"/>
      <c r="J54" s="109" t="s">
        <v>2098</v>
      </c>
      <c r="K54" s="114" t="s">
        <v>859</v>
      </c>
      <c r="L54" s="114" t="s">
        <v>893</v>
      </c>
      <c r="M54" s="114" t="s">
        <v>797</v>
      </c>
      <c r="N54" s="114" t="s">
        <v>14</v>
      </c>
      <c r="O54" s="112" t="s">
        <v>1588</v>
      </c>
      <c r="P54" s="114" t="s">
        <v>16</v>
      </c>
      <c r="Q54" s="109" t="s">
        <v>2100</v>
      </c>
      <c r="R54" s="110">
        <v>46376</v>
      </c>
      <c r="S54" s="109" t="s">
        <v>2</v>
      </c>
      <c r="T54" s="115">
        <v>1.8333333333333333</v>
      </c>
      <c r="U54" s="109" t="s">
        <v>3</v>
      </c>
      <c r="V54" s="109" t="s">
        <v>2101</v>
      </c>
      <c r="W54" s="109"/>
      <c r="X54" s="110">
        <v>46458</v>
      </c>
      <c r="Y54" s="109"/>
      <c r="Z54" s="110">
        <v>45647</v>
      </c>
      <c r="AA54" s="111"/>
      <c r="AB54" s="120">
        <v>46376</v>
      </c>
      <c r="AC54" s="109"/>
      <c r="AD54" s="109"/>
      <c r="AE54" s="117"/>
      <c r="AF54" s="117"/>
      <c r="AG54" s="117"/>
      <c r="AH54" s="117"/>
    </row>
    <row r="55" spans="1:34" ht="12.75">
      <c r="A55" s="109" t="s">
        <v>242</v>
      </c>
      <c r="B55" s="109" t="s">
        <v>240</v>
      </c>
      <c r="C55" s="110" t="s">
        <v>2220</v>
      </c>
      <c r="D55" s="109"/>
      <c r="E55" s="111"/>
      <c r="F55" s="112" t="s">
        <v>243</v>
      </c>
      <c r="G55" s="112" t="s">
        <v>241</v>
      </c>
      <c r="H55" s="109" t="s">
        <v>2097</v>
      </c>
      <c r="I55" s="109"/>
      <c r="J55" s="109" t="s">
        <v>2098</v>
      </c>
      <c r="K55" s="114" t="s">
        <v>248</v>
      </c>
      <c r="L55" s="114" t="s">
        <v>245</v>
      </c>
      <c r="M55" s="114" t="s">
        <v>246</v>
      </c>
      <c r="N55" s="114" t="s">
        <v>247</v>
      </c>
      <c r="O55" s="112" t="s">
        <v>113</v>
      </c>
      <c r="P55" s="114" t="s">
        <v>16</v>
      </c>
      <c r="Q55" s="109" t="s">
        <v>2100</v>
      </c>
      <c r="R55" s="110">
        <v>46457</v>
      </c>
      <c r="S55" s="109" t="s">
        <v>215</v>
      </c>
      <c r="T55" s="118" t="s">
        <v>216</v>
      </c>
      <c r="U55" s="109" t="s">
        <v>3</v>
      </c>
      <c r="V55" s="109" t="s">
        <v>2101</v>
      </c>
      <c r="W55" s="109"/>
      <c r="X55" s="110">
        <v>46454</v>
      </c>
      <c r="Y55" s="109"/>
      <c r="Z55" s="110">
        <v>46093</v>
      </c>
      <c r="AA55" s="111"/>
      <c r="AB55" s="116">
        <v>46457</v>
      </c>
      <c r="AC55" s="109"/>
      <c r="AD55" s="109"/>
      <c r="AE55" s="117"/>
      <c r="AF55" s="117"/>
      <c r="AG55" s="117"/>
      <c r="AH55" s="117"/>
    </row>
    <row r="56" spans="1:34" ht="12.75">
      <c r="A56" s="109" t="s">
        <v>896</v>
      </c>
      <c r="B56" s="109" t="s">
        <v>894</v>
      </c>
      <c r="C56" s="110" t="s">
        <v>2221</v>
      </c>
      <c r="D56" s="109"/>
      <c r="E56" s="111"/>
      <c r="F56" s="112" t="s">
        <v>897</v>
      </c>
      <c r="G56" s="112" t="s">
        <v>895</v>
      </c>
      <c r="H56" s="109" t="s">
        <v>2097</v>
      </c>
      <c r="I56" s="109"/>
      <c r="J56" s="109" t="s">
        <v>2110</v>
      </c>
      <c r="K56" s="114" t="s">
        <v>900</v>
      </c>
      <c r="L56" s="114" t="s">
        <v>898</v>
      </c>
      <c r="M56" s="114" t="s">
        <v>899</v>
      </c>
      <c r="N56" s="114" t="s">
        <v>287</v>
      </c>
      <c r="O56" s="112" t="s">
        <v>1588</v>
      </c>
      <c r="P56" s="114" t="s">
        <v>16</v>
      </c>
      <c r="Q56" s="109" t="s">
        <v>2100</v>
      </c>
      <c r="R56" s="110">
        <v>46587</v>
      </c>
      <c r="S56" s="109" t="s">
        <v>2</v>
      </c>
      <c r="T56" s="115">
        <v>1.8333333333333333</v>
      </c>
      <c r="U56" s="109" t="s">
        <v>72</v>
      </c>
      <c r="V56" s="109" t="s">
        <v>2101</v>
      </c>
      <c r="W56" s="109"/>
      <c r="X56" s="110">
        <v>46583</v>
      </c>
      <c r="Y56" s="109"/>
      <c r="Z56" s="110">
        <v>46223</v>
      </c>
      <c r="AA56" s="119" t="s">
        <v>2136</v>
      </c>
      <c r="AB56" s="116">
        <v>46587</v>
      </c>
      <c r="AC56" s="109"/>
      <c r="AD56" s="109"/>
      <c r="AE56" s="117"/>
      <c r="AF56" s="117"/>
      <c r="AG56" s="117"/>
      <c r="AH56" s="117"/>
    </row>
    <row r="57" spans="1:34" ht="12.75">
      <c r="A57" s="109" t="s">
        <v>252</v>
      </c>
      <c r="B57" s="109" t="s">
        <v>249</v>
      </c>
      <c r="C57" s="110" t="s">
        <v>2222</v>
      </c>
      <c r="D57" s="109"/>
      <c r="E57" s="111"/>
      <c r="F57" s="112" t="s">
        <v>253</v>
      </c>
      <c r="G57" s="112" t="s">
        <v>250</v>
      </c>
      <c r="H57" s="109" t="s">
        <v>2097</v>
      </c>
      <c r="I57" s="109"/>
      <c r="J57" s="109" t="s">
        <v>2098</v>
      </c>
      <c r="K57" s="114" t="s">
        <v>262</v>
      </c>
      <c r="L57" s="114" t="s">
        <v>259</v>
      </c>
      <c r="M57" s="114" t="s">
        <v>260</v>
      </c>
      <c r="N57" s="114" t="s">
        <v>261</v>
      </c>
      <c r="O57" s="112" t="s">
        <v>274</v>
      </c>
      <c r="P57" s="114" t="s">
        <v>16</v>
      </c>
      <c r="Q57" s="109" t="s">
        <v>2100</v>
      </c>
      <c r="R57" s="110">
        <v>46583</v>
      </c>
      <c r="S57" s="109" t="s">
        <v>215</v>
      </c>
      <c r="T57" s="118" t="s">
        <v>216</v>
      </c>
      <c r="U57" s="109" t="s">
        <v>3</v>
      </c>
      <c r="V57" s="109" t="s">
        <v>2101</v>
      </c>
      <c r="W57" s="109"/>
      <c r="X57" s="110">
        <v>46573</v>
      </c>
      <c r="Y57" s="109"/>
      <c r="Z57" s="110">
        <v>46219</v>
      </c>
      <c r="AA57" s="119" t="s">
        <v>2136</v>
      </c>
      <c r="AB57" s="116">
        <v>46583</v>
      </c>
      <c r="AC57" s="109"/>
      <c r="AD57" s="109"/>
      <c r="AE57" s="117"/>
      <c r="AF57" s="117"/>
      <c r="AG57" s="117"/>
      <c r="AH57" s="117"/>
    </row>
    <row r="58" spans="1:34" ht="12.75">
      <c r="A58" s="109" t="s">
        <v>47</v>
      </c>
      <c r="B58" s="109" t="s">
        <v>42</v>
      </c>
      <c r="C58" s="110" t="s">
        <v>2223</v>
      </c>
      <c r="D58" s="109"/>
      <c r="E58" s="111"/>
      <c r="F58" s="112" t="s">
        <v>2224</v>
      </c>
      <c r="G58" s="112" t="s">
        <v>45</v>
      </c>
      <c r="H58" s="109" t="s">
        <v>2097</v>
      </c>
      <c r="I58" s="109"/>
      <c r="J58" s="109" t="s">
        <v>2098</v>
      </c>
      <c r="K58" s="114" t="s">
        <v>54</v>
      </c>
      <c r="L58" s="114" t="s">
        <v>51</v>
      </c>
      <c r="M58" s="114" t="s">
        <v>52</v>
      </c>
      <c r="N58" s="114" t="s">
        <v>53</v>
      </c>
      <c r="O58" s="112" t="s">
        <v>48</v>
      </c>
      <c r="P58" s="114" t="s">
        <v>16</v>
      </c>
      <c r="Q58" s="109" t="s">
        <v>2100</v>
      </c>
      <c r="R58" s="110">
        <v>46599</v>
      </c>
      <c r="S58" s="109" t="s">
        <v>32</v>
      </c>
      <c r="T58" s="118" t="s">
        <v>46</v>
      </c>
      <c r="U58" s="109" t="s">
        <v>3</v>
      </c>
      <c r="V58" s="109" t="s">
        <v>2113</v>
      </c>
      <c r="W58" s="109"/>
      <c r="X58" s="119" t="s">
        <v>2114</v>
      </c>
      <c r="Y58" s="109"/>
      <c r="Z58" s="110">
        <v>45630</v>
      </c>
      <c r="AA58" s="111"/>
      <c r="AB58" s="116">
        <v>46599</v>
      </c>
      <c r="AC58" s="109"/>
      <c r="AD58" s="109"/>
      <c r="AE58" s="117"/>
      <c r="AF58" s="117"/>
      <c r="AG58" s="117"/>
      <c r="AH58" s="117"/>
    </row>
    <row r="59" spans="1:34" ht="12.75">
      <c r="A59" s="109" t="s">
        <v>265</v>
      </c>
      <c r="B59" s="109" t="s">
        <v>263</v>
      </c>
      <c r="C59" s="110" t="s">
        <v>2225</v>
      </c>
      <c r="D59" s="109"/>
      <c r="E59" s="111"/>
      <c r="F59" s="112" t="s">
        <v>2226</v>
      </c>
      <c r="G59" s="112" t="s">
        <v>264</v>
      </c>
      <c r="H59" s="109" t="s">
        <v>2097</v>
      </c>
      <c r="I59" s="109"/>
      <c r="J59" s="109" t="s">
        <v>2110</v>
      </c>
      <c r="K59" s="114" t="s">
        <v>269</v>
      </c>
      <c r="L59" s="114" t="s">
        <v>267</v>
      </c>
      <c r="M59" s="114" t="s">
        <v>268</v>
      </c>
      <c r="N59" s="114" t="s">
        <v>68</v>
      </c>
      <c r="O59" s="112" t="s">
        <v>1588</v>
      </c>
      <c r="P59" s="114" t="s">
        <v>16</v>
      </c>
      <c r="Q59" s="109" t="s">
        <v>2100</v>
      </c>
      <c r="R59" s="110">
        <v>46114</v>
      </c>
      <c r="S59" s="109" t="s">
        <v>215</v>
      </c>
      <c r="T59" s="118" t="s">
        <v>216</v>
      </c>
      <c r="U59" s="109" t="s">
        <v>72</v>
      </c>
      <c r="V59" s="109" t="s">
        <v>2101</v>
      </c>
      <c r="W59" s="109"/>
      <c r="X59" s="110">
        <v>46440</v>
      </c>
      <c r="Y59" s="109"/>
      <c r="Z59" s="110">
        <v>45750</v>
      </c>
      <c r="AA59" s="111"/>
      <c r="AB59" s="116">
        <v>46114</v>
      </c>
      <c r="AC59" s="109"/>
      <c r="AD59" s="109"/>
      <c r="AE59" s="117"/>
      <c r="AF59" s="117"/>
      <c r="AG59" s="117"/>
      <c r="AH59" s="117"/>
    </row>
    <row r="60" spans="1:34" ht="12.75">
      <c r="A60" s="109" t="s">
        <v>903</v>
      </c>
      <c r="B60" s="109" t="s">
        <v>901</v>
      </c>
      <c r="C60" s="110" t="s">
        <v>2227</v>
      </c>
      <c r="D60" s="109"/>
      <c r="E60" s="110" t="s">
        <v>2228</v>
      </c>
      <c r="F60" s="112" t="s">
        <v>2229</v>
      </c>
      <c r="G60" s="112" t="s">
        <v>902</v>
      </c>
      <c r="H60" s="109" t="s">
        <v>2097</v>
      </c>
      <c r="I60" s="109"/>
      <c r="J60" s="109" t="s">
        <v>2098</v>
      </c>
      <c r="K60" s="114" t="s">
        <v>906</v>
      </c>
      <c r="L60" s="114" t="s">
        <v>904</v>
      </c>
      <c r="M60" s="114" t="s">
        <v>905</v>
      </c>
      <c r="N60" s="114" t="s">
        <v>453</v>
      </c>
      <c r="O60" s="112" t="s">
        <v>1588</v>
      </c>
      <c r="P60" s="114" t="s">
        <v>16</v>
      </c>
      <c r="Q60" s="109" t="s">
        <v>2100</v>
      </c>
      <c r="R60" s="110">
        <v>46074</v>
      </c>
      <c r="S60" s="109" t="s">
        <v>2</v>
      </c>
      <c r="T60" s="118" t="s">
        <v>366</v>
      </c>
      <c r="U60" s="109" t="s">
        <v>3</v>
      </c>
      <c r="V60" s="109" t="s">
        <v>2101</v>
      </c>
      <c r="W60" s="109"/>
      <c r="X60" s="110">
        <v>46405</v>
      </c>
      <c r="Y60" s="109"/>
      <c r="Z60" s="110">
        <v>45344</v>
      </c>
      <c r="AA60" s="111"/>
      <c r="AB60" s="116">
        <v>46074</v>
      </c>
      <c r="AC60" s="109"/>
      <c r="AD60" s="109"/>
      <c r="AE60" s="117"/>
      <c r="AF60" s="117"/>
      <c r="AG60" s="117"/>
      <c r="AH60" s="117"/>
    </row>
    <row r="61" spans="1:34" ht="12.75">
      <c r="A61" s="109" t="s">
        <v>910</v>
      </c>
      <c r="B61" s="109" t="s">
        <v>907</v>
      </c>
      <c r="C61" s="110" t="s">
        <v>2230</v>
      </c>
      <c r="D61" s="109"/>
      <c r="E61" s="111"/>
      <c r="F61" s="112" t="s">
        <v>911</v>
      </c>
      <c r="G61" s="112" t="s">
        <v>908</v>
      </c>
      <c r="H61" s="109" t="s">
        <v>2097</v>
      </c>
      <c r="I61" s="109"/>
      <c r="J61" s="109" t="s">
        <v>2110</v>
      </c>
      <c r="K61" s="114" t="s">
        <v>914</v>
      </c>
      <c r="L61" s="114" t="s">
        <v>912</v>
      </c>
      <c r="M61" s="114" t="s">
        <v>913</v>
      </c>
      <c r="N61" s="114" t="s">
        <v>26</v>
      </c>
      <c r="O61" s="112" t="s">
        <v>1588</v>
      </c>
      <c r="P61" s="114" t="s">
        <v>16</v>
      </c>
      <c r="Q61" s="109" t="s">
        <v>2100</v>
      </c>
      <c r="R61" s="110">
        <v>46442</v>
      </c>
      <c r="S61" s="109" t="s">
        <v>2</v>
      </c>
      <c r="T61" s="118" t="s">
        <v>366</v>
      </c>
      <c r="U61" s="109" t="s">
        <v>72</v>
      </c>
      <c r="V61" s="109" t="s">
        <v>2101</v>
      </c>
      <c r="W61" s="109"/>
      <c r="X61" s="110">
        <v>46440</v>
      </c>
      <c r="Y61" s="109"/>
      <c r="Z61" s="110">
        <v>46078</v>
      </c>
      <c r="AA61" s="111"/>
      <c r="AB61" s="116">
        <v>46442</v>
      </c>
      <c r="AC61" s="109"/>
      <c r="AD61" s="109"/>
      <c r="AE61" s="117"/>
      <c r="AF61" s="117"/>
      <c r="AG61" s="117"/>
      <c r="AH61" s="117"/>
    </row>
    <row r="62" spans="1:34" ht="12.75">
      <c r="A62" s="109" t="s">
        <v>61</v>
      </c>
      <c r="B62" s="109" t="s">
        <v>56</v>
      </c>
      <c r="C62" s="110" t="s">
        <v>2231</v>
      </c>
      <c r="D62" s="109"/>
      <c r="E62" s="111"/>
      <c r="F62" s="112" t="s">
        <v>62</v>
      </c>
      <c r="G62" s="112" t="s">
        <v>57</v>
      </c>
      <c r="H62" s="109" t="s">
        <v>2097</v>
      </c>
      <c r="I62" s="109"/>
      <c r="J62" s="109" t="s">
        <v>2110</v>
      </c>
      <c r="K62" s="114" t="s">
        <v>69</v>
      </c>
      <c r="L62" s="114" t="s">
        <v>66</v>
      </c>
      <c r="M62" s="114" t="s">
        <v>67</v>
      </c>
      <c r="N62" s="114" t="s">
        <v>68</v>
      </c>
      <c r="O62" s="112" t="s">
        <v>1588</v>
      </c>
      <c r="P62" s="114" t="s">
        <v>16</v>
      </c>
      <c r="Q62" s="109" t="s">
        <v>2100</v>
      </c>
      <c r="R62" s="110">
        <v>46376</v>
      </c>
      <c r="S62" s="109" t="s">
        <v>2</v>
      </c>
      <c r="T62" s="115">
        <v>1.8333333333333333</v>
      </c>
      <c r="U62" s="109" t="s">
        <v>3</v>
      </c>
      <c r="V62" s="109" t="s">
        <v>2101</v>
      </c>
      <c r="W62" s="109"/>
      <c r="X62" s="110">
        <v>46359</v>
      </c>
      <c r="Y62" s="109"/>
      <c r="Z62" s="110">
        <v>45647</v>
      </c>
      <c r="AA62" s="111"/>
      <c r="AB62" s="120">
        <v>46376</v>
      </c>
      <c r="AC62" s="109"/>
      <c r="AD62" s="109"/>
      <c r="AE62" s="117"/>
      <c r="AF62" s="117"/>
      <c r="AG62" s="117"/>
      <c r="AH62" s="117"/>
    </row>
    <row r="63" spans="1:34" ht="12.75">
      <c r="A63" s="109" t="s">
        <v>918</v>
      </c>
      <c r="B63" s="109" t="s">
        <v>915</v>
      </c>
      <c r="C63" s="110" t="s">
        <v>2232</v>
      </c>
      <c r="D63" s="109"/>
      <c r="E63" s="111"/>
      <c r="F63" s="112" t="s">
        <v>919</v>
      </c>
      <c r="G63" s="112" t="s">
        <v>917</v>
      </c>
      <c r="H63" s="109" t="s">
        <v>2097</v>
      </c>
      <c r="I63" s="109"/>
      <c r="J63" s="109" t="s">
        <v>2098</v>
      </c>
      <c r="K63" s="114" t="s">
        <v>914</v>
      </c>
      <c r="L63" s="114" t="s">
        <v>912</v>
      </c>
      <c r="M63" s="114" t="s">
        <v>39</v>
      </c>
      <c r="N63" s="114" t="s">
        <v>26</v>
      </c>
      <c r="O63" s="112" t="s">
        <v>1588</v>
      </c>
      <c r="P63" s="114" t="s">
        <v>16</v>
      </c>
      <c r="Q63" s="109" t="s">
        <v>2100</v>
      </c>
      <c r="R63" s="110">
        <v>46562</v>
      </c>
      <c r="S63" s="109" t="s">
        <v>2</v>
      </c>
      <c r="T63" s="115">
        <v>1.8333333333333333</v>
      </c>
      <c r="U63" s="109" t="s">
        <v>3</v>
      </c>
      <c r="V63" s="109" t="s">
        <v>2101</v>
      </c>
      <c r="W63" s="109"/>
      <c r="X63" s="110">
        <v>46559</v>
      </c>
      <c r="Y63" s="109"/>
      <c r="Z63" s="110">
        <v>46198</v>
      </c>
      <c r="AA63" s="119" t="s">
        <v>2136</v>
      </c>
      <c r="AB63" s="116">
        <v>46562</v>
      </c>
      <c r="AC63" s="109"/>
      <c r="AD63" s="109"/>
      <c r="AE63" s="117"/>
      <c r="AF63" s="117"/>
      <c r="AG63" s="117"/>
      <c r="AH63" s="117"/>
    </row>
    <row r="64" spans="1:34" ht="12.75">
      <c r="A64" s="109" t="s">
        <v>272</v>
      </c>
      <c r="B64" s="109" t="s">
        <v>270</v>
      </c>
      <c r="C64" s="110" t="s">
        <v>2234</v>
      </c>
      <c r="D64" s="109"/>
      <c r="E64" s="111"/>
      <c r="F64" s="112" t="s">
        <v>273</v>
      </c>
      <c r="G64" s="112" t="s">
        <v>271</v>
      </c>
      <c r="H64" s="109" t="s">
        <v>2097</v>
      </c>
      <c r="I64" s="109"/>
      <c r="J64" s="109" t="s">
        <v>2098</v>
      </c>
      <c r="K64" s="114" t="s">
        <v>278</v>
      </c>
      <c r="L64" s="114" t="s">
        <v>275</v>
      </c>
      <c r="M64" s="114" t="s">
        <v>39</v>
      </c>
      <c r="N64" s="114" t="s">
        <v>276</v>
      </c>
      <c r="O64" s="112" t="s">
        <v>274</v>
      </c>
      <c r="P64" s="114" t="s">
        <v>16</v>
      </c>
      <c r="Q64" s="109" t="s">
        <v>2100</v>
      </c>
      <c r="R64" s="110">
        <v>46239</v>
      </c>
      <c r="S64" s="109" t="s">
        <v>215</v>
      </c>
      <c r="T64" s="118" t="s">
        <v>216</v>
      </c>
      <c r="U64" s="109" t="s">
        <v>3</v>
      </c>
      <c r="V64" s="109" t="s">
        <v>2101</v>
      </c>
      <c r="W64" s="109"/>
      <c r="X64" s="110">
        <v>46233</v>
      </c>
      <c r="Y64" s="109"/>
      <c r="Z64" s="110">
        <v>45875</v>
      </c>
      <c r="AA64" s="111"/>
      <c r="AB64" s="116">
        <v>46239</v>
      </c>
      <c r="AC64" s="109"/>
      <c r="AD64" s="109"/>
      <c r="AE64" s="117"/>
      <c r="AF64" s="117"/>
      <c r="AG64" s="117"/>
      <c r="AH64" s="117"/>
    </row>
    <row r="65" spans="1:34" ht="12.75">
      <c r="A65" s="109" t="s">
        <v>925</v>
      </c>
      <c r="B65" s="109" t="s">
        <v>923</v>
      </c>
      <c r="C65" s="110" t="s">
        <v>2235</v>
      </c>
      <c r="D65" s="109"/>
      <c r="E65" s="111"/>
      <c r="F65" s="112" t="s">
        <v>926</v>
      </c>
      <c r="G65" s="112" t="s">
        <v>924</v>
      </c>
      <c r="H65" s="109" t="s">
        <v>2097</v>
      </c>
      <c r="I65" s="109"/>
      <c r="J65" s="109" t="s">
        <v>2098</v>
      </c>
      <c r="K65" s="114" t="s">
        <v>930</v>
      </c>
      <c r="L65" s="114" t="s">
        <v>927</v>
      </c>
      <c r="M65" s="114" t="s">
        <v>928</v>
      </c>
      <c r="N65" s="114" t="s">
        <v>929</v>
      </c>
      <c r="O65" s="112" t="s">
        <v>1588</v>
      </c>
      <c r="P65" s="114" t="s">
        <v>16</v>
      </c>
      <c r="Q65" s="109" t="s">
        <v>2100</v>
      </c>
      <c r="R65" s="110">
        <v>46559</v>
      </c>
      <c r="S65" s="109" t="s">
        <v>2</v>
      </c>
      <c r="T65" s="118" t="s">
        <v>366</v>
      </c>
      <c r="U65" s="109" t="s">
        <v>3</v>
      </c>
      <c r="V65" s="109" t="s">
        <v>2101</v>
      </c>
      <c r="W65" s="109"/>
      <c r="X65" s="110">
        <v>46555</v>
      </c>
      <c r="Y65" s="109"/>
      <c r="Z65" s="110">
        <v>46195</v>
      </c>
      <c r="AA65" s="119" t="s">
        <v>2136</v>
      </c>
      <c r="AB65" s="116">
        <v>46559</v>
      </c>
      <c r="AC65" s="109"/>
      <c r="AD65" s="109"/>
      <c r="AE65" s="117"/>
      <c r="AF65" s="117"/>
      <c r="AG65" s="117"/>
      <c r="AH65" s="117"/>
    </row>
    <row r="66" spans="1:34" ht="12.75">
      <c r="A66" s="109" t="s">
        <v>358</v>
      </c>
      <c r="B66" s="109" t="s">
        <v>355</v>
      </c>
      <c r="C66" s="110" t="s">
        <v>2236</v>
      </c>
      <c r="D66" s="109"/>
      <c r="E66" s="111"/>
      <c r="F66" s="112" t="s">
        <v>2237</v>
      </c>
      <c r="G66" s="112" t="s">
        <v>357</v>
      </c>
      <c r="H66" s="109" t="s">
        <v>2097</v>
      </c>
      <c r="I66" s="109"/>
      <c r="J66" s="109" t="s">
        <v>2098</v>
      </c>
      <c r="K66" s="114" t="s">
        <v>363</v>
      </c>
      <c r="L66" s="114" t="s">
        <v>359</v>
      </c>
      <c r="M66" s="114" t="s">
        <v>360</v>
      </c>
      <c r="N66" s="114" t="s">
        <v>362</v>
      </c>
      <c r="O66" s="112" t="s">
        <v>1588</v>
      </c>
      <c r="P66" s="114" t="s">
        <v>16</v>
      </c>
      <c r="Q66" s="109" t="s">
        <v>2100</v>
      </c>
      <c r="R66" s="111"/>
      <c r="S66" s="109" t="s">
        <v>2</v>
      </c>
      <c r="T66" s="115">
        <v>1.8333333333333333</v>
      </c>
      <c r="U66" s="109" t="s">
        <v>3</v>
      </c>
      <c r="V66" s="109" t="s">
        <v>2238</v>
      </c>
      <c r="W66" s="109"/>
      <c r="X66" s="119" t="s">
        <v>2114</v>
      </c>
      <c r="Y66" s="109"/>
      <c r="Z66" s="110">
        <v>45898</v>
      </c>
      <c r="AA66" s="111"/>
      <c r="AB66" s="109"/>
      <c r="AC66" s="109"/>
      <c r="AD66" s="109"/>
      <c r="AE66" s="117"/>
      <c r="AF66" s="117"/>
      <c r="AG66" s="117"/>
      <c r="AH66" s="117"/>
    </row>
    <row r="67" spans="1:34" ht="12.75">
      <c r="A67" s="109" t="s">
        <v>934</v>
      </c>
      <c r="B67" s="109" t="s">
        <v>931</v>
      </c>
      <c r="C67" s="110" t="s">
        <v>2239</v>
      </c>
      <c r="D67" s="109"/>
      <c r="E67" s="111"/>
      <c r="F67" s="112" t="s">
        <v>935</v>
      </c>
      <c r="G67" s="112" t="s">
        <v>933</v>
      </c>
      <c r="H67" s="109" t="s">
        <v>2097</v>
      </c>
      <c r="I67" s="109"/>
      <c r="J67" s="109" t="s">
        <v>2098</v>
      </c>
      <c r="K67" s="114" t="s">
        <v>937</v>
      </c>
      <c r="L67" s="114" t="s">
        <v>936</v>
      </c>
      <c r="M67" s="114" t="s">
        <v>618</v>
      </c>
      <c r="N67" s="114" t="s">
        <v>26</v>
      </c>
      <c r="O67" s="112" t="s">
        <v>1588</v>
      </c>
      <c r="P67" s="114" t="s">
        <v>16</v>
      </c>
      <c r="Q67" s="109" t="s">
        <v>2100</v>
      </c>
      <c r="R67" s="110">
        <v>45946</v>
      </c>
      <c r="S67" s="109" t="s">
        <v>2</v>
      </c>
      <c r="T67" s="115">
        <v>1.8333333333333333</v>
      </c>
      <c r="U67" s="109" t="s">
        <v>404</v>
      </c>
      <c r="V67" s="109" t="s">
        <v>2113</v>
      </c>
      <c r="W67" s="109"/>
      <c r="X67" s="110">
        <v>46302</v>
      </c>
      <c r="Y67" s="109"/>
      <c r="Z67" s="110">
        <v>45582</v>
      </c>
      <c r="AA67" s="111"/>
      <c r="AB67" s="120">
        <v>45946</v>
      </c>
      <c r="AC67" s="109"/>
      <c r="AD67" s="109"/>
      <c r="AE67" s="117"/>
      <c r="AF67" s="117"/>
      <c r="AG67" s="117"/>
      <c r="AH67" s="117"/>
    </row>
    <row r="68" spans="1:34" ht="12.75">
      <c r="A68" s="109" t="s">
        <v>73</v>
      </c>
      <c r="B68" s="109" t="s">
        <v>70</v>
      </c>
      <c r="C68" s="110" t="s">
        <v>2240</v>
      </c>
      <c r="D68" s="109"/>
      <c r="E68" s="111"/>
      <c r="F68" s="112" t="s">
        <v>74</v>
      </c>
      <c r="G68" s="112" t="s">
        <v>71</v>
      </c>
      <c r="H68" s="109" t="s">
        <v>2097</v>
      </c>
      <c r="I68" s="109"/>
      <c r="J68" s="109" t="s">
        <v>2098</v>
      </c>
      <c r="K68" s="114" t="s">
        <v>80</v>
      </c>
      <c r="L68" s="114" t="s">
        <v>77</v>
      </c>
      <c r="M68" s="114" t="s">
        <v>78</v>
      </c>
      <c r="N68" s="114" t="s">
        <v>79</v>
      </c>
      <c r="O68" s="112" t="s">
        <v>1588</v>
      </c>
      <c r="P68" s="114" t="s">
        <v>16</v>
      </c>
      <c r="Q68" s="109" t="s">
        <v>2100</v>
      </c>
      <c r="R68" s="110">
        <v>46223</v>
      </c>
      <c r="S68" s="109" t="s">
        <v>32</v>
      </c>
      <c r="T68" s="115">
        <v>0.54166666666666663</v>
      </c>
      <c r="U68" s="109" t="s">
        <v>72</v>
      </c>
      <c r="V68" s="109" t="s">
        <v>2101</v>
      </c>
      <c r="W68" s="109"/>
      <c r="X68" s="110">
        <v>46548</v>
      </c>
      <c r="Y68" s="109"/>
      <c r="Z68" s="110">
        <v>45128</v>
      </c>
      <c r="AA68" s="111"/>
      <c r="AB68" s="116">
        <v>46223</v>
      </c>
      <c r="AC68" s="109"/>
      <c r="AD68" s="109"/>
      <c r="AE68" s="117"/>
      <c r="AF68" s="117"/>
      <c r="AG68" s="117"/>
      <c r="AH68" s="117"/>
    </row>
    <row r="69" spans="1:34" ht="12.75">
      <c r="A69" s="109" t="s">
        <v>475</v>
      </c>
      <c r="B69" s="109" t="s">
        <v>473</v>
      </c>
      <c r="C69" s="110" t="s">
        <v>2241</v>
      </c>
      <c r="D69" s="109"/>
      <c r="E69" s="111"/>
      <c r="F69" s="112" t="s">
        <v>476</v>
      </c>
      <c r="G69" s="112" t="s">
        <v>474</v>
      </c>
      <c r="H69" s="109" t="s">
        <v>2097</v>
      </c>
      <c r="I69" s="109"/>
      <c r="J69" s="109" t="s">
        <v>2098</v>
      </c>
      <c r="K69" s="114" t="s">
        <v>479</v>
      </c>
      <c r="L69" s="114" t="s">
        <v>477</v>
      </c>
      <c r="M69" s="114" t="s">
        <v>478</v>
      </c>
      <c r="N69" s="114" t="s">
        <v>287</v>
      </c>
      <c r="O69" s="112" t="s">
        <v>1588</v>
      </c>
      <c r="P69" s="114" t="s">
        <v>16</v>
      </c>
      <c r="Q69" s="109" t="s">
        <v>2100</v>
      </c>
      <c r="R69" s="110">
        <v>45832</v>
      </c>
      <c r="S69" s="109" t="s">
        <v>2</v>
      </c>
      <c r="T69" s="115">
        <v>1.8333333333333333</v>
      </c>
      <c r="U69" s="109" t="s">
        <v>3</v>
      </c>
      <c r="V69" s="109" t="s">
        <v>2113</v>
      </c>
      <c r="W69" s="109"/>
      <c r="X69" s="110">
        <v>47848</v>
      </c>
      <c r="Y69" s="109"/>
      <c r="Z69" s="110">
        <v>45231</v>
      </c>
      <c r="AA69" s="111"/>
      <c r="AB69" s="116">
        <v>45832</v>
      </c>
      <c r="AC69" s="109"/>
      <c r="AD69" s="109"/>
      <c r="AE69" s="117"/>
      <c r="AF69" s="117"/>
      <c r="AG69" s="117"/>
      <c r="AH69" s="117"/>
    </row>
    <row r="70" spans="1:34" ht="12.75">
      <c r="A70" s="109" t="s">
        <v>941</v>
      </c>
      <c r="B70" s="109" t="s">
        <v>938</v>
      </c>
      <c r="C70" s="110" t="s">
        <v>2242</v>
      </c>
      <c r="D70" s="109"/>
      <c r="E70" s="110" t="s">
        <v>2243</v>
      </c>
      <c r="F70" s="112" t="s">
        <v>2244</v>
      </c>
      <c r="G70" s="112" t="s">
        <v>940</v>
      </c>
      <c r="H70" s="109" t="s">
        <v>2097</v>
      </c>
      <c r="I70" s="109"/>
      <c r="J70" s="109" t="s">
        <v>2110</v>
      </c>
      <c r="K70" s="114" t="s">
        <v>944</v>
      </c>
      <c r="L70" s="114" t="s">
        <v>942</v>
      </c>
      <c r="M70" s="114" t="s">
        <v>943</v>
      </c>
      <c r="N70" s="114" t="s">
        <v>411</v>
      </c>
      <c r="O70" s="112" t="s">
        <v>1588</v>
      </c>
      <c r="P70" s="114" t="s">
        <v>16</v>
      </c>
      <c r="Q70" s="109" t="s">
        <v>2100</v>
      </c>
      <c r="R70" s="110">
        <v>46250</v>
      </c>
      <c r="S70" s="109" t="s">
        <v>2</v>
      </c>
      <c r="T70" s="115">
        <v>1.8333333333333333</v>
      </c>
      <c r="U70" s="109" t="s">
        <v>72</v>
      </c>
      <c r="V70" s="109" t="s">
        <v>2101</v>
      </c>
      <c r="W70" s="109"/>
      <c r="X70" s="110">
        <v>46548</v>
      </c>
      <c r="Y70" s="109"/>
      <c r="Z70" s="110">
        <v>43329</v>
      </c>
      <c r="AA70" s="111"/>
      <c r="AB70" s="116">
        <v>46250</v>
      </c>
      <c r="AC70" s="109"/>
      <c r="AD70" s="109"/>
      <c r="AE70" s="117"/>
      <c r="AF70" s="117"/>
      <c r="AG70" s="117"/>
      <c r="AH70" s="117"/>
    </row>
    <row r="71" spans="1:34" ht="12.75">
      <c r="A71" s="109" t="s">
        <v>948</v>
      </c>
      <c r="B71" s="109" t="s">
        <v>945</v>
      </c>
      <c r="C71" s="111"/>
      <c r="D71" s="109"/>
      <c r="E71" s="110" t="s">
        <v>2245</v>
      </c>
      <c r="F71" s="112" t="s">
        <v>2246</v>
      </c>
      <c r="G71" s="112" t="s">
        <v>946</v>
      </c>
      <c r="H71" s="109" t="s">
        <v>2097</v>
      </c>
      <c r="I71" s="109"/>
      <c r="J71" s="109" t="s">
        <v>2098</v>
      </c>
      <c r="K71" s="114" t="s">
        <v>659</v>
      </c>
      <c r="L71" s="114" t="s">
        <v>950</v>
      </c>
      <c r="M71" s="114" t="s">
        <v>951</v>
      </c>
      <c r="N71" s="114" t="s">
        <v>88</v>
      </c>
      <c r="O71" s="112" t="s">
        <v>1588</v>
      </c>
      <c r="P71" s="114" t="s">
        <v>16</v>
      </c>
      <c r="Q71" s="109" t="s">
        <v>2100</v>
      </c>
      <c r="R71" s="110">
        <v>46157</v>
      </c>
      <c r="S71" s="109" t="s">
        <v>2</v>
      </c>
      <c r="T71" s="115">
        <v>1.8333333333333333</v>
      </c>
      <c r="U71" s="109" t="s">
        <v>404</v>
      </c>
      <c r="V71" s="109" t="s">
        <v>2101</v>
      </c>
      <c r="W71" s="109"/>
      <c r="X71" s="110">
        <v>46371</v>
      </c>
      <c r="Y71" s="109"/>
      <c r="Z71" s="110">
        <v>39309</v>
      </c>
      <c r="AA71" s="111"/>
      <c r="AB71" s="116">
        <v>46157</v>
      </c>
      <c r="AC71" s="109"/>
      <c r="AD71" s="109"/>
      <c r="AE71" s="117"/>
      <c r="AF71" s="117"/>
      <c r="AG71" s="117"/>
      <c r="AH71" s="117"/>
    </row>
    <row r="72" spans="1:34" ht="12.75">
      <c r="A72" s="109" t="s">
        <v>954</v>
      </c>
      <c r="B72" s="109" t="s">
        <v>952</v>
      </c>
      <c r="C72" s="110" t="s">
        <v>2247</v>
      </c>
      <c r="D72" s="109"/>
      <c r="E72" s="111"/>
      <c r="F72" s="112" t="s">
        <v>955</v>
      </c>
      <c r="G72" s="112" t="s">
        <v>953</v>
      </c>
      <c r="H72" s="109" t="s">
        <v>2097</v>
      </c>
      <c r="I72" s="109"/>
      <c r="J72" s="109" t="s">
        <v>2098</v>
      </c>
      <c r="K72" s="114" t="s">
        <v>959</v>
      </c>
      <c r="L72" s="114" t="s">
        <v>956</v>
      </c>
      <c r="M72" s="114" t="s">
        <v>957</v>
      </c>
      <c r="N72" s="114" t="s">
        <v>958</v>
      </c>
      <c r="O72" s="112" t="s">
        <v>1588</v>
      </c>
      <c r="P72" s="114" t="s">
        <v>16</v>
      </c>
      <c r="Q72" s="109" t="s">
        <v>2100</v>
      </c>
      <c r="R72" s="110">
        <v>46454</v>
      </c>
      <c r="S72" s="109" t="s">
        <v>2</v>
      </c>
      <c r="T72" s="115">
        <v>1.8333333333333333</v>
      </c>
      <c r="U72" s="109" t="s">
        <v>3</v>
      </c>
      <c r="V72" s="109" t="s">
        <v>2101</v>
      </c>
      <c r="W72" s="109"/>
      <c r="X72" s="110">
        <v>46450</v>
      </c>
      <c r="Y72" s="109"/>
      <c r="Z72" s="110">
        <v>46090</v>
      </c>
      <c r="AA72" s="111"/>
      <c r="AB72" s="116">
        <v>46454</v>
      </c>
      <c r="AC72" s="109"/>
      <c r="AD72" s="109"/>
      <c r="AE72" s="117"/>
      <c r="AF72" s="117"/>
      <c r="AG72" s="117"/>
      <c r="AH72" s="117"/>
    </row>
    <row r="73" spans="1:34" ht="12.75">
      <c r="A73" s="109" t="s">
        <v>962</v>
      </c>
      <c r="B73" s="109" t="s">
        <v>960</v>
      </c>
      <c r="C73" s="110" t="s">
        <v>2248</v>
      </c>
      <c r="D73" s="109"/>
      <c r="E73" s="111"/>
      <c r="F73" s="112" t="s">
        <v>2249</v>
      </c>
      <c r="G73" s="112" t="s">
        <v>961</v>
      </c>
      <c r="H73" s="109" t="s">
        <v>2097</v>
      </c>
      <c r="I73" s="109"/>
      <c r="J73" s="109" t="s">
        <v>2110</v>
      </c>
      <c r="K73" s="114" t="s">
        <v>966</v>
      </c>
      <c r="L73" s="114" t="s">
        <v>965</v>
      </c>
      <c r="M73" s="114" t="s">
        <v>436</v>
      </c>
      <c r="N73" s="114" t="s">
        <v>335</v>
      </c>
      <c r="O73" s="112" t="s">
        <v>1588</v>
      </c>
      <c r="P73" s="114" t="s">
        <v>16</v>
      </c>
      <c r="Q73" s="109" t="s">
        <v>2100</v>
      </c>
      <c r="R73" s="110">
        <v>46307</v>
      </c>
      <c r="S73" s="109" t="s">
        <v>2</v>
      </c>
      <c r="T73" s="115">
        <v>1.8333333333333333</v>
      </c>
      <c r="U73" s="109" t="s">
        <v>72</v>
      </c>
      <c r="V73" s="109" t="s">
        <v>2101</v>
      </c>
      <c r="W73" s="109"/>
      <c r="X73" s="110">
        <v>46580</v>
      </c>
      <c r="Y73" s="109"/>
      <c r="Z73" s="110">
        <v>44482</v>
      </c>
      <c r="AA73" s="111"/>
      <c r="AB73" s="120">
        <v>46307</v>
      </c>
      <c r="AC73" s="109"/>
      <c r="AD73" s="109"/>
      <c r="AE73" s="117"/>
      <c r="AF73" s="117"/>
      <c r="AG73" s="117"/>
      <c r="AH73" s="117"/>
    </row>
    <row r="74" spans="1:34" ht="12.75">
      <c r="A74" s="109" t="s">
        <v>969</v>
      </c>
      <c r="B74" s="109" t="s">
        <v>967</v>
      </c>
      <c r="C74" s="110" t="s">
        <v>2250</v>
      </c>
      <c r="D74" s="109"/>
      <c r="E74" s="111"/>
      <c r="F74" s="112" t="s">
        <v>970</v>
      </c>
      <c r="G74" s="112" t="s">
        <v>968</v>
      </c>
      <c r="H74" s="109" t="s">
        <v>2097</v>
      </c>
      <c r="I74" s="109"/>
      <c r="J74" s="109" t="s">
        <v>2098</v>
      </c>
      <c r="K74" s="114" t="s">
        <v>974</v>
      </c>
      <c r="L74" s="114" t="s">
        <v>972</v>
      </c>
      <c r="M74" s="114" t="s">
        <v>973</v>
      </c>
      <c r="N74" s="114" t="s">
        <v>504</v>
      </c>
      <c r="O74" s="112" t="s">
        <v>1588</v>
      </c>
      <c r="P74" s="114" t="s">
        <v>16</v>
      </c>
      <c r="Q74" s="109" t="s">
        <v>2100</v>
      </c>
      <c r="R74" s="110">
        <v>46076</v>
      </c>
      <c r="S74" s="109" t="s">
        <v>2</v>
      </c>
      <c r="T74" s="115">
        <v>1.8333333333333333</v>
      </c>
      <c r="U74" s="109" t="s">
        <v>3</v>
      </c>
      <c r="V74" s="109" t="s">
        <v>2101</v>
      </c>
      <c r="W74" s="109"/>
      <c r="X74" s="110">
        <v>46420</v>
      </c>
      <c r="Y74" s="109"/>
      <c r="Z74" s="110">
        <v>45346</v>
      </c>
      <c r="AA74" s="111"/>
      <c r="AB74" s="116">
        <v>46076</v>
      </c>
      <c r="AC74" s="109"/>
      <c r="AD74" s="109"/>
      <c r="AE74" s="117"/>
      <c r="AF74" s="117"/>
      <c r="AG74" s="117"/>
      <c r="AH74" s="117"/>
    </row>
    <row r="75" spans="1:34" ht="12.75">
      <c r="A75" s="109" t="s">
        <v>483</v>
      </c>
      <c r="B75" s="109" t="s">
        <v>480</v>
      </c>
      <c r="C75" s="110" t="s">
        <v>2251</v>
      </c>
      <c r="D75" s="109"/>
      <c r="E75" s="110" t="s">
        <v>2252</v>
      </c>
      <c r="F75" s="112" t="s">
        <v>484</v>
      </c>
      <c r="G75" s="112" t="s">
        <v>481</v>
      </c>
      <c r="H75" s="109" t="s">
        <v>2097</v>
      </c>
      <c r="I75" s="109"/>
      <c r="J75" s="109" t="s">
        <v>2098</v>
      </c>
      <c r="K75" s="114" t="s">
        <v>437</v>
      </c>
      <c r="L75" s="114" t="s">
        <v>486</v>
      </c>
      <c r="M75" s="114" t="s">
        <v>487</v>
      </c>
      <c r="N75" s="114" t="s">
        <v>352</v>
      </c>
      <c r="O75" s="112" t="s">
        <v>1699</v>
      </c>
      <c r="P75" s="114" t="s">
        <v>16</v>
      </c>
      <c r="Q75" s="109" t="s">
        <v>2100</v>
      </c>
      <c r="R75" s="110">
        <v>40910</v>
      </c>
      <c r="S75" s="109" t="s">
        <v>2</v>
      </c>
      <c r="T75" s="115">
        <v>1.8333333333333333</v>
      </c>
      <c r="U75" s="109" t="s">
        <v>3</v>
      </c>
      <c r="V75" s="109" t="s">
        <v>2113</v>
      </c>
      <c r="W75" s="109"/>
      <c r="X75" s="119" t="s">
        <v>2114</v>
      </c>
      <c r="Y75" s="109"/>
      <c r="Z75" s="110">
        <v>40546</v>
      </c>
      <c r="AA75" s="111"/>
      <c r="AB75" s="116">
        <v>40910</v>
      </c>
      <c r="AC75" s="109"/>
      <c r="AD75" s="109"/>
      <c r="AE75" s="117"/>
      <c r="AF75" s="117"/>
      <c r="AG75" s="117"/>
      <c r="AH75" s="117"/>
    </row>
    <row r="76" spans="1:34" ht="12.75">
      <c r="A76" s="109" t="s">
        <v>977</v>
      </c>
      <c r="B76" s="109" t="s">
        <v>975</v>
      </c>
      <c r="C76" s="110" t="s">
        <v>2254</v>
      </c>
      <c r="D76" s="109"/>
      <c r="E76" s="110" t="s">
        <v>2255</v>
      </c>
      <c r="F76" s="112" t="s">
        <v>2256</v>
      </c>
      <c r="G76" s="112" t="s">
        <v>976</v>
      </c>
      <c r="H76" s="109" t="s">
        <v>2097</v>
      </c>
      <c r="I76" s="109"/>
      <c r="J76" s="109" t="s">
        <v>2098</v>
      </c>
      <c r="K76" s="114" t="s">
        <v>981</v>
      </c>
      <c r="L76" s="114" t="s">
        <v>979</v>
      </c>
      <c r="M76" s="114" t="s">
        <v>980</v>
      </c>
      <c r="N76" s="114" t="s">
        <v>497</v>
      </c>
      <c r="O76" s="112" t="s">
        <v>1588</v>
      </c>
      <c r="P76" s="114" t="s">
        <v>16</v>
      </c>
      <c r="Q76" s="109" t="s">
        <v>2100</v>
      </c>
      <c r="R76" s="110">
        <v>46008</v>
      </c>
      <c r="S76" s="109" t="s">
        <v>2</v>
      </c>
      <c r="T76" s="118" t="s">
        <v>366</v>
      </c>
      <c r="U76" s="109" t="s">
        <v>3</v>
      </c>
      <c r="V76" s="109" t="s">
        <v>2101</v>
      </c>
      <c r="W76" s="109"/>
      <c r="X76" s="110">
        <v>46352</v>
      </c>
      <c r="Y76" s="109"/>
      <c r="Z76" s="110">
        <v>45644</v>
      </c>
      <c r="AA76" s="111"/>
      <c r="AB76" s="120">
        <v>46008</v>
      </c>
      <c r="AC76" s="109"/>
      <c r="AD76" s="109"/>
      <c r="AE76" s="117"/>
      <c r="AF76" s="117"/>
      <c r="AG76" s="117"/>
      <c r="AH76" s="117"/>
    </row>
    <row r="77" spans="1:34" ht="12.75">
      <c r="A77" s="109" t="s">
        <v>490</v>
      </c>
      <c r="B77" s="109" t="s">
        <v>488</v>
      </c>
      <c r="C77" s="110" t="s">
        <v>2257</v>
      </c>
      <c r="D77" s="109"/>
      <c r="E77" s="111"/>
      <c r="F77" s="112" t="s">
        <v>2258</v>
      </c>
      <c r="G77" s="112" t="s">
        <v>489</v>
      </c>
      <c r="H77" s="109" t="s">
        <v>2097</v>
      </c>
      <c r="I77" s="109"/>
      <c r="J77" s="109" t="s">
        <v>2098</v>
      </c>
      <c r="K77" s="114" t="s">
        <v>498</v>
      </c>
      <c r="L77" s="114" t="s">
        <v>495</v>
      </c>
      <c r="M77" s="114" t="s">
        <v>496</v>
      </c>
      <c r="N77" s="114" t="s">
        <v>497</v>
      </c>
      <c r="O77" s="112" t="s">
        <v>1588</v>
      </c>
      <c r="P77" s="114" t="s">
        <v>16</v>
      </c>
      <c r="Q77" s="109" t="s">
        <v>2100</v>
      </c>
      <c r="R77" s="110">
        <v>45803</v>
      </c>
      <c r="S77" s="109" t="s">
        <v>2</v>
      </c>
      <c r="T77" s="115">
        <v>1.8333333333333333</v>
      </c>
      <c r="U77" s="109" t="s">
        <v>3</v>
      </c>
      <c r="V77" s="109" t="s">
        <v>2113</v>
      </c>
      <c r="W77" s="109"/>
      <c r="X77" s="119" t="s">
        <v>2114</v>
      </c>
      <c r="Y77" s="109"/>
      <c r="Z77" s="110">
        <v>43612</v>
      </c>
      <c r="AA77" s="111"/>
      <c r="AB77" s="116">
        <v>45803</v>
      </c>
      <c r="AC77" s="109"/>
      <c r="AD77" s="109"/>
      <c r="AE77" s="117"/>
      <c r="AF77" s="117"/>
      <c r="AG77" s="117"/>
      <c r="AH77" s="117"/>
    </row>
    <row r="78" spans="1:34" ht="12.75">
      <c r="A78" s="109" t="s">
        <v>984</v>
      </c>
      <c r="B78" s="109" t="s">
        <v>982</v>
      </c>
      <c r="C78" s="110" t="s">
        <v>2259</v>
      </c>
      <c r="D78" s="109"/>
      <c r="E78" s="111"/>
      <c r="F78" s="112" t="s">
        <v>2260</v>
      </c>
      <c r="G78" s="112" t="s">
        <v>983</v>
      </c>
      <c r="H78" s="109" t="s">
        <v>2097</v>
      </c>
      <c r="I78" s="109"/>
      <c r="J78" s="109" t="s">
        <v>2098</v>
      </c>
      <c r="K78" s="114" t="s">
        <v>989</v>
      </c>
      <c r="L78" s="114" t="s">
        <v>986</v>
      </c>
      <c r="M78" s="114" t="s">
        <v>987</v>
      </c>
      <c r="N78" s="114" t="s">
        <v>988</v>
      </c>
      <c r="O78" s="112" t="s">
        <v>1588</v>
      </c>
      <c r="P78" s="114" t="s">
        <v>16</v>
      </c>
      <c r="Q78" s="109" t="s">
        <v>2100</v>
      </c>
      <c r="R78" s="110">
        <v>46549</v>
      </c>
      <c r="S78" s="109" t="s">
        <v>2</v>
      </c>
      <c r="T78" s="118" t="s">
        <v>366</v>
      </c>
      <c r="U78" s="109" t="s">
        <v>3</v>
      </c>
      <c r="V78" s="109" t="s">
        <v>2101</v>
      </c>
      <c r="W78" s="109"/>
      <c r="X78" s="110">
        <v>46546</v>
      </c>
      <c r="Y78" s="109"/>
      <c r="Z78" s="110">
        <v>46185</v>
      </c>
      <c r="AA78" s="111"/>
      <c r="AB78" s="116">
        <v>46549</v>
      </c>
      <c r="AC78" s="109"/>
      <c r="AD78" s="109"/>
      <c r="AE78" s="117"/>
      <c r="AF78" s="117"/>
      <c r="AG78" s="117"/>
      <c r="AH78" s="117"/>
    </row>
    <row r="79" spans="1:34" ht="12.75">
      <c r="A79" s="109" t="s">
        <v>84</v>
      </c>
      <c r="B79" s="109" t="s">
        <v>81</v>
      </c>
      <c r="C79" s="110" t="s">
        <v>2262</v>
      </c>
      <c r="D79" s="109"/>
      <c r="E79" s="111"/>
      <c r="F79" s="112" t="s">
        <v>85</v>
      </c>
      <c r="G79" s="112" t="s">
        <v>82</v>
      </c>
      <c r="H79" s="109" t="s">
        <v>2097</v>
      </c>
      <c r="I79" s="109"/>
      <c r="J79" s="109" t="s">
        <v>2098</v>
      </c>
      <c r="K79" s="114" t="s">
        <v>89</v>
      </c>
      <c r="L79" s="114" t="s">
        <v>86</v>
      </c>
      <c r="M79" s="114" t="s">
        <v>87</v>
      </c>
      <c r="N79" s="114" t="s">
        <v>88</v>
      </c>
      <c r="O79" s="112" t="s">
        <v>1588</v>
      </c>
      <c r="P79" s="114" t="s">
        <v>16</v>
      </c>
      <c r="Q79" s="109" t="s">
        <v>2100</v>
      </c>
      <c r="R79" s="110">
        <v>46342</v>
      </c>
      <c r="S79" s="109" t="s">
        <v>32</v>
      </c>
      <c r="T79" s="118" t="s">
        <v>83</v>
      </c>
      <c r="U79" s="109" t="s">
        <v>3</v>
      </c>
      <c r="V79" s="109" t="s">
        <v>2101</v>
      </c>
      <c r="W79" s="109"/>
      <c r="X79" s="110">
        <v>46335</v>
      </c>
      <c r="Y79" s="109"/>
      <c r="Z79" s="110">
        <v>45978</v>
      </c>
      <c r="AA79" s="111"/>
      <c r="AB79" s="120">
        <v>46342</v>
      </c>
      <c r="AC79" s="109"/>
      <c r="AD79" s="109"/>
      <c r="AE79" s="117"/>
      <c r="AF79" s="117"/>
      <c r="AG79" s="117"/>
      <c r="AH79" s="117"/>
    </row>
    <row r="80" spans="1:34" ht="12.75">
      <c r="A80" s="109" t="s">
        <v>282</v>
      </c>
      <c r="B80" s="109" t="s">
        <v>279</v>
      </c>
      <c r="C80" s="110" t="s">
        <v>2263</v>
      </c>
      <c r="D80" s="109"/>
      <c r="E80" s="111"/>
      <c r="F80" s="112" t="s">
        <v>283</v>
      </c>
      <c r="G80" s="112" t="s">
        <v>281</v>
      </c>
      <c r="H80" s="109" t="s">
        <v>2097</v>
      </c>
      <c r="I80" s="109"/>
      <c r="J80" s="109" t="s">
        <v>2098</v>
      </c>
      <c r="K80" s="114" t="s">
        <v>288</v>
      </c>
      <c r="L80" s="114" t="s">
        <v>284</v>
      </c>
      <c r="M80" s="114" t="s">
        <v>285</v>
      </c>
      <c r="N80" s="114" t="s">
        <v>287</v>
      </c>
      <c r="O80" s="112" t="s">
        <v>1588</v>
      </c>
      <c r="P80" s="114" t="s">
        <v>16</v>
      </c>
      <c r="Q80" s="109" t="s">
        <v>2100</v>
      </c>
      <c r="R80" s="110">
        <v>46361</v>
      </c>
      <c r="S80" s="109" t="s">
        <v>215</v>
      </c>
      <c r="T80" s="118" t="s">
        <v>216</v>
      </c>
      <c r="U80" s="109" t="s">
        <v>3</v>
      </c>
      <c r="V80" s="109" t="s">
        <v>2101</v>
      </c>
      <c r="W80" s="109"/>
      <c r="X80" s="110">
        <v>46358</v>
      </c>
      <c r="Y80" s="109"/>
      <c r="Z80" s="110">
        <v>45997</v>
      </c>
      <c r="AA80" s="111"/>
      <c r="AB80" s="116">
        <v>46361</v>
      </c>
      <c r="AC80" s="109"/>
      <c r="AD80" s="109"/>
      <c r="AE80" s="117"/>
      <c r="AF80" s="117"/>
      <c r="AG80" s="117"/>
      <c r="AH80" s="117"/>
    </row>
    <row r="81" spans="1:34" ht="12.75">
      <c r="A81" s="109" t="s">
        <v>992</v>
      </c>
      <c r="B81" s="109" t="s">
        <v>990</v>
      </c>
      <c r="C81" s="110" t="s">
        <v>2264</v>
      </c>
      <c r="D81" s="109"/>
      <c r="E81" s="110" t="s">
        <v>2265</v>
      </c>
      <c r="F81" s="112" t="s">
        <v>993</v>
      </c>
      <c r="G81" s="112" t="s">
        <v>991</v>
      </c>
      <c r="H81" s="109" t="s">
        <v>2097</v>
      </c>
      <c r="I81" s="109"/>
      <c r="J81" s="109" t="s">
        <v>2098</v>
      </c>
      <c r="K81" s="114" t="s">
        <v>996</v>
      </c>
      <c r="L81" s="114" t="s">
        <v>994</v>
      </c>
      <c r="M81" s="114" t="s">
        <v>995</v>
      </c>
      <c r="N81" s="114" t="s">
        <v>88</v>
      </c>
      <c r="O81" s="112" t="s">
        <v>1588</v>
      </c>
      <c r="P81" s="114" t="s">
        <v>16</v>
      </c>
      <c r="Q81" s="109" t="s">
        <v>2100</v>
      </c>
      <c r="R81" s="110">
        <v>46577</v>
      </c>
      <c r="S81" s="109" t="s">
        <v>2</v>
      </c>
      <c r="T81" s="118" t="s">
        <v>366</v>
      </c>
      <c r="U81" s="109" t="s">
        <v>3</v>
      </c>
      <c r="V81" s="109" t="s">
        <v>2101</v>
      </c>
      <c r="W81" s="109"/>
      <c r="X81" s="110">
        <v>46574</v>
      </c>
      <c r="Y81" s="109"/>
      <c r="Z81" s="110">
        <v>46213</v>
      </c>
      <c r="AA81" s="119" t="s">
        <v>2136</v>
      </c>
      <c r="AB81" s="116">
        <v>46577</v>
      </c>
      <c r="AC81" s="109"/>
      <c r="AD81" s="109"/>
      <c r="AE81" s="117"/>
      <c r="AF81" s="117"/>
      <c r="AG81" s="117"/>
      <c r="AH81" s="117"/>
    </row>
    <row r="82" spans="1:34" ht="12.75">
      <c r="A82" s="109" t="s">
        <v>999</v>
      </c>
      <c r="B82" s="109" t="s">
        <v>997</v>
      </c>
      <c r="C82" s="110" t="s">
        <v>2266</v>
      </c>
      <c r="D82" s="109"/>
      <c r="E82" s="111"/>
      <c r="F82" s="112" t="s">
        <v>1000</v>
      </c>
      <c r="G82" s="112" t="s">
        <v>998</v>
      </c>
      <c r="H82" s="109" t="s">
        <v>2097</v>
      </c>
      <c r="I82" s="109"/>
      <c r="J82" s="109" t="s">
        <v>2098</v>
      </c>
      <c r="K82" s="114" t="s">
        <v>1002</v>
      </c>
      <c r="L82" s="114" t="s">
        <v>435</v>
      </c>
      <c r="M82" s="114" t="s">
        <v>1001</v>
      </c>
      <c r="N82" s="114" t="s">
        <v>88</v>
      </c>
      <c r="O82" s="112" t="s">
        <v>1588</v>
      </c>
      <c r="P82" s="114" t="s">
        <v>16</v>
      </c>
      <c r="Q82" s="109" t="s">
        <v>2100</v>
      </c>
      <c r="R82" s="110">
        <v>46308</v>
      </c>
      <c r="S82" s="109" t="s">
        <v>2</v>
      </c>
      <c r="T82" s="115">
        <v>1.8333333333333333</v>
      </c>
      <c r="U82" s="109" t="s">
        <v>3</v>
      </c>
      <c r="V82" s="109" t="s">
        <v>2101</v>
      </c>
      <c r="W82" s="109"/>
      <c r="X82" s="110">
        <v>46296</v>
      </c>
      <c r="Y82" s="109"/>
      <c r="Z82" s="110">
        <v>45579</v>
      </c>
      <c r="AA82" s="111"/>
      <c r="AB82" s="120">
        <v>46308</v>
      </c>
      <c r="AC82" s="109"/>
      <c r="AD82" s="109"/>
      <c r="AE82" s="117"/>
      <c r="AF82" s="117"/>
      <c r="AG82" s="117"/>
      <c r="AH82" s="117"/>
    </row>
    <row r="83" spans="1:34" ht="12.75">
      <c r="A83" s="109" t="s">
        <v>1006</v>
      </c>
      <c r="B83" s="109" t="s">
        <v>1003</v>
      </c>
      <c r="C83" s="110" t="s">
        <v>2267</v>
      </c>
      <c r="D83" s="109"/>
      <c r="E83" s="111"/>
      <c r="F83" s="112" t="s">
        <v>2268</v>
      </c>
      <c r="G83" s="112" t="s">
        <v>1004</v>
      </c>
      <c r="H83" s="109" t="s">
        <v>2097</v>
      </c>
      <c r="I83" s="109"/>
      <c r="J83" s="109" t="s">
        <v>2098</v>
      </c>
      <c r="K83" s="114" t="s">
        <v>1009</v>
      </c>
      <c r="L83" s="114" t="s">
        <v>1007</v>
      </c>
      <c r="M83" s="114" t="s">
        <v>1008</v>
      </c>
      <c r="N83" s="114" t="s">
        <v>68</v>
      </c>
      <c r="O83" s="112" t="s">
        <v>1588</v>
      </c>
      <c r="P83" s="114" t="s">
        <v>16</v>
      </c>
      <c r="Q83" s="109" t="s">
        <v>2100</v>
      </c>
      <c r="R83" s="110">
        <v>46023</v>
      </c>
      <c r="S83" s="109" t="s">
        <v>2</v>
      </c>
      <c r="T83" s="115">
        <v>1.8333333333333333</v>
      </c>
      <c r="U83" s="109" t="s">
        <v>3</v>
      </c>
      <c r="V83" s="109" t="s">
        <v>2101</v>
      </c>
      <c r="W83" s="109"/>
      <c r="X83" s="110">
        <v>46508</v>
      </c>
      <c r="Y83" s="109"/>
      <c r="Z83" s="110">
        <v>42006</v>
      </c>
      <c r="AA83" s="111"/>
      <c r="AB83" s="116">
        <v>46023</v>
      </c>
      <c r="AC83" s="109"/>
      <c r="AD83" s="109"/>
      <c r="AE83" s="117"/>
      <c r="AF83" s="117"/>
      <c r="AG83" s="117"/>
      <c r="AH83" s="117"/>
    </row>
    <row r="84" spans="1:34" ht="12.75">
      <c r="A84" s="109" t="s">
        <v>94</v>
      </c>
      <c r="B84" s="109" t="s">
        <v>90</v>
      </c>
      <c r="C84" s="110" t="s">
        <v>2269</v>
      </c>
      <c r="D84" s="109"/>
      <c r="E84" s="111"/>
      <c r="F84" s="112" t="s">
        <v>2270</v>
      </c>
      <c r="G84" s="112" t="s">
        <v>91</v>
      </c>
      <c r="H84" s="109" t="s">
        <v>2097</v>
      </c>
      <c r="I84" s="109"/>
      <c r="J84" s="109" t="s">
        <v>2098</v>
      </c>
      <c r="K84" s="114" t="s">
        <v>98</v>
      </c>
      <c r="L84" s="114" t="s">
        <v>95</v>
      </c>
      <c r="M84" s="114" t="s">
        <v>96</v>
      </c>
      <c r="N84" s="114" t="s">
        <v>97</v>
      </c>
      <c r="O84" s="112" t="s">
        <v>1717</v>
      </c>
      <c r="P84" s="114" t="s">
        <v>16</v>
      </c>
      <c r="Q84" s="109" t="s">
        <v>2100</v>
      </c>
      <c r="R84" s="110">
        <v>46296</v>
      </c>
      <c r="S84" s="109" t="s">
        <v>32</v>
      </c>
      <c r="T84" s="118" t="s">
        <v>46</v>
      </c>
      <c r="U84" s="109" t="s">
        <v>3</v>
      </c>
      <c r="V84" s="109" t="s">
        <v>2101</v>
      </c>
      <c r="W84" s="109"/>
      <c r="X84" s="110">
        <v>46443</v>
      </c>
      <c r="Y84" s="109"/>
      <c r="Z84" s="110">
        <v>45932</v>
      </c>
      <c r="AA84" s="111"/>
      <c r="AB84" s="116">
        <v>46296</v>
      </c>
      <c r="AC84" s="109"/>
      <c r="AD84" s="109"/>
      <c r="AE84" s="117"/>
      <c r="AF84" s="117"/>
      <c r="AG84" s="117"/>
      <c r="AH84" s="117"/>
    </row>
    <row r="85" spans="1:34" ht="12.75">
      <c r="A85" s="109" t="s">
        <v>1013</v>
      </c>
      <c r="B85" s="109" t="s">
        <v>1010</v>
      </c>
      <c r="C85" s="110" t="s">
        <v>2271</v>
      </c>
      <c r="D85" s="109"/>
      <c r="E85" s="111"/>
      <c r="F85" s="112" t="s">
        <v>2272</v>
      </c>
      <c r="G85" s="112" t="s">
        <v>1012</v>
      </c>
      <c r="H85" s="109" t="s">
        <v>2097</v>
      </c>
      <c r="I85" s="109"/>
      <c r="J85" s="109" t="s">
        <v>2098</v>
      </c>
      <c r="K85" s="114" t="s">
        <v>1017</v>
      </c>
      <c r="L85" s="114" t="s">
        <v>1015</v>
      </c>
      <c r="M85" s="114" t="s">
        <v>1016</v>
      </c>
      <c r="N85" s="114" t="s">
        <v>710</v>
      </c>
      <c r="O85" s="112" t="s">
        <v>1588</v>
      </c>
      <c r="P85" s="114" t="s">
        <v>16</v>
      </c>
      <c r="Q85" s="109" t="s">
        <v>2100</v>
      </c>
      <c r="R85" s="110">
        <v>46228</v>
      </c>
      <c r="S85" s="109" t="s">
        <v>2</v>
      </c>
      <c r="T85" s="118" t="s">
        <v>366</v>
      </c>
      <c r="U85" s="109" t="s">
        <v>72</v>
      </c>
      <c r="V85" s="109" t="s">
        <v>2101</v>
      </c>
      <c r="W85" s="109"/>
      <c r="X85" s="110">
        <v>46576</v>
      </c>
      <c r="Y85" s="109"/>
      <c r="Z85" s="110">
        <v>45499</v>
      </c>
      <c r="AA85" s="111"/>
      <c r="AB85" s="116">
        <v>46228</v>
      </c>
      <c r="AC85" s="109"/>
      <c r="AD85" s="109"/>
      <c r="AE85" s="117"/>
      <c r="AF85" s="117"/>
      <c r="AG85" s="117"/>
      <c r="AH85" s="117"/>
    </row>
    <row r="86" spans="1:34" ht="12.75">
      <c r="A86" s="109" t="s">
        <v>569</v>
      </c>
      <c r="B86" s="109" t="s">
        <v>560</v>
      </c>
      <c r="C86" s="110" t="s">
        <v>2282</v>
      </c>
      <c r="D86" s="109"/>
      <c r="E86" s="111"/>
      <c r="F86" s="112" t="s">
        <v>2283</v>
      </c>
      <c r="G86" s="112" t="s">
        <v>563</v>
      </c>
      <c r="H86" s="109" t="s">
        <v>522</v>
      </c>
      <c r="I86" s="109"/>
      <c r="J86" s="109" t="s">
        <v>2098</v>
      </c>
      <c r="K86" s="114" t="s">
        <v>603</v>
      </c>
      <c r="L86" s="114" t="s">
        <v>600</v>
      </c>
      <c r="M86" s="114" t="s">
        <v>601</v>
      </c>
      <c r="N86" s="114" t="s">
        <v>602</v>
      </c>
      <c r="O86" s="112" t="s">
        <v>1588</v>
      </c>
      <c r="P86" s="114" t="s">
        <v>16</v>
      </c>
      <c r="Q86" s="109" t="s">
        <v>2100</v>
      </c>
      <c r="R86" s="110">
        <v>46396</v>
      </c>
      <c r="S86" s="109" t="s">
        <v>2</v>
      </c>
      <c r="T86" s="118" t="s">
        <v>366</v>
      </c>
      <c r="U86" s="109" t="s">
        <v>522</v>
      </c>
      <c r="V86" s="109" t="s">
        <v>2101</v>
      </c>
      <c r="W86" s="109"/>
      <c r="X86" s="110">
        <v>46338</v>
      </c>
      <c r="Y86" s="109"/>
      <c r="Z86" s="110">
        <v>45301</v>
      </c>
      <c r="AA86" s="111"/>
      <c r="AB86" s="116">
        <v>46396</v>
      </c>
      <c r="AC86" s="109"/>
      <c r="AD86" s="109"/>
      <c r="AE86" s="117"/>
      <c r="AF86" s="117"/>
      <c r="AG86" s="117"/>
      <c r="AH86" s="117"/>
    </row>
    <row r="87" spans="1:34" ht="12.75">
      <c r="A87" s="109" t="s">
        <v>1020</v>
      </c>
      <c r="B87" s="109" t="s">
        <v>1018</v>
      </c>
      <c r="C87" s="110" t="s">
        <v>2284</v>
      </c>
      <c r="D87" s="109"/>
      <c r="E87" s="111"/>
      <c r="F87" s="112" t="s">
        <v>1021</v>
      </c>
      <c r="G87" s="112" t="s">
        <v>1019</v>
      </c>
      <c r="H87" s="109" t="s">
        <v>2097</v>
      </c>
      <c r="I87" s="109"/>
      <c r="J87" s="109" t="s">
        <v>2098</v>
      </c>
      <c r="K87" s="114" t="s">
        <v>1024</v>
      </c>
      <c r="L87" s="114" t="s">
        <v>1022</v>
      </c>
      <c r="M87" s="114" t="s">
        <v>1023</v>
      </c>
      <c r="N87" s="114" t="s">
        <v>958</v>
      </c>
      <c r="O87" s="112" t="s">
        <v>1588</v>
      </c>
      <c r="P87" s="114" t="s">
        <v>16</v>
      </c>
      <c r="Q87" s="109" t="s">
        <v>2100</v>
      </c>
      <c r="R87" s="110">
        <v>46145</v>
      </c>
      <c r="S87" s="109" t="s">
        <v>2</v>
      </c>
      <c r="T87" s="118" t="s">
        <v>366</v>
      </c>
      <c r="U87" s="109" t="s">
        <v>3</v>
      </c>
      <c r="V87" s="109" t="s">
        <v>2101</v>
      </c>
      <c r="W87" s="109"/>
      <c r="X87" s="110">
        <v>46531</v>
      </c>
      <c r="Y87" s="109"/>
      <c r="Z87" s="110">
        <v>45416</v>
      </c>
      <c r="AA87" s="111"/>
      <c r="AB87" s="116">
        <v>46145</v>
      </c>
      <c r="AC87" s="109"/>
      <c r="AD87" s="109"/>
      <c r="AE87" s="117"/>
      <c r="AF87" s="117"/>
      <c r="AG87" s="117"/>
      <c r="AH87" s="117"/>
    </row>
    <row r="88" spans="1:34" ht="12.75">
      <c r="A88" s="109" t="s">
        <v>1027</v>
      </c>
      <c r="B88" s="109" t="s">
        <v>1025</v>
      </c>
      <c r="C88" s="110" t="s">
        <v>2285</v>
      </c>
      <c r="D88" s="109"/>
      <c r="E88" s="111"/>
      <c r="F88" s="112" t="s">
        <v>2286</v>
      </c>
      <c r="G88" s="112" t="s">
        <v>1026</v>
      </c>
      <c r="H88" s="109" t="s">
        <v>2097</v>
      </c>
      <c r="I88" s="109"/>
      <c r="J88" s="109" t="s">
        <v>2098</v>
      </c>
      <c r="K88" s="114" t="s">
        <v>1030</v>
      </c>
      <c r="L88" s="114" t="s">
        <v>1028</v>
      </c>
      <c r="M88" s="114" t="s">
        <v>1029</v>
      </c>
      <c r="N88" s="114" t="s">
        <v>471</v>
      </c>
      <c r="O88" s="112" t="s">
        <v>1588</v>
      </c>
      <c r="P88" s="114" t="s">
        <v>16</v>
      </c>
      <c r="Q88" s="109" t="s">
        <v>2100</v>
      </c>
      <c r="R88" s="110">
        <v>46517</v>
      </c>
      <c r="S88" s="109" t="s">
        <v>2</v>
      </c>
      <c r="T88" s="115">
        <v>1.8333333333333333</v>
      </c>
      <c r="U88" s="109" t="s">
        <v>404</v>
      </c>
      <c r="V88" s="109" t="s">
        <v>2101</v>
      </c>
      <c r="W88" s="109"/>
      <c r="X88" s="110">
        <v>46512</v>
      </c>
      <c r="Y88" s="109"/>
      <c r="Z88" s="110">
        <v>46153</v>
      </c>
      <c r="AA88" s="111"/>
      <c r="AB88" s="116">
        <v>46517</v>
      </c>
      <c r="AC88" s="109"/>
      <c r="AD88" s="109"/>
      <c r="AE88" s="117"/>
      <c r="AF88" s="117"/>
      <c r="AG88" s="117"/>
      <c r="AH88" s="117"/>
    </row>
    <row r="89" spans="1:34" ht="12.75">
      <c r="A89" s="109" t="s">
        <v>101</v>
      </c>
      <c r="B89" s="109" t="s">
        <v>99</v>
      </c>
      <c r="C89" s="110" t="s">
        <v>2287</v>
      </c>
      <c r="D89" s="109"/>
      <c r="E89" s="111"/>
      <c r="F89" s="112" t="s">
        <v>103</v>
      </c>
      <c r="G89" s="112" t="s">
        <v>100</v>
      </c>
      <c r="H89" s="109" t="s">
        <v>2097</v>
      </c>
      <c r="I89" s="109"/>
      <c r="J89" s="109" t="s">
        <v>2098</v>
      </c>
      <c r="K89" s="114" t="s">
        <v>80</v>
      </c>
      <c r="L89" s="114" t="s">
        <v>107</v>
      </c>
      <c r="M89" s="114" t="s">
        <v>108</v>
      </c>
      <c r="N89" s="114" t="s">
        <v>79</v>
      </c>
      <c r="O89" s="112" t="s">
        <v>1588</v>
      </c>
      <c r="P89" s="114" t="s">
        <v>16</v>
      </c>
      <c r="Q89" s="109" t="s">
        <v>2100</v>
      </c>
      <c r="R89" s="110">
        <v>46067</v>
      </c>
      <c r="S89" s="109" t="s">
        <v>32</v>
      </c>
      <c r="T89" s="118" t="s">
        <v>59</v>
      </c>
      <c r="U89" s="109" t="s">
        <v>3</v>
      </c>
      <c r="V89" s="109" t="s">
        <v>2101</v>
      </c>
      <c r="W89" s="109"/>
      <c r="X89" s="110">
        <v>46414</v>
      </c>
      <c r="Y89" s="109"/>
      <c r="Z89" s="110">
        <v>45703</v>
      </c>
      <c r="AA89" s="111"/>
      <c r="AB89" s="116">
        <v>46067</v>
      </c>
      <c r="AC89" s="109"/>
      <c r="AD89" s="109"/>
      <c r="AE89" s="117"/>
      <c r="AF89" s="117"/>
      <c r="AG89" s="117"/>
      <c r="AH89" s="117"/>
    </row>
    <row r="90" spans="1:34" ht="12.75">
      <c r="A90" s="109" t="s">
        <v>501</v>
      </c>
      <c r="B90" s="109" t="s">
        <v>499</v>
      </c>
      <c r="C90" s="110" t="s">
        <v>2288</v>
      </c>
      <c r="D90" s="109"/>
      <c r="E90" s="110" t="s">
        <v>2289</v>
      </c>
      <c r="F90" s="112" t="s">
        <v>2290</v>
      </c>
      <c r="G90" s="112" t="s">
        <v>500</v>
      </c>
      <c r="H90" s="109" t="s">
        <v>2097</v>
      </c>
      <c r="I90" s="109"/>
      <c r="J90" s="109" t="s">
        <v>2098</v>
      </c>
      <c r="K90" s="114" t="s">
        <v>505</v>
      </c>
      <c r="L90" s="114" t="s">
        <v>503</v>
      </c>
      <c r="M90" s="114" t="s">
        <v>12</v>
      </c>
      <c r="N90" s="114" t="s">
        <v>504</v>
      </c>
      <c r="O90" s="112" t="s">
        <v>1588</v>
      </c>
      <c r="P90" s="114" t="s">
        <v>16</v>
      </c>
      <c r="Q90" s="109" t="s">
        <v>2100</v>
      </c>
      <c r="R90" s="110">
        <v>45857</v>
      </c>
      <c r="S90" s="109" t="s">
        <v>2</v>
      </c>
      <c r="T90" s="118" t="s">
        <v>366</v>
      </c>
      <c r="U90" s="109" t="s">
        <v>3</v>
      </c>
      <c r="V90" s="109" t="s">
        <v>2113</v>
      </c>
      <c r="W90" s="109"/>
      <c r="X90" s="119" t="s">
        <v>2114</v>
      </c>
      <c r="Y90" s="109"/>
      <c r="Z90" s="110">
        <v>45493</v>
      </c>
      <c r="AA90" s="111"/>
      <c r="AB90" s="116">
        <v>45857</v>
      </c>
      <c r="AC90" s="109"/>
      <c r="AD90" s="109"/>
      <c r="AE90" s="117"/>
      <c r="AF90" s="117"/>
      <c r="AG90" s="117"/>
      <c r="AH90" s="117"/>
    </row>
    <row r="91" spans="1:34" ht="12.75">
      <c r="A91" s="109" t="s">
        <v>1033</v>
      </c>
      <c r="B91" s="109" t="s">
        <v>1031</v>
      </c>
      <c r="C91" s="110" t="s">
        <v>2291</v>
      </c>
      <c r="D91" s="109"/>
      <c r="E91" s="111"/>
      <c r="F91" s="112" t="s">
        <v>2292</v>
      </c>
      <c r="G91" s="112" t="s">
        <v>1032</v>
      </c>
      <c r="H91" s="109" t="s">
        <v>2097</v>
      </c>
      <c r="I91" s="109"/>
      <c r="J91" s="109" t="s">
        <v>2110</v>
      </c>
      <c r="K91" s="114" t="s">
        <v>1038</v>
      </c>
      <c r="L91" s="114" t="s">
        <v>1035</v>
      </c>
      <c r="M91" s="114" t="s">
        <v>1036</v>
      </c>
      <c r="N91" s="114" t="s">
        <v>1037</v>
      </c>
      <c r="O91" s="112" t="s">
        <v>1588</v>
      </c>
      <c r="P91" s="114" t="s">
        <v>16</v>
      </c>
      <c r="Q91" s="109" t="s">
        <v>2100</v>
      </c>
      <c r="R91" s="110">
        <v>46388</v>
      </c>
      <c r="S91" s="109" t="s">
        <v>2</v>
      </c>
      <c r="T91" s="115">
        <v>1.8333333333333333</v>
      </c>
      <c r="U91" s="109" t="s">
        <v>72</v>
      </c>
      <c r="V91" s="109" t="s">
        <v>2101</v>
      </c>
      <c r="W91" s="109"/>
      <c r="X91" s="110">
        <v>46322</v>
      </c>
      <c r="Y91" s="109"/>
      <c r="Z91" s="110">
        <v>43832</v>
      </c>
      <c r="AA91" s="111"/>
      <c r="AB91" s="116">
        <v>46388</v>
      </c>
      <c r="AC91" s="109"/>
      <c r="AD91" s="109"/>
      <c r="AE91" s="117"/>
      <c r="AF91" s="117"/>
      <c r="AG91" s="117"/>
      <c r="AH91" s="117"/>
    </row>
    <row r="92" spans="1:34" ht="12.75">
      <c r="A92" s="109" t="s">
        <v>1041</v>
      </c>
      <c r="B92" s="109" t="s">
        <v>1039</v>
      </c>
      <c r="C92" s="110" t="s">
        <v>2293</v>
      </c>
      <c r="D92" s="109"/>
      <c r="E92" s="111"/>
      <c r="F92" s="112" t="s">
        <v>2294</v>
      </c>
      <c r="G92" s="112" t="s">
        <v>1040</v>
      </c>
      <c r="H92" s="109" t="s">
        <v>2097</v>
      </c>
      <c r="I92" s="109"/>
      <c r="J92" s="109" t="s">
        <v>2098</v>
      </c>
      <c r="K92" s="114" t="s">
        <v>1045</v>
      </c>
      <c r="L92" s="114" t="s">
        <v>1043</v>
      </c>
      <c r="M92" s="114" t="s">
        <v>1044</v>
      </c>
      <c r="N92" s="114" t="s">
        <v>710</v>
      </c>
      <c r="O92" s="112" t="s">
        <v>1588</v>
      </c>
      <c r="P92" s="114" t="s">
        <v>16</v>
      </c>
      <c r="Q92" s="109" t="s">
        <v>2100</v>
      </c>
      <c r="R92" s="110">
        <v>46254</v>
      </c>
      <c r="S92" s="109" t="s">
        <v>2</v>
      </c>
      <c r="T92" s="115">
        <v>1.8333333333333333</v>
      </c>
      <c r="U92" s="109" t="s">
        <v>404</v>
      </c>
      <c r="V92" s="109" t="s">
        <v>2101</v>
      </c>
      <c r="W92" s="109"/>
      <c r="X92" s="110">
        <v>46252</v>
      </c>
      <c r="Y92" s="109"/>
      <c r="Z92" s="110">
        <v>45890</v>
      </c>
      <c r="AA92" s="111"/>
      <c r="AB92" s="116">
        <v>46254</v>
      </c>
      <c r="AC92" s="109"/>
      <c r="AD92" s="109"/>
      <c r="AE92" s="117"/>
      <c r="AF92" s="117"/>
      <c r="AG92" s="117"/>
      <c r="AH92" s="117"/>
    </row>
    <row r="93" spans="1:34" ht="12.75">
      <c r="A93" s="109" t="s">
        <v>1048</v>
      </c>
      <c r="B93" s="109" t="s">
        <v>1046</v>
      </c>
      <c r="C93" s="110" t="s">
        <v>2295</v>
      </c>
      <c r="D93" s="109"/>
      <c r="E93" s="111"/>
      <c r="F93" s="112" t="s">
        <v>1050</v>
      </c>
      <c r="G93" s="112" t="s">
        <v>1047</v>
      </c>
      <c r="H93" s="109" t="s">
        <v>2097</v>
      </c>
      <c r="I93" s="109"/>
      <c r="J93" s="109" t="s">
        <v>2098</v>
      </c>
      <c r="K93" s="114" t="s">
        <v>1054</v>
      </c>
      <c r="L93" s="114" t="s">
        <v>1053</v>
      </c>
      <c r="M93" s="114" t="s">
        <v>87</v>
      </c>
      <c r="N93" s="114" t="s">
        <v>88</v>
      </c>
      <c r="O93" s="112" t="s">
        <v>1588</v>
      </c>
      <c r="P93" s="114" t="s">
        <v>16</v>
      </c>
      <c r="Q93" s="109" t="s">
        <v>2100</v>
      </c>
      <c r="R93" s="110">
        <v>46419</v>
      </c>
      <c r="S93" s="109" t="s">
        <v>2</v>
      </c>
      <c r="T93" s="118" t="s">
        <v>366</v>
      </c>
      <c r="U93" s="109" t="s">
        <v>3</v>
      </c>
      <c r="V93" s="109" t="s">
        <v>2101</v>
      </c>
      <c r="W93" s="109"/>
      <c r="X93" s="110">
        <v>46415</v>
      </c>
      <c r="Y93" s="109"/>
      <c r="Z93" s="110">
        <v>46055</v>
      </c>
      <c r="AA93" s="111"/>
      <c r="AB93" s="116">
        <v>46419</v>
      </c>
      <c r="AC93" s="109"/>
      <c r="AD93" s="109"/>
      <c r="AE93" s="117"/>
      <c r="AF93" s="117"/>
      <c r="AG93" s="117"/>
      <c r="AH93" s="117"/>
    </row>
    <row r="94" spans="1:34" ht="12.75">
      <c r="A94" s="109" t="s">
        <v>1057</v>
      </c>
      <c r="B94" s="109" t="s">
        <v>1055</v>
      </c>
      <c r="C94" s="110" t="s">
        <v>2296</v>
      </c>
      <c r="D94" s="109"/>
      <c r="E94" s="110" t="s">
        <v>2297</v>
      </c>
      <c r="F94" s="112" t="s">
        <v>2298</v>
      </c>
      <c r="G94" s="112" t="s">
        <v>1056</v>
      </c>
      <c r="H94" s="109" t="s">
        <v>2097</v>
      </c>
      <c r="I94" s="109"/>
      <c r="J94" s="109" t="s">
        <v>2098</v>
      </c>
      <c r="K94" s="114" t="s">
        <v>1061</v>
      </c>
      <c r="L94" s="114" t="s">
        <v>1058</v>
      </c>
      <c r="M94" s="114" t="s">
        <v>1059</v>
      </c>
      <c r="N94" s="114" t="s">
        <v>1060</v>
      </c>
      <c r="O94" s="112" t="s">
        <v>274</v>
      </c>
      <c r="P94" s="114" t="s">
        <v>16</v>
      </c>
      <c r="Q94" s="109" t="s">
        <v>2100</v>
      </c>
      <c r="R94" s="110">
        <v>46192</v>
      </c>
      <c r="S94" s="109" t="s">
        <v>2</v>
      </c>
      <c r="T94" s="115">
        <v>1.8333333333333333</v>
      </c>
      <c r="U94" s="109" t="s">
        <v>3</v>
      </c>
      <c r="V94" s="109" t="s">
        <v>2101</v>
      </c>
      <c r="W94" s="109"/>
      <c r="X94" s="110">
        <v>46561</v>
      </c>
      <c r="Y94" s="109"/>
      <c r="Z94" s="110">
        <v>42541</v>
      </c>
      <c r="AA94" s="111"/>
      <c r="AB94" s="116">
        <v>46192</v>
      </c>
      <c r="AC94" s="109"/>
      <c r="AD94" s="109"/>
      <c r="AE94" s="117"/>
      <c r="AF94" s="117"/>
      <c r="AG94" s="117"/>
      <c r="AH94" s="117"/>
    </row>
    <row r="95" spans="1:34" ht="12.75">
      <c r="A95" s="109" t="s">
        <v>508</v>
      </c>
      <c r="B95" s="109" t="s">
        <v>506</v>
      </c>
      <c r="C95" s="110" t="s">
        <v>2299</v>
      </c>
      <c r="D95" s="109"/>
      <c r="E95" s="111"/>
      <c r="F95" s="112" t="s">
        <v>509</v>
      </c>
      <c r="G95" s="112" t="s">
        <v>507</v>
      </c>
      <c r="H95" s="109" t="s">
        <v>2097</v>
      </c>
      <c r="I95" s="109"/>
      <c r="J95" s="109" t="s">
        <v>2110</v>
      </c>
      <c r="K95" s="114" t="s">
        <v>513</v>
      </c>
      <c r="L95" s="114" t="s">
        <v>510</v>
      </c>
      <c r="M95" s="114" t="s">
        <v>511</v>
      </c>
      <c r="N95" s="114" t="s">
        <v>512</v>
      </c>
      <c r="O95" s="112" t="s">
        <v>1588</v>
      </c>
      <c r="P95" s="114" t="s">
        <v>16</v>
      </c>
      <c r="Q95" s="109" t="s">
        <v>2100</v>
      </c>
      <c r="R95" s="110">
        <v>43404</v>
      </c>
      <c r="S95" s="109" t="s">
        <v>2</v>
      </c>
      <c r="T95" s="115">
        <v>1.8333333333333333</v>
      </c>
      <c r="U95" s="109" t="s">
        <v>72</v>
      </c>
      <c r="V95" s="109" t="s">
        <v>2113</v>
      </c>
      <c r="W95" s="109"/>
      <c r="X95" s="119" t="s">
        <v>2114</v>
      </c>
      <c r="Y95" s="109"/>
      <c r="Z95" s="110">
        <v>41944</v>
      </c>
      <c r="AA95" s="111"/>
      <c r="AB95" s="120">
        <v>43404</v>
      </c>
      <c r="AC95" s="109"/>
      <c r="AD95" s="109"/>
      <c r="AE95" s="117"/>
      <c r="AF95" s="117"/>
      <c r="AG95" s="117"/>
      <c r="AH95" s="117"/>
    </row>
    <row r="96" spans="1:34" ht="12.75">
      <c r="A96" s="109" t="s">
        <v>1064</v>
      </c>
      <c r="B96" s="109" t="s">
        <v>1062</v>
      </c>
      <c r="C96" s="110" t="s">
        <v>2300</v>
      </c>
      <c r="D96" s="109"/>
      <c r="E96" s="111"/>
      <c r="F96" s="112" t="s">
        <v>1065</v>
      </c>
      <c r="G96" s="112" t="s">
        <v>1063</v>
      </c>
      <c r="H96" s="109" t="s">
        <v>2097</v>
      </c>
      <c r="I96" s="109"/>
      <c r="J96" s="109" t="s">
        <v>2098</v>
      </c>
      <c r="K96" s="114" t="s">
        <v>859</v>
      </c>
      <c r="L96" s="114" t="s">
        <v>796</v>
      </c>
      <c r="M96" s="114" t="s">
        <v>78</v>
      </c>
      <c r="N96" s="114" t="s">
        <v>14</v>
      </c>
      <c r="O96" s="112" t="s">
        <v>1588</v>
      </c>
      <c r="P96" s="114" t="s">
        <v>16</v>
      </c>
      <c r="Q96" s="109" t="s">
        <v>2100</v>
      </c>
      <c r="R96" s="110">
        <v>46531</v>
      </c>
      <c r="S96" s="109" t="s">
        <v>2</v>
      </c>
      <c r="T96" s="115">
        <v>1.8333333333333333</v>
      </c>
      <c r="U96" s="109" t="s">
        <v>3</v>
      </c>
      <c r="V96" s="109" t="s">
        <v>2101</v>
      </c>
      <c r="W96" s="109"/>
      <c r="X96" s="110">
        <v>46527</v>
      </c>
      <c r="Y96" s="109"/>
      <c r="Z96" s="110">
        <v>46167</v>
      </c>
      <c r="AA96" s="111"/>
      <c r="AB96" s="116">
        <v>46531</v>
      </c>
      <c r="AC96" s="109"/>
      <c r="AD96" s="109"/>
      <c r="AE96" s="117"/>
      <c r="AF96" s="117"/>
      <c r="AG96" s="117"/>
      <c r="AH96" s="117"/>
    </row>
    <row r="97" spans="1:34" ht="12.75">
      <c r="A97" s="109" t="s">
        <v>607</v>
      </c>
      <c r="B97" s="109" t="s">
        <v>604</v>
      </c>
      <c r="C97" s="110" t="s">
        <v>2302</v>
      </c>
      <c r="D97" s="109"/>
      <c r="E97" s="111"/>
      <c r="F97" s="112" t="s">
        <v>2303</v>
      </c>
      <c r="G97" s="112" t="s">
        <v>605</v>
      </c>
      <c r="H97" s="109" t="s">
        <v>522</v>
      </c>
      <c r="I97" s="109"/>
      <c r="J97" s="109" t="s">
        <v>2098</v>
      </c>
      <c r="K97" s="114" t="s">
        <v>612</v>
      </c>
      <c r="L97" s="114" t="s">
        <v>610</v>
      </c>
      <c r="M97" s="114" t="s">
        <v>611</v>
      </c>
      <c r="N97" s="114" t="s">
        <v>14</v>
      </c>
      <c r="O97" s="112" t="s">
        <v>1588</v>
      </c>
      <c r="P97" s="114" t="s">
        <v>16</v>
      </c>
      <c r="Q97" s="109" t="s">
        <v>2100</v>
      </c>
      <c r="R97" s="110">
        <v>46526</v>
      </c>
      <c r="S97" s="109" t="s">
        <v>2</v>
      </c>
      <c r="T97" s="118" t="s">
        <v>366</v>
      </c>
      <c r="U97" s="109" t="s">
        <v>522</v>
      </c>
      <c r="V97" s="109" t="s">
        <v>2101</v>
      </c>
      <c r="W97" s="109"/>
      <c r="X97" s="110">
        <v>46517</v>
      </c>
      <c r="Y97" s="109"/>
      <c r="Z97" s="110">
        <v>45432</v>
      </c>
      <c r="AA97" s="111"/>
      <c r="AB97" s="116">
        <v>46526</v>
      </c>
      <c r="AC97" s="109"/>
      <c r="AD97" s="109"/>
      <c r="AE97" s="117"/>
      <c r="AF97" s="117"/>
      <c r="AG97" s="117"/>
      <c r="AH97" s="117"/>
    </row>
    <row r="98" spans="1:34" ht="12.75">
      <c r="A98" s="109" t="s">
        <v>111</v>
      </c>
      <c r="B98" s="109" t="s">
        <v>109</v>
      </c>
      <c r="C98" s="110" t="s">
        <v>2304</v>
      </c>
      <c r="D98" s="109"/>
      <c r="E98" s="110" t="s">
        <v>2305</v>
      </c>
      <c r="F98" s="112" t="s">
        <v>112</v>
      </c>
      <c r="G98" s="112" t="s">
        <v>110</v>
      </c>
      <c r="H98" s="109" t="s">
        <v>2097</v>
      </c>
      <c r="I98" s="109"/>
      <c r="J98" s="109" t="s">
        <v>2098</v>
      </c>
      <c r="K98" s="114" t="s">
        <v>118</v>
      </c>
      <c r="L98" s="114" t="s">
        <v>115</v>
      </c>
      <c r="M98" s="114" t="s">
        <v>116</v>
      </c>
      <c r="N98" s="114" t="s">
        <v>117</v>
      </c>
      <c r="O98" s="112" t="s">
        <v>113</v>
      </c>
      <c r="P98" s="114" t="s">
        <v>16</v>
      </c>
      <c r="Q98" s="109" t="s">
        <v>2100</v>
      </c>
      <c r="R98" s="110">
        <v>46291</v>
      </c>
      <c r="S98" s="109" t="s">
        <v>32</v>
      </c>
      <c r="T98" s="118" t="s">
        <v>59</v>
      </c>
      <c r="U98" s="109" t="s">
        <v>3</v>
      </c>
      <c r="V98" s="109" t="s">
        <v>2101</v>
      </c>
      <c r="W98" s="109"/>
      <c r="X98" s="110">
        <v>46266</v>
      </c>
      <c r="Y98" s="109"/>
      <c r="Z98" s="110">
        <v>45562</v>
      </c>
      <c r="AA98" s="111"/>
      <c r="AB98" s="116">
        <v>46291</v>
      </c>
      <c r="AC98" s="109"/>
      <c r="AD98" s="109"/>
      <c r="AE98" s="117"/>
      <c r="AF98" s="117"/>
      <c r="AG98" s="117"/>
      <c r="AH98" s="117"/>
    </row>
    <row r="99" spans="1:34" ht="12.75">
      <c r="A99" s="109" t="s">
        <v>291</v>
      </c>
      <c r="B99" s="109" t="s">
        <v>289</v>
      </c>
      <c r="C99" s="110" t="s">
        <v>2306</v>
      </c>
      <c r="D99" s="109"/>
      <c r="E99" s="111"/>
      <c r="F99" s="112" t="s">
        <v>2307</v>
      </c>
      <c r="G99" s="112" t="s">
        <v>290</v>
      </c>
      <c r="H99" s="109" t="s">
        <v>2097</v>
      </c>
      <c r="I99" s="109"/>
      <c r="J99" s="109" t="s">
        <v>2098</v>
      </c>
      <c r="K99" s="114" t="s">
        <v>297</v>
      </c>
      <c r="L99" s="114" t="s">
        <v>295</v>
      </c>
      <c r="M99" s="114" t="s">
        <v>39</v>
      </c>
      <c r="N99" s="114" t="s">
        <v>296</v>
      </c>
      <c r="O99" s="112" t="s">
        <v>48</v>
      </c>
      <c r="P99" s="114" t="s">
        <v>16</v>
      </c>
      <c r="Q99" s="109" t="s">
        <v>2100</v>
      </c>
      <c r="R99" s="110">
        <v>46344</v>
      </c>
      <c r="S99" s="109" t="s">
        <v>215</v>
      </c>
      <c r="T99" s="118" t="s">
        <v>216</v>
      </c>
      <c r="U99" s="109" t="s">
        <v>3</v>
      </c>
      <c r="V99" s="109" t="s">
        <v>2101</v>
      </c>
      <c r="W99" s="109"/>
      <c r="X99" s="110">
        <v>46337</v>
      </c>
      <c r="Y99" s="109"/>
      <c r="Z99" s="110">
        <v>45980</v>
      </c>
      <c r="AA99" s="111"/>
      <c r="AB99" s="120">
        <v>46344</v>
      </c>
      <c r="AC99" s="109"/>
      <c r="AD99" s="109"/>
      <c r="AE99" s="117"/>
      <c r="AF99" s="117"/>
      <c r="AG99" s="117"/>
      <c r="AH99" s="117"/>
    </row>
    <row r="100" spans="1:34" ht="12.75">
      <c r="A100" s="109" t="s">
        <v>1068</v>
      </c>
      <c r="B100" s="109" t="s">
        <v>1066</v>
      </c>
      <c r="C100" s="110" t="s">
        <v>2308</v>
      </c>
      <c r="D100" s="109"/>
      <c r="E100" s="111"/>
      <c r="F100" s="112" t="s">
        <v>2309</v>
      </c>
      <c r="G100" s="112" t="s">
        <v>1067</v>
      </c>
      <c r="H100" s="109" t="s">
        <v>2097</v>
      </c>
      <c r="I100" s="109"/>
      <c r="J100" s="109" t="s">
        <v>2110</v>
      </c>
      <c r="K100" s="114" t="s">
        <v>1070</v>
      </c>
      <c r="L100" s="114" t="s">
        <v>1069</v>
      </c>
      <c r="M100" s="114" t="s">
        <v>1029</v>
      </c>
      <c r="N100" s="114" t="s">
        <v>335</v>
      </c>
      <c r="O100" s="112" t="s">
        <v>1588</v>
      </c>
      <c r="P100" s="114" t="s">
        <v>16</v>
      </c>
      <c r="Q100" s="109" t="s">
        <v>2100</v>
      </c>
      <c r="R100" s="110">
        <v>46314</v>
      </c>
      <c r="S100" s="109" t="s">
        <v>2</v>
      </c>
      <c r="T100" s="115">
        <v>1.8333333333333333</v>
      </c>
      <c r="U100" s="109" t="s">
        <v>72</v>
      </c>
      <c r="V100" s="109" t="s">
        <v>2101</v>
      </c>
      <c r="W100" s="109"/>
      <c r="X100" s="110">
        <v>46311</v>
      </c>
      <c r="Y100" s="109"/>
      <c r="Z100" s="110">
        <v>45950</v>
      </c>
      <c r="AA100" s="111"/>
      <c r="AB100" s="120">
        <v>46314</v>
      </c>
      <c r="AC100" s="109"/>
      <c r="AD100" s="109"/>
      <c r="AE100" s="117"/>
      <c r="AF100" s="117"/>
      <c r="AG100" s="117"/>
      <c r="AH100" s="117"/>
    </row>
    <row r="101" spans="1:34" ht="12.75">
      <c r="A101" s="109" t="s">
        <v>1073</v>
      </c>
      <c r="B101" s="109" t="s">
        <v>1071</v>
      </c>
      <c r="C101" s="110" t="s">
        <v>2310</v>
      </c>
      <c r="D101" s="109"/>
      <c r="E101" s="111"/>
      <c r="F101" s="112" t="s">
        <v>1074</v>
      </c>
      <c r="G101" s="112" t="s">
        <v>1072</v>
      </c>
      <c r="H101" s="109" t="s">
        <v>2097</v>
      </c>
      <c r="I101" s="109"/>
      <c r="J101" s="109" t="s">
        <v>2098</v>
      </c>
      <c r="K101" s="114" t="s">
        <v>1078</v>
      </c>
      <c r="L101" s="114" t="s">
        <v>1076</v>
      </c>
      <c r="M101" s="114" t="s">
        <v>1077</v>
      </c>
      <c r="N101" s="114" t="s">
        <v>929</v>
      </c>
      <c r="O101" s="112" t="s">
        <v>1588</v>
      </c>
      <c r="P101" s="114" t="s">
        <v>16</v>
      </c>
      <c r="Q101" s="109" t="s">
        <v>2100</v>
      </c>
      <c r="R101" s="110">
        <v>46299</v>
      </c>
      <c r="S101" s="109" t="s">
        <v>2</v>
      </c>
      <c r="T101" s="115">
        <v>1.8333333333333333</v>
      </c>
      <c r="U101" s="109" t="s">
        <v>404</v>
      </c>
      <c r="V101" s="109" t="s">
        <v>2101</v>
      </c>
      <c r="W101" s="109"/>
      <c r="X101" s="110">
        <v>46289</v>
      </c>
      <c r="Y101" s="109"/>
      <c r="Z101" s="110">
        <v>44109</v>
      </c>
      <c r="AA101" s="111"/>
      <c r="AB101" s="116">
        <v>46299</v>
      </c>
      <c r="AC101" s="109"/>
      <c r="AD101" s="109"/>
      <c r="AE101" s="117"/>
      <c r="AF101" s="117"/>
      <c r="AG101" s="117"/>
      <c r="AH101" s="117"/>
    </row>
    <row r="102" spans="1:34" ht="12.75">
      <c r="A102" s="109" t="s">
        <v>1082</v>
      </c>
      <c r="B102" s="109" t="s">
        <v>1079</v>
      </c>
      <c r="C102" s="110" t="s">
        <v>2311</v>
      </c>
      <c r="D102" s="109"/>
      <c r="E102" s="110" t="s">
        <v>2312</v>
      </c>
      <c r="F102" s="112" t="s">
        <v>1083</v>
      </c>
      <c r="G102" s="112" t="s">
        <v>1080</v>
      </c>
      <c r="H102" s="109" t="s">
        <v>2097</v>
      </c>
      <c r="I102" s="109"/>
      <c r="J102" s="109" t="s">
        <v>2110</v>
      </c>
      <c r="K102" s="114" t="s">
        <v>1087</v>
      </c>
      <c r="L102" s="114" t="s">
        <v>1085</v>
      </c>
      <c r="M102" s="114" t="s">
        <v>1086</v>
      </c>
      <c r="N102" s="114" t="s">
        <v>40</v>
      </c>
      <c r="O102" s="112" t="s">
        <v>1588</v>
      </c>
      <c r="P102" s="114" t="s">
        <v>16</v>
      </c>
      <c r="Q102" s="109" t="s">
        <v>2100</v>
      </c>
      <c r="R102" s="110">
        <v>46185</v>
      </c>
      <c r="S102" s="109" t="s">
        <v>2</v>
      </c>
      <c r="T102" s="118" t="s">
        <v>366</v>
      </c>
      <c r="U102" s="109" t="s">
        <v>72</v>
      </c>
      <c r="V102" s="109" t="s">
        <v>2101</v>
      </c>
      <c r="W102" s="109"/>
      <c r="X102" s="110">
        <v>46533</v>
      </c>
      <c r="Y102" s="109"/>
      <c r="Z102" s="110">
        <v>45456</v>
      </c>
      <c r="AA102" s="111"/>
      <c r="AB102" s="116">
        <v>46185</v>
      </c>
      <c r="AC102" s="109"/>
      <c r="AD102" s="109"/>
      <c r="AE102" s="117"/>
      <c r="AF102" s="117"/>
      <c r="AG102" s="117"/>
      <c r="AH102" s="117"/>
    </row>
    <row r="103" spans="1:34" ht="12.75">
      <c r="A103" s="109" t="s">
        <v>1090</v>
      </c>
      <c r="B103" s="109" t="s">
        <v>1088</v>
      </c>
      <c r="C103" s="110" t="s">
        <v>2313</v>
      </c>
      <c r="D103" s="109"/>
      <c r="E103" s="111"/>
      <c r="F103" s="112" t="s">
        <v>1091</v>
      </c>
      <c r="G103" s="112" t="s">
        <v>1089</v>
      </c>
      <c r="H103" s="109" t="s">
        <v>2097</v>
      </c>
      <c r="I103" s="109"/>
      <c r="J103" s="109" t="s">
        <v>2098</v>
      </c>
      <c r="K103" s="114" t="s">
        <v>1094</v>
      </c>
      <c r="L103" s="114" t="s">
        <v>1092</v>
      </c>
      <c r="M103" s="114" t="s">
        <v>1093</v>
      </c>
      <c r="N103" s="114" t="s">
        <v>391</v>
      </c>
      <c r="O103" s="112" t="s">
        <v>1588</v>
      </c>
      <c r="P103" s="114" t="s">
        <v>16</v>
      </c>
      <c r="Q103" s="109" t="s">
        <v>2100</v>
      </c>
      <c r="R103" s="110">
        <v>46146</v>
      </c>
      <c r="S103" s="109" t="s">
        <v>2</v>
      </c>
      <c r="T103" s="115">
        <v>1.8333333333333333</v>
      </c>
      <c r="U103" s="109" t="s">
        <v>3</v>
      </c>
      <c r="V103" s="109" t="s">
        <v>2101</v>
      </c>
      <c r="W103" s="109"/>
      <c r="X103" s="110">
        <v>46323</v>
      </c>
      <c r="Y103" s="109"/>
      <c r="Z103" s="110">
        <v>41764</v>
      </c>
      <c r="AA103" s="111"/>
      <c r="AB103" s="116">
        <v>46146</v>
      </c>
      <c r="AC103" s="109"/>
      <c r="AD103" s="109"/>
      <c r="AE103" s="117"/>
      <c r="AF103" s="117"/>
      <c r="AG103" s="117"/>
      <c r="AH103" s="117"/>
    </row>
    <row r="104" spans="1:34" ht="12.75">
      <c r="A104" s="109" t="s">
        <v>1098</v>
      </c>
      <c r="B104" s="109" t="s">
        <v>1095</v>
      </c>
      <c r="C104" s="110" t="s">
        <v>2314</v>
      </c>
      <c r="D104" s="109"/>
      <c r="E104" s="111"/>
      <c r="F104" s="112" t="s">
        <v>1099</v>
      </c>
      <c r="G104" s="112" t="s">
        <v>1097</v>
      </c>
      <c r="H104" s="109" t="s">
        <v>2097</v>
      </c>
      <c r="I104" s="109"/>
      <c r="J104" s="109" t="s">
        <v>2098</v>
      </c>
      <c r="K104" s="114" t="s">
        <v>1103</v>
      </c>
      <c r="L104" s="114" t="s">
        <v>1100</v>
      </c>
      <c r="M104" s="114" t="s">
        <v>1101</v>
      </c>
      <c r="N104" s="114" t="s">
        <v>1102</v>
      </c>
      <c r="O104" s="112" t="s">
        <v>151</v>
      </c>
      <c r="P104" s="114" t="s">
        <v>16</v>
      </c>
      <c r="Q104" s="109" t="s">
        <v>2100</v>
      </c>
      <c r="R104" s="110">
        <v>46048</v>
      </c>
      <c r="S104" s="109" t="s">
        <v>2</v>
      </c>
      <c r="T104" s="115">
        <v>1.8333333333333333</v>
      </c>
      <c r="U104" s="109" t="s">
        <v>3</v>
      </c>
      <c r="V104" s="109" t="s">
        <v>2101</v>
      </c>
      <c r="W104" s="109"/>
      <c r="X104" s="110">
        <v>46359</v>
      </c>
      <c r="Y104" s="109"/>
      <c r="Z104" s="110">
        <v>44953</v>
      </c>
      <c r="AA104" s="111"/>
      <c r="AB104" s="116">
        <v>46048</v>
      </c>
      <c r="AC104" s="109"/>
      <c r="AD104" s="109"/>
      <c r="AE104" s="117"/>
      <c r="AF104" s="117"/>
      <c r="AG104" s="117"/>
      <c r="AH104" s="117"/>
    </row>
    <row r="105" spans="1:34" ht="12.75">
      <c r="A105" s="109" t="s">
        <v>1107</v>
      </c>
      <c r="B105" s="109" t="s">
        <v>1104</v>
      </c>
      <c r="C105" s="110" t="s">
        <v>2315</v>
      </c>
      <c r="D105" s="109"/>
      <c r="E105" s="111"/>
      <c r="F105" s="112" t="s">
        <v>2316</v>
      </c>
      <c r="G105" s="112" t="s">
        <v>1106</v>
      </c>
      <c r="H105" s="109" t="s">
        <v>2097</v>
      </c>
      <c r="I105" s="109"/>
      <c r="J105" s="109" t="s">
        <v>2098</v>
      </c>
      <c r="K105" s="114" t="s">
        <v>788</v>
      </c>
      <c r="L105" s="114" t="s">
        <v>1109</v>
      </c>
      <c r="M105" s="114" t="s">
        <v>1110</v>
      </c>
      <c r="N105" s="114" t="s">
        <v>504</v>
      </c>
      <c r="O105" s="112" t="s">
        <v>1588</v>
      </c>
      <c r="P105" s="114" t="s">
        <v>16</v>
      </c>
      <c r="Q105" s="109" t="s">
        <v>2100</v>
      </c>
      <c r="R105" s="110">
        <v>46310</v>
      </c>
      <c r="S105" s="109" t="s">
        <v>2</v>
      </c>
      <c r="T105" s="115">
        <v>1.8333333333333333</v>
      </c>
      <c r="U105" s="109" t="s">
        <v>3</v>
      </c>
      <c r="V105" s="109" t="s">
        <v>2101</v>
      </c>
      <c r="W105" s="109"/>
      <c r="X105" s="110">
        <v>46307</v>
      </c>
      <c r="Y105" s="109"/>
      <c r="Z105" s="110">
        <v>45946</v>
      </c>
      <c r="AA105" s="111"/>
      <c r="AB105" s="120">
        <v>46310</v>
      </c>
      <c r="AC105" s="109"/>
      <c r="AD105" s="109"/>
      <c r="AE105" s="117"/>
      <c r="AF105" s="117"/>
      <c r="AG105" s="117"/>
      <c r="AH105" s="117"/>
    </row>
    <row r="106" spans="1:34" ht="12.75">
      <c r="A106" s="109" t="s">
        <v>1113</v>
      </c>
      <c r="B106" s="109" t="s">
        <v>1111</v>
      </c>
      <c r="C106" s="110" t="s">
        <v>2317</v>
      </c>
      <c r="D106" s="109"/>
      <c r="E106" s="111"/>
      <c r="F106" s="112" t="s">
        <v>1114</v>
      </c>
      <c r="G106" s="112" t="s">
        <v>1112</v>
      </c>
      <c r="H106" s="109" t="s">
        <v>2097</v>
      </c>
      <c r="I106" s="109"/>
      <c r="J106" s="109" t="s">
        <v>2098</v>
      </c>
      <c r="K106" s="114" t="s">
        <v>336</v>
      </c>
      <c r="L106" s="114" t="s">
        <v>1116</v>
      </c>
      <c r="M106" s="114" t="s">
        <v>334</v>
      </c>
      <c r="N106" s="114" t="s">
        <v>335</v>
      </c>
      <c r="O106" s="112" t="s">
        <v>1588</v>
      </c>
      <c r="P106" s="114" t="s">
        <v>16</v>
      </c>
      <c r="Q106" s="109" t="s">
        <v>2100</v>
      </c>
      <c r="R106" s="110">
        <v>46541</v>
      </c>
      <c r="S106" s="109" t="s">
        <v>2</v>
      </c>
      <c r="T106" s="115">
        <v>1.8333333333333333</v>
      </c>
      <c r="U106" s="109" t="s">
        <v>3</v>
      </c>
      <c r="V106" s="109" t="s">
        <v>2101</v>
      </c>
      <c r="W106" s="109"/>
      <c r="X106" s="110">
        <v>46534</v>
      </c>
      <c r="Y106" s="109"/>
      <c r="Z106" s="110">
        <v>43435</v>
      </c>
      <c r="AA106" s="111"/>
      <c r="AB106" s="116">
        <v>46541</v>
      </c>
      <c r="AC106" s="109"/>
      <c r="AD106" s="109"/>
      <c r="AE106" s="117"/>
      <c r="AF106" s="117"/>
      <c r="AG106" s="117"/>
      <c r="AH106" s="117"/>
    </row>
    <row r="107" spans="1:34" ht="12.75">
      <c r="A107" s="109" t="s">
        <v>1119</v>
      </c>
      <c r="B107" s="109" t="s">
        <v>1117</v>
      </c>
      <c r="C107" s="110" t="s">
        <v>2318</v>
      </c>
      <c r="D107" s="109"/>
      <c r="E107" s="111"/>
      <c r="F107" s="112" t="s">
        <v>759</v>
      </c>
      <c r="G107" s="112" t="s">
        <v>1118</v>
      </c>
      <c r="H107" s="109" t="s">
        <v>2097</v>
      </c>
      <c r="I107" s="109"/>
      <c r="J107" s="109" t="s">
        <v>2098</v>
      </c>
      <c r="K107" s="114" t="s">
        <v>1126</v>
      </c>
      <c r="L107" s="114" t="s">
        <v>1123</v>
      </c>
      <c r="M107" s="114" t="s">
        <v>1124</v>
      </c>
      <c r="N107" s="114" t="s">
        <v>1125</v>
      </c>
      <c r="O107" s="112" t="s">
        <v>1588</v>
      </c>
      <c r="P107" s="114" t="s">
        <v>16</v>
      </c>
      <c r="Q107" s="109" t="s">
        <v>2100</v>
      </c>
      <c r="R107" s="110">
        <v>46560</v>
      </c>
      <c r="S107" s="109" t="s">
        <v>2</v>
      </c>
      <c r="T107" s="115">
        <v>1.8333333333333333</v>
      </c>
      <c r="U107" s="109" t="s">
        <v>3</v>
      </c>
      <c r="V107" s="109" t="s">
        <v>2101</v>
      </c>
      <c r="W107" s="109"/>
      <c r="X107" s="110">
        <v>46559</v>
      </c>
      <c r="Y107" s="109"/>
      <c r="Z107" s="110">
        <v>46196</v>
      </c>
      <c r="AA107" s="119" t="s">
        <v>2136</v>
      </c>
      <c r="AB107" s="116">
        <v>46560</v>
      </c>
      <c r="AC107" s="109"/>
      <c r="AD107" s="109"/>
      <c r="AE107" s="117"/>
      <c r="AF107" s="117"/>
      <c r="AG107" s="117"/>
      <c r="AH107" s="117"/>
    </row>
    <row r="108" spans="1:34" ht="12.75">
      <c r="A108" s="109" t="s">
        <v>122</v>
      </c>
      <c r="B108" s="109" t="s">
        <v>120</v>
      </c>
      <c r="C108" s="110" t="s">
        <v>2319</v>
      </c>
      <c r="D108" s="109"/>
      <c r="E108" s="111"/>
      <c r="F108" s="112" t="s">
        <v>2320</v>
      </c>
      <c r="G108" s="112" t="s">
        <v>121</v>
      </c>
      <c r="H108" s="109" t="s">
        <v>2097</v>
      </c>
      <c r="I108" s="109"/>
      <c r="J108" s="109" t="s">
        <v>2098</v>
      </c>
      <c r="K108" s="114" t="s">
        <v>128</v>
      </c>
      <c r="L108" s="114" t="s">
        <v>126</v>
      </c>
      <c r="M108" s="114" t="s">
        <v>12</v>
      </c>
      <c r="N108" s="114" t="s">
        <v>127</v>
      </c>
      <c r="O108" s="112" t="s">
        <v>1291</v>
      </c>
      <c r="P108" s="114" t="s">
        <v>16</v>
      </c>
      <c r="Q108" s="109" t="s">
        <v>2100</v>
      </c>
      <c r="R108" s="110">
        <v>46549</v>
      </c>
      <c r="S108" s="109" t="s">
        <v>32</v>
      </c>
      <c r="T108" s="118" t="s">
        <v>46</v>
      </c>
      <c r="U108" s="109" t="s">
        <v>3</v>
      </c>
      <c r="V108" s="109" t="s">
        <v>2101</v>
      </c>
      <c r="W108" s="109"/>
      <c r="X108" s="110">
        <v>46549</v>
      </c>
      <c r="Y108" s="109"/>
      <c r="Z108" s="110">
        <v>46185</v>
      </c>
      <c r="AA108" s="111"/>
      <c r="AB108" s="116">
        <v>46549</v>
      </c>
      <c r="AC108" s="109"/>
      <c r="AD108" s="109"/>
      <c r="AE108" s="117"/>
      <c r="AF108" s="117"/>
      <c r="AG108" s="117"/>
      <c r="AH108" s="117"/>
    </row>
    <row r="109" spans="1:34" ht="12.75">
      <c r="A109" s="109" t="s">
        <v>1129</v>
      </c>
      <c r="B109" s="109" t="s">
        <v>1127</v>
      </c>
      <c r="C109" s="110" t="s">
        <v>2321</v>
      </c>
      <c r="D109" s="109"/>
      <c r="E109" s="111"/>
      <c r="F109" s="112" t="s">
        <v>2322</v>
      </c>
      <c r="G109" s="112" t="s">
        <v>1128</v>
      </c>
      <c r="H109" s="109" t="s">
        <v>2097</v>
      </c>
      <c r="I109" s="109"/>
      <c r="J109" s="109" t="s">
        <v>2098</v>
      </c>
      <c r="K109" s="114" t="s">
        <v>1131</v>
      </c>
      <c r="L109" s="114" t="s">
        <v>1130</v>
      </c>
      <c r="M109" s="114" t="s">
        <v>39</v>
      </c>
      <c r="N109" s="114" t="s">
        <v>26</v>
      </c>
      <c r="O109" s="112" t="s">
        <v>1588</v>
      </c>
      <c r="P109" s="114" t="s">
        <v>16</v>
      </c>
      <c r="Q109" s="109" t="s">
        <v>2100</v>
      </c>
      <c r="R109" s="111"/>
      <c r="S109" s="109" t="s">
        <v>2</v>
      </c>
      <c r="T109" s="118" t="s">
        <v>366</v>
      </c>
      <c r="U109" s="109" t="s">
        <v>529</v>
      </c>
      <c r="V109" s="109" t="s">
        <v>2101</v>
      </c>
      <c r="W109" s="109"/>
      <c r="X109" s="110">
        <v>46317</v>
      </c>
      <c r="Y109" s="109"/>
      <c r="Z109" s="110">
        <v>45957</v>
      </c>
      <c r="AA109" s="111"/>
      <c r="AB109" s="109"/>
      <c r="AC109" s="109"/>
      <c r="AD109" s="109"/>
      <c r="AE109" s="117"/>
      <c r="AF109" s="117"/>
      <c r="AG109" s="117"/>
      <c r="AH109" s="117"/>
    </row>
    <row r="110" spans="1:34" ht="12.75">
      <c r="A110" s="109" t="s">
        <v>1134</v>
      </c>
      <c r="B110" s="109" t="s">
        <v>1132</v>
      </c>
      <c r="C110" s="110" t="s">
        <v>2323</v>
      </c>
      <c r="D110" s="109"/>
      <c r="E110" s="111"/>
      <c r="F110" s="112" t="s">
        <v>2324</v>
      </c>
      <c r="G110" s="112" t="s">
        <v>1133</v>
      </c>
      <c r="H110" s="109" t="s">
        <v>2097</v>
      </c>
      <c r="I110" s="109"/>
      <c r="J110" s="109" t="s">
        <v>2110</v>
      </c>
      <c r="K110" s="114" t="s">
        <v>1139</v>
      </c>
      <c r="L110" s="114" t="s">
        <v>1136</v>
      </c>
      <c r="M110" s="114" t="s">
        <v>1137</v>
      </c>
      <c r="N110" s="114" t="s">
        <v>1138</v>
      </c>
      <c r="O110" s="112" t="s">
        <v>1588</v>
      </c>
      <c r="P110" s="114" t="s">
        <v>16</v>
      </c>
      <c r="Q110" s="109" t="s">
        <v>2100</v>
      </c>
      <c r="R110" s="110">
        <v>46464</v>
      </c>
      <c r="S110" s="109" t="s">
        <v>2</v>
      </c>
      <c r="T110" s="115">
        <v>1.8333333333333333</v>
      </c>
      <c r="U110" s="109" t="s">
        <v>72</v>
      </c>
      <c r="V110" s="109" t="s">
        <v>2101</v>
      </c>
      <c r="W110" s="109"/>
      <c r="X110" s="110">
        <v>46458</v>
      </c>
      <c r="Y110" s="109"/>
      <c r="Z110" s="110">
        <v>46100</v>
      </c>
      <c r="AA110" s="111"/>
      <c r="AB110" s="116">
        <v>46464</v>
      </c>
      <c r="AC110" s="109"/>
      <c r="AD110" s="109"/>
      <c r="AE110" s="117"/>
      <c r="AF110" s="117"/>
      <c r="AG110" s="117"/>
      <c r="AH110" s="117"/>
    </row>
    <row r="111" spans="1:34" ht="12.75">
      <c r="A111" s="109" t="s">
        <v>1142</v>
      </c>
      <c r="B111" s="109" t="s">
        <v>1140</v>
      </c>
      <c r="C111" s="111"/>
      <c r="D111" s="109"/>
      <c r="E111" s="110" t="s">
        <v>2325</v>
      </c>
      <c r="F111" s="112" t="s">
        <v>2326</v>
      </c>
      <c r="G111" s="112" t="s">
        <v>1141</v>
      </c>
      <c r="H111" s="109" t="s">
        <v>2097</v>
      </c>
      <c r="I111" s="109"/>
      <c r="J111" s="109" t="s">
        <v>2098</v>
      </c>
      <c r="K111" s="114" t="s">
        <v>831</v>
      </c>
      <c r="L111" s="114" t="s">
        <v>1145</v>
      </c>
      <c r="M111" s="114" t="s">
        <v>145</v>
      </c>
      <c r="N111" s="114" t="s">
        <v>743</v>
      </c>
      <c r="O111" s="112" t="s">
        <v>1588</v>
      </c>
      <c r="P111" s="114" t="s">
        <v>16</v>
      </c>
      <c r="Q111" s="109" t="s">
        <v>2100</v>
      </c>
      <c r="R111" s="110">
        <v>46326</v>
      </c>
      <c r="S111" s="109" t="s">
        <v>2</v>
      </c>
      <c r="T111" s="115">
        <v>1.8333333333333333</v>
      </c>
      <c r="U111" s="109" t="s">
        <v>3</v>
      </c>
      <c r="V111" s="109" t="s">
        <v>2101</v>
      </c>
      <c r="W111" s="109"/>
      <c r="X111" s="110">
        <v>46506</v>
      </c>
      <c r="Y111" s="109"/>
      <c r="Z111" s="110">
        <v>40848</v>
      </c>
      <c r="AA111" s="111"/>
      <c r="AB111" s="120">
        <v>46326</v>
      </c>
      <c r="AC111" s="109"/>
      <c r="AD111" s="109"/>
      <c r="AE111" s="117"/>
      <c r="AF111" s="117"/>
      <c r="AG111" s="117"/>
      <c r="AH111" s="117"/>
    </row>
    <row r="112" spans="1:34" ht="12.75">
      <c r="A112" s="109" t="s">
        <v>615</v>
      </c>
      <c r="B112" s="109" t="s">
        <v>613</v>
      </c>
      <c r="C112" s="110" t="s">
        <v>2327</v>
      </c>
      <c r="D112" s="109"/>
      <c r="E112" s="111"/>
      <c r="F112" s="112" t="s">
        <v>2328</v>
      </c>
      <c r="G112" s="112" t="s">
        <v>614</v>
      </c>
      <c r="H112" s="109" t="s">
        <v>522</v>
      </c>
      <c r="I112" s="109"/>
      <c r="J112" s="109" t="s">
        <v>2098</v>
      </c>
      <c r="K112" s="114" t="s">
        <v>620</v>
      </c>
      <c r="L112" s="114" t="s">
        <v>617</v>
      </c>
      <c r="M112" s="114" t="s">
        <v>618</v>
      </c>
      <c r="N112" s="114" t="s">
        <v>619</v>
      </c>
      <c r="O112" s="112" t="s">
        <v>1588</v>
      </c>
      <c r="P112" s="114" t="s">
        <v>16</v>
      </c>
      <c r="Q112" s="109" t="s">
        <v>2100</v>
      </c>
      <c r="R112" s="110">
        <v>46061</v>
      </c>
      <c r="S112" s="109" t="s">
        <v>2</v>
      </c>
      <c r="T112" s="115">
        <v>1.8333333333333333</v>
      </c>
      <c r="U112" s="109" t="s">
        <v>522</v>
      </c>
      <c r="V112" s="109" t="s">
        <v>2101</v>
      </c>
      <c r="W112" s="109"/>
      <c r="X112" s="110">
        <v>46398</v>
      </c>
      <c r="Y112" s="109"/>
      <c r="Z112" s="110">
        <v>44601</v>
      </c>
      <c r="AA112" s="111"/>
      <c r="AB112" s="116">
        <v>46061</v>
      </c>
      <c r="AC112" s="109"/>
      <c r="AD112" s="109"/>
      <c r="AE112" s="117"/>
      <c r="AF112" s="117"/>
      <c r="AG112" s="117"/>
      <c r="AH112" s="117"/>
    </row>
    <row r="113" spans="1:34" ht="12.75">
      <c r="A113" s="109" t="s">
        <v>1148</v>
      </c>
      <c r="B113" s="109" t="s">
        <v>1146</v>
      </c>
      <c r="C113" s="110" t="s">
        <v>2329</v>
      </c>
      <c r="D113" s="109"/>
      <c r="E113" s="111"/>
      <c r="F113" s="112" t="s">
        <v>2330</v>
      </c>
      <c r="G113" s="112" t="s">
        <v>1147</v>
      </c>
      <c r="H113" s="109" t="s">
        <v>2097</v>
      </c>
      <c r="I113" s="109"/>
      <c r="J113" s="109" t="s">
        <v>2098</v>
      </c>
      <c r="K113" s="114" t="s">
        <v>1126</v>
      </c>
      <c r="L113" s="114" t="s">
        <v>1150</v>
      </c>
      <c r="M113" s="114" t="s">
        <v>1151</v>
      </c>
      <c r="N113" s="114" t="s">
        <v>1152</v>
      </c>
      <c r="O113" s="112" t="s">
        <v>1588</v>
      </c>
      <c r="P113" s="114" t="s">
        <v>16</v>
      </c>
      <c r="Q113" s="109" t="s">
        <v>2100</v>
      </c>
      <c r="R113" s="110">
        <v>46527</v>
      </c>
      <c r="S113" s="109" t="s">
        <v>2</v>
      </c>
      <c r="T113" s="115">
        <v>1.8333333333333333</v>
      </c>
      <c r="U113" s="109" t="s">
        <v>3</v>
      </c>
      <c r="V113" s="109" t="s">
        <v>2101</v>
      </c>
      <c r="W113" s="109"/>
      <c r="X113" s="110">
        <v>46524</v>
      </c>
      <c r="Y113" s="109"/>
      <c r="Z113" s="110">
        <v>46163</v>
      </c>
      <c r="AA113" s="111"/>
      <c r="AB113" s="116">
        <v>46527</v>
      </c>
      <c r="AC113" s="109"/>
      <c r="AD113" s="109"/>
      <c r="AE113" s="117"/>
      <c r="AF113" s="117"/>
      <c r="AG113" s="117"/>
      <c r="AH113" s="117"/>
    </row>
    <row r="114" spans="1:34" ht="12.75">
      <c r="A114" s="109" t="s">
        <v>1156</v>
      </c>
      <c r="B114" s="109" t="s">
        <v>1153</v>
      </c>
      <c r="C114" s="110" t="s">
        <v>2331</v>
      </c>
      <c r="D114" s="109"/>
      <c r="E114" s="110" t="s">
        <v>2332</v>
      </c>
      <c r="F114" s="112" t="s">
        <v>1158</v>
      </c>
      <c r="G114" s="112" t="s">
        <v>1154</v>
      </c>
      <c r="H114" s="109" t="s">
        <v>2097</v>
      </c>
      <c r="I114" s="109"/>
      <c r="J114" s="109" t="s">
        <v>2098</v>
      </c>
      <c r="K114" s="114" t="s">
        <v>1161</v>
      </c>
      <c r="L114" s="114" t="s">
        <v>1159</v>
      </c>
      <c r="M114" s="114" t="s">
        <v>1160</v>
      </c>
      <c r="N114" s="114" t="s">
        <v>14</v>
      </c>
      <c r="O114" s="112" t="s">
        <v>1588</v>
      </c>
      <c r="P114" s="114" t="s">
        <v>16</v>
      </c>
      <c r="Q114" s="109" t="s">
        <v>2100</v>
      </c>
      <c r="R114" s="110">
        <v>46505</v>
      </c>
      <c r="S114" s="109" t="s">
        <v>2</v>
      </c>
      <c r="T114" s="115">
        <v>1.8333333333333333</v>
      </c>
      <c r="U114" s="109" t="s">
        <v>3</v>
      </c>
      <c r="V114" s="109" t="s">
        <v>2101</v>
      </c>
      <c r="W114" s="109"/>
      <c r="X114" s="110">
        <v>46503</v>
      </c>
      <c r="Y114" s="109"/>
      <c r="Z114" s="110">
        <v>46141</v>
      </c>
      <c r="AA114" s="111"/>
      <c r="AB114" s="116">
        <v>46505</v>
      </c>
      <c r="AC114" s="109"/>
      <c r="AD114" s="109"/>
      <c r="AE114" s="117"/>
      <c r="AF114" s="117"/>
      <c r="AG114" s="117"/>
      <c r="AH114" s="117"/>
    </row>
    <row r="115" spans="1:34" ht="12.75">
      <c r="A115" s="109" t="s">
        <v>1164</v>
      </c>
      <c r="B115" s="109" t="s">
        <v>1162</v>
      </c>
      <c r="C115" s="110" t="s">
        <v>2334</v>
      </c>
      <c r="D115" s="109"/>
      <c r="E115" s="111"/>
      <c r="F115" s="112" t="s">
        <v>2335</v>
      </c>
      <c r="G115" s="112" t="s">
        <v>1163</v>
      </c>
      <c r="H115" s="109" t="s">
        <v>2097</v>
      </c>
      <c r="I115" s="109"/>
      <c r="J115" s="109" t="s">
        <v>2098</v>
      </c>
      <c r="K115" s="114" t="s">
        <v>1170</v>
      </c>
      <c r="L115" s="114" t="s">
        <v>1167</v>
      </c>
      <c r="M115" s="114" t="s">
        <v>1168</v>
      </c>
      <c r="N115" s="114" t="s">
        <v>1169</v>
      </c>
      <c r="O115" s="112" t="s">
        <v>274</v>
      </c>
      <c r="P115" s="114" t="s">
        <v>16</v>
      </c>
      <c r="Q115" s="109" t="s">
        <v>2100</v>
      </c>
      <c r="R115" s="110">
        <v>46446</v>
      </c>
      <c r="S115" s="109" t="s">
        <v>2</v>
      </c>
      <c r="T115" s="115">
        <v>1.8333333333333333</v>
      </c>
      <c r="U115" s="109" t="s">
        <v>529</v>
      </c>
      <c r="V115" s="109" t="s">
        <v>2101</v>
      </c>
      <c r="W115" s="109"/>
      <c r="X115" s="110">
        <v>46360</v>
      </c>
      <c r="Y115" s="109"/>
      <c r="Z115" s="110">
        <v>44256</v>
      </c>
      <c r="AA115" s="111"/>
      <c r="AB115" s="116">
        <v>46446</v>
      </c>
      <c r="AC115" s="109"/>
      <c r="AD115" s="109"/>
      <c r="AE115" s="117"/>
      <c r="AF115" s="117"/>
      <c r="AG115" s="117"/>
      <c r="AH115" s="117"/>
    </row>
    <row r="116" spans="1:34" ht="12.75">
      <c r="A116" s="109" t="s">
        <v>131</v>
      </c>
      <c r="B116" s="109" t="s">
        <v>129</v>
      </c>
      <c r="C116" s="110" t="s">
        <v>2336</v>
      </c>
      <c r="D116" s="109"/>
      <c r="E116" s="111"/>
      <c r="F116" s="112" t="s">
        <v>2337</v>
      </c>
      <c r="G116" s="112" t="s">
        <v>130</v>
      </c>
      <c r="H116" s="109" t="s">
        <v>2097</v>
      </c>
      <c r="I116" s="109"/>
      <c r="J116" s="109" t="s">
        <v>2098</v>
      </c>
      <c r="K116" s="114" t="s">
        <v>136</v>
      </c>
      <c r="L116" s="114" t="s">
        <v>133</v>
      </c>
      <c r="M116" s="114" t="s">
        <v>134</v>
      </c>
      <c r="N116" s="114" t="s">
        <v>135</v>
      </c>
      <c r="O116" s="112" t="s">
        <v>132</v>
      </c>
      <c r="P116" s="114" t="s">
        <v>16</v>
      </c>
      <c r="Q116" s="109" t="s">
        <v>2100</v>
      </c>
      <c r="R116" s="110">
        <v>46468</v>
      </c>
      <c r="S116" s="109" t="s">
        <v>32</v>
      </c>
      <c r="T116" s="118" t="s">
        <v>46</v>
      </c>
      <c r="U116" s="109" t="s">
        <v>3</v>
      </c>
      <c r="V116" s="109" t="s">
        <v>2101</v>
      </c>
      <c r="W116" s="109"/>
      <c r="X116" s="110">
        <v>46464</v>
      </c>
      <c r="Y116" s="109"/>
      <c r="Z116" s="110">
        <v>46104</v>
      </c>
      <c r="AA116" s="111"/>
      <c r="AB116" s="116">
        <v>46468</v>
      </c>
      <c r="AC116" s="109"/>
      <c r="AD116" s="109"/>
      <c r="AE116" s="117"/>
      <c r="AF116" s="117"/>
      <c r="AG116" s="117"/>
      <c r="AH116" s="117"/>
    </row>
    <row r="117" spans="1:34" ht="12.75">
      <c r="A117" s="109" t="s">
        <v>1173</v>
      </c>
      <c r="B117" s="109" t="s">
        <v>1171</v>
      </c>
      <c r="C117" s="110" t="s">
        <v>2338</v>
      </c>
      <c r="D117" s="109"/>
      <c r="E117" s="111"/>
      <c r="F117" s="112" t="s">
        <v>1174</v>
      </c>
      <c r="G117" s="112" t="s">
        <v>1172</v>
      </c>
      <c r="H117" s="109" t="s">
        <v>2097</v>
      </c>
      <c r="I117" s="109"/>
      <c r="J117" s="109" t="s">
        <v>2098</v>
      </c>
      <c r="K117" s="114" t="s">
        <v>1178</v>
      </c>
      <c r="L117" s="114" t="s">
        <v>1176</v>
      </c>
      <c r="M117" s="114" t="s">
        <v>1177</v>
      </c>
      <c r="N117" s="114" t="s">
        <v>40</v>
      </c>
      <c r="O117" s="112" t="s">
        <v>1588</v>
      </c>
      <c r="P117" s="114" t="s">
        <v>16</v>
      </c>
      <c r="Q117" s="109" t="s">
        <v>2100</v>
      </c>
      <c r="R117" s="110">
        <v>46538</v>
      </c>
      <c r="S117" s="109" t="s">
        <v>2</v>
      </c>
      <c r="T117" s="118" t="s">
        <v>366</v>
      </c>
      <c r="U117" s="109" t="s">
        <v>3</v>
      </c>
      <c r="V117" s="109" t="s">
        <v>2101</v>
      </c>
      <c r="W117" s="109"/>
      <c r="X117" s="110">
        <v>46532</v>
      </c>
      <c r="Y117" s="109"/>
      <c r="Z117" s="110">
        <v>46174</v>
      </c>
      <c r="AA117" s="111"/>
      <c r="AB117" s="116">
        <v>46538</v>
      </c>
      <c r="AC117" s="109"/>
      <c r="AD117" s="109"/>
      <c r="AE117" s="117"/>
      <c r="AF117" s="117"/>
      <c r="AG117" s="117"/>
      <c r="AH117" s="117"/>
    </row>
    <row r="118" spans="1:34" ht="12.75">
      <c r="A118" s="109" t="s">
        <v>1181</v>
      </c>
      <c r="B118" s="109" t="s">
        <v>1179</v>
      </c>
      <c r="C118" s="110" t="s">
        <v>2339</v>
      </c>
      <c r="D118" s="109"/>
      <c r="E118" s="111"/>
      <c r="F118" s="112" t="s">
        <v>2340</v>
      </c>
      <c r="G118" s="112" t="s">
        <v>1180</v>
      </c>
      <c r="H118" s="109" t="s">
        <v>2097</v>
      </c>
      <c r="I118" s="109"/>
      <c r="J118" s="109" t="s">
        <v>2098</v>
      </c>
      <c r="K118" s="114" t="s">
        <v>1186</v>
      </c>
      <c r="L118" s="114" t="s">
        <v>1183</v>
      </c>
      <c r="M118" s="114" t="s">
        <v>1184</v>
      </c>
      <c r="N118" s="114" t="s">
        <v>1185</v>
      </c>
      <c r="O118" s="112" t="s">
        <v>113</v>
      </c>
      <c r="P118" s="114" t="s">
        <v>16</v>
      </c>
      <c r="Q118" s="109" t="s">
        <v>2100</v>
      </c>
      <c r="R118" s="110">
        <v>46304</v>
      </c>
      <c r="S118" s="109" t="s">
        <v>2</v>
      </c>
      <c r="T118" s="115">
        <v>1.8333333333333333</v>
      </c>
      <c r="U118" s="109" t="s">
        <v>3</v>
      </c>
      <c r="V118" s="109" t="s">
        <v>2101</v>
      </c>
      <c r="W118" s="109"/>
      <c r="X118" s="110">
        <v>46302</v>
      </c>
      <c r="Y118" s="109"/>
      <c r="Z118" s="110">
        <v>45940</v>
      </c>
      <c r="AA118" s="111"/>
      <c r="AB118" s="116">
        <v>46304</v>
      </c>
      <c r="AC118" s="109"/>
      <c r="AD118" s="109"/>
      <c r="AE118" s="117"/>
      <c r="AF118" s="117"/>
      <c r="AG118" s="117"/>
      <c r="AH118" s="117"/>
    </row>
    <row r="119" spans="1:34" ht="12.75">
      <c r="A119" s="109" t="s">
        <v>1189</v>
      </c>
      <c r="B119" s="109" t="s">
        <v>1187</v>
      </c>
      <c r="C119" s="110" t="s">
        <v>2341</v>
      </c>
      <c r="D119" s="109"/>
      <c r="E119" s="110" t="s">
        <v>2342</v>
      </c>
      <c r="F119" s="112" t="s">
        <v>2343</v>
      </c>
      <c r="G119" s="112" t="s">
        <v>1188</v>
      </c>
      <c r="H119" s="109" t="s">
        <v>2097</v>
      </c>
      <c r="I119" s="109"/>
      <c r="J119" s="109" t="s">
        <v>2110</v>
      </c>
      <c r="K119" s="114" t="s">
        <v>1193</v>
      </c>
      <c r="L119" s="114" t="s">
        <v>1191</v>
      </c>
      <c r="M119" s="114" t="s">
        <v>1192</v>
      </c>
      <c r="N119" s="114" t="s">
        <v>418</v>
      </c>
      <c r="O119" s="112" t="s">
        <v>1588</v>
      </c>
      <c r="P119" s="114" t="s">
        <v>16</v>
      </c>
      <c r="Q119" s="109" t="s">
        <v>2100</v>
      </c>
      <c r="R119" s="110">
        <v>46316</v>
      </c>
      <c r="S119" s="109" t="s">
        <v>2</v>
      </c>
      <c r="T119" s="115">
        <v>1.8333333333333333</v>
      </c>
      <c r="U119" s="109" t="s">
        <v>72</v>
      </c>
      <c r="V119" s="109" t="s">
        <v>2101</v>
      </c>
      <c r="W119" s="109"/>
      <c r="X119" s="110">
        <v>46343</v>
      </c>
      <c r="Y119" s="109"/>
      <c r="Z119" s="110">
        <v>43760</v>
      </c>
      <c r="AA119" s="111"/>
      <c r="AB119" s="120">
        <v>46316</v>
      </c>
      <c r="AC119" s="109"/>
      <c r="AD119" s="109"/>
      <c r="AE119" s="117"/>
      <c r="AF119" s="117"/>
      <c r="AG119" s="117"/>
      <c r="AH119" s="117"/>
    </row>
    <row r="120" spans="1:34" ht="12.75">
      <c r="A120" s="109" t="s">
        <v>516</v>
      </c>
      <c r="B120" s="109" t="s">
        <v>514</v>
      </c>
      <c r="C120" s="110" t="s">
        <v>2344</v>
      </c>
      <c r="D120" s="109"/>
      <c r="E120" s="111"/>
      <c r="F120" s="112" t="s">
        <v>517</v>
      </c>
      <c r="G120" s="112" t="s">
        <v>515</v>
      </c>
      <c r="H120" s="109" t="s">
        <v>2097</v>
      </c>
      <c r="I120" s="109"/>
      <c r="J120" s="109" t="s">
        <v>2098</v>
      </c>
      <c r="K120" s="114" t="s">
        <v>384</v>
      </c>
      <c r="L120" s="114" t="s">
        <v>518</v>
      </c>
      <c r="M120" s="114" t="s">
        <v>519</v>
      </c>
      <c r="N120" s="114" t="s">
        <v>383</v>
      </c>
      <c r="O120" s="112" t="s">
        <v>378</v>
      </c>
      <c r="P120" s="114" t="s">
        <v>16</v>
      </c>
      <c r="Q120" s="109" t="s">
        <v>2100</v>
      </c>
      <c r="R120" s="110">
        <v>44358</v>
      </c>
      <c r="S120" s="109" t="s">
        <v>2</v>
      </c>
      <c r="T120" s="115">
        <v>1.8333333333333333</v>
      </c>
      <c r="U120" s="109" t="s">
        <v>3</v>
      </c>
      <c r="V120" s="109" t="s">
        <v>2113</v>
      </c>
      <c r="W120" s="109"/>
      <c r="X120" s="119" t="s">
        <v>2114</v>
      </c>
      <c r="Y120" s="109"/>
      <c r="Z120" s="110">
        <v>43628</v>
      </c>
      <c r="AA120" s="111"/>
      <c r="AB120" s="116">
        <v>44358</v>
      </c>
      <c r="AC120" s="109"/>
      <c r="AD120" s="109"/>
      <c r="AE120" s="117"/>
      <c r="AF120" s="117"/>
      <c r="AG120" s="117"/>
      <c r="AH120" s="117"/>
    </row>
    <row r="121" spans="1:34" ht="12.75">
      <c r="A121" s="109" t="s">
        <v>1196</v>
      </c>
      <c r="B121" s="109" t="s">
        <v>1194</v>
      </c>
      <c r="C121" s="110" t="s">
        <v>2345</v>
      </c>
      <c r="D121" s="109"/>
      <c r="E121" s="111"/>
      <c r="F121" s="112" t="s">
        <v>1197</v>
      </c>
      <c r="G121" s="112" t="s">
        <v>1195</v>
      </c>
      <c r="H121" s="109" t="s">
        <v>2097</v>
      </c>
      <c r="I121" s="109"/>
      <c r="J121" s="109" t="s">
        <v>2098</v>
      </c>
      <c r="K121" s="114" t="s">
        <v>1200</v>
      </c>
      <c r="L121" s="114" t="s">
        <v>1198</v>
      </c>
      <c r="M121" s="114" t="s">
        <v>1199</v>
      </c>
      <c r="N121" s="114" t="s">
        <v>287</v>
      </c>
      <c r="O121" s="112" t="s">
        <v>1588</v>
      </c>
      <c r="P121" s="114" t="s">
        <v>16</v>
      </c>
      <c r="Q121" s="109" t="s">
        <v>2100</v>
      </c>
      <c r="R121" s="110">
        <v>46290</v>
      </c>
      <c r="S121" s="109" t="s">
        <v>2</v>
      </c>
      <c r="T121" s="115">
        <v>1.8333333333333333</v>
      </c>
      <c r="U121" s="109" t="s">
        <v>3</v>
      </c>
      <c r="V121" s="109" t="s">
        <v>2101</v>
      </c>
      <c r="W121" s="109"/>
      <c r="X121" s="110">
        <v>46274</v>
      </c>
      <c r="Y121" s="109"/>
      <c r="Z121" s="110">
        <v>45561</v>
      </c>
      <c r="AA121" s="111"/>
      <c r="AB121" s="116">
        <v>46290</v>
      </c>
      <c r="AC121" s="109"/>
      <c r="AD121" s="109"/>
      <c r="AE121" s="117"/>
      <c r="AF121" s="117"/>
      <c r="AG121" s="117"/>
      <c r="AH121" s="117"/>
    </row>
    <row r="122" spans="1:34" ht="12.75">
      <c r="A122" s="109" t="s">
        <v>1203</v>
      </c>
      <c r="B122" s="109" t="s">
        <v>1201</v>
      </c>
      <c r="C122" s="110" t="s">
        <v>2346</v>
      </c>
      <c r="D122" s="109"/>
      <c r="E122" s="111"/>
      <c r="F122" s="112" t="s">
        <v>2347</v>
      </c>
      <c r="G122" s="112" t="s">
        <v>1202</v>
      </c>
      <c r="H122" s="109" t="s">
        <v>2097</v>
      </c>
      <c r="I122" s="109"/>
      <c r="J122" s="109" t="s">
        <v>2098</v>
      </c>
      <c r="K122" s="114" t="s">
        <v>412</v>
      </c>
      <c r="L122" s="114" t="s">
        <v>1204</v>
      </c>
      <c r="M122" s="114" t="s">
        <v>1205</v>
      </c>
      <c r="N122" s="114" t="s">
        <v>411</v>
      </c>
      <c r="O122" s="112" t="s">
        <v>1588</v>
      </c>
      <c r="P122" s="114" t="s">
        <v>16</v>
      </c>
      <c r="Q122" s="109" t="s">
        <v>2100</v>
      </c>
      <c r="R122" s="110">
        <v>46081</v>
      </c>
      <c r="S122" s="109" t="s">
        <v>2</v>
      </c>
      <c r="T122" s="115">
        <v>1.8333333333333333</v>
      </c>
      <c r="U122" s="109" t="s">
        <v>72</v>
      </c>
      <c r="V122" s="109" t="s">
        <v>2101</v>
      </c>
      <c r="W122" s="109"/>
      <c r="X122" s="110">
        <v>46373</v>
      </c>
      <c r="Y122" s="109"/>
      <c r="Z122" s="110">
        <v>43525</v>
      </c>
      <c r="AA122" s="111"/>
      <c r="AB122" s="116">
        <v>46081</v>
      </c>
      <c r="AC122" s="109"/>
      <c r="AD122" s="109"/>
      <c r="AE122" s="117"/>
      <c r="AF122" s="117"/>
      <c r="AG122" s="117"/>
      <c r="AH122" s="117"/>
    </row>
    <row r="123" spans="1:34" ht="12.75">
      <c r="A123" s="109" t="s">
        <v>1209</v>
      </c>
      <c r="B123" s="109" t="s">
        <v>1207</v>
      </c>
      <c r="C123" s="110" t="s">
        <v>2348</v>
      </c>
      <c r="D123" s="109"/>
      <c r="E123" s="111"/>
      <c r="F123" s="112" t="s">
        <v>1210</v>
      </c>
      <c r="G123" s="112" t="s">
        <v>1208</v>
      </c>
      <c r="H123" s="109" t="s">
        <v>2097</v>
      </c>
      <c r="I123" s="109"/>
      <c r="J123" s="109" t="s">
        <v>2110</v>
      </c>
      <c r="K123" s="114" t="s">
        <v>41</v>
      </c>
      <c r="L123" s="114" t="s">
        <v>1212</v>
      </c>
      <c r="M123" s="114" t="s">
        <v>1213</v>
      </c>
      <c r="N123" s="114" t="s">
        <v>40</v>
      </c>
      <c r="O123" s="112" t="s">
        <v>1588</v>
      </c>
      <c r="P123" s="114" t="s">
        <v>16</v>
      </c>
      <c r="Q123" s="109" t="s">
        <v>2100</v>
      </c>
      <c r="R123" s="110">
        <v>46505</v>
      </c>
      <c r="S123" s="109" t="s">
        <v>2</v>
      </c>
      <c r="T123" s="115">
        <v>1.8333333333333333</v>
      </c>
      <c r="U123" s="109" t="s">
        <v>72</v>
      </c>
      <c r="V123" s="109" t="s">
        <v>2101</v>
      </c>
      <c r="W123" s="109"/>
      <c r="X123" s="110">
        <v>46503</v>
      </c>
      <c r="Y123" s="109"/>
      <c r="Z123" s="110">
        <v>46141</v>
      </c>
      <c r="AA123" s="111"/>
      <c r="AB123" s="116">
        <v>46505</v>
      </c>
      <c r="AC123" s="109"/>
      <c r="AD123" s="109"/>
      <c r="AE123" s="117"/>
      <c r="AF123" s="117"/>
      <c r="AG123" s="117"/>
      <c r="AH123" s="117"/>
    </row>
    <row r="124" spans="1:34" ht="12.75">
      <c r="A124" s="109" t="s">
        <v>1216</v>
      </c>
      <c r="B124" s="109" t="s">
        <v>1214</v>
      </c>
      <c r="C124" s="110" t="s">
        <v>2349</v>
      </c>
      <c r="D124" s="109"/>
      <c r="E124" s="111"/>
      <c r="F124" s="112" t="s">
        <v>1217</v>
      </c>
      <c r="G124" s="112" t="s">
        <v>1215</v>
      </c>
      <c r="H124" s="109" t="s">
        <v>2097</v>
      </c>
      <c r="I124" s="109"/>
      <c r="J124" s="109" t="s">
        <v>2110</v>
      </c>
      <c r="K124" s="114" t="s">
        <v>1220</v>
      </c>
      <c r="L124" s="114" t="s">
        <v>1218</v>
      </c>
      <c r="M124" s="114" t="s">
        <v>1219</v>
      </c>
      <c r="N124" s="114" t="s">
        <v>958</v>
      </c>
      <c r="O124" s="112" t="s">
        <v>1588</v>
      </c>
      <c r="P124" s="114" t="s">
        <v>16</v>
      </c>
      <c r="Q124" s="109" t="s">
        <v>2100</v>
      </c>
      <c r="R124" s="110">
        <v>46234</v>
      </c>
      <c r="S124" s="109" t="s">
        <v>2</v>
      </c>
      <c r="T124" s="118" t="s">
        <v>366</v>
      </c>
      <c r="U124" s="109" t="s">
        <v>72</v>
      </c>
      <c r="V124" s="109" t="s">
        <v>2101</v>
      </c>
      <c r="W124" s="109"/>
      <c r="X124" s="110">
        <v>46562</v>
      </c>
      <c r="Y124" s="109"/>
      <c r="Z124" s="110">
        <v>45870</v>
      </c>
      <c r="AA124" s="111"/>
      <c r="AB124" s="116">
        <v>46234</v>
      </c>
      <c r="AC124" s="109"/>
      <c r="AD124" s="109"/>
      <c r="AE124" s="117"/>
      <c r="AF124" s="117"/>
      <c r="AG124" s="117"/>
      <c r="AH124" s="117"/>
    </row>
    <row r="125" spans="1:34" ht="12.75">
      <c r="A125" s="109" t="s">
        <v>1223</v>
      </c>
      <c r="B125" s="109" t="s">
        <v>1221</v>
      </c>
      <c r="C125" s="110" t="s">
        <v>2350</v>
      </c>
      <c r="D125" s="109"/>
      <c r="E125" s="110" t="s">
        <v>2351</v>
      </c>
      <c r="F125" s="112" t="s">
        <v>2352</v>
      </c>
      <c r="G125" s="112" t="s">
        <v>1222</v>
      </c>
      <c r="H125" s="109" t="s">
        <v>2097</v>
      </c>
      <c r="I125" s="109"/>
      <c r="J125" s="109" t="s">
        <v>2098</v>
      </c>
      <c r="K125" s="114" t="s">
        <v>1226</v>
      </c>
      <c r="L125" s="114" t="s">
        <v>1224</v>
      </c>
      <c r="M125" s="114" t="s">
        <v>1225</v>
      </c>
      <c r="N125" s="114" t="s">
        <v>549</v>
      </c>
      <c r="O125" s="112" t="s">
        <v>1588</v>
      </c>
      <c r="P125" s="114" t="s">
        <v>16</v>
      </c>
      <c r="Q125" s="109" t="s">
        <v>2100</v>
      </c>
      <c r="R125" s="110">
        <v>46106</v>
      </c>
      <c r="S125" s="109" t="s">
        <v>2</v>
      </c>
      <c r="T125" s="115">
        <v>1.8333333333333333</v>
      </c>
      <c r="U125" s="109" t="s">
        <v>3</v>
      </c>
      <c r="V125" s="109" t="s">
        <v>2101</v>
      </c>
      <c r="W125" s="109"/>
      <c r="X125" s="110">
        <v>46562</v>
      </c>
      <c r="Y125" s="109"/>
      <c r="Z125" s="110">
        <v>40994</v>
      </c>
      <c r="AA125" s="111"/>
      <c r="AB125" s="116">
        <v>46106</v>
      </c>
      <c r="AC125" s="109"/>
      <c r="AD125" s="109"/>
      <c r="AE125" s="117"/>
      <c r="AF125" s="117"/>
      <c r="AG125" s="117"/>
      <c r="AH125" s="117"/>
    </row>
    <row r="126" spans="1:34" ht="12.75">
      <c r="A126" s="109" t="s">
        <v>1231</v>
      </c>
      <c r="B126" s="109" t="s">
        <v>1227</v>
      </c>
      <c r="C126" s="110" t="s">
        <v>2354</v>
      </c>
      <c r="D126" s="109"/>
      <c r="E126" s="111"/>
      <c r="F126" s="112" t="s">
        <v>2355</v>
      </c>
      <c r="G126" s="112" t="s">
        <v>1229</v>
      </c>
      <c r="H126" s="109" t="s">
        <v>2097</v>
      </c>
      <c r="I126" s="109"/>
      <c r="J126" s="109" t="s">
        <v>2110</v>
      </c>
      <c r="K126" s="114" t="s">
        <v>373</v>
      </c>
      <c r="L126" s="114" t="s">
        <v>371</v>
      </c>
      <c r="M126" s="114" t="s">
        <v>1232</v>
      </c>
      <c r="N126" s="114" t="s">
        <v>88</v>
      </c>
      <c r="O126" s="112" t="s">
        <v>1588</v>
      </c>
      <c r="P126" s="114" t="s">
        <v>16</v>
      </c>
      <c r="Q126" s="109" t="s">
        <v>2100</v>
      </c>
      <c r="R126" s="110">
        <v>46173</v>
      </c>
      <c r="S126" s="109" t="s">
        <v>2</v>
      </c>
      <c r="T126" s="115">
        <v>1.8333333333333333</v>
      </c>
      <c r="U126" s="109" t="s">
        <v>72</v>
      </c>
      <c r="V126" s="109" t="s">
        <v>2101</v>
      </c>
      <c r="W126" s="109"/>
      <c r="X126" s="110">
        <v>46503</v>
      </c>
      <c r="Y126" s="109"/>
      <c r="Z126" s="110">
        <v>42887</v>
      </c>
      <c r="AA126" s="111"/>
      <c r="AB126" s="116">
        <v>46173</v>
      </c>
      <c r="AC126" s="109"/>
      <c r="AD126" s="109"/>
      <c r="AE126" s="117"/>
      <c r="AF126" s="117"/>
      <c r="AG126" s="117"/>
      <c r="AH126" s="117"/>
    </row>
    <row r="127" spans="1:34" ht="12.75">
      <c r="A127" s="109" t="s">
        <v>626</v>
      </c>
      <c r="B127" s="109" t="s">
        <v>622</v>
      </c>
      <c r="C127" s="110" t="s">
        <v>2356</v>
      </c>
      <c r="D127" s="109"/>
      <c r="E127" s="111"/>
      <c r="F127" s="112" t="s">
        <v>627</v>
      </c>
      <c r="G127" s="112" t="s">
        <v>624</v>
      </c>
      <c r="H127" s="109" t="s">
        <v>522</v>
      </c>
      <c r="I127" s="109"/>
      <c r="J127" s="109" t="s">
        <v>2098</v>
      </c>
      <c r="K127" s="114" t="s">
        <v>363</v>
      </c>
      <c r="L127" s="114" t="s">
        <v>629</v>
      </c>
      <c r="M127" s="114" t="s">
        <v>630</v>
      </c>
      <c r="N127" s="114" t="s">
        <v>471</v>
      </c>
      <c r="O127" s="112" t="s">
        <v>1588</v>
      </c>
      <c r="P127" s="114" t="s">
        <v>16</v>
      </c>
      <c r="Q127" s="109" t="s">
        <v>2100</v>
      </c>
      <c r="R127" s="110">
        <v>46397</v>
      </c>
      <c r="S127" s="109" t="s">
        <v>2</v>
      </c>
      <c r="T127" s="115">
        <v>1.8333333333333333</v>
      </c>
      <c r="U127" s="109" t="s">
        <v>522</v>
      </c>
      <c r="V127" s="109" t="s">
        <v>2101</v>
      </c>
      <c r="W127" s="109"/>
      <c r="X127" s="110">
        <v>46352</v>
      </c>
      <c r="Y127" s="109"/>
      <c r="Z127" s="110">
        <v>44207</v>
      </c>
      <c r="AA127" s="111"/>
      <c r="AB127" s="116">
        <v>46397</v>
      </c>
      <c r="AC127" s="109"/>
      <c r="AD127" s="109"/>
      <c r="AE127" s="117"/>
      <c r="AF127" s="117"/>
      <c r="AG127" s="117"/>
      <c r="AH127" s="117"/>
    </row>
    <row r="128" spans="1:34" ht="12.75">
      <c r="A128" s="109" t="s">
        <v>1235</v>
      </c>
      <c r="B128" s="109" t="s">
        <v>1233</v>
      </c>
      <c r="C128" s="110" t="s">
        <v>2357</v>
      </c>
      <c r="D128" s="109"/>
      <c r="E128" s="111"/>
      <c r="F128" s="112" t="s">
        <v>2358</v>
      </c>
      <c r="G128" s="112" t="s">
        <v>1234</v>
      </c>
      <c r="H128" s="109" t="s">
        <v>2097</v>
      </c>
      <c r="I128" s="109"/>
      <c r="J128" s="109" t="s">
        <v>2098</v>
      </c>
      <c r="K128" s="114" t="s">
        <v>672</v>
      </c>
      <c r="L128" s="114" t="s">
        <v>670</v>
      </c>
      <c r="M128" s="114" t="s">
        <v>39</v>
      </c>
      <c r="N128" s="114" t="s">
        <v>671</v>
      </c>
      <c r="O128" s="112" t="s">
        <v>274</v>
      </c>
      <c r="P128" s="114" t="s">
        <v>16</v>
      </c>
      <c r="Q128" s="109" t="s">
        <v>2100</v>
      </c>
      <c r="R128" s="110">
        <v>46057</v>
      </c>
      <c r="S128" s="109" t="s">
        <v>2</v>
      </c>
      <c r="T128" s="115">
        <v>1.8333333333333333</v>
      </c>
      <c r="U128" s="109" t="s">
        <v>3</v>
      </c>
      <c r="V128" s="109" t="s">
        <v>2101</v>
      </c>
      <c r="W128" s="109"/>
      <c r="X128" s="110">
        <v>46330</v>
      </c>
      <c r="Y128" s="109"/>
      <c r="Z128" s="110">
        <v>42040</v>
      </c>
      <c r="AA128" s="111"/>
      <c r="AB128" s="116">
        <v>46057</v>
      </c>
      <c r="AC128" s="109"/>
      <c r="AD128" s="109"/>
      <c r="AE128" s="117"/>
      <c r="AF128" s="117"/>
      <c r="AG128" s="117"/>
      <c r="AH128" s="117"/>
    </row>
    <row r="129" spans="1:34" ht="12.75">
      <c r="A129" s="109" t="s">
        <v>1238</v>
      </c>
      <c r="B129" s="109" t="s">
        <v>1236</v>
      </c>
      <c r="C129" s="110" t="s">
        <v>2359</v>
      </c>
      <c r="D129" s="109"/>
      <c r="E129" s="110" t="s">
        <v>2360</v>
      </c>
      <c r="F129" s="112" t="s">
        <v>1239</v>
      </c>
      <c r="G129" s="112" t="s">
        <v>1237</v>
      </c>
      <c r="H129" s="109" t="s">
        <v>2097</v>
      </c>
      <c r="I129" s="109"/>
      <c r="J129" s="109" t="s">
        <v>2098</v>
      </c>
      <c r="K129" s="114" t="s">
        <v>859</v>
      </c>
      <c r="L129" s="114" t="s">
        <v>796</v>
      </c>
      <c r="M129" s="114" t="s">
        <v>797</v>
      </c>
      <c r="N129" s="114" t="s">
        <v>14</v>
      </c>
      <c r="O129" s="112" t="s">
        <v>1588</v>
      </c>
      <c r="P129" s="114" t="s">
        <v>16</v>
      </c>
      <c r="Q129" s="109" t="s">
        <v>2100</v>
      </c>
      <c r="R129" s="110">
        <v>46505</v>
      </c>
      <c r="S129" s="109" t="s">
        <v>2</v>
      </c>
      <c r="T129" s="115">
        <v>1.8333333333333333</v>
      </c>
      <c r="U129" s="109" t="s">
        <v>3</v>
      </c>
      <c r="V129" s="109" t="s">
        <v>2101</v>
      </c>
      <c r="W129" s="109"/>
      <c r="X129" s="110">
        <v>46503</v>
      </c>
      <c r="Y129" s="109"/>
      <c r="Z129" s="110">
        <v>46141</v>
      </c>
      <c r="AA129" s="111"/>
      <c r="AB129" s="116">
        <v>46505</v>
      </c>
      <c r="AC129" s="109"/>
      <c r="AD129" s="109"/>
      <c r="AE129" s="117"/>
      <c r="AF129" s="117"/>
      <c r="AG129" s="117"/>
      <c r="AH129" s="117"/>
    </row>
    <row r="130" spans="1:34" ht="12.75">
      <c r="A130" s="109" t="s">
        <v>1244</v>
      </c>
      <c r="B130" s="109" t="s">
        <v>1242</v>
      </c>
      <c r="C130" s="110" t="s">
        <v>2361</v>
      </c>
      <c r="D130" s="109"/>
      <c r="E130" s="111"/>
      <c r="F130" s="112" t="s">
        <v>1245</v>
      </c>
      <c r="G130" s="112" t="s">
        <v>1243</v>
      </c>
      <c r="H130" s="109" t="s">
        <v>2097</v>
      </c>
      <c r="I130" s="109"/>
      <c r="J130" s="109" t="s">
        <v>2098</v>
      </c>
      <c r="K130" s="114" t="s">
        <v>788</v>
      </c>
      <c r="L130" s="114" t="s">
        <v>1247</v>
      </c>
      <c r="M130" s="114" t="s">
        <v>1248</v>
      </c>
      <c r="N130" s="114" t="s">
        <v>504</v>
      </c>
      <c r="O130" s="112" t="s">
        <v>1588</v>
      </c>
      <c r="P130" s="114" t="s">
        <v>16</v>
      </c>
      <c r="Q130" s="109" t="s">
        <v>2100</v>
      </c>
      <c r="R130" s="110">
        <v>46577</v>
      </c>
      <c r="S130" s="109" t="s">
        <v>2</v>
      </c>
      <c r="T130" s="118" t="s">
        <v>366</v>
      </c>
      <c r="U130" s="109" t="s">
        <v>3</v>
      </c>
      <c r="V130" s="109" t="s">
        <v>2101</v>
      </c>
      <c r="W130" s="109"/>
      <c r="X130" s="110">
        <v>46574</v>
      </c>
      <c r="Y130" s="109"/>
      <c r="Z130" s="110">
        <v>46213</v>
      </c>
      <c r="AA130" s="119" t="s">
        <v>2136</v>
      </c>
      <c r="AB130" s="116">
        <v>46577</v>
      </c>
      <c r="AC130" s="109"/>
      <c r="AD130" s="109"/>
      <c r="AE130" s="117"/>
      <c r="AF130" s="117"/>
      <c r="AG130" s="117"/>
      <c r="AH130" s="117"/>
    </row>
    <row r="131" spans="1:34" ht="12.75">
      <c r="A131" s="109" t="s">
        <v>300</v>
      </c>
      <c r="B131" s="109" t="s">
        <v>298</v>
      </c>
      <c r="C131" s="110" t="s">
        <v>2362</v>
      </c>
      <c r="D131" s="109"/>
      <c r="E131" s="110" t="s">
        <v>2363</v>
      </c>
      <c r="F131" s="112" t="s">
        <v>301</v>
      </c>
      <c r="G131" s="112" t="s">
        <v>299</v>
      </c>
      <c r="H131" s="109" t="s">
        <v>2097</v>
      </c>
      <c r="I131" s="109"/>
      <c r="J131" s="109" t="s">
        <v>2098</v>
      </c>
      <c r="K131" s="114" t="s">
        <v>307</v>
      </c>
      <c r="L131" s="114" t="s">
        <v>304</v>
      </c>
      <c r="M131" s="114" t="s">
        <v>305</v>
      </c>
      <c r="N131" s="114" t="s">
        <v>306</v>
      </c>
      <c r="O131" s="112" t="s">
        <v>1588</v>
      </c>
      <c r="P131" s="114" t="s">
        <v>16</v>
      </c>
      <c r="Q131" s="109" t="s">
        <v>2100</v>
      </c>
      <c r="R131" s="110">
        <v>46324</v>
      </c>
      <c r="S131" s="109" t="s">
        <v>215</v>
      </c>
      <c r="T131" s="118" t="s">
        <v>216</v>
      </c>
      <c r="U131" s="109" t="s">
        <v>72</v>
      </c>
      <c r="V131" s="109" t="s">
        <v>2101</v>
      </c>
      <c r="W131" s="109"/>
      <c r="X131" s="110">
        <v>46316</v>
      </c>
      <c r="Y131" s="109"/>
      <c r="Z131" s="110">
        <v>45595</v>
      </c>
      <c r="AA131" s="111"/>
      <c r="AB131" s="120">
        <v>46324</v>
      </c>
      <c r="AC131" s="109"/>
      <c r="AD131" s="109"/>
      <c r="AE131" s="117"/>
      <c r="AF131" s="117"/>
      <c r="AG131" s="117"/>
      <c r="AH131" s="117"/>
    </row>
    <row r="132" spans="1:34" ht="12.75">
      <c r="A132" s="109" t="s">
        <v>1251</v>
      </c>
      <c r="B132" s="109" t="s">
        <v>1249</v>
      </c>
      <c r="C132" s="110" t="s">
        <v>2365</v>
      </c>
      <c r="D132" s="109"/>
      <c r="E132" s="111"/>
      <c r="F132" s="112" t="s">
        <v>2366</v>
      </c>
      <c r="G132" s="112" t="s">
        <v>1250</v>
      </c>
      <c r="H132" s="109" t="s">
        <v>2097</v>
      </c>
      <c r="I132" s="109"/>
      <c r="J132" s="109" t="s">
        <v>2098</v>
      </c>
      <c r="K132" s="114" t="s">
        <v>906</v>
      </c>
      <c r="L132" s="114" t="s">
        <v>1255</v>
      </c>
      <c r="M132" s="114" t="s">
        <v>1256</v>
      </c>
      <c r="N132" s="114" t="s">
        <v>453</v>
      </c>
      <c r="O132" s="112" t="s">
        <v>1588</v>
      </c>
      <c r="P132" s="114" t="s">
        <v>16</v>
      </c>
      <c r="Q132" s="109" t="s">
        <v>2100</v>
      </c>
      <c r="R132" s="110">
        <v>46528</v>
      </c>
      <c r="S132" s="109" t="s">
        <v>2</v>
      </c>
      <c r="T132" s="115">
        <v>1.8333333333333333</v>
      </c>
      <c r="U132" s="109" t="s">
        <v>3</v>
      </c>
      <c r="V132" s="109" t="s">
        <v>2101</v>
      </c>
      <c r="W132" s="109"/>
      <c r="X132" s="110">
        <v>46524</v>
      </c>
      <c r="Y132" s="109"/>
      <c r="Z132" s="110">
        <v>46164</v>
      </c>
      <c r="AA132" s="111"/>
      <c r="AB132" s="116">
        <v>46528</v>
      </c>
      <c r="AC132" s="109"/>
      <c r="AD132" s="109"/>
      <c r="AE132" s="117"/>
      <c r="AF132" s="117"/>
      <c r="AG132" s="117"/>
      <c r="AH132" s="117"/>
    </row>
    <row r="133" spans="1:34" ht="12.75">
      <c r="A133" s="109" t="s">
        <v>633</v>
      </c>
      <c r="B133" s="109" t="s">
        <v>631</v>
      </c>
      <c r="C133" s="110" t="s">
        <v>2368</v>
      </c>
      <c r="D133" s="109"/>
      <c r="E133" s="111"/>
      <c r="F133" s="112" t="s">
        <v>634</v>
      </c>
      <c r="G133" s="112" t="s">
        <v>632</v>
      </c>
      <c r="H133" s="109" t="s">
        <v>522</v>
      </c>
      <c r="I133" s="109"/>
      <c r="J133" s="109" t="s">
        <v>2098</v>
      </c>
      <c r="K133" s="114" t="s">
        <v>641</v>
      </c>
      <c r="L133" s="114" t="s">
        <v>639</v>
      </c>
      <c r="M133" s="114" t="s">
        <v>640</v>
      </c>
      <c r="N133" s="114" t="s">
        <v>88</v>
      </c>
      <c r="O133" s="112" t="s">
        <v>1588</v>
      </c>
      <c r="P133" s="114" t="s">
        <v>16</v>
      </c>
      <c r="Q133" s="109" t="s">
        <v>2100</v>
      </c>
      <c r="R133" s="110">
        <v>46239</v>
      </c>
      <c r="S133" s="109" t="s">
        <v>2</v>
      </c>
      <c r="T133" s="115">
        <v>1.8333333333333333</v>
      </c>
      <c r="U133" s="109" t="s">
        <v>522</v>
      </c>
      <c r="V133" s="109" t="s">
        <v>2101</v>
      </c>
      <c r="W133" s="109"/>
      <c r="X133" s="110">
        <v>46583</v>
      </c>
      <c r="Y133" s="109"/>
      <c r="Z133" s="110">
        <v>45875</v>
      </c>
      <c r="AA133" s="111"/>
      <c r="AB133" s="116">
        <v>46239</v>
      </c>
      <c r="AC133" s="109"/>
      <c r="AD133" s="109"/>
      <c r="AE133" s="117"/>
      <c r="AF133" s="117"/>
      <c r="AG133" s="117"/>
      <c r="AH133" s="117"/>
    </row>
    <row r="134" spans="1:34" ht="12.75">
      <c r="A134" s="109" t="s">
        <v>140</v>
      </c>
      <c r="B134" s="109" t="s">
        <v>137</v>
      </c>
      <c r="C134" s="110" t="s">
        <v>2369</v>
      </c>
      <c r="D134" s="109"/>
      <c r="E134" s="111"/>
      <c r="F134" s="112" t="s">
        <v>2371</v>
      </c>
      <c r="G134" s="112" t="s">
        <v>138</v>
      </c>
      <c r="H134" s="109" t="s">
        <v>2097</v>
      </c>
      <c r="I134" s="109"/>
      <c r="J134" s="109" t="s">
        <v>2098</v>
      </c>
      <c r="K134" s="114" t="s">
        <v>147</v>
      </c>
      <c r="L134" s="114" t="s">
        <v>144</v>
      </c>
      <c r="M134" s="114" t="s">
        <v>145</v>
      </c>
      <c r="N134" s="114" t="s">
        <v>146</v>
      </c>
      <c r="O134" s="112" t="s">
        <v>1670</v>
      </c>
      <c r="P134" s="114" t="s">
        <v>16</v>
      </c>
      <c r="Q134" s="109" t="s">
        <v>2100</v>
      </c>
      <c r="R134" s="110">
        <v>46289</v>
      </c>
      <c r="S134" s="109" t="s">
        <v>32</v>
      </c>
      <c r="T134" s="118" t="s">
        <v>139</v>
      </c>
      <c r="U134" s="109" t="s">
        <v>3</v>
      </c>
      <c r="V134" s="109" t="s">
        <v>2101</v>
      </c>
      <c r="W134" s="109"/>
      <c r="X134" s="110">
        <v>46590</v>
      </c>
      <c r="Y134" s="109"/>
      <c r="Z134" s="110">
        <v>44464</v>
      </c>
      <c r="AA134" s="111"/>
      <c r="AB134" s="116">
        <v>46289</v>
      </c>
      <c r="AC134" s="109"/>
      <c r="AD134" s="109"/>
      <c r="AE134" s="117"/>
      <c r="AF134" s="117"/>
      <c r="AG134" s="117"/>
      <c r="AH134" s="117"/>
    </row>
    <row r="135" spans="1:34" ht="12.75">
      <c r="A135" s="109" t="s">
        <v>1259</v>
      </c>
      <c r="B135" s="109" t="s">
        <v>1257</v>
      </c>
      <c r="C135" s="110" t="s">
        <v>2372</v>
      </c>
      <c r="D135" s="109"/>
      <c r="E135" s="111"/>
      <c r="F135" s="112" t="s">
        <v>1260</v>
      </c>
      <c r="G135" s="112" t="s">
        <v>1258</v>
      </c>
      <c r="H135" s="109" t="s">
        <v>2097</v>
      </c>
      <c r="I135" s="109"/>
      <c r="J135" s="109" t="s">
        <v>2098</v>
      </c>
      <c r="K135" s="114" t="s">
        <v>1263</v>
      </c>
      <c r="L135" s="114" t="s">
        <v>1262</v>
      </c>
      <c r="M135" s="114" t="s">
        <v>199</v>
      </c>
      <c r="N135" s="114" t="s">
        <v>88</v>
      </c>
      <c r="O135" s="112" t="s">
        <v>1588</v>
      </c>
      <c r="P135" s="114" t="s">
        <v>16</v>
      </c>
      <c r="Q135" s="109" t="s">
        <v>2100</v>
      </c>
      <c r="R135" s="110">
        <v>46237</v>
      </c>
      <c r="S135" s="109" t="s">
        <v>2</v>
      </c>
      <c r="T135" s="118" t="s">
        <v>366</v>
      </c>
      <c r="U135" s="109" t="s">
        <v>3</v>
      </c>
      <c r="V135" s="109" t="s">
        <v>2101</v>
      </c>
      <c r="W135" s="109"/>
      <c r="X135" s="119" t="s">
        <v>2114</v>
      </c>
      <c r="Y135" s="109"/>
      <c r="Z135" s="110">
        <v>45873</v>
      </c>
      <c r="AA135" s="111"/>
      <c r="AB135" s="116">
        <v>46237</v>
      </c>
      <c r="AC135" s="109"/>
      <c r="AD135" s="109"/>
      <c r="AE135" s="117"/>
      <c r="AF135" s="117"/>
      <c r="AG135" s="117"/>
      <c r="AH135" s="117"/>
    </row>
    <row r="136" spans="1:34" ht="12.75">
      <c r="A136" s="109" t="s">
        <v>150</v>
      </c>
      <c r="B136" s="109" t="s">
        <v>148</v>
      </c>
      <c r="C136" s="110" t="s">
        <v>2373</v>
      </c>
      <c r="D136" s="109"/>
      <c r="E136" s="111"/>
      <c r="F136" s="112" t="s">
        <v>2374</v>
      </c>
      <c r="G136" s="112" t="s">
        <v>149</v>
      </c>
      <c r="H136" s="109" t="s">
        <v>2097</v>
      </c>
      <c r="I136" s="109"/>
      <c r="J136" s="109" t="s">
        <v>2098</v>
      </c>
      <c r="K136" s="114" t="s">
        <v>155</v>
      </c>
      <c r="L136" s="114" t="s">
        <v>152</v>
      </c>
      <c r="M136" s="114" t="s">
        <v>153</v>
      </c>
      <c r="N136" s="114" t="s">
        <v>154</v>
      </c>
      <c r="O136" s="112" t="s">
        <v>151</v>
      </c>
      <c r="P136" s="114" t="s">
        <v>16</v>
      </c>
      <c r="Q136" s="109" t="s">
        <v>2100</v>
      </c>
      <c r="R136" s="110">
        <v>46382</v>
      </c>
      <c r="S136" s="109" t="s">
        <v>32</v>
      </c>
      <c r="T136" s="118" t="s">
        <v>46</v>
      </c>
      <c r="U136" s="109" t="s">
        <v>3</v>
      </c>
      <c r="V136" s="109" t="s">
        <v>2101</v>
      </c>
      <c r="W136" s="109"/>
      <c r="X136" s="110">
        <v>46357</v>
      </c>
      <c r="Y136" s="109"/>
      <c r="Z136" s="110">
        <v>45287</v>
      </c>
      <c r="AA136" s="111"/>
      <c r="AB136" s="120">
        <v>46382</v>
      </c>
      <c r="AC136" s="109"/>
      <c r="AD136" s="109"/>
      <c r="AE136" s="117"/>
      <c r="AF136" s="117"/>
      <c r="AG136" s="117"/>
      <c r="AH136" s="117"/>
    </row>
    <row r="137" spans="1:34" ht="12.75">
      <c r="A137" s="109" t="s">
        <v>1267</v>
      </c>
      <c r="B137" s="109" t="s">
        <v>1265</v>
      </c>
      <c r="C137" s="110" t="s">
        <v>2375</v>
      </c>
      <c r="D137" s="109"/>
      <c r="E137" s="110" t="s">
        <v>2376</v>
      </c>
      <c r="F137" s="112" t="s">
        <v>2377</v>
      </c>
      <c r="G137" s="112" t="s">
        <v>1266</v>
      </c>
      <c r="H137" s="109" t="s">
        <v>2097</v>
      </c>
      <c r="I137" s="109"/>
      <c r="J137" s="109" t="s">
        <v>2110</v>
      </c>
      <c r="K137" s="114" t="s">
        <v>1270</v>
      </c>
      <c r="L137" s="114" t="s">
        <v>1268</v>
      </c>
      <c r="M137" s="114" t="s">
        <v>1269</v>
      </c>
      <c r="N137" s="114" t="s">
        <v>68</v>
      </c>
      <c r="O137" s="112" t="s">
        <v>1588</v>
      </c>
      <c r="P137" s="114" t="s">
        <v>16</v>
      </c>
      <c r="Q137" s="109" t="s">
        <v>2100</v>
      </c>
      <c r="R137" s="110">
        <v>46439</v>
      </c>
      <c r="S137" s="109" t="s">
        <v>2</v>
      </c>
      <c r="T137" s="115">
        <v>1.8333333333333333</v>
      </c>
      <c r="U137" s="109" t="s">
        <v>72</v>
      </c>
      <c r="V137" s="109" t="s">
        <v>2101</v>
      </c>
      <c r="W137" s="109"/>
      <c r="X137" s="110">
        <v>46553</v>
      </c>
      <c r="Y137" s="109"/>
      <c r="Z137" s="110">
        <v>43518</v>
      </c>
      <c r="AA137" s="111"/>
      <c r="AB137" s="116">
        <v>46439</v>
      </c>
      <c r="AC137" s="109"/>
      <c r="AD137" s="109"/>
      <c r="AE137" s="117"/>
      <c r="AF137" s="117"/>
      <c r="AG137" s="117"/>
      <c r="AH137" s="117"/>
    </row>
    <row r="138" spans="1:34" ht="12.75">
      <c r="A138" s="109" t="s">
        <v>1273</v>
      </c>
      <c r="B138" s="109" t="s">
        <v>1271</v>
      </c>
      <c r="C138" s="110" t="s">
        <v>2378</v>
      </c>
      <c r="D138" s="109"/>
      <c r="E138" s="110" t="s">
        <v>2379</v>
      </c>
      <c r="F138" s="112" t="s">
        <v>2380</v>
      </c>
      <c r="G138" s="112" t="s">
        <v>1272</v>
      </c>
      <c r="H138" s="109" t="s">
        <v>2097</v>
      </c>
      <c r="I138" s="109"/>
      <c r="J138" s="109" t="s">
        <v>2098</v>
      </c>
      <c r="K138" s="114" t="s">
        <v>1139</v>
      </c>
      <c r="L138" s="114" t="s">
        <v>1275</v>
      </c>
      <c r="M138" s="114" t="s">
        <v>12</v>
      </c>
      <c r="N138" s="114" t="s">
        <v>504</v>
      </c>
      <c r="O138" s="112" t="s">
        <v>1588</v>
      </c>
      <c r="P138" s="114" t="s">
        <v>16</v>
      </c>
      <c r="Q138" s="109" t="s">
        <v>2100</v>
      </c>
      <c r="R138" s="110">
        <v>46550</v>
      </c>
      <c r="S138" s="109" t="s">
        <v>2</v>
      </c>
      <c r="T138" s="118" t="s">
        <v>366</v>
      </c>
      <c r="U138" s="109" t="s">
        <v>3</v>
      </c>
      <c r="V138" s="109" t="s">
        <v>2101</v>
      </c>
      <c r="W138" s="109"/>
      <c r="X138" s="110">
        <v>46548</v>
      </c>
      <c r="Y138" s="109"/>
      <c r="Z138" s="110">
        <v>46186</v>
      </c>
      <c r="AA138" s="111"/>
      <c r="AB138" s="116">
        <v>46550</v>
      </c>
      <c r="AC138" s="109"/>
      <c r="AD138" s="109"/>
      <c r="AE138" s="117"/>
      <c r="AF138" s="117"/>
      <c r="AG138" s="117"/>
      <c r="AH138" s="117"/>
    </row>
    <row r="139" spans="1:34" ht="12.75">
      <c r="A139" s="109" t="s">
        <v>1278</v>
      </c>
      <c r="B139" s="109" t="s">
        <v>1276</v>
      </c>
      <c r="C139" s="110" t="s">
        <v>2381</v>
      </c>
      <c r="D139" s="109"/>
      <c r="E139" s="111"/>
      <c r="F139" s="112" t="s">
        <v>2382</v>
      </c>
      <c r="G139" s="112" t="s">
        <v>1277</v>
      </c>
      <c r="H139" s="109" t="s">
        <v>2097</v>
      </c>
      <c r="I139" s="109"/>
      <c r="J139" s="109" t="s">
        <v>2098</v>
      </c>
      <c r="K139" s="114" t="s">
        <v>363</v>
      </c>
      <c r="L139" s="114" t="s">
        <v>629</v>
      </c>
      <c r="M139" s="114" t="s">
        <v>1279</v>
      </c>
      <c r="N139" s="114" t="s">
        <v>471</v>
      </c>
      <c r="O139" s="112" t="s">
        <v>1588</v>
      </c>
      <c r="P139" s="114" t="s">
        <v>16</v>
      </c>
      <c r="Q139" s="109" t="s">
        <v>2100</v>
      </c>
      <c r="R139" s="110">
        <v>46545</v>
      </c>
      <c r="S139" s="109" t="s">
        <v>2</v>
      </c>
      <c r="T139" s="115">
        <v>1.8333333333333333</v>
      </c>
      <c r="U139" s="109" t="s">
        <v>3</v>
      </c>
      <c r="V139" s="109" t="s">
        <v>2101</v>
      </c>
      <c r="W139" s="109"/>
      <c r="X139" s="110">
        <v>46542</v>
      </c>
      <c r="Y139" s="109"/>
      <c r="Z139" s="110">
        <v>46181</v>
      </c>
      <c r="AA139" s="111"/>
      <c r="AB139" s="116">
        <v>46545</v>
      </c>
      <c r="AC139" s="109"/>
      <c r="AD139" s="109"/>
      <c r="AE139" s="117"/>
      <c r="AF139" s="117"/>
      <c r="AG139" s="117"/>
      <c r="AH139" s="117"/>
    </row>
    <row r="140" spans="1:34" ht="12.75">
      <c r="A140" s="109" t="s">
        <v>160</v>
      </c>
      <c r="B140" s="109" t="s">
        <v>156</v>
      </c>
      <c r="C140" s="110" t="s">
        <v>2384</v>
      </c>
      <c r="D140" s="109"/>
      <c r="E140" s="111"/>
      <c r="F140" s="112" t="s">
        <v>161</v>
      </c>
      <c r="G140" s="112" t="s">
        <v>158</v>
      </c>
      <c r="H140" s="109" t="s">
        <v>2097</v>
      </c>
      <c r="I140" s="109"/>
      <c r="J140" s="109" t="s">
        <v>2098</v>
      </c>
      <c r="K140" s="114" t="s">
        <v>166</v>
      </c>
      <c r="L140" s="114" t="s">
        <v>164</v>
      </c>
      <c r="M140" s="114" t="s">
        <v>39</v>
      </c>
      <c r="N140" s="114" t="s">
        <v>165</v>
      </c>
      <c r="O140" s="112" t="s">
        <v>48</v>
      </c>
      <c r="P140" s="114" t="s">
        <v>16</v>
      </c>
      <c r="Q140" s="109" t="s">
        <v>2100</v>
      </c>
      <c r="R140" s="110">
        <v>46522</v>
      </c>
      <c r="S140" s="109" t="s">
        <v>32</v>
      </c>
      <c r="T140" s="118" t="s">
        <v>159</v>
      </c>
      <c r="U140" s="109" t="s">
        <v>3</v>
      </c>
      <c r="V140" s="109" t="s">
        <v>2101</v>
      </c>
      <c r="W140" s="109"/>
      <c r="X140" s="110">
        <v>46519</v>
      </c>
      <c r="Y140" s="109"/>
      <c r="Z140" s="110">
        <v>46158</v>
      </c>
      <c r="AA140" s="111"/>
      <c r="AB140" s="116">
        <v>46522</v>
      </c>
      <c r="AC140" s="109"/>
      <c r="AD140" s="109"/>
      <c r="AE140" s="117"/>
      <c r="AF140" s="117"/>
      <c r="AG140" s="117"/>
      <c r="AH140" s="117"/>
    </row>
    <row r="141" spans="1:34" ht="12.75">
      <c r="A141" s="109" t="s">
        <v>313</v>
      </c>
      <c r="B141" s="109" t="s">
        <v>308</v>
      </c>
      <c r="C141" s="110" t="s">
        <v>2386</v>
      </c>
      <c r="D141" s="109"/>
      <c r="E141" s="111"/>
      <c r="F141" s="112" t="s">
        <v>314</v>
      </c>
      <c r="G141" s="112" t="s">
        <v>309</v>
      </c>
      <c r="H141" s="109" t="s">
        <v>2097</v>
      </c>
      <c r="I141" s="109"/>
      <c r="J141" s="109" t="s">
        <v>2098</v>
      </c>
      <c r="K141" s="114" t="s">
        <v>318</v>
      </c>
      <c r="L141" s="114" t="s">
        <v>315</v>
      </c>
      <c r="M141" s="114" t="s">
        <v>316</v>
      </c>
      <c r="N141" s="114" t="s">
        <v>317</v>
      </c>
      <c r="O141" s="112" t="s">
        <v>1588</v>
      </c>
      <c r="P141" s="114" t="s">
        <v>16</v>
      </c>
      <c r="Q141" s="109" t="s">
        <v>2100</v>
      </c>
      <c r="R141" s="110">
        <v>46234</v>
      </c>
      <c r="S141" s="109" t="s">
        <v>215</v>
      </c>
      <c r="T141" s="118" t="s">
        <v>216</v>
      </c>
      <c r="U141" s="109" t="s">
        <v>312</v>
      </c>
      <c r="V141" s="109" t="s">
        <v>2101</v>
      </c>
      <c r="W141" s="109"/>
      <c r="X141" s="110">
        <v>46232</v>
      </c>
      <c r="Y141" s="109"/>
      <c r="Z141" s="110">
        <v>45870</v>
      </c>
      <c r="AA141" s="111"/>
      <c r="AB141" s="116">
        <v>46234</v>
      </c>
      <c r="AC141" s="109"/>
      <c r="AD141" s="109"/>
      <c r="AE141" s="117"/>
      <c r="AF141" s="117"/>
      <c r="AG141" s="117"/>
      <c r="AH141" s="117"/>
    </row>
    <row r="142" spans="1:34" ht="12.75">
      <c r="A142" s="109" t="s">
        <v>1283</v>
      </c>
      <c r="B142" s="109" t="s">
        <v>1281</v>
      </c>
      <c r="C142" s="110" t="s">
        <v>2387</v>
      </c>
      <c r="D142" s="109"/>
      <c r="E142" s="111"/>
      <c r="F142" s="112" t="s">
        <v>1284</v>
      </c>
      <c r="G142" s="112" t="s">
        <v>1282</v>
      </c>
      <c r="H142" s="109" t="s">
        <v>2097</v>
      </c>
      <c r="I142" s="109"/>
      <c r="J142" s="109" t="s">
        <v>2110</v>
      </c>
      <c r="K142" s="114" t="s">
        <v>1287</v>
      </c>
      <c r="L142" s="114" t="s">
        <v>1285</v>
      </c>
      <c r="M142" s="114" t="s">
        <v>1286</v>
      </c>
      <c r="N142" s="114" t="s">
        <v>471</v>
      </c>
      <c r="O142" s="112" t="s">
        <v>1588</v>
      </c>
      <c r="P142" s="114" t="s">
        <v>16</v>
      </c>
      <c r="Q142" s="109" t="s">
        <v>2100</v>
      </c>
      <c r="R142" s="110">
        <v>46224</v>
      </c>
      <c r="S142" s="109" t="s">
        <v>2</v>
      </c>
      <c r="T142" s="115">
        <v>1.8333333333333333</v>
      </c>
      <c r="U142" s="109" t="s">
        <v>72</v>
      </c>
      <c r="V142" s="109" t="s">
        <v>2101</v>
      </c>
      <c r="W142" s="109"/>
      <c r="X142" s="110">
        <v>46552</v>
      </c>
      <c r="Y142" s="109"/>
      <c r="Z142" s="110">
        <v>45129</v>
      </c>
      <c r="AA142" s="111"/>
      <c r="AB142" s="116">
        <v>46224</v>
      </c>
      <c r="AC142" s="109"/>
      <c r="AD142" s="109"/>
      <c r="AE142" s="117"/>
      <c r="AF142" s="117"/>
      <c r="AG142" s="117"/>
      <c r="AH142" s="117"/>
    </row>
    <row r="143" spans="1:34" ht="12.75">
      <c r="A143" s="109" t="s">
        <v>644</v>
      </c>
      <c r="B143" s="109" t="s">
        <v>642</v>
      </c>
      <c r="C143" s="110" t="s">
        <v>2388</v>
      </c>
      <c r="D143" s="109"/>
      <c r="E143" s="110" t="s">
        <v>2389</v>
      </c>
      <c r="F143" s="112" t="s">
        <v>645</v>
      </c>
      <c r="G143" s="112" t="s">
        <v>643</v>
      </c>
      <c r="H143" s="109" t="s">
        <v>522</v>
      </c>
      <c r="I143" s="109"/>
      <c r="J143" s="109" t="s">
        <v>2098</v>
      </c>
      <c r="K143" s="114" t="s">
        <v>648</v>
      </c>
      <c r="L143" s="114" t="s">
        <v>646</v>
      </c>
      <c r="M143" s="114" t="s">
        <v>647</v>
      </c>
      <c r="N143" s="114" t="s">
        <v>317</v>
      </c>
      <c r="O143" s="112" t="s">
        <v>1588</v>
      </c>
      <c r="P143" s="114" t="s">
        <v>16</v>
      </c>
      <c r="Q143" s="109" t="s">
        <v>2100</v>
      </c>
      <c r="R143" s="110">
        <v>46165</v>
      </c>
      <c r="S143" s="109" t="s">
        <v>2</v>
      </c>
      <c r="T143" s="115">
        <v>1.8333333333333333</v>
      </c>
      <c r="U143" s="109" t="s">
        <v>522</v>
      </c>
      <c r="V143" s="109" t="s">
        <v>2101</v>
      </c>
      <c r="W143" s="109"/>
      <c r="X143" s="110">
        <v>46400</v>
      </c>
      <c r="Y143" s="109"/>
      <c r="Z143" s="110">
        <v>43609</v>
      </c>
      <c r="AA143" s="111"/>
      <c r="AB143" s="116">
        <v>46165</v>
      </c>
      <c r="AC143" s="109"/>
      <c r="AD143" s="109"/>
      <c r="AE143" s="117"/>
      <c r="AF143" s="117"/>
      <c r="AG143" s="117"/>
      <c r="AH143" s="117"/>
    </row>
    <row r="144" spans="1:34" ht="12.75">
      <c r="A144" s="109" t="s">
        <v>169</v>
      </c>
      <c r="B144" s="109" t="s">
        <v>167</v>
      </c>
      <c r="C144" s="110" t="s">
        <v>2390</v>
      </c>
      <c r="D144" s="109"/>
      <c r="E144" s="110" t="s">
        <v>2391</v>
      </c>
      <c r="F144" s="112" t="s">
        <v>170</v>
      </c>
      <c r="G144" s="112" t="s">
        <v>168</v>
      </c>
      <c r="H144" s="109" t="s">
        <v>2097</v>
      </c>
      <c r="I144" s="109"/>
      <c r="J144" s="109" t="s">
        <v>2098</v>
      </c>
      <c r="K144" s="114" t="s">
        <v>175</v>
      </c>
      <c r="L144" s="114" t="s">
        <v>172</v>
      </c>
      <c r="M144" s="114" t="s">
        <v>173</v>
      </c>
      <c r="N144" s="114" t="s">
        <v>174</v>
      </c>
      <c r="O144" s="112" t="s">
        <v>1588</v>
      </c>
      <c r="P144" s="114" t="s">
        <v>16</v>
      </c>
      <c r="Q144" s="109" t="s">
        <v>2100</v>
      </c>
      <c r="R144" s="110">
        <v>46265</v>
      </c>
      <c r="S144" s="109" t="s">
        <v>32</v>
      </c>
      <c r="T144" s="118" t="s">
        <v>46</v>
      </c>
      <c r="U144" s="109" t="s">
        <v>3</v>
      </c>
      <c r="V144" s="109" t="s">
        <v>2101</v>
      </c>
      <c r="W144" s="109"/>
      <c r="X144" s="110">
        <v>46240</v>
      </c>
      <c r="Y144" s="109"/>
      <c r="Z144" s="110">
        <v>45170</v>
      </c>
      <c r="AA144" s="111"/>
      <c r="AB144" s="116">
        <v>46265</v>
      </c>
      <c r="AC144" s="109"/>
      <c r="AD144" s="109"/>
      <c r="AE144" s="117"/>
      <c r="AF144" s="117"/>
      <c r="AG144" s="117"/>
      <c r="AH144" s="117"/>
    </row>
    <row r="145" spans="1:34" ht="12.75">
      <c r="A145" s="109" t="s">
        <v>1290</v>
      </c>
      <c r="B145" s="109" t="s">
        <v>1288</v>
      </c>
      <c r="C145" s="110" t="s">
        <v>2392</v>
      </c>
      <c r="D145" s="109"/>
      <c r="E145" s="111"/>
      <c r="F145" s="112" t="s">
        <v>2393</v>
      </c>
      <c r="G145" s="112" t="s">
        <v>1289</v>
      </c>
      <c r="H145" s="109" t="s">
        <v>2097</v>
      </c>
      <c r="I145" s="109"/>
      <c r="J145" s="109" t="s">
        <v>2098</v>
      </c>
      <c r="K145" s="114" t="s">
        <v>1297</v>
      </c>
      <c r="L145" s="114" t="s">
        <v>1294</v>
      </c>
      <c r="M145" s="114" t="s">
        <v>1295</v>
      </c>
      <c r="N145" s="114" t="s">
        <v>1296</v>
      </c>
      <c r="O145" s="112" t="s">
        <v>1291</v>
      </c>
      <c r="P145" s="114" t="s">
        <v>16</v>
      </c>
      <c r="Q145" s="109" t="s">
        <v>2100</v>
      </c>
      <c r="R145" s="110">
        <v>46285</v>
      </c>
      <c r="S145" s="109" t="s">
        <v>2</v>
      </c>
      <c r="T145" s="115">
        <v>1.8333333333333333</v>
      </c>
      <c r="U145" s="109" t="s">
        <v>3</v>
      </c>
      <c r="V145" s="109" t="s">
        <v>2101</v>
      </c>
      <c r="W145" s="109"/>
      <c r="X145" s="110">
        <v>46325</v>
      </c>
      <c r="Y145" s="109"/>
      <c r="Z145" s="110">
        <v>43364</v>
      </c>
      <c r="AA145" s="111"/>
      <c r="AB145" s="116">
        <v>46285</v>
      </c>
      <c r="AC145" s="109"/>
      <c r="AD145" s="109"/>
      <c r="AE145" s="117"/>
      <c r="AF145" s="117"/>
      <c r="AG145" s="117"/>
      <c r="AH145" s="117"/>
    </row>
    <row r="146" spans="1:34" ht="12.75">
      <c r="A146" s="109" t="s">
        <v>322</v>
      </c>
      <c r="B146" s="109" t="s">
        <v>319</v>
      </c>
      <c r="C146" s="110" t="s">
        <v>2394</v>
      </c>
      <c r="D146" s="109"/>
      <c r="E146" s="111"/>
      <c r="F146" s="112" t="s">
        <v>2395</v>
      </c>
      <c r="G146" s="112" t="s">
        <v>320</v>
      </c>
      <c r="H146" s="109" t="s">
        <v>2097</v>
      </c>
      <c r="I146" s="109"/>
      <c r="J146" s="109" t="s">
        <v>2098</v>
      </c>
      <c r="K146" s="114" t="s">
        <v>147</v>
      </c>
      <c r="L146" s="114" t="s">
        <v>324</v>
      </c>
      <c r="M146" s="114" t="s">
        <v>325</v>
      </c>
      <c r="N146" s="114" t="s">
        <v>326</v>
      </c>
      <c r="O146" s="112" t="s">
        <v>1670</v>
      </c>
      <c r="P146" s="114" t="s">
        <v>16</v>
      </c>
      <c r="Q146" s="109" t="s">
        <v>2100</v>
      </c>
      <c r="R146" s="110">
        <v>46195</v>
      </c>
      <c r="S146" s="109" t="s">
        <v>215</v>
      </c>
      <c r="T146" s="118" t="s">
        <v>216</v>
      </c>
      <c r="U146" s="109" t="s">
        <v>3</v>
      </c>
      <c r="V146" s="109" t="s">
        <v>2101</v>
      </c>
      <c r="W146" s="109"/>
      <c r="X146" s="110">
        <v>46496</v>
      </c>
      <c r="Y146" s="109"/>
      <c r="Z146" s="110">
        <v>44735</v>
      </c>
      <c r="AA146" s="111"/>
      <c r="AB146" s="116">
        <v>46195</v>
      </c>
      <c r="AC146" s="109"/>
      <c r="AD146" s="109"/>
      <c r="AE146" s="117"/>
      <c r="AF146" s="117"/>
      <c r="AG146" s="117"/>
      <c r="AH146" s="117"/>
    </row>
    <row r="147" spans="1:34" ht="12.75">
      <c r="A147" s="109" t="s">
        <v>178</v>
      </c>
      <c r="B147" s="109" t="s">
        <v>176</v>
      </c>
      <c r="C147" s="110" t="s">
        <v>2396</v>
      </c>
      <c r="D147" s="109"/>
      <c r="E147" s="111"/>
      <c r="F147" s="112" t="s">
        <v>179</v>
      </c>
      <c r="G147" s="112" t="s">
        <v>177</v>
      </c>
      <c r="H147" s="109" t="s">
        <v>2097</v>
      </c>
      <c r="I147" s="109"/>
      <c r="J147" s="109" t="s">
        <v>2098</v>
      </c>
      <c r="K147" s="114" t="s">
        <v>128</v>
      </c>
      <c r="L147" s="114" t="s">
        <v>181</v>
      </c>
      <c r="M147" s="114" t="s">
        <v>182</v>
      </c>
      <c r="N147" s="114" t="s">
        <v>183</v>
      </c>
      <c r="O147" s="112" t="s">
        <v>1291</v>
      </c>
      <c r="P147" s="114" t="s">
        <v>16</v>
      </c>
      <c r="Q147" s="109" t="s">
        <v>2100</v>
      </c>
      <c r="R147" s="110">
        <v>46587</v>
      </c>
      <c r="S147" s="109" t="s">
        <v>32</v>
      </c>
      <c r="T147" s="118" t="s">
        <v>159</v>
      </c>
      <c r="U147" s="109" t="s">
        <v>3</v>
      </c>
      <c r="V147" s="109" t="s">
        <v>2101</v>
      </c>
      <c r="W147" s="109"/>
      <c r="X147" s="110">
        <v>46584</v>
      </c>
      <c r="Y147" s="109"/>
      <c r="Z147" s="110">
        <v>46223</v>
      </c>
      <c r="AA147" s="119" t="s">
        <v>2136</v>
      </c>
      <c r="AB147" s="116">
        <v>46587</v>
      </c>
      <c r="AC147" s="109"/>
      <c r="AD147" s="109"/>
      <c r="AE147" s="117"/>
      <c r="AF147" s="117"/>
      <c r="AG147" s="117"/>
      <c r="AH147" s="117"/>
    </row>
    <row r="148" spans="1:34" ht="12.75">
      <c r="A148" s="109" t="s">
        <v>186</v>
      </c>
      <c r="B148" s="109" t="s">
        <v>184</v>
      </c>
      <c r="C148" s="110" t="s">
        <v>2397</v>
      </c>
      <c r="D148" s="109"/>
      <c r="E148" s="111"/>
      <c r="F148" s="112" t="s">
        <v>187</v>
      </c>
      <c r="G148" s="112" t="s">
        <v>185</v>
      </c>
      <c r="H148" s="109" t="s">
        <v>2097</v>
      </c>
      <c r="I148" s="109"/>
      <c r="J148" s="109" t="s">
        <v>2098</v>
      </c>
      <c r="K148" s="114" t="s">
        <v>190</v>
      </c>
      <c r="L148" s="114" t="s">
        <v>188</v>
      </c>
      <c r="M148" s="114" t="s">
        <v>189</v>
      </c>
      <c r="N148" s="114" t="s">
        <v>26</v>
      </c>
      <c r="O148" s="112" t="s">
        <v>1588</v>
      </c>
      <c r="P148" s="114" t="s">
        <v>16</v>
      </c>
      <c r="Q148" s="109" t="s">
        <v>2100</v>
      </c>
      <c r="R148" s="110">
        <v>46410</v>
      </c>
      <c r="S148" s="109" t="s">
        <v>2</v>
      </c>
      <c r="T148" s="115">
        <v>1.8333333333333333</v>
      </c>
      <c r="U148" s="109" t="s">
        <v>3</v>
      </c>
      <c r="V148" s="109" t="s">
        <v>2101</v>
      </c>
      <c r="W148" s="109"/>
      <c r="X148" s="110">
        <v>46408</v>
      </c>
      <c r="Y148" s="109"/>
      <c r="Z148" s="110">
        <v>46046</v>
      </c>
      <c r="AA148" s="111"/>
      <c r="AB148" s="116">
        <v>46410</v>
      </c>
      <c r="AC148" s="109"/>
      <c r="AD148" s="109"/>
      <c r="AE148" s="117"/>
      <c r="AF148" s="117"/>
      <c r="AG148" s="117"/>
      <c r="AH148" s="117"/>
    </row>
    <row r="149" spans="1:34" ht="12.75">
      <c r="A149" s="109" t="s">
        <v>1300</v>
      </c>
      <c r="B149" s="109" t="s">
        <v>1298</v>
      </c>
      <c r="C149" s="110" t="s">
        <v>2398</v>
      </c>
      <c r="D149" s="109"/>
      <c r="E149" s="111"/>
      <c r="F149" s="112" t="s">
        <v>1301</v>
      </c>
      <c r="G149" s="112" t="s">
        <v>1299</v>
      </c>
      <c r="H149" s="109" t="s">
        <v>2097</v>
      </c>
      <c r="I149" s="109"/>
      <c r="J149" s="109" t="s">
        <v>2098</v>
      </c>
      <c r="K149" s="114" t="s">
        <v>1306</v>
      </c>
      <c r="L149" s="114" t="s">
        <v>1304</v>
      </c>
      <c r="M149" s="114" t="s">
        <v>1305</v>
      </c>
      <c r="N149" s="114" t="s">
        <v>40</v>
      </c>
      <c r="O149" s="112" t="s">
        <v>1588</v>
      </c>
      <c r="P149" s="114" t="s">
        <v>16</v>
      </c>
      <c r="Q149" s="109" t="s">
        <v>2100</v>
      </c>
      <c r="R149" s="110">
        <v>46429</v>
      </c>
      <c r="S149" s="109" t="s">
        <v>2</v>
      </c>
      <c r="T149" s="115">
        <v>1.8333333333333333</v>
      </c>
      <c r="U149" s="109" t="s">
        <v>72</v>
      </c>
      <c r="V149" s="109" t="s">
        <v>2101</v>
      </c>
      <c r="W149" s="109"/>
      <c r="X149" s="110">
        <v>46422</v>
      </c>
      <c r="Y149" s="109"/>
      <c r="Z149" s="110">
        <v>45700</v>
      </c>
      <c r="AA149" s="111"/>
      <c r="AB149" s="116">
        <v>46429</v>
      </c>
      <c r="AC149" s="109"/>
      <c r="AD149" s="109"/>
      <c r="AE149" s="117"/>
      <c r="AF149" s="117"/>
      <c r="AG149" s="117"/>
      <c r="AH149" s="117"/>
    </row>
    <row r="150" spans="1:34" ht="12.75">
      <c r="A150" s="109" t="s">
        <v>330</v>
      </c>
      <c r="B150" s="109" t="s">
        <v>327</v>
      </c>
      <c r="C150" s="110" t="s">
        <v>2399</v>
      </c>
      <c r="D150" s="109"/>
      <c r="E150" s="111"/>
      <c r="F150" s="112" t="s">
        <v>331</v>
      </c>
      <c r="G150" s="112" t="s">
        <v>328</v>
      </c>
      <c r="H150" s="109" t="s">
        <v>2097</v>
      </c>
      <c r="I150" s="109"/>
      <c r="J150" s="109" t="s">
        <v>2098</v>
      </c>
      <c r="K150" s="114" t="s">
        <v>336</v>
      </c>
      <c r="L150" s="114" t="s">
        <v>333</v>
      </c>
      <c r="M150" s="114" t="s">
        <v>334</v>
      </c>
      <c r="N150" s="114" t="s">
        <v>335</v>
      </c>
      <c r="O150" s="112" t="s">
        <v>1588</v>
      </c>
      <c r="P150" s="114" t="s">
        <v>16</v>
      </c>
      <c r="Q150" s="109" t="s">
        <v>2100</v>
      </c>
      <c r="R150" s="110">
        <v>46165</v>
      </c>
      <c r="S150" s="109" t="s">
        <v>2</v>
      </c>
      <c r="T150" s="115">
        <v>1.8333333333333333</v>
      </c>
      <c r="U150" s="109" t="s">
        <v>3</v>
      </c>
      <c r="V150" s="109" t="s">
        <v>2101</v>
      </c>
      <c r="W150" s="109"/>
      <c r="X150" s="110">
        <v>46524</v>
      </c>
      <c r="Y150" s="109"/>
      <c r="Z150" s="110">
        <v>45801</v>
      </c>
      <c r="AA150" s="111"/>
      <c r="AB150" s="116">
        <v>46165</v>
      </c>
      <c r="AC150" s="109"/>
      <c r="AD150" s="109"/>
      <c r="AE150" s="117"/>
      <c r="AF150" s="117"/>
      <c r="AG150" s="117"/>
      <c r="AH150" s="117"/>
    </row>
    <row r="151" spans="1:34" ht="12.75">
      <c r="A151" s="109" t="s">
        <v>194</v>
      </c>
      <c r="B151" s="109" t="s">
        <v>191</v>
      </c>
      <c r="C151" s="110" t="s">
        <v>2400</v>
      </c>
      <c r="D151" s="109"/>
      <c r="E151" s="111"/>
      <c r="F151" s="112" t="s">
        <v>195</v>
      </c>
      <c r="G151" s="112" t="s">
        <v>192</v>
      </c>
      <c r="H151" s="109" t="s">
        <v>2097</v>
      </c>
      <c r="I151" s="109"/>
      <c r="J151" s="109" t="s">
        <v>2098</v>
      </c>
      <c r="K151" s="114" t="s">
        <v>201</v>
      </c>
      <c r="L151" s="114" t="s">
        <v>198</v>
      </c>
      <c r="M151" s="114" t="s">
        <v>199</v>
      </c>
      <c r="N151" s="114" t="s">
        <v>200</v>
      </c>
      <c r="O151" s="112" t="s">
        <v>113</v>
      </c>
      <c r="P151" s="114" t="s">
        <v>16</v>
      </c>
      <c r="Q151" s="109" t="s">
        <v>2100</v>
      </c>
      <c r="R151" s="110">
        <v>46548</v>
      </c>
      <c r="S151" s="109" t="s">
        <v>32</v>
      </c>
      <c r="T151" s="118" t="s">
        <v>193</v>
      </c>
      <c r="U151" s="109" t="s">
        <v>3</v>
      </c>
      <c r="V151" s="109" t="s">
        <v>2101</v>
      </c>
      <c r="W151" s="109"/>
      <c r="X151" s="110">
        <v>46540</v>
      </c>
      <c r="Y151" s="109"/>
      <c r="Z151" s="110">
        <v>46184</v>
      </c>
      <c r="AA151" s="111"/>
      <c r="AB151" s="116">
        <v>46548</v>
      </c>
      <c r="AC151" s="109"/>
      <c r="AD151" s="109"/>
      <c r="AE151" s="117"/>
      <c r="AF151" s="117"/>
      <c r="AG151" s="117"/>
      <c r="AH151" s="117"/>
    </row>
    <row r="152" spans="1:34" ht="12.75">
      <c r="A152" s="109" t="s">
        <v>339</v>
      </c>
      <c r="B152" s="109" t="s">
        <v>337</v>
      </c>
      <c r="C152" s="110" t="s">
        <v>2401</v>
      </c>
      <c r="D152" s="109"/>
      <c r="E152" s="111"/>
      <c r="F152" s="112" t="s">
        <v>2402</v>
      </c>
      <c r="G152" s="112" t="s">
        <v>338</v>
      </c>
      <c r="H152" s="109" t="s">
        <v>2097</v>
      </c>
      <c r="I152" s="109"/>
      <c r="J152" s="109" t="s">
        <v>2098</v>
      </c>
      <c r="K152" s="114" t="s">
        <v>345</v>
      </c>
      <c r="L152" s="114" t="s">
        <v>342</v>
      </c>
      <c r="M152" s="114" t="s">
        <v>343</v>
      </c>
      <c r="N152" s="114" t="s">
        <v>344</v>
      </c>
      <c r="O152" s="112" t="s">
        <v>151</v>
      </c>
      <c r="P152" s="114" t="s">
        <v>16</v>
      </c>
      <c r="Q152" s="109" t="s">
        <v>2100</v>
      </c>
      <c r="R152" s="110">
        <v>46178</v>
      </c>
      <c r="S152" s="109" t="s">
        <v>215</v>
      </c>
      <c r="T152" s="118" t="s">
        <v>216</v>
      </c>
      <c r="U152" s="109" t="s">
        <v>3</v>
      </c>
      <c r="V152" s="109" t="s">
        <v>2101</v>
      </c>
      <c r="W152" s="109"/>
      <c r="X152" s="110">
        <v>46363</v>
      </c>
      <c r="Y152" s="109"/>
      <c r="Z152" s="110">
        <v>45449</v>
      </c>
      <c r="AA152" s="111"/>
      <c r="AB152" s="116">
        <v>46178</v>
      </c>
      <c r="AC152" s="109"/>
      <c r="AD152" s="109"/>
      <c r="AE152" s="117"/>
      <c r="AF152" s="117"/>
      <c r="AG152" s="117"/>
      <c r="AH152" s="117"/>
    </row>
    <row r="153" spans="1:34" ht="12.75">
      <c r="A153" s="109" t="s">
        <v>1309</v>
      </c>
      <c r="B153" s="109" t="s">
        <v>1307</v>
      </c>
      <c r="C153" s="110" t="s">
        <v>2403</v>
      </c>
      <c r="D153" s="109"/>
      <c r="E153" s="111"/>
      <c r="F153" s="112" t="s">
        <v>1310</v>
      </c>
      <c r="G153" s="112" t="s">
        <v>1308</v>
      </c>
      <c r="H153" s="109" t="s">
        <v>2097</v>
      </c>
      <c r="I153" s="109"/>
      <c r="J153" s="109" t="s">
        <v>2098</v>
      </c>
      <c r="K153" s="114" t="s">
        <v>672</v>
      </c>
      <c r="L153" s="114" t="s">
        <v>670</v>
      </c>
      <c r="M153" s="114" t="s">
        <v>39</v>
      </c>
      <c r="N153" s="114" t="s">
        <v>671</v>
      </c>
      <c r="O153" s="112" t="s">
        <v>274</v>
      </c>
      <c r="P153" s="114" t="s">
        <v>16</v>
      </c>
      <c r="Q153" s="109" t="s">
        <v>2100</v>
      </c>
      <c r="R153" s="110">
        <v>46468</v>
      </c>
      <c r="S153" s="109" t="s">
        <v>2</v>
      </c>
      <c r="T153" s="118" t="s">
        <v>366</v>
      </c>
      <c r="U153" s="109" t="s">
        <v>3</v>
      </c>
      <c r="V153" s="109" t="s">
        <v>2101</v>
      </c>
      <c r="W153" s="109"/>
      <c r="X153" s="110">
        <v>46464</v>
      </c>
      <c r="Y153" s="109"/>
      <c r="Z153" s="110">
        <v>46104</v>
      </c>
      <c r="AA153" s="111"/>
      <c r="AB153" s="116">
        <v>46468</v>
      </c>
      <c r="AC153" s="109"/>
      <c r="AD153" s="109"/>
      <c r="AE153" s="117"/>
      <c r="AF153" s="117"/>
      <c r="AG153" s="117"/>
      <c r="AH153" s="117"/>
    </row>
    <row r="154" spans="1:34" ht="12.75">
      <c r="A154" s="109" t="s">
        <v>1314</v>
      </c>
      <c r="B154" s="109" t="s">
        <v>1312</v>
      </c>
      <c r="C154" s="110" t="s">
        <v>2404</v>
      </c>
      <c r="D154" s="109"/>
      <c r="E154" s="111"/>
      <c r="F154" s="112" t="s">
        <v>2405</v>
      </c>
      <c r="G154" s="112" t="s">
        <v>1313</v>
      </c>
      <c r="H154" s="109" t="s">
        <v>2097</v>
      </c>
      <c r="I154" s="109"/>
      <c r="J154" s="109" t="s">
        <v>2098</v>
      </c>
      <c r="K154" s="114" t="s">
        <v>269</v>
      </c>
      <c r="L154" s="114" t="s">
        <v>1316</v>
      </c>
      <c r="M154" s="114" t="s">
        <v>268</v>
      </c>
      <c r="N154" s="114" t="s">
        <v>68</v>
      </c>
      <c r="O154" s="112" t="s">
        <v>1588</v>
      </c>
      <c r="P154" s="114" t="s">
        <v>16</v>
      </c>
      <c r="Q154" s="109" t="s">
        <v>2100</v>
      </c>
      <c r="R154" s="110">
        <v>46464</v>
      </c>
      <c r="S154" s="109" t="s">
        <v>2</v>
      </c>
      <c r="T154" s="115">
        <v>1.8333333333333333</v>
      </c>
      <c r="U154" s="109" t="s">
        <v>3</v>
      </c>
      <c r="V154" s="109" t="s">
        <v>2101</v>
      </c>
      <c r="W154" s="109"/>
      <c r="X154" s="110">
        <v>46462</v>
      </c>
      <c r="Y154" s="109"/>
      <c r="Z154" s="110">
        <v>46100</v>
      </c>
      <c r="AA154" s="111"/>
      <c r="AB154" s="116">
        <v>46464</v>
      </c>
      <c r="AC154" s="109"/>
      <c r="AD154" s="109"/>
      <c r="AE154" s="117"/>
      <c r="AF154" s="117"/>
      <c r="AG154" s="117"/>
      <c r="AH154" s="117"/>
    </row>
    <row r="155" spans="1:34" ht="12.75">
      <c r="A155" s="109" t="s">
        <v>1319</v>
      </c>
      <c r="B155" s="109" t="s">
        <v>1317</v>
      </c>
      <c r="C155" s="110" t="s">
        <v>2406</v>
      </c>
      <c r="D155" s="109"/>
      <c r="E155" s="111"/>
      <c r="F155" s="112" t="s">
        <v>2407</v>
      </c>
      <c r="G155" s="112" t="s">
        <v>1318</v>
      </c>
      <c r="H155" s="109" t="s">
        <v>2097</v>
      </c>
      <c r="I155" s="109"/>
      <c r="J155" s="109" t="s">
        <v>2098</v>
      </c>
      <c r="K155" s="114" t="s">
        <v>1323</v>
      </c>
      <c r="L155" s="114" t="s">
        <v>1320</v>
      </c>
      <c r="M155" s="114" t="s">
        <v>1321</v>
      </c>
      <c r="N155" s="114" t="s">
        <v>1322</v>
      </c>
      <c r="O155" s="112" t="s">
        <v>1588</v>
      </c>
      <c r="P155" s="114" t="s">
        <v>16</v>
      </c>
      <c r="Q155" s="109" t="s">
        <v>2100</v>
      </c>
      <c r="R155" s="110">
        <v>46152</v>
      </c>
      <c r="S155" s="109" t="s">
        <v>2</v>
      </c>
      <c r="T155" s="115">
        <v>1.8333333333333333</v>
      </c>
      <c r="U155" s="109" t="s">
        <v>3</v>
      </c>
      <c r="V155" s="109" t="s">
        <v>2101</v>
      </c>
      <c r="W155" s="109"/>
      <c r="X155" s="110">
        <v>46471</v>
      </c>
      <c r="Y155" s="109"/>
      <c r="Z155" s="110">
        <v>44327</v>
      </c>
      <c r="AA155" s="111"/>
      <c r="AB155" s="116">
        <v>46152</v>
      </c>
      <c r="AC155" s="109"/>
      <c r="AD155" s="109"/>
      <c r="AE155" s="117"/>
      <c r="AF155" s="117"/>
      <c r="AG155" s="117"/>
      <c r="AH155" s="117"/>
    </row>
    <row r="156" spans="1:34" ht="12.75">
      <c r="A156" s="109" t="s">
        <v>1326</v>
      </c>
      <c r="B156" s="109" t="s">
        <v>1324</v>
      </c>
      <c r="C156" s="110" t="s">
        <v>2408</v>
      </c>
      <c r="D156" s="109"/>
      <c r="E156" s="111"/>
      <c r="F156" s="112" t="s">
        <v>2409</v>
      </c>
      <c r="G156" s="112" t="s">
        <v>1325</v>
      </c>
      <c r="H156" s="109" t="s">
        <v>2097</v>
      </c>
      <c r="I156" s="109"/>
      <c r="J156" s="109" t="s">
        <v>2110</v>
      </c>
      <c r="K156" s="114" t="s">
        <v>190</v>
      </c>
      <c r="L156" s="114" t="s">
        <v>188</v>
      </c>
      <c r="M156" s="114" t="s">
        <v>1086</v>
      </c>
      <c r="N156" s="114" t="s">
        <v>26</v>
      </c>
      <c r="O156" s="112" t="s">
        <v>1588</v>
      </c>
      <c r="P156" s="114" t="s">
        <v>16</v>
      </c>
      <c r="Q156" s="109" t="s">
        <v>2100</v>
      </c>
      <c r="R156" s="110">
        <v>46270</v>
      </c>
      <c r="S156" s="109" t="s">
        <v>2</v>
      </c>
      <c r="T156" s="115">
        <v>1.8333333333333333</v>
      </c>
      <c r="U156" s="109" t="s">
        <v>72</v>
      </c>
      <c r="V156" s="109" t="s">
        <v>2101</v>
      </c>
      <c r="W156" s="109"/>
      <c r="X156" s="110">
        <v>46506</v>
      </c>
      <c r="Y156" s="109"/>
      <c r="Z156" s="110">
        <v>42984</v>
      </c>
      <c r="AA156" s="111"/>
      <c r="AB156" s="116">
        <v>46270</v>
      </c>
      <c r="AC156" s="109"/>
      <c r="AD156" s="109"/>
      <c r="AE156" s="117"/>
      <c r="AF156" s="117"/>
      <c r="AG156" s="117"/>
      <c r="AH156" s="117"/>
    </row>
    <row r="157" spans="1:34" ht="12.75">
      <c r="A157" s="109" t="s">
        <v>348</v>
      </c>
      <c r="B157" s="109" t="s">
        <v>346</v>
      </c>
      <c r="C157" s="110" t="s">
        <v>2410</v>
      </c>
      <c r="D157" s="109"/>
      <c r="E157" s="110" t="s">
        <v>2411</v>
      </c>
      <c r="F157" s="112" t="s">
        <v>2412</v>
      </c>
      <c r="G157" s="112" t="s">
        <v>347</v>
      </c>
      <c r="H157" s="109" t="s">
        <v>2097</v>
      </c>
      <c r="I157" s="109"/>
      <c r="J157" s="109" t="s">
        <v>2098</v>
      </c>
      <c r="K157" s="114" t="s">
        <v>353</v>
      </c>
      <c r="L157" s="114" t="s">
        <v>350</v>
      </c>
      <c r="M157" s="114" t="s">
        <v>351</v>
      </c>
      <c r="N157" s="114" t="s">
        <v>352</v>
      </c>
      <c r="O157" s="112" t="s">
        <v>1699</v>
      </c>
      <c r="P157" s="114" t="s">
        <v>16</v>
      </c>
      <c r="Q157" s="109" t="s">
        <v>2100</v>
      </c>
      <c r="R157" s="110">
        <v>46116</v>
      </c>
      <c r="S157" s="109" t="s">
        <v>215</v>
      </c>
      <c r="T157" s="118" t="s">
        <v>216</v>
      </c>
      <c r="U157" s="109" t="s">
        <v>3</v>
      </c>
      <c r="V157" s="109" t="s">
        <v>2101</v>
      </c>
      <c r="W157" s="109"/>
      <c r="X157" s="110">
        <v>46447</v>
      </c>
      <c r="Y157" s="109"/>
      <c r="Z157" s="110">
        <v>45387</v>
      </c>
      <c r="AA157" s="111"/>
      <c r="AB157" s="116">
        <v>46116</v>
      </c>
      <c r="AC157" s="109"/>
      <c r="AD157" s="109"/>
      <c r="AE157" s="117"/>
      <c r="AF157" s="117"/>
      <c r="AG157" s="117"/>
      <c r="AH157" s="117"/>
    </row>
    <row r="158" spans="1:34" ht="12.75">
      <c r="A158" s="109" t="s">
        <v>1331</v>
      </c>
      <c r="B158" s="109" t="s">
        <v>1328</v>
      </c>
      <c r="C158" s="110" t="s">
        <v>2413</v>
      </c>
      <c r="D158" s="109"/>
      <c r="E158" s="110" t="s">
        <v>2414</v>
      </c>
      <c r="F158" s="112" t="s">
        <v>2415</v>
      </c>
      <c r="G158" s="112" t="s">
        <v>1329</v>
      </c>
      <c r="H158" s="109" t="s">
        <v>2097</v>
      </c>
      <c r="I158" s="109"/>
      <c r="J158" s="109" t="s">
        <v>2098</v>
      </c>
      <c r="K158" s="114" t="s">
        <v>1335</v>
      </c>
      <c r="L158" s="114" t="s">
        <v>1332</v>
      </c>
      <c r="M158" s="114" t="s">
        <v>1333</v>
      </c>
      <c r="N158" s="114" t="s">
        <v>1334</v>
      </c>
      <c r="O158" s="112" t="s">
        <v>1588</v>
      </c>
      <c r="P158" s="114" t="s">
        <v>16</v>
      </c>
      <c r="Q158" s="109" t="s">
        <v>2100</v>
      </c>
      <c r="R158" s="110">
        <v>46065</v>
      </c>
      <c r="S158" s="109" t="s">
        <v>2</v>
      </c>
      <c r="T158" s="115">
        <v>1.8333333333333333</v>
      </c>
      <c r="U158" s="109" t="s">
        <v>3</v>
      </c>
      <c r="V158" s="109" t="s">
        <v>2101</v>
      </c>
      <c r="W158" s="109"/>
      <c r="X158" s="110">
        <v>46534</v>
      </c>
      <c r="Y158" s="109"/>
      <c r="Z158" s="110">
        <v>42413</v>
      </c>
      <c r="AA158" s="111"/>
      <c r="AB158" s="116">
        <v>46065</v>
      </c>
      <c r="AC158" s="109"/>
      <c r="AD158" s="109"/>
      <c r="AE158" s="117"/>
      <c r="AF158" s="117"/>
      <c r="AG158" s="117"/>
      <c r="AH158" s="117"/>
    </row>
    <row r="159" spans="1:34" ht="12.75">
      <c r="A159" s="109" t="s">
        <v>1338</v>
      </c>
      <c r="B159" s="109" t="s">
        <v>1336</v>
      </c>
      <c r="C159" s="110" t="s">
        <v>2416</v>
      </c>
      <c r="D159" s="109"/>
      <c r="E159" s="110" t="s">
        <v>2417</v>
      </c>
      <c r="F159" s="112" t="s">
        <v>2418</v>
      </c>
      <c r="G159" s="112" t="s">
        <v>1337</v>
      </c>
      <c r="H159" s="109" t="s">
        <v>2097</v>
      </c>
      <c r="I159" s="109"/>
      <c r="J159" s="109" t="s">
        <v>2098</v>
      </c>
      <c r="K159" s="114" t="s">
        <v>1341</v>
      </c>
      <c r="L159" s="114" t="s">
        <v>1339</v>
      </c>
      <c r="M159" s="114" t="s">
        <v>1340</v>
      </c>
      <c r="N159" s="114" t="s">
        <v>418</v>
      </c>
      <c r="O159" s="112" t="s">
        <v>1588</v>
      </c>
      <c r="P159" s="114" t="s">
        <v>16</v>
      </c>
      <c r="Q159" s="109" t="s">
        <v>2100</v>
      </c>
      <c r="R159" s="110">
        <v>46173</v>
      </c>
      <c r="S159" s="109" t="s">
        <v>2</v>
      </c>
      <c r="T159" s="115">
        <v>1.8333333333333333</v>
      </c>
      <c r="U159" s="109" t="s">
        <v>3</v>
      </c>
      <c r="V159" s="109" t="s">
        <v>2101</v>
      </c>
      <c r="W159" s="109"/>
      <c r="X159" s="110">
        <v>46555</v>
      </c>
      <c r="Y159" s="109"/>
      <c r="Z159" s="110">
        <v>41061</v>
      </c>
      <c r="AA159" s="111"/>
      <c r="AB159" s="116">
        <v>46173</v>
      </c>
      <c r="AC159" s="109"/>
      <c r="AD159" s="109"/>
      <c r="AE159" s="117"/>
      <c r="AF159" s="117"/>
      <c r="AG159" s="117"/>
      <c r="AH159" s="117"/>
    </row>
    <row r="160" spans="1:34" ht="12.75">
      <c r="A160" s="109" t="s">
        <v>1344</v>
      </c>
      <c r="B160" s="109" t="s">
        <v>1342</v>
      </c>
      <c r="C160" s="110" t="s">
        <v>2420</v>
      </c>
      <c r="D160" s="109"/>
      <c r="E160" s="111"/>
      <c r="F160" s="112" t="s">
        <v>1345</v>
      </c>
      <c r="G160" s="112" t="s">
        <v>1343</v>
      </c>
      <c r="H160" s="109" t="s">
        <v>2097</v>
      </c>
      <c r="I160" s="109"/>
      <c r="J160" s="109" t="s">
        <v>2098</v>
      </c>
      <c r="K160" s="114" t="s">
        <v>1350</v>
      </c>
      <c r="L160" s="114" t="s">
        <v>1347</v>
      </c>
      <c r="M160" s="114" t="s">
        <v>1348</v>
      </c>
      <c r="N160" s="114" t="s">
        <v>1349</v>
      </c>
      <c r="O160" s="112" t="s">
        <v>1588</v>
      </c>
      <c r="P160" s="114" t="s">
        <v>16</v>
      </c>
      <c r="Q160" s="109" t="s">
        <v>2100</v>
      </c>
      <c r="R160" s="110">
        <v>46477</v>
      </c>
      <c r="S160" s="109" t="s">
        <v>2</v>
      </c>
      <c r="T160" s="115">
        <v>1.8333333333333333</v>
      </c>
      <c r="U160" s="109" t="s">
        <v>72</v>
      </c>
      <c r="V160" s="109" t="s">
        <v>2101</v>
      </c>
      <c r="W160" s="109"/>
      <c r="X160" s="110">
        <v>46569</v>
      </c>
      <c r="Y160" s="109"/>
      <c r="Z160" s="110">
        <v>46113</v>
      </c>
      <c r="AA160" s="111"/>
      <c r="AB160" s="116">
        <v>46477</v>
      </c>
      <c r="AC160" s="109"/>
      <c r="AD160" s="109"/>
      <c r="AE160" s="117"/>
      <c r="AF160" s="117"/>
      <c r="AG160" s="117"/>
      <c r="AH160" s="117"/>
    </row>
    <row r="161" spans="1:34" ht="12.75">
      <c r="A161" s="109" t="s">
        <v>1353</v>
      </c>
      <c r="B161" s="109" t="s">
        <v>1351</v>
      </c>
      <c r="C161" s="110" t="s">
        <v>2421</v>
      </c>
      <c r="D161" s="109"/>
      <c r="E161" s="111"/>
      <c r="F161" s="112" t="s">
        <v>2422</v>
      </c>
      <c r="G161" s="112" t="s">
        <v>1352</v>
      </c>
      <c r="H161" s="109" t="s">
        <v>2097</v>
      </c>
      <c r="I161" s="109"/>
      <c r="J161" s="109" t="s">
        <v>2098</v>
      </c>
      <c r="K161" s="114" t="s">
        <v>1356</v>
      </c>
      <c r="L161" s="114" t="s">
        <v>1354</v>
      </c>
      <c r="M161" s="114" t="s">
        <v>1355</v>
      </c>
      <c r="N161" s="114" t="s">
        <v>174</v>
      </c>
      <c r="O161" s="112" t="s">
        <v>1588</v>
      </c>
      <c r="P161" s="114" t="s">
        <v>16</v>
      </c>
      <c r="Q161" s="109" t="s">
        <v>2100</v>
      </c>
      <c r="R161" s="110">
        <v>46321</v>
      </c>
      <c r="S161" s="109" t="s">
        <v>2</v>
      </c>
      <c r="T161" s="118" t="s">
        <v>366</v>
      </c>
      <c r="U161" s="109" t="s">
        <v>529</v>
      </c>
      <c r="V161" s="109" t="s">
        <v>2101</v>
      </c>
      <c r="W161" s="109"/>
      <c r="X161" s="110">
        <v>46317</v>
      </c>
      <c r="Y161" s="109"/>
      <c r="Z161" s="110">
        <v>45957</v>
      </c>
      <c r="AA161" s="111"/>
      <c r="AB161" s="120">
        <v>46321</v>
      </c>
      <c r="AC161" s="109"/>
      <c r="AD161" s="109"/>
      <c r="AE161" s="117"/>
      <c r="AF161" s="117"/>
      <c r="AG161" s="117"/>
      <c r="AH161" s="117"/>
    </row>
    <row r="162" spans="1:34" ht="12.75">
      <c r="A162" s="109" t="s">
        <v>1359</v>
      </c>
      <c r="B162" s="109" t="s">
        <v>1357</v>
      </c>
      <c r="C162" s="110" t="s">
        <v>2423</v>
      </c>
      <c r="D162" s="109"/>
      <c r="E162" s="111"/>
      <c r="F162" s="112" t="s">
        <v>2424</v>
      </c>
      <c r="G162" s="112" t="s">
        <v>1358</v>
      </c>
      <c r="H162" s="109" t="s">
        <v>2097</v>
      </c>
      <c r="I162" s="109"/>
      <c r="J162" s="109" t="s">
        <v>2098</v>
      </c>
      <c r="K162" s="114" t="s">
        <v>900</v>
      </c>
      <c r="L162" s="114" t="s">
        <v>898</v>
      </c>
      <c r="M162" s="114" t="s">
        <v>1362</v>
      </c>
      <c r="N162" s="114" t="s">
        <v>287</v>
      </c>
      <c r="O162" s="112" t="s">
        <v>1588</v>
      </c>
      <c r="P162" s="114" t="s">
        <v>16</v>
      </c>
      <c r="Q162" s="109" t="s">
        <v>2100</v>
      </c>
      <c r="R162" s="110">
        <v>46089</v>
      </c>
      <c r="S162" s="109" t="s">
        <v>2</v>
      </c>
      <c r="T162" s="115">
        <v>1.8333333333333333</v>
      </c>
      <c r="U162" s="109" t="s">
        <v>72</v>
      </c>
      <c r="V162" s="109" t="s">
        <v>2101</v>
      </c>
      <c r="W162" s="109"/>
      <c r="X162" s="110">
        <v>46412</v>
      </c>
      <c r="Y162" s="109"/>
      <c r="Z162" s="110">
        <v>44629</v>
      </c>
      <c r="AA162" s="111"/>
      <c r="AB162" s="116">
        <v>46089</v>
      </c>
      <c r="AC162" s="109"/>
      <c r="AD162" s="109"/>
      <c r="AE162" s="117"/>
      <c r="AF162" s="117"/>
      <c r="AG162" s="117"/>
      <c r="AH162" s="117"/>
    </row>
    <row r="163" spans="1:34" ht="12.75">
      <c r="A163" s="109" t="s">
        <v>1365</v>
      </c>
      <c r="B163" s="109" t="s">
        <v>1363</v>
      </c>
      <c r="C163" s="110" t="s">
        <v>2425</v>
      </c>
      <c r="D163" s="109"/>
      <c r="E163" s="111"/>
      <c r="F163" s="112" t="s">
        <v>1366</v>
      </c>
      <c r="G163" s="112" t="s">
        <v>1364</v>
      </c>
      <c r="H163" s="109" t="s">
        <v>2097</v>
      </c>
      <c r="I163" s="109"/>
      <c r="J163" s="109" t="s">
        <v>2110</v>
      </c>
      <c r="K163" s="114" t="s">
        <v>1270</v>
      </c>
      <c r="L163" s="114" t="s">
        <v>1268</v>
      </c>
      <c r="M163" s="114" t="s">
        <v>1269</v>
      </c>
      <c r="N163" s="114" t="s">
        <v>68</v>
      </c>
      <c r="O163" s="112" t="s">
        <v>1588</v>
      </c>
      <c r="P163" s="114" t="s">
        <v>16</v>
      </c>
      <c r="Q163" s="109" t="s">
        <v>2100</v>
      </c>
      <c r="R163" s="110">
        <v>46531</v>
      </c>
      <c r="S163" s="109" t="s">
        <v>2</v>
      </c>
      <c r="T163" s="115">
        <v>1.8333333333333333</v>
      </c>
      <c r="U163" s="109" t="s">
        <v>72</v>
      </c>
      <c r="V163" s="109" t="s">
        <v>2101</v>
      </c>
      <c r="W163" s="109"/>
      <c r="X163" s="110">
        <v>46524</v>
      </c>
      <c r="Y163" s="109"/>
      <c r="Z163" s="110">
        <v>46167</v>
      </c>
      <c r="AA163" s="111"/>
      <c r="AB163" s="116">
        <v>46531</v>
      </c>
      <c r="AC163" s="109"/>
      <c r="AD163" s="109"/>
      <c r="AE163" s="117"/>
      <c r="AF163" s="117"/>
      <c r="AG163" s="117"/>
      <c r="AH163" s="117"/>
    </row>
    <row r="164" spans="1:34" ht="12.75">
      <c r="A164" s="109" t="s">
        <v>652</v>
      </c>
      <c r="B164" s="109" t="s">
        <v>650</v>
      </c>
      <c r="C164" s="110" t="s">
        <v>2426</v>
      </c>
      <c r="D164" s="109"/>
      <c r="E164" s="111"/>
      <c r="F164" s="112" t="s">
        <v>653</v>
      </c>
      <c r="G164" s="112" t="s">
        <v>651</v>
      </c>
      <c r="H164" s="109" t="s">
        <v>522</v>
      </c>
      <c r="I164" s="109"/>
      <c r="J164" s="109" t="s">
        <v>2098</v>
      </c>
      <c r="K164" s="114" t="s">
        <v>659</v>
      </c>
      <c r="L164" s="114" t="s">
        <v>656</v>
      </c>
      <c r="M164" s="114" t="s">
        <v>657</v>
      </c>
      <c r="N164" s="114" t="s">
        <v>88</v>
      </c>
      <c r="O164" s="112" t="s">
        <v>1588</v>
      </c>
      <c r="P164" s="114" t="s">
        <v>16</v>
      </c>
      <c r="Q164" s="109" t="s">
        <v>2100</v>
      </c>
      <c r="R164" s="110">
        <v>46213</v>
      </c>
      <c r="S164" s="109" t="s">
        <v>2</v>
      </c>
      <c r="T164" s="115">
        <v>1.8333333333333333</v>
      </c>
      <c r="U164" s="109" t="s">
        <v>522</v>
      </c>
      <c r="V164" s="109" t="s">
        <v>2101</v>
      </c>
      <c r="W164" s="109"/>
      <c r="X164" s="110">
        <v>46576</v>
      </c>
      <c r="Y164" s="109"/>
      <c r="Z164" s="110">
        <v>45849</v>
      </c>
      <c r="AA164" s="111"/>
      <c r="AB164" s="116">
        <v>46213</v>
      </c>
      <c r="AC164" s="109"/>
      <c r="AD164" s="109"/>
      <c r="AE164" s="117"/>
      <c r="AF164" s="117"/>
      <c r="AG164" s="117"/>
      <c r="AH164" s="117"/>
    </row>
    <row r="165" spans="1:34" ht="12.75">
      <c r="A165" s="109" t="s">
        <v>1369</v>
      </c>
      <c r="B165" s="109" t="s">
        <v>1367</v>
      </c>
      <c r="C165" s="110" t="s">
        <v>2427</v>
      </c>
      <c r="D165" s="109"/>
      <c r="E165" s="111"/>
      <c r="F165" s="112" t="s">
        <v>1370</v>
      </c>
      <c r="G165" s="112" t="s">
        <v>1368</v>
      </c>
      <c r="H165" s="109" t="s">
        <v>2097</v>
      </c>
      <c r="I165" s="109"/>
      <c r="J165" s="109" t="s">
        <v>2098</v>
      </c>
      <c r="K165" s="114" t="s">
        <v>1200</v>
      </c>
      <c r="L165" s="114" t="s">
        <v>1372</v>
      </c>
      <c r="M165" s="114" t="s">
        <v>1373</v>
      </c>
      <c r="N165" s="114" t="s">
        <v>287</v>
      </c>
      <c r="O165" s="112" t="s">
        <v>1588</v>
      </c>
      <c r="P165" s="114" t="s">
        <v>16</v>
      </c>
      <c r="Q165" s="109" t="s">
        <v>2100</v>
      </c>
      <c r="R165" s="110">
        <v>46534</v>
      </c>
      <c r="S165" s="109" t="s">
        <v>2</v>
      </c>
      <c r="T165" s="115">
        <v>1.8333333333333333</v>
      </c>
      <c r="U165" s="109" t="s">
        <v>3</v>
      </c>
      <c r="V165" s="109" t="s">
        <v>2101</v>
      </c>
      <c r="W165" s="109"/>
      <c r="X165" s="110">
        <v>46532</v>
      </c>
      <c r="Y165" s="109"/>
      <c r="Z165" s="110">
        <v>46170</v>
      </c>
      <c r="AA165" s="111"/>
      <c r="AB165" s="116">
        <v>46534</v>
      </c>
      <c r="AC165" s="109"/>
      <c r="AD165" s="109"/>
      <c r="AE165" s="117"/>
      <c r="AF165" s="117"/>
      <c r="AG165" s="117"/>
      <c r="AH165" s="117"/>
    </row>
    <row r="166" spans="1:34" ht="12.75">
      <c r="A166" s="109" t="s">
        <v>205</v>
      </c>
      <c r="B166" s="109" t="s">
        <v>202</v>
      </c>
      <c r="C166" s="110" t="s">
        <v>2428</v>
      </c>
      <c r="D166" s="109"/>
      <c r="E166" s="110" t="s">
        <v>2429</v>
      </c>
      <c r="F166" s="112" t="s">
        <v>2430</v>
      </c>
      <c r="G166" s="112" t="s">
        <v>203</v>
      </c>
      <c r="H166" s="109" t="s">
        <v>2097</v>
      </c>
      <c r="I166" s="109"/>
      <c r="J166" s="109" t="s">
        <v>2098</v>
      </c>
      <c r="K166" s="114" t="s">
        <v>212</v>
      </c>
      <c r="L166" s="114" t="s">
        <v>209</v>
      </c>
      <c r="M166" s="114" t="s">
        <v>210</v>
      </c>
      <c r="N166" s="114" t="s">
        <v>211</v>
      </c>
      <c r="O166" s="112" t="s">
        <v>1588</v>
      </c>
      <c r="P166" s="114" t="s">
        <v>16</v>
      </c>
      <c r="Q166" s="109" t="s">
        <v>2100</v>
      </c>
      <c r="R166" s="110">
        <v>46145</v>
      </c>
      <c r="S166" s="109" t="s">
        <v>32</v>
      </c>
      <c r="T166" s="118" t="s">
        <v>204</v>
      </c>
      <c r="U166" s="109" t="s">
        <v>72</v>
      </c>
      <c r="V166" s="109" t="s">
        <v>2101</v>
      </c>
      <c r="W166" s="109"/>
      <c r="X166" s="110">
        <v>46468</v>
      </c>
      <c r="Y166" s="109"/>
      <c r="Z166" s="110">
        <v>45416</v>
      </c>
      <c r="AA166" s="111"/>
      <c r="AB166" s="116">
        <v>46145</v>
      </c>
      <c r="AC166" s="109"/>
      <c r="AD166" s="109"/>
      <c r="AE166" s="117"/>
      <c r="AF166" s="117"/>
      <c r="AG166" s="117"/>
      <c r="AH166" s="117"/>
    </row>
    <row r="167" spans="1:34">
      <c r="A167" s="109" t="s">
        <v>1376</v>
      </c>
      <c r="B167" s="109" t="s">
        <v>1374</v>
      </c>
      <c r="C167" s="110" t="s">
        <v>2431</v>
      </c>
      <c r="D167" s="109"/>
      <c r="E167" s="111"/>
      <c r="F167" s="112" t="s">
        <v>1377</v>
      </c>
      <c r="G167" s="112" t="s">
        <v>1375</v>
      </c>
      <c r="H167" s="109" t="s">
        <v>2097</v>
      </c>
      <c r="I167" s="109"/>
      <c r="J167" s="109" t="s">
        <v>2110</v>
      </c>
      <c r="K167" s="114" t="s">
        <v>1381</v>
      </c>
      <c r="L167" s="114" t="s">
        <v>1380</v>
      </c>
      <c r="M167" s="114" t="s">
        <v>39</v>
      </c>
      <c r="N167" s="114" t="s">
        <v>335</v>
      </c>
      <c r="O167" s="112" t="s">
        <v>1588</v>
      </c>
      <c r="P167" s="114" t="s">
        <v>16</v>
      </c>
      <c r="Q167" s="109" t="s">
        <v>2100</v>
      </c>
      <c r="R167" s="110">
        <v>46553</v>
      </c>
      <c r="S167" s="109" t="s">
        <v>2</v>
      </c>
      <c r="T167" s="115">
        <v>1.8333333333333333</v>
      </c>
      <c r="U167" s="109" t="s">
        <v>72</v>
      </c>
      <c r="V167" s="109" t="s">
        <v>2101</v>
      </c>
      <c r="W167" s="109"/>
      <c r="X167" s="110">
        <v>46552</v>
      </c>
      <c r="Y167" s="109"/>
      <c r="Z167" s="110">
        <v>46189</v>
      </c>
      <c r="AA167" s="111"/>
      <c r="AB167" s="124">
        <v>46553</v>
      </c>
      <c r="AC167" s="109"/>
      <c r="AD167" s="109"/>
      <c r="AE167" s="117"/>
      <c r="AF167" s="117"/>
      <c r="AG167" s="117"/>
      <c r="AH167" s="117"/>
    </row>
    <row r="168" spans="1:34">
      <c r="A168" s="125"/>
      <c r="B168" s="125"/>
      <c r="C168" s="126"/>
      <c r="D168" s="125"/>
      <c r="E168" s="126"/>
      <c r="F168" s="126"/>
      <c r="G168" s="126"/>
      <c r="H168" s="125"/>
      <c r="I168" s="121"/>
      <c r="J168" s="125"/>
      <c r="K168" s="125"/>
      <c r="L168" s="125"/>
      <c r="M168" s="125"/>
      <c r="N168" s="125"/>
      <c r="O168" s="125"/>
      <c r="P168" s="125"/>
      <c r="Q168" s="121"/>
      <c r="R168" s="126"/>
      <c r="S168" s="125"/>
      <c r="T168" s="127"/>
      <c r="U168" s="125"/>
      <c r="V168" s="125"/>
      <c r="W168" s="125"/>
      <c r="X168" s="128"/>
      <c r="Y168" s="125"/>
      <c r="Z168" s="126"/>
      <c r="AA168" s="126"/>
      <c r="AB168" s="126"/>
      <c r="AC168" s="125"/>
      <c r="AD168" s="125"/>
      <c r="AE168" s="125"/>
      <c r="AF168" s="125"/>
      <c r="AG168" s="125"/>
      <c r="AH168" s="125"/>
    </row>
    <row r="169" spans="1:34">
      <c r="A169" s="125"/>
      <c r="B169" s="125"/>
      <c r="C169" s="129"/>
      <c r="D169" s="125"/>
      <c r="E169" s="129"/>
      <c r="F169" s="129"/>
      <c r="G169" s="129"/>
      <c r="H169" s="125"/>
      <c r="I169" s="121"/>
      <c r="J169" s="125"/>
      <c r="K169" s="125"/>
      <c r="L169" s="125"/>
      <c r="M169" s="125"/>
      <c r="N169" s="125"/>
      <c r="O169" s="125"/>
      <c r="P169" s="125"/>
      <c r="Q169" s="121"/>
      <c r="R169" s="129"/>
      <c r="S169" s="125"/>
      <c r="T169" s="127"/>
      <c r="U169" s="125"/>
      <c r="V169" s="125"/>
      <c r="W169" s="125"/>
      <c r="X169" s="130"/>
      <c r="Y169" s="125"/>
      <c r="Z169" s="129"/>
      <c r="AA169" s="129"/>
      <c r="AB169" s="129"/>
      <c r="AC169" s="125"/>
      <c r="AD169" s="125"/>
      <c r="AE169" s="125"/>
      <c r="AF169" s="125"/>
      <c r="AG169" s="125"/>
      <c r="AH169" s="125"/>
    </row>
    <row r="170" spans="1:34">
      <c r="A170" s="125"/>
      <c r="B170" s="125"/>
      <c r="C170" s="129"/>
      <c r="D170" s="125"/>
      <c r="E170" s="129"/>
      <c r="F170" s="129"/>
      <c r="G170" s="129"/>
      <c r="H170" s="125"/>
      <c r="I170" s="121"/>
      <c r="J170" s="125"/>
      <c r="K170" s="125"/>
      <c r="L170" s="125"/>
      <c r="M170" s="125"/>
      <c r="N170" s="125"/>
      <c r="O170" s="125"/>
      <c r="P170" s="125"/>
      <c r="Q170" s="121"/>
      <c r="R170" s="129"/>
      <c r="S170" s="125"/>
      <c r="T170" s="127"/>
      <c r="U170" s="125"/>
      <c r="V170" s="125"/>
      <c r="W170" s="125"/>
      <c r="X170" s="130"/>
      <c r="Y170" s="125"/>
      <c r="Z170" s="129"/>
      <c r="AA170" s="129"/>
      <c r="AB170" s="129"/>
      <c r="AC170" s="125"/>
      <c r="AD170" s="125"/>
      <c r="AE170" s="125"/>
      <c r="AF170" s="125"/>
      <c r="AG170" s="125"/>
      <c r="AH170" s="125"/>
    </row>
    <row r="171" spans="1:34">
      <c r="A171" s="125"/>
      <c r="B171" s="125"/>
      <c r="C171" s="129"/>
      <c r="D171" s="125"/>
      <c r="E171" s="129"/>
      <c r="F171" s="129"/>
      <c r="G171" s="129"/>
      <c r="H171" s="125"/>
      <c r="I171" s="121"/>
      <c r="J171" s="125"/>
      <c r="K171" s="125"/>
      <c r="L171" s="125"/>
      <c r="M171" s="125"/>
      <c r="N171" s="125"/>
      <c r="O171" s="125"/>
      <c r="P171" s="125"/>
      <c r="Q171" s="121"/>
      <c r="R171" s="129"/>
      <c r="S171" s="125"/>
      <c r="T171" s="127"/>
      <c r="U171" s="125"/>
      <c r="V171" s="125"/>
      <c r="W171" s="125"/>
      <c r="X171" s="130"/>
      <c r="Y171" s="125"/>
      <c r="Z171" s="129"/>
      <c r="AA171" s="129"/>
      <c r="AB171" s="129"/>
      <c r="AC171" s="125"/>
      <c r="AD171" s="125"/>
      <c r="AE171" s="125"/>
      <c r="AF171" s="125"/>
      <c r="AG171" s="125"/>
      <c r="AH171" s="125"/>
    </row>
    <row r="172" spans="1:34">
      <c r="A172" s="125"/>
      <c r="B172" s="125"/>
      <c r="C172" s="129"/>
      <c r="D172" s="125"/>
      <c r="E172" s="129"/>
      <c r="F172" s="129"/>
      <c r="G172" s="129"/>
      <c r="H172" s="125"/>
      <c r="I172" s="121"/>
      <c r="J172" s="125"/>
      <c r="K172" s="125"/>
      <c r="L172" s="125"/>
      <c r="M172" s="125"/>
      <c r="N172" s="125"/>
      <c r="O172" s="125"/>
      <c r="P172" s="125"/>
      <c r="Q172" s="121"/>
      <c r="R172" s="129"/>
      <c r="S172" s="125"/>
      <c r="T172" s="127"/>
      <c r="U172" s="125"/>
      <c r="V172" s="125"/>
      <c r="W172" s="125"/>
      <c r="X172" s="130"/>
      <c r="Y172" s="125"/>
      <c r="Z172" s="129"/>
      <c r="AA172" s="129"/>
      <c r="AB172" s="129"/>
      <c r="AC172" s="125"/>
      <c r="AD172" s="125"/>
      <c r="AE172" s="125"/>
      <c r="AF172" s="125"/>
      <c r="AG172" s="125"/>
      <c r="AH172" s="125"/>
    </row>
    <row r="173" spans="1:34">
      <c r="A173" s="125"/>
      <c r="B173" s="125"/>
      <c r="C173" s="129"/>
      <c r="D173" s="125"/>
      <c r="E173" s="129"/>
      <c r="F173" s="129"/>
      <c r="G173" s="129"/>
      <c r="H173" s="125"/>
      <c r="I173" s="121"/>
      <c r="J173" s="125"/>
      <c r="K173" s="125"/>
      <c r="L173" s="125"/>
      <c r="M173" s="125"/>
      <c r="N173" s="125"/>
      <c r="O173" s="125"/>
      <c r="P173" s="125"/>
      <c r="Q173" s="121"/>
      <c r="R173" s="129"/>
      <c r="S173" s="125"/>
      <c r="T173" s="127"/>
      <c r="U173" s="125"/>
      <c r="V173" s="125"/>
      <c r="W173" s="125"/>
      <c r="X173" s="130"/>
      <c r="Y173" s="125"/>
      <c r="Z173" s="129"/>
      <c r="AA173" s="129"/>
      <c r="AB173" s="129"/>
      <c r="AC173" s="125"/>
      <c r="AD173" s="125"/>
      <c r="AE173" s="125"/>
      <c r="AF173" s="125"/>
      <c r="AG173" s="125"/>
      <c r="AH173" s="125"/>
    </row>
    <row r="174" spans="1:34" ht="12.75">
      <c r="A174" s="121"/>
      <c r="B174" s="121"/>
      <c r="C174" s="129"/>
      <c r="D174" s="121"/>
      <c r="E174" s="129"/>
      <c r="F174" s="129"/>
      <c r="G174" s="129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9"/>
      <c r="S174" s="121"/>
      <c r="T174" s="131"/>
      <c r="U174" s="121"/>
      <c r="V174" s="121"/>
      <c r="W174" s="121"/>
      <c r="X174" s="130"/>
      <c r="Y174" s="121"/>
      <c r="Z174" s="129"/>
      <c r="AA174" s="129"/>
      <c r="AB174" s="129"/>
      <c r="AC174" s="121"/>
      <c r="AD174" s="121"/>
      <c r="AE174" s="121"/>
      <c r="AF174" s="121"/>
      <c r="AG174" s="121"/>
      <c r="AH174" s="121"/>
    </row>
    <row r="175" spans="1:34" ht="12.75">
      <c r="A175" s="121"/>
      <c r="B175" s="121"/>
      <c r="C175" s="129"/>
      <c r="D175" s="121"/>
      <c r="E175" s="129"/>
      <c r="F175" s="129"/>
      <c r="G175" s="129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9"/>
      <c r="S175" s="121"/>
      <c r="T175" s="131"/>
      <c r="U175" s="121"/>
      <c r="V175" s="121"/>
      <c r="W175" s="121"/>
      <c r="X175" s="130"/>
      <c r="Y175" s="121"/>
      <c r="Z175" s="129"/>
      <c r="AA175" s="129"/>
      <c r="AB175" s="129"/>
      <c r="AC175" s="121"/>
      <c r="AD175" s="121"/>
      <c r="AE175" s="121"/>
      <c r="AF175" s="121"/>
      <c r="AG175" s="121"/>
      <c r="AH175" s="121"/>
    </row>
    <row r="176" spans="1:34" ht="12.75">
      <c r="A176" s="121"/>
      <c r="B176" s="121"/>
      <c r="C176" s="129"/>
      <c r="D176" s="121"/>
      <c r="E176" s="129"/>
      <c r="F176" s="129"/>
      <c r="G176" s="129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9"/>
      <c r="S176" s="121"/>
      <c r="T176" s="131"/>
      <c r="U176" s="121"/>
      <c r="V176" s="121"/>
      <c r="W176" s="121"/>
      <c r="X176" s="130"/>
      <c r="Y176" s="121"/>
      <c r="Z176" s="129"/>
      <c r="AA176" s="129"/>
      <c r="AB176" s="129"/>
      <c r="AC176" s="121"/>
      <c r="AD176" s="121"/>
      <c r="AE176" s="121"/>
      <c r="AF176" s="121"/>
      <c r="AG176" s="121"/>
      <c r="AH176" s="121"/>
    </row>
    <row r="177" spans="1:34" ht="12.75">
      <c r="A177" s="121"/>
      <c r="B177" s="121"/>
      <c r="C177" s="129"/>
      <c r="D177" s="121"/>
      <c r="E177" s="129"/>
      <c r="F177" s="129"/>
      <c r="G177" s="129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9"/>
      <c r="S177" s="121"/>
      <c r="T177" s="131"/>
      <c r="U177" s="121"/>
      <c r="V177" s="121"/>
      <c r="W177" s="121"/>
      <c r="X177" s="130"/>
      <c r="Y177" s="121"/>
      <c r="Z177" s="129"/>
      <c r="AA177" s="129"/>
      <c r="AB177" s="129"/>
      <c r="AC177" s="121"/>
      <c r="AD177" s="121"/>
      <c r="AE177" s="121"/>
      <c r="AF177" s="121"/>
      <c r="AG177" s="121"/>
      <c r="AH177" s="121"/>
    </row>
    <row r="178" spans="1:34" ht="12.75">
      <c r="A178" s="121"/>
      <c r="B178" s="121"/>
      <c r="C178" s="129"/>
      <c r="D178" s="121"/>
      <c r="E178" s="129"/>
      <c r="F178" s="129"/>
      <c r="G178" s="129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9"/>
      <c r="S178" s="121"/>
      <c r="T178" s="131"/>
      <c r="U178" s="121"/>
      <c r="V178" s="121"/>
      <c r="W178" s="121"/>
      <c r="X178" s="130"/>
      <c r="Y178" s="121"/>
      <c r="Z178" s="129"/>
      <c r="AA178" s="129"/>
      <c r="AB178" s="129"/>
      <c r="AC178" s="121"/>
      <c r="AD178" s="121"/>
      <c r="AE178" s="121"/>
      <c r="AF178" s="121"/>
      <c r="AG178" s="121"/>
      <c r="AH178" s="121"/>
    </row>
    <row r="179" spans="1:34" ht="12.75">
      <c r="A179" s="121"/>
      <c r="B179" s="121"/>
      <c r="C179" s="129"/>
      <c r="D179" s="121"/>
      <c r="E179" s="129"/>
      <c r="F179" s="129"/>
      <c r="G179" s="129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9"/>
      <c r="S179" s="121"/>
      <c r="T179" s="131"/>
      <c r="U179" s="121"/>
      <c r="V179" s="121"/>
      <c r="W179" s="121"/>
      <c r="X179" s="130"/>
      <c r="Y179" s="121"/>
      <c r="Z179" s="129"/>
      <c r="AA179" s="129"/>
      <c r="AB179" s="129"/>
      <c r="AC179" s="121"/>
      <c r="AD179" s="121"/>
      <c r="AE179" s="121"/>
      <c r="AF179" s="121"/>
      <c r="AG179" s="121"/>
      <c r="AH179" s="121"/>
    </row>
    <row r="180" spans="1:34" ht="12.75">
      <c r="A180" s="121"/>
      <c r="B180" s="121"/>
      <c r="C180" s="129"/>
      <c r="D180" s="121"/>
      <c r="E180" s="129"/>
      <c r="F180" s="129"/>
      <c r="G180" s="129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9"/>
      <c r="S180" s="121"/>
      <c r="T180" s="131"/>
      <c r="U180" s="121"/>
      <c r="V180" s="121"/>
      <c r="W180" s="121"/>
      <c r="X180" s="130"/>
      <c r="Y180" s="121"/>
      <c r="Z180" s="129"/>
      <c r="AA180" s="129"/>
      <c r="AB180" s="129"/>
      <c r="AC180" s="121"/>
      <c r="AD180" s="121"/>
      <c r="AE180" s="121"/>
      <c r="AF180" s="121"/>
      <c r="AG180" s="121"/>
      <c r="AH180" s="121"/>
    </row>
    <row r="181" spans="1:34" ht="12.75">
      <c r="A181" s="121"/>
      <c r="B181" s="121"/>
      <c r="C181" s="129"/>
      <c r="D181" s="121"/>
      <c r="E181" s="129"/>
      <c r="F181" s="129"/>
      <c r="G181" s="129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9"/>
      <c r="S181" s="121"/>
      <c r="T181" s="131"/>
      <c r="U181" s="121"/>
      <c r="V181" s="121"/>
      <c r="W181" s="121"/>
      <c r="X181" s="130"/>
      <c r="Y181" s="121"/>
      <c r="Z181" s="129"/>
      <c r="AA181" s="129"/>
      <c r="AB181" s="129"/>
      <c r="AC181" s="121"/>
      <c r="AD181" s="121"/>
      <c r="AE181" s="121"/>
      <c r="AF181" s="121"/>
      <c r="AG181" s="121"/>
      <c r="AH181" s="121"/>
    </row>
    <row r="182" spans="1:34" ht="12.75">
      <c r="A182" s="121"/>
      <c r="B182" s="121"/>
      <c r="C182" s="129"/>
      <c r="D182" s="121"/>
      <c r="E182" s="129"/>
      <c r="F182" s="129"/>
      <c r="G182" s="129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9"/>
      <c r="S182" s="121"/>
      <c r="T182" s="131"/>
      <c r="U182" s="121"/>
      <c r="V182" s="121"/>
      <c r="W182" s="121"/>
      <c r="X182" s="130"/>
      <c r="Y182" s="121"/>
      <c r="Z182" s="129"/>
      <c r="AA182" s="129"/>
      <c r="AB182" s="129"/>
      <c r="AC182" s="121"/>
      <c r="AD182" s="121"/>
      <c r="AE182" s="121"/>
      <c r="AF182" s="121"/>
      <c r="AG182" s="121"/>
      <c r="AH182" s="121"/>
    </row>
    <row r="183" spans="1:34" ht="12.75">
      <c r="A183" s="121"/>
      <c r="B183" s="121"/>
      <c r="C183" s="129"/>
      <c r="D183" s="121"/>
      <c r="E183" s="129"/>
      <c r="F183" s="129"/>
      <c r="G183" s="129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9"/>
      <c r="S183" s="121"/>
      <c r="T183" s="131"/>
      <c r="U183" s="121"/>
      <c r="V183" s="121"/>
      <c r="W183" s="121"/>
      <c r="X183" s="130"/>
      <c r="Y183" s="121"/>
      <c r="Z183" s="129"/>
      <c r="AA183" s="129"/>
      <c r="AB183" s="129"/>
      <c r="AC183" s="121"/>
      <c r="AD183" s="121"/>
      <c r="AE183" s="121"/>
      <c r="AF183" s="121"/>
      <c r="AG183" s="121"/>
      <c r="AH183" s="121"/>
    </row>
    <row r="184" spans="1:34" ht="12.75">
      <c r="A184" s="121"/>
      <c r="B184" s="121"/>
      <c r="C184" s="129"/>
      <c r="D184" s="121"/>
      <c r="E184" s="129"/>
      <c r="F184" s="129"/>
      <c r="G184" s="129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9"/>
      <c r="S184" s="121"/>
      <c r="T184" s="131"/>
      <c r="U184" s="121"/>
      <c r="V184" s="121"/>
      <c r="W184" s="121"/>
      <c r="X184" s="130"/>
      <c r="Y184" s="121"/>
      <c r="Z184" s="129"/>
      <c r="AA184" s="129"/>
      <c r="AB184" s="129"/>
      <c r="AC184" s="121"/>
      <c r="AD184" s="121"/>
      <c r="AE184" s="121"/>
      <c r="AF184" s="121"/>
      <c r="AG184" s="121"/>
      <c r="AH184" s="121"/>
    </row>
    <row r="185" spans="1:34" ht="12.75">
      <c r="A185" s="121"/>
      <c r="B185" s="121"/>
      <c r="C185" s="129"/>
      <c r="D185" s="121"/>
      <c r="E185" s="129"/>
      <c r="F185" s="129"/>
      <c r="G185" s="129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9"/>
      <c r="S185" s="121"/>
      <c r="T185" s="131"/>
      <c r="U185" s="121"/>
      <c r="V185" s="121"/>
      <c r="W185" s="121"/>
      <c r="X185" s="130"/>
      <c r="Y185" s="121"/>
      <c r="Z185" s="129"/>
      <c r="AA185" s="129"/>
      <c r="AB185" s="129"/>
      <c r="AC185" s="121"/>
      <c r="AD185" s="121"/>
      <c r="AE185" s="121"/>
      <c r="AF185" s="121"/>
      <c r="AG185" s="121"/>
      <c r="AH185" s="121"/>
    </row>
    <row r="186" spans="1:34" ht="12.75">
      <c r="A186" s="121"/>
      <c r="B186" s="121"/>
      <c r="C186" s="129"/>
      <c r="D186" s="121"/>
      <c r="E186" s="129"/>
      <c r="F186" s="129"/>
      <c r="G186" s="129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9"/>
      <c r="S186" s="121"/>
      <c r="T186" s="131"/>
      <c r="U186" s="121"/>
      <c r="V186" s="121"/>
      <c r="W186" s="121"/>
      <c r="X186" s="130"/>
      <c r="Y186" s="121"/>
      <c r="Z186" s="129"/>
      <c r="AA186" s="129"/>
      <c r="AB186" s="129"/>
      <c r="AC186" s="121"/>
      <c r="AD186" s="121"/>
      <c r="AE186" s="121"/>
      <c r="AF186" s="121"/>
      <c r="AG186" s="121"/>
      <c r="AH186" s="121"/>
    </row>
    <row r="187" spans="1:34" ht="12.75">
      <c r="A187" s="121"/>
      <c r="B187" s="121"/>
      <c r="C187" s="129"/>
      <c r="D187" s="121"/>
      <c r="E187" s="129"/>
      <c r="F187" s="129"/>
      <c r="G187" s="129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9"/>
      <c r="S187" s="121"/>
      <c r="T187" s="131"/>
      <c r="U187" s="121"/>
      <c r="V187" s="121"/>
      <c r="W187" s="121"/>
      <c r="X187" s="130"/>
      <c r="Y187" s="121"/>
      <c r="Z187" s="129"/>
      <c r="AA187" s="129"/>
      <c r="AB187" s="129"/>
      <c r="AC187" s="121"/>
      <c r="AD187" s="121"/>
      <c r="AE187" s="121"/>
      <c r="AF187" s="121"/>
      <c r="AG187" s="121"/>
      <c r="AH187" s="121"/>
    </row>
    <row r="188" spans="1:34" ht="12.75">
      <c r="A188" s="121"/>
      <c r="B188" s="121"/>
      <c r="C188" s="129"/>
      <c r="D188" s="121"/>
      <c r="E188" s="129"/>
      <c r="F188" s="129"/>
      <c r="G188" s="129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9"/>
      <c r="S188" s="121"/>
      <c r="T188" s="131"/>
      <c r="U188" s="121"/>
      <c r="V188" s="121"/>
      <c r="W188" s="121"/>
      <c r="X188" s="130"/>
      <c r="Y188" s="121"/>
      <c r="Z188" s="129"/>
      <c r="AA188" s="129"/>
      <c r="AB188" s="129"/>
      <c r="AC188" s="121"/>
      <c r="AD188" s="121"/>
      <c r="AE188" s="121"/>
      <c r="AF188" s="121"/>
      <c r="AG188" s="121"/>
      <c r="AH188" s="121"/>
    </row>
    <row r="189" spans="1:34" ht="12.75">
      <c r="A189" s="121"/>
      <c r="B189" s="121"/>
      <c r="C189" s="129"/>
      <c r="D189" s="121"/>
      <c r="E189" s="129"/>
      <c r="F189" s="129"/>
      <c r="G189" s="129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9"/>
      <c r="S189" s="121"/>
      <c r="T189" s="131"/>
      <c r="U189" s="121"/>
      <c r="V189" s="121"/>
      <c r="W189" s="121"/>
      <c r="X189" s="130"/>
      <c r="Y189" s="121"/>
      <c r="Z189" s="129"/>
      <c r="AA189" s="129"/>
      <c r="AB189" s="129"/>
      <c r="AC189" s="121"/>
      <c r="AD189" s="121"/>
      <c r="AE189" s="121"/>
      <c r="AF189" s="121"/>
      <c r="AG189" s="121"/>
      <c r="AH189" s="121"/>
    </row>
    <row r="190" spans="1:34" ht="12.75">
      <c r="A190" s="121"/>
      <c r="B190" s="121"/>
      <c r="C190" s="129"/>
      <c r="D190" s="121"/>
      <c r="E190" s="129"/>
      <c r="F190" s="129"/>
      <c r="G190" s="129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9"/>
      <c r="S190" s="121"/>
      <c r="T190" s="131"/>
      <c r="U190" s="121"/>
      <c r="V190" s="121"/>
      <c r="W190" s="121"/>
      <c r="X190" s="130"/>
      <c r="Y190" s="121"/>
      <c r="Z190" s="129"/>
      <c r="AA190" s="129"/>
      <c r="AB190" s="129"/>
      <c r="AC190" s="121"/>
      <c r="AD190" s="121"/>
      <c r="AE190" s="121"/>
      <c r="AF190" s="121"/>
      <c r="AG190" s="121"/>
      <c r="AH190" s="121"/>
    </row>
    <row r="191" spans="1:34" ht="12.75">
      <c r="A191" s="121"/>
      <c r="B191" s="121"/>
      <c r="C191" s="129"/>
      <c r="D191" s="121"/>
      <c r="E191" s="129"/>
      <c r="F191" s="129"/>
      <c r="G191" s="129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9"/>
      <c r="S191" s="121"/>
      <c r="T191" s="131"/>
      <c r="U191" s="121"/>
      <c r="V191" s="121"/>
      <c r="W191" s="121"/>
      <c r="X191" s="130"/>
      <c r="Y191" s="121"/>
      <c r="Z191" s="129"/>
      <c r="AA191" s="129"/>
      <c r="AB191" s="129"/>
      <c r="AC191" s="121"/>
      <c r="AD191" s="121"/>
      <c r="AE191" s="121"/>
      <c r="AF191" s="121"/>
      <c r="AG191" s="121"/>
      <c r="AH191" s="121"/>
    </row>
    <row r="192" spans="1:34" ht="12.75">
      <c r="A192" s="121"/>
      <c r="B192" s="121"/>
      <c r="C192" s="129"/>
      <c r="D192" s="121"/>
      <c r="E192" s="129"/>
      <c r="F192" s="129"/>
      <c r="G192" s="129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9"/>
      <c r="S192" s="121"/>
      <c r="T192" s="131"/>
      <c r="U192" s="121"/>
      <c r="V192" s="121"/>
      <c r="W192" s="121"/>
      <c r="X192" s="130"/>
      <c r="Y192" s="121"/>
      <c r="Z192" s="129"/>
      <c r="AA192" s="129"/>
      <c r="AB192" s="129"/>
      <c r="AC192" s="121"/>
      <c r="AD192" s="121"/>
      <c r="AE192" s="121"/>
      <c r="AF192" s="121"/>
      <c r="AG192" s="121"/>
      <c r="AH192" s="121"/>
    </row>
    <row r="193" spans="1:34" ht="12.75">
      <c r="A193" s="121"/>
      <c r="B193" s="121"/>
      <c r="C193" s="129"/>
      <c r="D193" s="121"/>
      <c r="E193" s="129"/>
      <c r="F193" s="129"/>
      <c r="G193" s="129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9"/>
      <c r="S193" s="121"/>
      <c r="T193" s="131"/>
      <c r="U193" s="121"/>
      <c r="V193" s="121"/>
      <c r="W193" s="121"/>
      <c r="X193" s="130"/>
      <c r="Y193" s="121"/>
      <c r="Z193" s="129"/>
      <c r="AA193" s="129"/>
      <c r="AB193" s="129"/>
      <c r="AC193" s="121"/>
      <c r="AD193" s="121"/>
      <c r="AE193" s="121"/>
      <c r="AF193" s="121"/>
      <c r="AG193" s="121"/>
      <c r="AH193" s="121"/>
    </row>
    <row r="194" spans="1:34" ht="12.75">
      <c r="A194" s="121"/>
      <c r="B194" s="121"/>
      <c r="C194" s="129"/>
      <c r="D194" s="121"/>
      <c r="E194" s="129"/>
      <c r="F194" s="129"/>
      <c r="G194" s="129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9"/>
      <c r="S194" s="121"/>
      <c r="T194" s="131"/>
      <c r="U194" s="121"/>
      <c r="V194" s="121"/>
      <c r="W194" s="121"/>
      <c r="X194" s="130"/>
      <c r="Y194" s="121"/>
      <c r="Z194" s="129"/>
      <c r="AA194" s="129"/>
      <c r="AB194" s="129"/>
      <c r="AC194" s="121"/>
      <c r="AD194" s="121"/>
      <c r="AE194" s="121"/>
      <c r="AF194" s="121"/>
      <c r="AG194" s="121"/>
      <c r="AH194" s="121"/>
    </row>
    <row r="195" spans="1:34" ht="12.75">
      <c r="A195" s="121"/>
      <c r="B195" s="121"/>
      <c r="C195" s="129"/>
      <c r="D195" s="121"/>
      <c r="E195" s="129"/>
      <c r="F195" s="129"/>
      <c r="G195" s="129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9"/>
      <c r="S195" s="121"/>
      <c r="T195" s="131"/>
      <c r="U195" s="121"/>
      <c r="V195" s="121"/>
      <c r="W195" s="121"/>
      <c r="X195" s="130"/>
      <c r="Y195" s="121"/>
      <c r="Z195" s="129"/>
      <c r="AA195" s="129"/>
      <c r="AB195" s="129"/>
      <c r="AC195" s="121"/>
      <c r="AD195" s="121"/>
      <c r="AE195" s="121"/>
      <c r="AF195" s="121"/>
      <c r="AG195" s="121"/>
      <c r="AH195" s="121"/>
    </row>
    <row r="196" spans="1:34" ht="12.75">
      <c r="A196" s="121"/>
      <c r="B196" s="121"/>
      <c r="C196" s="129"/>
      <c r="D196" s="121"/>
      <c r="E196" s="129"/>
      <c r="F196" s="129"/>
      <c r="G196" s="129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9"/>
      <c r="S196" s="121"/>
      <c r="T196" s="131"/>
      <c r="U196" s="121"/>
      <c r="V196" s="121"/>
      <c r="W196" s="121"/>
      <c r="X196" s="130"/>
      <c r="Y196" s="121"/>
      <c r="Z196" s="129"/>
      <c r="AA196" s="129"/>
      <c r="AB196" s="129"/>
      <c r="AC196" s="121"/>
      <c r="AD196" s="121"/>
      <c r="AE196" s="121"/>
      <c r="AF196" s="121"/>
      <c r="AG196" s="121"/>
      <c r="AH196" s="121"/>
    </row>
    <row r="197" spans="1:34" ht="12.75">
      <c r="A197" s="121"/>
      <c r="B197" s="121"/>
      <c r="C197" s="129"/>
      <c r="D197" s="121"/>
      <c r="E197" s="129"/>
      <c r="F197" s="129"/>
      <c r="G197" s="129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9"/>
      <c r="S197" s="121"/>
      <c r="T197" s="131"/>
      <c r="U197" s="121"/>
      <c r="V197" s="121"/>
      <c r="W197" s="121"/>
      <c r="X197" s="130"/>
      <c r="Y197" s="121"/>
      <c r="Z197" s="129"/>
      <c r="AA197" s="129"/>
      <c r="AB197" s="129"/>
      <c r="AC197" s="121"/>
      <c r="AD197" s="121"/>
      <c r="AE197" s="121"/>
      <c r="AF197" s="121"/>
      <c r="AG197" s="121"/>
      <c r="AH197" s="121"/>
    </row>
    <row r="198" spans="1:34" ht="12.75">
      <c r="A198" s="121"/>
      <c r="B198" s="121"/>
      <c r="C198" s="129"/>
      <c r="D198" s="121"/>
      <c r="E198" s="129"/>
      <c r="F198" s="129"/>
      <c r="G198" s="129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9"/>
      <c r="S198" s="121"/>
      <c r="T198" s="131"/>
      <c r="U198" s="121"/>
      <c r="V198" s="121"/>
      <c r="W198" s="121"/>
      <c r="X198" s="130"/>
      <c r="Y198" s="121"/>
      <c r="Z198" s="129"/>
      <c r="AA198" s="129"/>
      <c r="AB198" s="129"/>
      <c r="AC198" s="121"/>
      <c r="AD198" s="121"/>
      <c r="AE198" s="121"/>
      <c r="AF198" s="121"/>
      <c r="AG198" s="121"/>
      <c r="AH198" s="121"/>
    </row>
    <row r="199" spans="1:34" ht="12.75">
      <c r="A199" s="121"/>
      <c r="B199" s="121"/>
      <c r="C199" s="129"/>
      <c r="D199" s="121"/>
      <c r="E199" s="129"/>
      <c r="F199" s="129"/>
      <c r="G199" s="129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9"/>
      <c r="S199" s="121"/>
      <c r="T199" s="131"/>
      <c r="U199" s="121"/>
      <c r="V199" s="121"/>
      <c r="W199" s="121"/>
      <c r="X199" s="130"/>
      <c r="Y199" s="121"/>
      <c r="Z199" s="129"/>
      <c r="AA199" s="129"/>
      <c r="AB199" s="129"/>
      <c r="AC199" s="121"/>
      <c r="AD199" s="121"/>
      <c r="AE199" s="121"/>
      <c r="AF199" s="121"/>
      <c r="AG199" s="121"/>
      <c r="AH199" s="121"/>
    </row>
    <row r="200" spans="1:34" ht="12.75">
      <c r="A200" s="121"/>
      <c r="B200" s="121"/>
      <c r="C200" s="129"/>
      <c r="D200" s="121"/>
      <c r="E200" s="129"/>
      <c r="F200" s="129"/>
      <c r="G200" s="129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9"/>
      <c r="S200" s="121"/>
      <c r="T200" s="131"/>
      <c r="U200" s="121"/>
      <c r="V200" s="121"/>
      <c r="W200" s="121"/>
      <c r="X200" s="130"/>
      <c r="Y200" s="121"/>
      <c r="Z200" s="129"/>
      <c r="AA200" s="129"/>
      <c r="AB200" s="129"/>
      <c r="AC200" s="121"/>
      <c r="AD200" s="121"/>
      <c r="AE200" s="121"/>
      <c r="AF200" s="121"/>
      <c r="AG200" s="121"/>
      <c r="AH200" s="121"/>
    </row>
    <row r="201" spans="1:34" ht="12.75">
      <c r="A201" s="121"/>
      <c r="B201" s="121"/>
      <c r="C201" s="129"/>
      <c r="D201" s="121"/>
      <c r="E201" s="129"/>
      <c r="F201" s="129"/>
      <c r="G201" s="129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9"/>
      <c r="S201" s="121"/>
      <c r="T201" s="131"/>
      <c r="U201" s="121"/>
      <c r="V201" s="121"/>
      <c r="W201" s="121"/>
      <c r="X201" s="130"/>
      <c r="Y201" s="121"/>
      <c r="Z201" s="129"/>
      <c r="AA201" s="129"/>
      <c r="AB201" s="129"/>
      <c r="AC201" s="121"/>
      <c r="AD201" s="121"/>
      <c r="AE201" s="121"/>
      <c r="AF201" s="121"/>
      <c r="AG201" s="121"/>
      <c r="AH201" s="121"/>
    </row>
    <row r="202" spans="1:34" ht="12.75">
      <c r="A202" s="121"/>
      <c r="B202" s="121"/>
      <c r="C202" s="129"/>
      <c r="D202" s="121"/>
      <c r="E202" s="129"/>
      <c r="F202" s="129"/>
      <c r="G202" s="129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9"/>
      <c r="S202" s="121"/>
      <c r="T202" s="131"/>
      <c r="U202" s="121"/>
      <c r="V202" s="121"/>
      <c r="W202" s="121"/>
      <c r="X202" s="130"/>
      <c r="Y202" s="121"/>
      <c r="Z202" s="129"/>
      <c r="AA202" s="129"/>
      <c r="AB202" s="129"/>
      <c r="AC202" s="121"/>
      <c r="AD202" s="121"/>
      <c r="AE202" s="121"/>
      <c r="AF202" s="121"/>
      <c r="AG202" s="121"/>
      <c r="AH202" s="121"/>
    </row>
    <row r="203" spans="1:34" ht="12.75">
      <c r="A203" s="121"/>
      <c r="B203" s="121"/>
      <c r="C203" s="129"/>
      <c r="D203" s="121"/>
      <c r="E203" s="129"/>
      <c r="F203" s="129"/>
      <c r="G203" s="129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9"/>
      <c r="S203" s="121"/>
      <c r="T203" s="131"/>
      <c r="U203" s="121"/>
      <c r="V203" s="121"/>
      <c r="W203" s="121"/>
      <c r="X203" s="130"/>
      <c r="Y203" s="121"/>
      <c r="Z203" s="129"/>
      <c r="AA203" s="129"/>
      <c r="AB203" s="129"/>
      <c r="AC203" s="121"/>
      <c r="AD203" s="121"/>
      <c r="AE203" s="121"/>
      <c r="AF203" s="121"/>
      <c r="AG203" s="121"/>
      <c r="AH203" s="121"/>
    </row>
    <row r="204" spans="1:34" ht="12.75">
      <c r="A204" s="121"/>
      <c r="B204" s="121"/>
      <c r="C204" s="129"/>
      <c r="D204" s="121"/>
      <c r="E204" s="129"/>
      <c r="F204" s="129"/>
      <c r="G204" s="129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9"/>
      <c r="S204" s="121"/>
      <c r="T204" s="131"/>
      <c r="U204" s="121"/>
      <c r="V204" s="121"/>
      <c r="W204" s="121"/>
      <c r="X204" s="130"/>
      <c r="Y204" s="121"/>
      <c r="Z204" s="129"/>
      <c r="AA204" s="129"/>
      <c r="AB204" s="129"/>
      <c r="AC204" s="121"/>
      <c r="AD204" s="121"/>
      <c r="AE204" s="121"/>
      <c r="AF204" s="121"/>
      <c r="AG204" s="121"/>
      <c r="AH204" s="121"/>
    </row>
    <row r="205" spans="1:34" ht="12.75">
      <c r="A205" s="121"/>
      <c r="B205" s="121"/>
      <c r="C205" s="129"/>
      <c r="D205" s="121"/>
      <c r="E205" s="129"/>
      <c r="F205" s="129"/>
      <c r="G205" s="129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9"/>
      <c r="S205" s="121"/>
      <c r="T205" s="131"/>
      <c r="U205" s="121"/>
      <c r="V205" s="121"/>
      <c r="W205" s="121"/>
      <c r="X205" s="130"/>
      <c r="Y205" s="121"/>
      <c r="Z205" s="129"/>
      <c r="AA205" s="129"/>
      <c r="AB205" s="129"/>
      <c r="AC205" s="121"/>
      <c r="AD205" s="121"/>
      <c r="AE205" s="121"/>
      <c r="AF205" s="121"/>
      <c r="AG205" s="121"/>
      <c r="AH205" s="121"/>
    </row>
    <row r="206" spans="1:34" ht="12.75">
      <c r="A206" s="121"/>
      <c r="B206" s="121"/>
      <c r="C206" s="129"/>
      <c r="D206" s="121"/>
      <c r="E206" s="129"/>
      <c r="F206" s="129"/>
      <c r="G206" s="129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9"/>
      <c r="S206" s="121"/>
      <c r="T206" s="131"/>
      <c r="U206" s="121"/>
      <c r="V206" s="121"/>
      <c r="W206" s="121"/>
      <c r="X206" s="130"/>
      <c r="Y206" s="121"/>
      <c r="Z206" s="129"/>
      <c r="AA206" s="129"/>
      <c r="AB206" s="129"/>
      <c r="AC206" s="121"/>
      <c r="AD206" s="121"/>
      <c r="AE206" s="121"/>
      <c r="AF206" s="121"/>
      <c r="AG206" s="121"/>
      <c r="AH206" s="121"/>
    </row>
    <row r="207" spans="1:34" ht="12.75">
      <c r="A207" s="121"/>
      <c r="B207" s="121"/>
      <c r="C207" s="129"/>
      <c r="D207" s="121"/>
      <c r="E207" s="129"/>
      <c r="F207" s="129"/>
      <c r="G207" s="129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9"/>
      <c r="S207" s="121"/>
      <c r="T207" s="131"/>
      <c r="U207" s="121"/>
      <c r="V207" s="121"/>
      <c r="W207" s="121"/>
      <c r="X207" s="130"/>
      <c r="Y207" s="121"/>
      <c r="Z207" s="129"/>
      <c r="AA207" s="129"/>
      <c r="AB207" s="129"/>
      <c r="AC207" s="121"/>
      <c r="AD207" s="121"/>
      <c r="AE207" s="121"/>
      <c r="AF207" s="121"/>
      <c r="AG207" s="121"/>
      <c r="AH207" s="121"/>
    </row>
    <row r="208" spans="1:34" ht="12.75">
      <c r="A208" s="121"/>
      <c r="B208" s="121"/>
      <c r="C208" s="129"/>
      <c r="D208" s="121"/>
      <c r="E208" s="129"/>
      <c r="F208" s="129"/>
      <c r="G208" s="129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9"/>
      <c r="S208" s="121"/>
      <c r="T208" s="131"/>
      <c r="U208" s="121"/>
      <c r="V208" s="121"/>
      <c r="W208" s="121"/>
      <c r="X208" s="130"/>
      <c r="Y208" s="121"/>
      <c r="Z208" s="129"/>
      <c r="AA208" s="129"/>
      <c r="AB208" s="129"/>
      <c r="AC208" s="121"/>
      <c r="AD208" s="121"/>
      <c r="AE208" s="121"/>
      <c r="AF208" s="121"/>
      <c r="AG208" s="121"/>
      <c r="AH208" s="121"/>
    </row>
    <row r="209" spans="1:34" ht="12.75">
      <c r="A209" s="121"/>
      <c r="B209" s="121"/>
      <c r="C209" s="129"/>
      <c r="D209" s="121"/>
      <c r="E209" s="129"/>
      <c r="F209" s="129"/>
      <c r="G209" s="129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9"/>
      <c r="S209" s="121"/>
      <c r="T209" s="131"/>
      <c r="U209" s="121"/>
      <c r="V209" s="121"/>
      <c r="W209" s="121"/>
      <c r="X209" s="130"/>
      <c r="Y209" s="121"/>
      <c r="Z209" s="129"/>
      <c r="AA209" s="129"/>
      <c r="AB209" s="129"/>
      <c r="AC209" s="121"/>
      <c r="AD209" s="121"/>
      <c r="AE209" s="121"/>
      <c r="AF209" s="121"/>
      <c r="AG209" s="121"/>
      <c r="AH209" s="121"/>
    </row>
    <row r="210" spans="1:34" ht="12.75">
      <c r="A210" s="121"/>
      <c r="B210" s="121"/>
      <c r="C210" s="129"/>
      <c r="D210" s="121"/>
      <c r="E210" s="129"/>
      <c r="F210" s="129"/>
      <c r="G210" s="129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9"/>
      <c r="S210" s="121"/>
      <c r="T210" s="131"/>
      <c r="U210" s="121"/>
      <c r="V210" s="121"/>
      <c r="W210" s="121"/>
      <c r="X210" s="130"/>
      <c r="Y210" s="121"/>
      <c r="Z210" s="129"/>
      <c r="AA210" s="129"/>
      <c r="AB210" s="129"/>
      <c r="AC210" s="121"/>
      <c r="AD210" s="121"/>
      <c r="AE210" s="121"/>
      <c r="AF210" s="121"/>
      <c r="AG210" s="121"/>
      <c r="AH210" s="121"/>
    </row>
    <row r="211" spans="1:34" ht="12.75">
      <c r="A211" s="121"/>
      <c r="B211" s="121"/>
      <c r="C211" s="129"/>
      <c r="D211" s="121"/>
      <c r="E211" s="129"/>
      <c r="F211" s="129"/>
      <c r="G211" s="129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9"/>
      <c r="S211" s="121"/>
      <c r="T211" s="131"/>
      <c r="U211" s="121"/>
      <c r="V211" s="121"/>
      <c r="W211" s="121"/>
      <c r="X211" s="130"/>
      <c r="Y211" s="121"/>
      <c r="Z211" s="129"/>
      <c r="AA211" s="129"/>
      <c r="AB211" s="129"/>
      <c r="AC211" s="121"/>
      <c r="AD211" s="121"/>
      <c r="AE211" s="121"/>
      <c r="AF211" s="121"/>
      <c r="AG211" s="121"/>
      <c r="AH211" s="121"/>
    </row>
    <row r="212" spans="1:34" ht="12.75">
      <c r="A212" s="121"/>
      <c r="B212" s="121"/>
      <c r="C212" s="129"/>
      <c r="D212" s="121"/>
      <c r="E212" s="129"/>
      <c r="F212" s="129"/>
      <c r="G212" s="129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9"/>
      <c r="S212" s="121"/>
      <c r="T212" s="131"/>
      <c r="U212" s="121"/>
      <c r="V212" s="121"/>
      <c r="W212" s="121"/>
      <c r="X212" s="130"/>
      <c r="Y212" s="121"/>
      <c r="Z212" s="129"/>
      <c r="AA212" s="129"/>
      <c r="AB212" s="129"/>
      <c r="AC212" s="121"/>
      <c r="AD212" s="121"/>
      <c r="AE212" s="121"/>
      <c r="AF212" s="121"/>
      <c r="AG212" s="121"/>
      <c r="AH212" s="121"/>
    </row>
    <row r="213" spans="1:34" ht="12.75">
      <c r="A213" s="121"/>
      <c r="B213" s="121"/>
      <c r="C213" s="129"/>
      <c r="D213" s="121"/>
      <c r="E213" s="129"/>
      <c r="F213" s="129"/>
      <c r="G213" s="129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9"/>
      <c r="S213" s="121"/>
      <c r="T213" s="131"/>
      <c r="U213" s="121"/>
      <c r="V213" s="121"/>
      <c r="W213" s="121"/>
      <c r="X213" s="130"/>
      <c r="Y213" s="121"/>
      <c r="Z213" s="129"/>
      <c r="AA213" s="129"/>
      <c r="AB213" s="129"/>
      <c r="AC213" s="121"/>
      <c r="AD213" s="121"/>
      <c r="AE213" s="121"/>
      <c r="AF213" s="121"/>
      <c r="AG213" s="121"/>
      <c r="AH213" s="121"/>
    </row>
    <row r="214" spans="1:34" ht="12.75">
      <c r="A214" s="121"/>
      <c r="B214" s="121"/>
      <c r="C214" s="129"/>
      <c r="D214" s="121"/>
      <c r="E214" s="129"/>
      <c r="F214" s="129"/>
      <c r="G214" s="129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9"/>
      <c r="S214" s="121"/>
      <c r="T214" s="131"/>
      <c r="U214" s="121"/>
      <c r="V214" s="121"/>
      <c r="W214" s="121"/>
      <c r="X214" s="130"/>
      <c r="Y214" s="121"/>
      <c r="Z214" s="129"/>
      <c r="AA214" s="129"/>
      <c r="AB214" s="129"/>
      <c r="AC214" s="121"/>
      <c r="AD214" s="121"/>
      <c r="AE214" s="121"/>
      <c r="AF214" s="121"/>
      <c r="AG214" s="121"/>
      <c r="AH214" s="121"/>
    </row>
    <row r="215" spans="1:34" ht="12.75">
      <c r="A215" s="121"/>
      <c r="B215" s="121"/>
      <c r="C215" s="129"/>
      <c r="D215" s="121"/>
      <c r="E215" s="129"/>
      <c r="F215" s="129"/>
      <c r="G215" s="129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9"/>
      <c r="S215" s="121"/>
      <c r="T215" s="131"/>
      <c r="U215" s="121"/>
      <c r="V215" s="121"/>
      <c r="W215" s="121"/>
      <c r="X215" s="130"/>
      <c r="Y215" s="121"/>
      <c r="Z215" s="129"/>
      <c r="AA215" s="129"/>
      <c r="AB215" s="129"/>
      <c r="AC215" s="121"/>
      <c r="AD215" s="121"/>
      <c r="AE215" s="121"/>
      <c r="AF215" s="121"/>
      <c r="AG215" s="121"/>
      <c r="AH215" s="121"/>
    </row>
    <row r="216" spans="1:34" ht="12.75">
      <c r="A216" s="121"/>
      <c r="B216" s="121"/>
      <c r="C216" s="129"/>
      <c r="D216" s="121"/>
      <c r="E216" s="129"/>
      <c r="F216" s="129"/>
      <c r="G216" s="129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9"/>
      <c r="S216" s="121"/>
      <c r="T216" s="131"/>
      <c r="U216" s="121"/>
      <c r="V216" s="121"/>
      <c r="W216" s="121"/>
      <c r="X216" s="130"/>
      <c r="Y216" s="121"/>
      <c r="Z216" s="129"/>
      <c r="AA216" s="129"/>
      <c r="AB216" s="129"/>
      <c r="AC216" s="121"/>
      <c r="AD216" s="121"/>
      <c r="AE216" s="121"/>
      <c r="AF216" s="121"/>
      <c r="AG216" s="121"/>
      <c r="AH216" s="121"/>
    </row>
    <row r="217" spans="1:34" ht="12.75">
      <c r="A217" s="121"/>
      <c r="B217" s="121"/>
      <c r="C217" s="129"/>
      <c r="D217" s="121"/>
      <c r="E217" s="129"/>
      <c r="F217" s="129"/>
      <c r="G217" s="129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9"/>
      <c r="S217" s="121"/>
      <c r="T217" s="131"/>
      <c r="U217" s="121"/>
      <c r="V217" s="121"/>
      <c r="W217" s="121"/>
      <c r="X217" s="130"/>
      <c r="Y217" s="121"/>
      <c r="Z217" s="129"/>
      <c r="AA217" s="129"/>
      <c r="AB217" s="129"/>
      <c r="AC217" s="121"/>
      <c r="AD217" s="121"/>
      <c r="AE217" s="121"/>
      <c r="AF217" s="121"/>
      <c r="AG217" s="121"/>
      <c r="AH217" s="121"/>
    </row>
    <row r="218" spans="1:34" ht="12.75">
      <c r="A218" s="121"/>
      <c r="B218" s="121"/>
      <c r="C218" s="129"/>
      <c r="D218" s="121"/>
      <c r="E218" s="129"/>
      <c r="F218" s="129"/>
      <c r="G218" s="129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9"/>
      <c r="S218" s="121"/>
      <c r="T218" s="131"/>
      <c r="U218" s="121"/>
      <c r="V218" s="121"/>
      <c r="W218" s="121"/>
      <c r="X218" s="130"/>
      <c r="Y218" s="121"/>
      <c r="Z218" s="129"/>
      <c r="AA218" s="129"/>
      <c r="AB218" s="129"/>
      <c r="AC218" s="121"/>
      <c r="AD218" s="121"/>
      <c r="AE218" s="121"/>
      <c r="AF218" s="121"/>
      <c r="AG218" s="121"/>
      <c r="AH218" s="121"/>
    </row>
    <row r="219" spans="1:34" ht="12.75">
      <c r="A219" s="121"/>
      <c r="B219" s="121"/>
      <c r="C219" s="129"/>
      <c r="D219" s="121"/>
      <c r="E219" s="129"/>
      <c r="F219" s="129"/>
      <c r="G219" s="129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9"/>
      <c r="S219" s="121"/>
      <c r="T219" s="131"/>
      <c r="U219" s="121"/>
      <c r="V219" s="121"/>
      <c r="W219" s="121"/>
      <c r="X219" s="130"/>
      <c r="Y219" s="121"/>
      <c r="Z219" s="129"/>
      <c r="AA219" s="129"/>
      <c r="AB219" s="129"/>
      <c r="AC219" s="121"/>
      <c r="AD219" s="121"/>
      <c r="AE219" s="121"/>
      <c r="AF219" s="121"/>
      <c r="AG219" s="121"/>
      <c r="AH219" s="121"/>
    </row>
    <row r="220" spans="1:34" ht="12.75">
      <c r="A220" s="121"/>
      <c r="B220" s="121"/>
      <c r="C220" s="129"/>
      <c r="D220" s="121"/>
      <c r="E220" s="129"/>
      <c r="F220" s="129"/>
      <c r="G220" s="129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9"/>
      <c r="S220" s="121"/>
      <c r="T220" s="131"/>
      <c r="U220" s="121"/>
      <c r="V220" s="121"/>
      <c r="W220" s="121"/>
      <c r="X220" s="130"/>
      <c r="Y220" s="121"/>
      <c r="Z220" s="129"/>
      <c r="AA220" s="129"/>
      <c r="AB220" s="129"/>
      <c r="AC220" s="121"/>
      <c r="AD220" s="121"/>
      <c r="AE220" s="121"/>
      <c r="AF220" s="121"/>
      <c r="AG220" s="121"/>
      <c r="AH220" s="121"/>
    </row>
    <row r="221" spans="1:34" ht="12.75">
      <c r="A221" s="121"/>
      <c r="B221" s="121"/>
      <c r="C221" s="129"/>
      <c r="D221" s="121"/>
      <c r="E221" s="129"/>
      <c r="F221" s="129"/>
      <c r="G221" s="129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9"/>
      <c r="S221" s="121"/>
      <c r="T221" s="131"/>
      <c r="U221" s="121"/>
      <c r="V221" s="121"/>
      <c r="W221" s="121"/>
      <c r="X221" s="130"/>
      <c r="Y221" s="121"/>
      <c r="Z221" s="129"/>
      <c r="AA221" s="129"/>
      <c r="AB221" s="129"/>
      <c r="AC221" s="121"/>
      <c r="AD221" s="121"/>
      <c r="AE221" s="121"/>
      <c r="AF221" s="121"/>
      <c r="AG221" s="121"/>
      <c r="AH221" s="121"/>
    </row>
    <row r="222" spans="1:34" ht="12.75">
      <c r="A222" s="121"/>
      <c r="B222" s="121"/>
      <c r="C222" s="129"/>
      <c r="D222" s="121"/>
      <c r="E222" s="129"/>
      <c r="F222" s="129"/>
      <c r="G222" s="129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9"/>
      <c r="S222" s="121"/>
      <c r="T222" s="131"/>
      <c r="U222" s="121"/>
      <c r="V222" s="121"/>
      <c r="W222" s="121"/>
      <c r="X222" s="130"/>
      <c r="Y222" s="121"/>
      <c r="Z222" s="129"/>
      <c r="AA222" s="129"/>
      <c r="AB222" s="129"/>
      <c r="AC222" s="121"/>
      <c r="AD222" s="121"/>
      <c r="AE222" s="121"/>
      <c r="AF222" s="121"/>
      <c r="AG222" s="121"/>
      <c r="AH222" s="121"/>
    </row>
    <row r="223" spans="1:34" ht="12.75">
      <c r="A223" s="121"/>
      <c r="B223" s="121"/>
      <c r="C223" s="129"/>
      <c r="D223" s="121"/>
      <c r="E223" s="129"/>
      <c r="F223" s="129"/>
      <c r="G223" s="129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9"/>
      <c r="S223" s="121"/>
      <c r="T223" s="131"/>
      <c r="U223" s="121"/>
      <c r="V223" s="121"/>
      <c r="W223" s="121"/>
      <c r="X223" s="130"/>
      <c r="Y223" s="121"/>
      <c r="Z223" s="129"/>
      <c r="AA223" s="129"/>
      <c r="AB223" s="129"/>
      <c r="AC223" s="121"/>
      <c r="AD223" s="121"/>
      <c r="AE223" s="121"/>
      <c r="AF223" s="121"/>
      <c r="AG223" s="121"/>
      <c r="AH223" s="121"/>
    </row>
    <row r="224" spans="1:34" ht="12.75">
      <c r="A224" s="121"/>
      <c r="B224" s="121"/>
      <c r="C224" s="129"/>
      <c r="D224" s="121"/>
      <c r="E224" s="129"/>
      <c r="F224" s="129"/>
      <c r="G224" s="129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9"/>
      <c r="S224" s="121"/>
      <c r="T224" s="131"/>
      <c r="U224" s="121"/>
      <c r="V224" s="121"/>
      <c r="W224" s="121"/>
      <c r="X224" s="130"/>
      <c r="Y224" s="121"/>
      <c r="Z224" s="129"/>
      <c r="AA224" s="129"/>
      <c r="AB224" s="129"/>
      <c r="AC224" s="121"/>
      <c r="AD224" s="121"/>
      <c r="AE224" s="121"/>
      <c r="AF224" s="121"/>
      <c r="AG224" s="121"/>
      <c r="AH224" s="121"/>
    </row>
    <row r="225" spans="1:34" ht="12.75">
      <c r="A225" s="121"/>
      <c r="B225" s="121"/>
      <c r="C225" s="129"/>
      <c r="D225" s="121"/>
      <c r="E225" s="129"/>
      <c r="F225" s="129"/>
      <c r="G225" s="129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9"/>
      <c r="S225" s="121"/>
      <c r="T225" s="131"/>
      <c r="U225" s="121"/>
      <c r="V225" s="121"/>
      <c r="W225" s="121"/>
      <c r="X225" s="130"/>
      <c r="Y225" s="121"/>
      <c r="Z225" s="129"/>
      <c r="AA225" s="129"/>
      <c r="AB225" s="129"/>
      <c r="AC225" s="121"/>
      <c r="AD225" s="121"/>
      <c r="AE225" s="121"/>
      <c r="AF225" s="121"/>
      <c r="AG225" s="121"/>
      <c r="AH225" s="121"/>
    </row>
    <row r="226" spans="1:34" ht="12.75">
      <c r="A226" s="121"/>
      <c r="B226" s="121"/>
      <c r="C226" s="129"/>
      <c r="D226" s="121"/>
      <c r="E226" s="129"/>
      <c r="F226" s="129"/>
      <c r="G226" s="129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9"/>
      <c r="S226" s="121"/>
      <c r="T226" s="131"/>
      <c r="U226" s="121"/>
      <c r="V226" s="121"/>
      <c r="W226" s="121"/>
      <c r="X226" s="130"/>
      <c r="Y226" s="121"/>
      <c r="Z226" s="129"/>
      <c r="AA226" s="129"/>
      <c r="AB226" s="129"/>
      <c r="AC226" s="121"/>
      <c r="AD226" s="121"/>
      <c r="AE226" s="121"/>
      <c r="AF226" s="121"/>
      <c r="AG226" s="121"/>
      <c r="AH226" s="121"/>
    </row>
    <row r="227" spans="1:34" ht="12.75">
      <c r="A227" s="121"/>
      <c r="B227" s="121"/>
      <c r="C227" s="129"/>
      <c r="D227" s="121"/>
      <c r="E227" s="129"/>
      <c r="F227" s="129"/>
      <c r="G227" s="129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9"/>
      <c r="S227" s="121"/>
      <c r="T227" s="131"/>
      <c r="U227" s="121"/>
      <c r="V227" s="121"/>
      <c r="W227" s="121"/>
      <c r="X227" s="130"/>
      <c r="Y227" s="121"/>
      <c r="Z227" s="129"/>
      <c r="AA227" s="129"/>
      <c r="AB227" s="129"/>
      <c r="AC227" s="121"/>
      <c r="AD227" s="121"/>
      <c r="AE227" s="121"/>
      <c r="AF227" s="121"/>
      <c r="AG227" s="121"/>
      <c r="AH227" s="121"/>
    </row>
    <row r="228" spans="1:34" ht="12.75">
      <c r="A228" s="121"/>
      <c r="B228" s="121"/>
      <c r="C228" s="129"/>
      <c r="D228" s="121"/>
      <c r="E228" s="129"/>
      <c r="F228" s="129"/>
      <c r="G228" s="129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9"/>
      <c r="S228" s="121"/>
      <c r="T228" s="131"/>
      <c r="U228" s="121"/>
      <c r="V228" s="121"/>
      <c r="W228" s="121"/>
      <c r="X228" s="130"/>
      <c r="Y228" s="121"/>
      <c r="Z228" s="129"/>
      <c r="AA228" s="129"/>
      <c r="AB228" s="129"/>
      <c r="AC228" s="121"/>
      <c r="AD228" s="121"/>
      <c r="AE228" s="121"/>
      <c r="AF228" s="121"/>
      <c r="AG228" s="121"/>
      <c r="AH228" s="121"/>
    </row>
    <row r="229" spans="1:34" ht="12.75">
      <c r="A229" s="121"/>
      <c r="B229" s="121"/>
      <c r="C229" s="129"/>
      <c r="D229" s="121"/>
      <c r="E229" s="129"/>
      <c r="F229" s="129"/>
      <c r="G229" s="129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9"/>
      <c r="S229" s="121"/>
      <c r="T229" s="131"/>
      <c r="U229" s="121"/>
      <c r="V229" s="121"/>
      <c r="W229" s="121"/>
      <c r="X229" s="130"/>
      <c r="Y229" s="121"/>
      <c r="Z229" s="129"/>
      <c r="AA229" s="129"/>
      <c r="AB229" s="129"/>
      <c r="AC229" s="121"/>
      <c r="AD229" s="121"/>
      <c r="AE229" s="121"/>
      <c r="AF229" s="121"/>
      <c r="AG229" s="121"/>
      <c r="AH229" s="121"/>
    </row>
    <row r="230" spans="1:34" ht="12.75">
      <c r="A230" s="121"/>
      <c r="B230" s="121"/>
      <c r="C230" s="129"/>
      <c r="D230" s="121"/>
      <c r="E230" s="129"/>
      <c r="F230" s="129"/>
      <c r="G230" s="129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9"/>
      <c r="S230" s="121"/>
      <c r="T230" s="131"/>
      <c r="U230" s="121"/>
      <c r="V230" s="121"/>
      <c r="W230" s="121"/>
      <c r="X230" s="130"/>
      <c r="Y230" s="121"/>
      <c r="Z230" s="129"/>
      <c r="AA230" s="129"/>
      <c r="AB230" s="129"/>
      <c r="AC230" s="121"/>
      <c r="AD230" s="121"/>
      <c r="AE230" s="121"/>
      <c r="AF230" s="121"/>
      <c r="AG230" s="121"/>
      <c r="AH230" s="121"/>
    </row>
    <row r="231" spans="1:34" ht="12.75">
      <c r="A231" s="121"/>
      <c r="B231" s="121"/>
      <c r="C231" s="129"/>
      <c r="D231" s="121"/>
      <c r="E231" s="129"/>
      <c r="F231" s="129"/>
      <c r="G231" s="129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9"/>
      <c r="S231" s="121"/>
      <c r="T231" s="131"/>
      <c r="U231" s="121"/>
      <c r="V231" s="121"/>
      <c r="W231" s="121"/>
      <c r="X231" s="130"/>
      <c r="Y231" s="121"/>
      <c r="Z231" s="129"/>
      <c r="AA231" s="129"/>
      <c r="AB231" s="129"/>
      <c r="AC231" s="121"/>
      <c r="AD231" s="121"/>
      <c r="AE231" s="121"/>
      <c r="AF231" s="121"/>
      <c r="AG231" s="121"/>
      <c r="AH231" s="121"/>
    </row>
    <row r="232" spans="1:34" ht="12.75">
      <c r="A232" s="121"/>
      <c r="B232" s="121"/>
      <c r="C232" s="129"/>
      <c r="D232" s="121"/>
      <c r="E232" s="129"/>
      <c r="F232" s="129"/>
      <c r="G232" s="129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9"/>
      <c r="S232" s="121"/>
      <c r="T232" s="131"/>
      <c r="U232" s="121"/>
      <c r="V232" s="121"/>
      <c r="W232" s="121"/>
      <c r="X232" s="130"/>
      <c r="Y232" s="121"/>
      <c r="Z232" s="129"/>
      <c r="AA232" s="129"/>
      <c r="AB232" s="129"/>
      <c r="AC232" s="121"/>
      <c r="AD232" s="121"/>
      <c r="AE232" s="121"/>
      <c r="AF232" s="121"/>
      <c r="AG232" s="121"/>
      <c r="AH232" s="121"/>
    </row>
    <row r="233" spans="1:34" ht="12.75">
      <c r="A233" s="121"/>
      <c r="B233" s="121"/>
      <c r="C233" s="129"/>
      <c r="D233" s="121"/>
      <c r="E233" s="129"/>
      <c r="F233" s="129"/>
      <c r="G233" s="129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9"/>
      <c r="S233" s="121"/>
      <c r="T233" s="131"/>
      <c r="U233" s="121"/>
      <c r="V233" s="121"/>
      <c r="W233" s="121"/>
      <c r="X233" s="130"/>
      <c r="Y233" s="121"/>
      <c r="Z233" s="129"/>
      <c r="AA233" s="129"/>
      <c r="AB233" s="129"/>
      <c r="AC233" s="121"/>
      <c r="AD233" s="121"/>
      <c r="AE233" s="121"/>
      <c r="AF233" s="121"/>
      <c r="AG233" s="121"/>
      <c r="AH233" s="121"/>
    </row>
    <row r="234" spans="1:34" ht="12.75">
      <c r="A234" s="121"/>
      <c r="B234" s="121"/>
      <c r="C234" s="129"/>
      <c r="D234" s="121"/>
      <c r="E234" s="129"/>
      <c r="F234" s="129"/>
      <c r="G234" s="129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9"/>
      <c r="S234" s="121"/>
      <c r="T234" s="131"/>
      <c r="U234" s="121"/>
      <c r="V234" s="121"/>
      <c r="W234" s="121"/>
      <c r="X234" s="130"/>
      <c r="Y234" s="121"/>
      <c r="Z234" s="129"/>
      <c r="AA234" s="129"/>
      <c r="AB234" s="129"/>
      <c r="AC234" s="121"/>
      <c r="AD234" s="121"/>
      <c r="AE234" s="121"/>
      <c r="AF234" s="121"/>
      <c r="AG234" s="121"/>
      <c r="AH234" s="121"/>
    </row>
    <row r="235" spans="1:34" ht="12.75">
      <c r="A235" s="121"/>
      <c r="B235" s="121"/>
      <c r="C235" s="129"/>
      <c r="D235" s="121"/>
      <c r="E235" s="129"/>
      <c r="F235" s="129"/>
      <c r="G235" s="129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9"/>
      <c r="S235" s="121"/>
      <c r="T235" s="131"/>
      <c r="U235" s="121"/>
      <c r="V235" s="121"/>
      <c r="W235" s="121"/>
      <c r="X235" s="130"/>
      <c r="Y235" s="121"/>
      <c r="Z235" s="129"/>
      <c r="AA235" s="129"/>
      <c r="AB235" s="129"/>
      <c r="AC235" s="121"/>
      <c r="AD235" s="121"/>
      <c r="AE235" s="121"/>
      <c r="AF235" s="121"/>
      <c r="AG235" s="121"/>
      <c r="AH235" s="121"/>
    </row>
    <row r="236" spans="1:34" ht="12.75">
      <c r="A236" s="121"/>
      <c r="B236" s="121"/>
      <c r="C236" s="129"/>
      <c r="D236" s="121"/>
      <c r="E236" s="129"/>
      <c r="F236" s="129"/>
      <c r="G236" s="129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9"/>
      <c r="S236" s="121"/>
      <c r="T236" s="131"/>
      <c r="U236" s="121"/>
      <c r="V236" s="121"/>
      <c r="W236" s="121"/>
      <c r="X236" s="130"/>
      <c r="Y236" s="121"/>
      <c r="Z236" s="129"/>
      <c r="AA236" s="129"/>
      <c r="AB236" s="129"/>
      <c r="AC236" s="121"/>
      <c r="AD236" s="121"/>
      <c r="AE236" s="121"/>
      <c r="AF236" s="121"/>
      <c r="AG236" s="121"/>
      <c r="AH236" s="121"/>
    </row>
    <row r="237" spans="1:34" ht="12.75">
      <c r="A237" s="121"/>
      <c r="B237" s="121"/>
      <c r="C237" s="129"/>
      <c r="D237" s="121"/>
      <c r="E237" s="129"/>
      <c r="F237" s="129"/>
      <c r="G237" s="129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9"/>
      <c r="S237" s="121"/>
      <c r="T237" s="131"/>
      <c r="U237" s="121"/>
      <c r="V237" s="121"/>
      <c r="W237" s="121"/>
      <c r="X237" s="130"/>
      <c r="Y237" s="121"/>
      <c r="Z237" s="129"/>
      <c r="AA237" s="129"/>
      <c r="AB237" s="129"/>
      <c r="AC237" s="121"/>
      <c r="AD237" s="121"/>
      <c r="AE237" s="121"/>
      <c r="AF237" s="121"/>
      <c r="AG237" s="121"/>
      <c r="AH237" s="121"/>
    </row>
    <row r="238" spans="1:34" ht="12.75">
      <c r="A238" s="121"/>
      <c r="B238" s="121"/>
      <c r="C238" s="129"/>
      <c r="D238" s="121"/>
      <c r="E238" s="129"/>
      <c r="F238" s="129"/>
      <c r="G238" s="129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9"/>
      <c r="S238" s="121"/>
      <c r="T238" s="131"/>
      <c r="U238" s="121"/>
      <c r="V238" s="121"/>
      <c r="W238" s="121"/>
      <c r="X238" s="130"/>
      <c r="Y238" s="121"/>
      <c r="Z238" s="129"/>
      <c r="AA238" s="129"/>
      <c r="AB238" s="129"/>
      <c r="AC238" s="121"/>
      <c r="AD238" s="121"/>
      <c r="AE238" s="121"/>
      <c r="AF238" s="121"/>
      <c r="AG238" s="121"/>
      <c r="AH238" s="121"/>
    </row>
    <row r="239" spans="1:34" ht="12.75">
      <c r="A239" s="121"/>
      <c r="B239" s="121"/>
      <c r="C239" s="129"/>
      <c r="D239" s="121"/>
      <c r="E239" s="129"/>
      <c r="F239" s="129"/>
      <c r="G239" s="129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9"/>
      <c r="S239" s="121"/>
      <c r="T239" s="131"/>
      <c r="U239" s="121"/>
      <c r="V239" s="121"/>
      <c r="W239" s="121"/>
      <c r="X239" s="130"/>
      <c r="Y239" s="121"/>
      <c r="Z239" s="129"/>
      <c r="AA239" s="129"/>
      <c r="AB239" s="129"/>
      <c r="AC239" s="121"/>
      <c r="AD239" s="121"/>
      <c r="AE239" s="121"/>
      <c r="AF239" s="121"/>
      <c r="AG239" s="121"/>
      <c r="AH239" s="121"/>
    </row>
    <row r="240" spans="1:34" ht="12.75">
      <c r="A240" s="121"/>
      <c r="B240" s="121"/>
      <c r="C240" s="129"/>
      <c r="D240" s="121"/>
      <c r="E240" s="129"/>
      <c r="F240" s="129"/>
      <c r="G240" s="129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9"/>
      <c r="S240" s="121"/>
      <c r="T240" s="131"/>
      <c r="U240" s="121"/>
      <c r="V240" s="121"/>
      <c r="W240" s="121"/>
      <c r="X240" s="130"/>
      <c r="Y240" s="121"/>
      <c r="Z240" s="129"/>
      <c r="AA240" s="129"/>
      <c r="AB240" s="129"/>
      <c r="AC240" s="121"/>
      <c r="AD240" s="121"/>
      <c r="AE240" s="121"/>
      <c r="AF240" s="121"/>
      <c r="AG240" s="121"/>
      <c r="AH240" s="121"/>
    </row>
    <row r="241" spans="1:34" ht="12.75">
      <c r="A241" s="121"/>
      <c r="B241" s="121"/>
      <c r="C241" s="129"/>
      <c r="D241" s="121"/>
      <c r="E241" s="129"/>
      <c r="F241" s="129"/>
      <c r="G241" s="129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9"/>
      <c r="S241" s="121"/>
      <c r="T241" s="131"/>
      <c r="U241" s="121"/>
      <c r="V241" s="121"/>
      <c r="W241" s="121"/>
      <c r="X241" s="130"/>
      <c r="Y241" s="121"/>
      <c r="Z241" s="129"/>
      <c r="AA241" s="129"/>
      <c r="AB241" s="129"/>
      <c r="AC241" s="121"/>
      <c r="AD241" s="121"/>
      <c r="AE241" s="121"/>
      <c r="AF241" s="121"/>
      <c r="AG241" s="121"/>
      <c r="AH241" s="121"/>
    </row>
    <row r="242" spans="1:34" ht="12.75">
      <c r="A242" s="121"/>
      <c r="B242" s="121"/>
      <c r="C242" s="129"/>
      <c r="D242" s="121"/>
      <c r="E242" s="129"/>
      <c r="F242" s="129"/>
      <c r="G242" s="129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9"/>
      <c r="S242" s="121"/>
      <c r="T242" s="131"/>
      <c r="U242" s="121"/>
      <c r="V242" s="121"/>
      <c r="W242" s="121"/>
      <c r="X242" s="130"/>
      <c r="Y242" s="121"/>
      <c r="Z242" s="129"/>
      <c r="AA242" s="129"/>
      <c r="AB242" s="129"/>
      <c r="AC242" s="121"/>
      <c r="AD242" s="121"/>
      <c r="AE242" s="121"/>
      <c r="AF242" s="121"/>
      <c r="AG242" s="121"/>
      <c r="AH242" s="121"/>
    </row>
    <row r="243" spans="1:34" ht="12.75">
      <c r="A243" s="121"/>
      <c r="B243" s="121"/>
      <c r="C243" s="129"/>
      <c r="D243" s="121"/>
      <c r="E243" s="129"/>
      <c r="F243" s="129"/>
      <c r="G243" s="129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9"/>
      <c r="S243" s="121"/>
      <c r="T243" s="131"/>
      <c r="U243" s="121"/>
      <c r="V243" s="121"/>
      <c r="W243" s="121"/>
      <c r="X243" s="130"/>
      <c r="Y243" s="121"/>
      <c r="Z243" s="129"/>
      <c r="AA243" s="129"/>
      <c r="AB243" s="129"/>
      <c r="AC243" s="121"/>
      <c r="AD243" s="121"/>
      <c r="AE243" s="121"/>
      <c r="AF243" s="121"/>
      <c r="AG243" s="121"/>
      <c r="AH243" s="121"/>
    </row>
    <row r="244" spans="1:34" ht="12.75">
      <c r="A244" s="121"/>
      <c r="B244" s="121"/>
      <c r="C244" s="129"/>
      <c r="D244" s="121"/>
      <c r="E244" s="129"/>
      <c r="F244" s="129"/>
      <c r="G244" s="129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9"/>
      <c r="S244" s="121"/>
      <c r="T244" s="131"/>
      <c r="U244" s="121"/>
      <c r="V244" s="121"/>
      <c r="W244" s="121"/>
      <c r="X244" s="130"/>
      <c r="Y244" s="121"/>
      <c r="Z244" s="129"/>
      <c r="AA244" s="129"/>
      <c r="AB244" s="129"/>
      <c r="AC244" s="121"/>
      <c r="AD244" s="121"/>
      <c r="AE244" s="121"/>
      <c r="AF244" s="121"/>
      <c r="AG244" s="121"/>
      <c r="AH244" s="121"/>
    </row>
    <row r="245" spans="1:34" ht="12.75">
      <c r="A245" s="121"/>
      <c r="B245" s="121"/>
      <c r="C245" s="129"/>
      <c r="D245" s="121"/>
      <c r="E245" s="129"/>
      <c r="F245" s="129"/>
      <c r="G245" s="129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9"/>
      <c r="S245" s="121"/>
      <c r="T245" s="131"/>
      <c r="U245" s="121"/>
      <c r="V245" s="121"/>
      <c r="W245" s="121"/>
      <c r="X245" s="130"/>
      <c r="Y245" s="121"/>
      <c r="Z245" s="129"/>
      <c r="AA245" s="129"/>
      <c r="AB245" s="129"/>
      <c r="AC245" s="121"/>
      <c r="AD245" s="121"/>
      <c r="AE245" s="121"/>
      <c r="AF245" s="121"/>
      <c r="AG245" s="121"/>
      <c r="AH245" s="121"/>
    </row>
    <row r="246" spans="1:34" ht="12.75">
      <c r="A246" s="121"/>
      <c r="B246" s="121"/>
      <c r="C246" s="129"/>
      <c r="D246" s="121"/>
      <c r="E246" s="129"/>
      <c r="F246" s="129"/>
      <c r="G246" s="129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9"/>
      <c r="S246" s="121"/>
      <c r="T246" s="131"/>
      <c r="U246" s="121"/>
      <c r="V246" s="121"/>
      <c r="W246" s="121"/>
      <c r="X246" s="130"/>
      <c r="Y246" s="121"/>
      <c r="Z246" s="129"/>
      <c r="AA246" s="129"/>
      <c r="AB246" s="129"/>
      <c r="AC246" s="121"/>
      <c r="AD246" s="121"/>
      <c r="AE246" s="121"/>
      <c r="AF246" s="121"/>
      <c r="AG246" s="121"/>
      <c r="AH246" s="121"/>
    </row>
    <row r="247" spans="1:34" ht="12.75">
      <c r="A247" s="121"/>
      <c r="B247" s="121"/>
      <c r="C247" s="129"/>
      <c r="D247" s="121"/>
      <c r="E247" s="129"/>
      <c r="F247" s="129"/>
      <c r="G247" s="129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9"/>
      <c r="S247" s="121"/>
      <c r="T247" s="131"/>
      <c r="U247" s="121"/>
      <c r="V247" s="121"/>
      <c r="W247" s="121"/>
      <c r="X247" s="130"/>
      <c r="Y247" s="121"/>
      <c r="Z247" s="129"/>
      <c r="AA247" s="129"/>
      <c r="AB247" s="129"/>
      <c r="AC247" s="121"/>
      <c r="AD247" s="121"/>
      <c r="AE247" s="121"/>
      <c r="AF247" s="121"/>
      <c r="AG247" s="121"/>
      <c r="AH247" s="121"/>
    </row>
    <row r="248" spans="1:34" ht="12.75">
      <c r="A248" s="121"/>
      <c r="B248" s="121"/>
      <c r="C248" s="129"/>
      <c r="D248" s="121"/>
      <c r="E248" s="129"/>
      <c r="F248" s="129"/>
      <c r="G248" s="129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9"/>
      <c r="S248" s="121"/>
      <c r="T248" s="131"/>
      <c r="U248" s="121"/>
      <c r="V248" s="121"/>
      <c r="W248" s="121"/>
      <c r="X248" s="130"/>
      <c r="Y248" s="121"/>
      <c r="Z248" s="129"/>
      <c r="AA248" s="129"/>
      <c r="AB248" s="129"/>
      <c r="AC248" s="121"/>
      <c r="AD248" s="121"/>
      <c r="AE248" s="121"/>
      <c r="AF248" s="121"/>
      <c r="AG248" s="121"/>
      <c r="AH248" s="121"/>
    </row>
    <row r="249" spans="1:34" ht="12.75">
      <c r="A249" s="121"/>
      <c r="B249" s="121"/>
      <c r="C249" s="129"/>
      <c r="D249" s="121"/>
      <c r="E249" s="129"/>
      <c r="F249" s="129"/>
      <c r="G249" s="129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9"/>
      <c r="S249" s="121"/>
      <c r="T249" s="131"/>
      <c r="U249" s="121"/>
      <c r="V249" s="121"/>
      <c r="W249" s="121"/>
      <c r="X249" s="130"/>
      <c r="Y249" s="121"/>
      <c r="Z249" s="129"/>
      <c r="AA249" s="129"/>
      <c r="AB249" s="129"/>
      <c r="AC249" s="121"/>
      <c r="AD249" s="121"/>
      <c r="AE249" s="121"/>
      <c r="AF249" s="121"/>
      <c r="AG249" s="121"/>
      <c r="AH249" s="121"/>
    </row>
    <row r="250" spans="1:34" ht="12.75">
      <c r="A250" s="121"/>
      <c r="B250" s="121"/>
      <c r="C250" s="129"/>
      <c r="D250" s="121"/>
      <c r="E250" s="129"/>
      <c r="F250" s="129"/>
      <c r="G250" s="129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9"/>
      <c r="S250" s="121"/>
      <c r="T250" s="131"/>
      <c r="U250" s="121"/>
      <c r="V250" s="121"/>
      <c r="W250" s="121"/>
      <c r="X250" s="130"/>
      <c r="Y250" s="121"/>
      <c r="Z250" s="129"/>
      <c r="AA250" s="129"/>
      <c r="AB250" s="129"/>
      <c r="AC250" s="121"/>
      <c r="AD250" s="121"/>
      <c r="AE250" s="121"/>
      <c r="AF250" s="121"/>
      <c r="AG250" s="121"/>
      <c r="AH250" s="121"/>
    </row>
    <row r="251" spans="1:34" ht="12.75">
      <c r="A251" s="121"/>
      <c r="B251" s="121"/>
      <c r="C251" s="129"/>
      <c r="D251" s="121"/>
      <c r="E251" s="129"/>
      <c r="F251" s="129"/>
      <c r="G251" s="129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9"/>
      <c r="S251" s="121"/>
      <c r="T251" s="131"/>
      <c r="U251" s="121"/>
      <c r="V251" s="121"/>
      <c r="W251" s="121"/>
      <c r="X251" s="130"/>
      <c r="Y251" s="121"/>
      <c r="Z251" s="129"/>
      <c r="AA251" s="129"/>
      <c r="AB251" s="129"/>
      <c r="AC251" s="121"/>
      <c r="AD251" s="121"/>
      <c r="AE251" s="121"/>
      <c r="AF251" s="121"/>
      <c r="AG251" s="121"/>
      <c r="AH251" s="121"/>
    </row>
    <row r="252" spans="1:34" ht="12.75">
      <c r="A252" s="121"/>
      <c r="B252" s="121"/>
      <c r="C252" s="129"/>
      <c r="D252" s="121"/>
      <c r="E252" s="129"/>
      <c r="F252" s="129"/>
      <c r="G252" s="129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9"/>
      <c r="S252" s="121"/>
      <c r="T252" s="131"/>
      <c r="U252" s="121"/>
      <c r="V252" s="121"/>
      <c r="W252" s="121"/>
      <c r="X252" s="130"/>
      <c r="Y252" s="121"/>
      <c r="Z252" s="129"/>
      <c r="AA252" s="129"/>
      <c r="AB252" s="129"/>
      <c r="AC252" s="121"/>
      <c r="AD252" s="121"/>
      <c r="AE252" s="121"/>
      <c r="AF252" s="121"/>
      <c r="AG252" s="121"/>
      <c r="AH252" s="121"/>
    </row>
    <row r="253" spans="1:34" ht="12.75">
      <c r="A253" s="121"/>
      <c r="B253" s="121"/>
      <c r="C253" s="129"/>
      <c r="D253" s="121"/>
      <c r="E253" s="129"/>
      <c r="F253" s="129"/>
      <c r="G253" s="129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9"/>
      <c r="S253" s="121"/>
      <c r="T253" s="131"/>
      <c r="U253" s="121"/>
      <c r="V253" s="121"/>
      <c r="W253" s="121"/>
      <c r="X253" s="130"/>
      <c r="Y253" s="121"/>
      <c r="Z253" s="129"/>
      <c r="AA253" s="129"/>
      <c r="AB253" s="129"/>
      <c r="AC253" s="121"/>
      <c r="AD253" s="121"/>
      <c r="AE253" s="121"/>
      <c r="AF253" s="121"/>
      <c r="AG253" s="121"/>
      <c r="AH253" s="121"/>
    </row>
    <row r="254" spans="1:34" ht="12.75">
      <c r="A254" s="121"/>
      <c r="B254" s="121"/>
      <c r="C254" s="129"/>
      <c r="D254" s="121"/>
      <c r="E254" s="129"/>
      <c r="F254" s="129"/>
      <c r="G254" s="129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9"/>
      <c r="S254" s="121"/>
      <c r="T254" s="131"/>
      <c r="U254" s="121"/>
      <c r="V254" s="121"/>
      <c r="W254" s="121"/>
      <c r="X254" s="130"/>
      <c r="Y254" s="121"/>
      <c r="Z254" s="129"/>
      <c r="AA254" s="129"/>
      <c r="AB254" s="129"/>
      <c r="AC254" s="121"/>
      <c r="AD254" s="121"/>
      <c r="AE254" s="121"/>
      <c r="AF254" s="121"/>
      <c r="AG254" s="121"/>
      <c r="AH254" s="121"/>
    </row>
    <row r="255" spans="1:34" ht="12.75">
      <c r="A255" s="121"/>
      <c r="B255" s="121"/>
      <c r="C255" s="129"/>
      <c r="D255" s="121"/>
      <c r="E255" s="129"/>
      <c r="F255" s="129"/>
      <c r="G255" s="129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9"/>
      <c r="S255" s="121"/>
      <c r="T255" s="131"/>
      <c r="U255" s="121"/>
      <c r="V255" s="121"/>
      <c r="W255" s="121"/>
      <c r="X255" s="130"/>
      <c r="Y255" s="121"/>
      <c r="Z255" s="129"/>
      <c r="AA255" s="129"/>
      <c r="AB255" s="129"/>
      <c r="AC255" s="121"/>
      <c r="AD255" s="121"/>
      <c r="AE255" s="121"/>
      <c r="AF255" s="121"/>
      <c r="AG255" s="121"/>
      <c r="AH255" s="121"/>
    </row>
    <row r="256" spans="1:34" ht="12.75">
      <c r="A256" s="121"/>
      <c r="B256" s="121"/>
      <c r="C256" s="129"/>
      <c r="D256" s="121"/>
      <c r="E256" s="129"/>
      <c r="F256" s="129"/>
      <c r="G256" s="129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9"/>
      <c r="S256" s="121"/>
      <c r="T256" s="131"/>
      <c r="U256" s="121"/>
      <c r="V256" s="121"/>
      <c r="W256" s="121"/>
      <c r="X256" s="130"/>
      <c r="Y256" s="121"/>
      <c r="Z256" s="129"/>
      <c r="AA256" s="129"/>
      <c r="AB256" s="129"/>
      <c r="AC256" s="121"/>
      <c r="AD256" s="121"/>
      <c r="AE256" s="121"/>
      <c r="AF256" s="121"/>
      <c r="AG256" s="121"/>
      <c r="AH256" s="121"/>
    </row>
    <row r="257" spans="1:34" ht="12.75">
      <c r="A257" s="121"/>
      <c r="B257" s="121"/>
      <c r="C257" s="129"/>
      <c r="D257" s="121"/>
      <c r="E257" s="129"/>
      <c r="F257" s="129"/>
      <c r="G257" s="129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9"/>
      <c r="S257" s="121"/>
      <c r="T257" s="131"/>
      <c r="U257" s="121"/>
      <c r="V257" s="121"/>
      <c r="W257" s="121"/>
      <c r="X257" s="130"/>
      <c r="Y257" s="121"/>
      <c r="Z257" s="129"/>
      <c r="AA257" s="129"/>
      <c r="AB257" s="129"/>
      <c r="AC257" s="121"/>
      <c r="AD257" s="121"/>
      <c r="AE257" s="121"/>
      <c r="AF257" s="121"/>
      <c r="AG257" s="121"/>
      <c r="AH257" s="121"/>
    </row>
    <row r="258" spans="1:34" ht="12.75">
      <c r="A258" s="121"/>
      <c r="B258" s="121"/>
      <c r="C258" s="129"/>
      <c r="D258" s="121"/>
      <c r="E258" s="129"/>
      <c r="F258" s="129"/>
      <c r="G258" s="129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9"/>
      <c r="S258" s="121"/>
      <c r="T258" s="131"/>
      <c r="U258" s="121"/>
      <c r="V258" s="121"/>
      <c r="W258" s="121"/>
      <c r="X258" s="130"/>
      <c r="Y258" s="121"/>
      <c r="Z258" s="129"/>
      <c r="AA258" s="129"/>
      <c r="AB258" s="129"/>
      <c r="AC258" s="121"/>
      <c r="AD258" s="121"/>
      <c r="AE258" s="121"/>
      <c r="AF258" s="121"/>
      <c r="AG258" s="121"/>
      <c r="AH258" s="121"/>
    </row>
    <row r="259" spans="1:34" ht="12.75">
      <c r="A259" s="121"/>
      <c r="B259" s="121"/>
      <c r="C259" s="129"/>
      <c r="D259" s="121"/>
      <c r="E259" s="129"/>
      <c r="F259" s="129"/>
      <c r="G259" s="129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9"/>
      <c r="S259" s="121"/>
      <c r="T259" s="131"/>
      <c r="U259" s="121"/>
      <c r="V259" s="121"/>
      <c r="W259" s="121"/>
      <c r="X259" s="130"/>
      <c r="Y259" s="121"/>
      <c r="Z259" s="129"/>
      <c r="AA259" s="129"/>
      <c r="AB259" s="129"/>
      <c r="AC259" s="121"/>
      <c r="AD259" s="121"/>
      <c r="AE259" s="121"/>
      <c r="AF259" s="121"/>
      <c r="AG259" s="121"/>
      <c r="AH259" s="121"/>
    </row>
    <row r="260" spans="1:34" ht="12.75">
      <c r="A260" s="121"/>
      <c r="B260" s="121"/>
      <c r="C260" s="129"/>
      <c r="D260" s="121"/>
      <c r="E260" s="129"/>
      <c r="F260" s="129"/>
      <c r="G260" s="129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9"/>
      <c r="S260" s="121"/>
      <c r="T260" s="131"/>
      <c r="U260" s="121"/>
      <c r="V260" s="121"/>
      <c r="W260" s="121"/>
      <c r="X260" s="130"/>
      <c r="Y260" s="121"/>
      <c r="Z260" s="129"/>
      <c r="AA260" s="129"/>
      <c r="AB260" s="129"/>
      <c r="AC260" s="121"/>
      <c r="AD260" s="121"/>
      <c r="AE260" s="121"/>
      <c r="AF260" s="121"/>
      <c r="AG260" s="121"/>
      <c r="AH260" s="121"/>
    </row>
    <row r="261" spans="1:34" ht="12.75">
      <c r="A261" s="121"/>
      <c r="B261" s="121"/>
      <c r="C261" s="129"/>
      <c r="D261" s="121"/>
      <c r="E261" s="129"/>
      <c r="F261" s="129"/>
      <c r="G261" s="129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9"/>
      <c r="S261" s="121"/>
      <c r="T261" s="131"/>
      <c r="U261" s="121"/>
      <c r="V261" s="121"/>
      <c r="W261" s="121"/>
      <c r="X261" s="130"/>
      <c r="Y261" s="121"/>
      <c r="Z261" s="129"/>
      <c r="AA261" s="129"/>
      <c r="AB261" s="129"/>
      <c r="AC261" s="121"/>
      <c r="AD261" s="121"/>
      <c r="AE261" s="121"/>
      <c r="AF261" s="121"/>
      <c r="AG261" s="121"/>
      <c r="AH261" s="121"/>
    </row>
    <row r="262" spans="1:34" ht="12.75">
      <c r="A262" s="121"/>
      <c r="B262" s="121"/>
      <c r="C262" s="129"/>
      <c r="D262" s="121"/>
      <c r="E262" s="129"/>
      <c r="F262" s="129"/>
      <c r="G262" s="129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9"/>
      <c r="S262" s="121"/>
      <c r="T262" s="131"/>
      <c r="U262" s="121"/>
      <c r="V262" s="121"/>
      <c r="W262" s="121"/>
      <c r="X262" s="130"/>
      <c r="Y262" s="121"/>
      <c r="Z262" s="129"/>
      <c r="AA262" s="129"/>
      <c r="AB262" s="129"/>
      <c r="AC262" s="121"/>
      <c r="AD262" s="121"/>
      <c r="AE262" s="121"/>
      <c r="AF262" s="121"/>
      <c r="AG262" s="121"/>
      <c r="AH262" s="121"/>
    </row>
    <row r="263" spans="1:34" ht="12.75">
      <c r="A263" s="121"/>
      <c r="B263" s="121"/>
      <c r="C263" s="129"/>
      <c r="D263" s="121"/>
      <c r="E263" s="129"/>
      <c r="F263" s="129"/>
      <c r="G263" s="129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9"/>
      <c r="S263" s="121"/>
      <c r="T263" s="131"/>
      <c r="U263" s="121"/>
      <c r="V263" s="121"/>
      <c r="W263" s="121"/>
      <c r="X263" s="130"/>
      <c r="Y263" s="121"/>
      <c r="Z263" s="129"/>
      <c r="AA263" s="129"/>
      <c r="AB263" s="129"/>
      <c r="AC263" s="121"/>
      <c r="AD263" s="121"/>
      <c r="AE263" s="121"/>
      <c r="AF263" s="121"/>
      <c r="AG263" s="121"/>
      <c r="AH263" s="121"/>
    </row>
    <row r="264" spans="1:34" ht="12.75">
      <c r="A264" s="121"/>
      <c r="B264" s="121"/>
      <c r="C264" s="129"/>
      <c r="D264" s="121"/>
      <c r="E264" s="129"/>
      <c r="F264" s="129"/>
      <c r="G264" s="129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9"/>
      <c r="S264" s="121"/>
      <c r="T264" s="131"/>
      <c r="U264" s="121"/>
      <c r="V264" s="121"/>
      <c r="W264" s="121"/>
      <c r="X264" s="130"/>
      <c r="Y264" s="121"/>
      <c r="Z264" s="129"/>
      <c r="AA264" s="129"/>
      <c r="AB264" s="129"/>
      <c r="AC264" s="121"/>
      <c r="AD264" s="121"/>
      <c r="AE264" s="121"/>
      <c r="AF264" s="121"/>
      <c r="AG264" s="121"/>
      <c r="AH264" s="121"/>
    </row>
    <row r="265" spans="1:34" ht="12.75">
      <c r="A265" s="121"/>
      <c r="B265" s="121"/>
      <c r="C265" s="129"/>
      <c r="D265" s="121"/>
      <c r="E265" s="129"/>
      <c r="F265" s="129"/>
      <c r="G265" s="129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9"/>
      <c r="S265" s="121"/>
      <c r="T265" s="131"/>
      <c r="U265" s="121"/>
      <c r="V265" s="121"/>
      <c r="W265" s="121"/>
      <c r="X265" s="130"/>
      <c r="Y265" s="121"/>
      <c r="Z265" s="129"/>
      <c r="AA265" s="129"/>
      <c r="AB265" s="129"/>
      <c r="AC265" s="121"/>
      <c r="AD265" s="121"/>
      <c r="AE265" s="121"/>
      <c r="AF265" s="121"/>
      <c r="AG265" s="121"/>
      <c r="AH265" s="121"/>
    </row>
    <row r="266" spans="1:34" ht="12.75">
      <c r="A266" s="121"/>
      <c r="B266" s="121"/>
      <c r="C266" s="129"/>
      <c r="D266" s="121"/>
      <c r="E266" s="129"/>
      <c r="F266" s="129"/>
      <c r="G266" s="129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9"/>
      <c r="S266" s="121"/>
      <c r="T266" s="131"/>
      <c r="U266" s="121"/>
      <c r="V266" s="121"/>
      <c r="W266" s="121"/>
      <c r="X266" s="130"/>
      <c r="Y266" s="121"/>
      <c r="Z266" s="129"/>
      <c r="AA266" s="129"/>
      <c r="AB266" s="129"/>
      <c r="AC266" s="121"/>
      <c r="AD266" s="121"/>
      <c r="AE266" s="121"/>
      <c r="AF266" s="121"/>
      <c r="AG266" s="121"/>
      <c r="AH266" s="121"/>
    </row>
    <row r="267" spans="1:34" ht="12.75">
      <c r="A267" s="121"/>
      <c r="B267" s="121"/>
      <c r="C267" s="129"/>
      <c r="D267" s="121"/>
      <c r="E267" s="129"/>
      <c r="F267" s="129"/>
      <c r="G267" s="129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9"/>
      <c r="S267" s="121"/>
      <c r="T267" s="131"/>
      <c r="U267" s="121"/>
      <c r="V267" s="121"/>
      <c r="W267" s="121"/>
      <c r="X267" s="130"/>
      <c r="Y267" s="121"/>
      <c r="Z267" s="129"/>
      <c r="AA267" s="129"/>
      <c r="AB267" s="129"/>
      <c r="AC267" s="121"/>
      <c r="AD267" s="121"/>
      <c r="AE267" s="121"/>
      <c r="AF267" s="121"/>
      <c r="AG267" s="121"/>
      <c r="AH267" s="121"/>
    </row>
    <row r="268" spans="1:34" ht="12.75">
      <c r="A268" s="121"/>
      <c r="B268" s="121"/>
      <c r="C268" s="129"/>
      <c r="D268" s="121"/>
      <c r="E268" s="129"/>
      <c r="F268" s="129"/>
      <c r="G268" s="129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9"/>
      <c r="S268" s="121"/>
      <c r="T268" s="131"/>
      <c r="U268" s="121"/>
      <c r="V268" s="121"/>
      <c r="W268" s="121"/>
      <c r="X268" s="130"/>
      <c r="Y268" s="121"/>
      <c r="Z268" s="129"/>
      <c r="AA268" s="129"/>
      <c r="AB268" s="129"/>
      <c r="AC268" s="121"/>
      <c r="AD268" s="121"/>
      <c r="AE268" s="121"/>
      <c r="AF268" s="121"/>
      <c r="AG268" s="121"/>
      <c r="AH268" s="121"/>
    </row>
    <row r="269" spans="1:34" ht="12.75">
      <c r="A269" s="121"/>
      <c r="B269" s="121"/>
      <c r="C269" s="129"/>
      <c r="D269" s="121"/>
      <c r="E269" s="129"/>
      <c r="F269" s="129"/>
      <c r="G269" s="129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9"/>
      <c r="S269" s="121"/>
      <c r="T269" s="131"/>
      <c r="U269" s="121"/>
      <c r="V269" s="121"/>
      <c r="W269" s="121"/>
      <c r="X269" s="130"/>
      <c r="Y269" s="121"/>
      <c r="Z269" s="129"/>
      <c r="AA269" s="129"/>
      <c r="AB269" s="129"/>
      <c r="AC269" s="121"/>
      <c r="AD269" s="121"/>
      <c r="AE269" s="121"/>
      <c r="AF269" s="121"/>
      <c r="AG269" s="121"/>
      <c r="AH269" s="121"/>
    </row>
    <row r="270" spans="1:34" ht="12.75">
      <c r="A270" s="121"/>
      <c r="B270" s="121"/>
      <c r="C270" s="129"/>
      <c r="D270" s="121"/>
      <c r="E270" s="129"/>
      <c r="F270" s="129"/>
      <c r="G270" s="129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9"/>
      <c r="S270" s="121"/>
      <c r="T270" s="131"/>
      <c r="U270" s="121"/>
      <c r="V270" s="121"/>
      <c r="W270" s="121"/>
      <c r="X270" s="130"/>
      <c r="Y270" s="121"/>
      <c r="Z270" s="129"/>
      <c r="AA270" s="129"/>
      <c r="AB270" s="129"/>
      <c r="AC270" s="121"/>
      <c r="AD270" s="121"/>
      <c r="AE270" s="121"/>
      <c r="AF270" s="121"/>
      <c r="AG270" s="121"/>
      <c r="AH270" s="121"/>
    </row>
    <row r="271" spans="1:34" ht="12.75">
      <c r="A271" s="121"/>
      <c r="B271" s="121"/>
      <c r="C271" s="129"/>
      <c r="D271" s="121"/>
      <c r="E271" s="129"/>
      <c r="F271" s="129"/>
      <c r="G271" s="129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9"/>
      <c r="S271" s="121"/>
      <c r="T271" s="131"/>
      <c r="U271" s="121"/>
      <c r="V271" s="121"/>
      <c r="W271" s="121"/>
      <c r="X271" s="130"/>
      <c r="Y271" s="121"/>
      <c r="Z271" s="129"/>
      <c r="AA271" s="129"/>
      <c r="AB271" s="129"/>
      <c r="AC271" s="121"/>
      <c r="AD271" s="121"/>
      <c r="AE271" s="121"/>
      <c r="AF271" s="121"/>
      <c r="AG271" s="121"/>
      <c r="AH271" s="121"/>
    </row>
    <row r="272" spans="1:34" ht="12.75">
      <c r="A272" s="121"/>
      <c r="B272" s="121"/>
      <c r="C272" s="129"/>
      <c r="D272" s="121"/>
      <c r="E272" s="129"/>
      <c r="F272" s="129"/>
      <c r="G272" s="129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9"/>
      <c r="S272" s="121"/>
      <c r="T272" s="131"/>
      <c r="U272" s="121"/>
      <c r="V272" s="121"/>
      <c r="W272" s="121"/>
      <c r="X272" s="130"/>
      <c r="Y272" s="121"/>
      <c r="Z272" s="129"/>
      <c r="AA272" s="129"/>
      <c r="AB272" s="129"/>
      <c r="AC272" s="121"/>
      <c r="AD272" s="121"/>
      <c r="AE272" s="121"/>
      <c r="AF272" s="121"/>
      <c r="AG272" s="121"/>
      <c r="AH272" s="121"/>
    </row>
    <row r="273" spans="1:34" ht="12.75">
      <c r="A273" s="121"/>
      <c r="B273" s="121"/>
      <c r="C273" s="129"/>
      <c r="D273" s="121"/>
      <c r="E273" s="129"/>
      <c r="F273" s="129"/>
      <c r="G273" s="129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9"/>
      <c r="S273" s="121"/>
      <c r="T273" s="131"/>
      <c r="U273" s="121"/>
      <c r="V273" s="121"/>
      <c r="W273" s="121"/>
      <c r="X273" s="130"/>
      <c r="Y273" s="121"/>
      <c r="Z273" s="129"/>
      <c r="AA273" s="129"/>
      <c r="AB273" s="129"/>
      <c r="AC273" s="121"/>
      <c r="AD273" s="121"/>
      <c r="AE273" s="121"/>
      <c r="AF273" s="121"/>
      <c r="AG273" s="121"/>
      <c r="AH273" s="121"/>
    </row>
    <row r="274" spans="1:34" ht="12.75">
      <c r="A274" s="121"/>
      <c r="B274" s="121"/>
      <c r="C274" s="129"/>
      <c r="D274" s="121"/>
      <c r="E274" s="129"/>
      <c r="F274" s="129"/>
      <c r="G274" s="129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9"/>
      <c r="S274" s="121"/>
      <c r="T274" s="131"/>
      <c r="U274" s="121"/>
      <c r="V274" s="121"/>
      <c r="W274" s="121"/>
      <c r="X274" s="130"/>
      <c r="Y274" s="121"/>
      <c r="Z274" s="129"/>
      <c r="AA274" s="129"/>
      <c r="AB274" s="129"/>
      <c r="AC274" s="121"/>
      <c r="AD274" s="121"/>
      <c r="AE274" s="121"/>
      <c r="AF274" s="121"/>
      <c r="AG274" s="121"/>
      <c r="AH274" s="121"/>
    </row>
    <row r="275" spans="1:34" ht="12.75">
      <c r="A275" s="121"/>
      <c r="B275" s="121"/>
      <c r="C275" s="129"/>
      <c r="D275" s="121"/>
      <c r="E275" s="129"/>
      <c r="F275" s="129"/>
      <c r="G275" s="129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9"/>
      <c r="S275" s="121"/>
      <c r="T275" s="131"/>
      <c r="U275" s="121"/>
      <c r="V275" s="121"/>
      <c r="W275" s="121"/>
      <c r="X275" s="130"/>
      <c r="Y275" s="121"/>
      <c r="Z275" s="129"/>
      <c r="AA275" s="129"/>
      <c r="AB275" s="129"/>
      <c r="AC275" s="121"/>
      <c r="AD275" s="121"/>
      <c r="AE275" s="121"/>
      <c r="AF275" s="121"/>
      <c r="AG275" s="121"/>
      <c r="AH275" s="121"/>
    </row>
    <row r="276" spans="1:34" ht="12.75">
      <c r="A276" s="121"/>
      <c r="B276" s="121"/>
      <c r="C276" s="129"/>
      <c r="D276" s="121"/>
      <c r="E276" s="129"/>
      <c r="F276" s="129"/>
      <c r="G276" s="129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9"/>
      <c r="S276" s="121"/>
      <c r="T276" s="131"/>
      <c r="U276" s="121"/>
      <c r="V276" s="121"/>
      <c r="W276" s="121"/>
      <c r="X276" s="130"/>
      <c r="Y276" s="121"/>
      <c r="Z276" s="129"/>
      <c r="AA276" s="129"/>
      <c r="AB276" s="129"/>
      <c r="AC276" s="121"/>
      <c r="AD276" s="121"/>
      <c r="AE276" s="121"/>
      <c r="AF276" s="121"/>
      <c r="AG276" s="121"/>
      <c r="AH276" s="121"/>
    </row>
    <row r="277" spans="1:34" ht="12.75">
      <c r="A277" s="121"/>
      <c r="B277" s="121"/>
      <c r="C277" s="129"/>
      <c r="D277" s="121"/>
      <c r="E277" s="129"/>
      <c r="F277" s="129"/>
      <c r="G277" s="129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9"/>
      <c r="S277" s="121"/>
      <c r="T277" s="131"/>
      <c r="U277" s="121"/>
      <c r="V277" s="121"/>
      <c r="W277" s="121"/>
      <c r="X277" s="130"/>
      <c r="Y277" s="121"/>
      <c r="Z277" s="129"/>
      <c r="AA277" s="129"/>
      <c r="AB277" s="129"/>
      <c r="AC277" s="121"/>
      <c r="AD277" s="121"/>
      <c r="AE277" s="121"/>
      <c r="AF277" s="121"/>
      <c r="AG277" s="121"/>
      <c r="AH277" s="121"/>
    </row>
    <row r="278" spans="1:34" ht="12.75">
      <c r="A278" s="121"/>
      <c r="B278" s="121"/>
      <c r="C278" s="129"/>
      <c r="D278" s="121"/>
      <c r="E278" s="129"/>
      <c r="F278" s="129"/>
      <c r="G278" s="129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9"/>
      <c r="S278" s="121"/>
      <c r="T278" s="131"/>
      <c r="U278" s="121"/>
      <c r="V278" s="121"/>
      <c r="W278" s="121"/>
      <c r="X278" s="130"/>
      <c r="Y278" s="121"/>
      <c r="Z278" s="129"/>
      <c r="AA278" s="129"/>
      <c r="AB278" s="129"/>
      <c r="AC278" s="121"/>
      <c r="AD278" s="121"/>
      <c r="AE278" s="121"/>
      <c r="AF278" s="121"/>
      <c r="AG278" s="121"/>
      <c r="AH278" s="121"/>
    </row>
    <row r="279" spans="1:34" ht="12.75">
      <c r="A279" s="121"/>
      <c r="B279" s="121"/>
      <c r="C279" s="129"/>
      <c r="D279" s="121"/>
      <c r="E279" s="129"/>
      <c r="F279" s="129"/>
      <c r="G279" s="129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9"/>
      <c r="S279" s="121"/>
      <c r="T279" s="131"/>
      <c r="U279" s="121"/>
      <c r="V279" s="121"/>
      <c r="W279" s="121"/>
      <c r="X279" s="130"/>
      <c r="Y279" s="121"/>
      <c r="Z279" s="129"/>
      <c r="AA279" s="129"/>
      <c r="AB279" s="129"/>
      <c r="AC279" s="121"/>
      <c r="AD279" s="121"/>
      <c r="AE279" s="121"/>
      <c r="AF279" s="121"/>
      <c r="AG279" s="121"/>
      <c r="AH279" s="121"/>
    </row>
    <row r="280" spans="1:34" ht="12.75">
      <c r="A280" s="121"/>
      <c r="B280" s="121"/>
      <c r="C280" s="129"/>
      <c r="D280" s="121"/>
      <c r="E280" s="129"/>
      <c r="F280" s="129"/>
      <c r="G280" s="129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9"/>
      <c r="S280" s="121"/>
      <c r="T280" s="131"/>
      <c r="U280" s="121"/>
      <c r="V280" s="121"/>
      <c r="W280" s="121"/>
      <c r="X280" s="130"/>
      <c r="Y280" s="121"/>
      <c r="Z280" s="129"/>
      <c r="AA280" s="129"/>
      <c r="AB280" s="129"/>
      <c r="AC280" s="121"/>
      <c r="AD280" s="121"/>
      <c r="AE280" s="121"/>
      <c r="AF280" s="121"/>
      <c r="AG280" s="121"/>
      <c r="AH280" s="121"/>
    </row>
    <row r="281" spans="1:34" ht="12.75">
      <c r="A281" s="121"/>
      <c r="B281" s="121"/>
      <c r="C281" s="129"/>
      <c r="D281" s="121"/>
      <c r="E281" s="129"/>
      <c r="F281" s="129"/>
      <c r="G281" s="129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9"/>
      <c r="S281" s="121"/>
      <c r="T281" s="131"/>
      <c r="U281" s="121"/>
      <c r="V281" s="121"/>
      <c r="W281" s="121"/>
      <c r="X281" s="130"/>
      <c r="Y281" s="121"/>
      <c r="Z281" s="129"/>
      <c r="AA281" s="129"/>
      <c r="AB281" s="129"/>
      <c r="AC281" s="121"/>
      <c r="AD281" s="121"/>
      <c r="AE281" s="121"/>
      <c r="AF281" s="121"/>
      <c r="AG281" s="121"/>
      <c r="AH281" s="121"/>
    </row>
    <row r="282" spans="1:34" ht="12.75">
      <c r="A282" s="121"/>
      <c r="B282" s="121"/>
      <c r="C282" s="129"/>
      <c r="D282" s="121"/>
      <c r="E282" s="129"/>
      <c r="F282" s="129"/>
      <c r="G282" s="129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9"/>
      <c r="S282" s="121"/>
      <c r="T282" s="131"/>
      <c r="U282" s="121"/>
      <c r="V282" s="121"/>
      <c r="W282" s="121"/>
      <c r="X282" s="130"/>
      <c r="Y282" s="121"/>
      <c r="Z282" s="129"/>
      <c r="AA282" s="129"/>
      <c r="AB282" s="129"/>
      <c r="AC282" s="121"/>
      <c r="AD282" s="121"/>
      <c r="AE282" s="121"/>
      <c r="AF282" s="121"/>
      <c r="AG282" s="121"/>
      <c r="AH282" s="121"/>
    </row>
    <row r="283" spans="1:34" ht="12.75">
      <c r="A283" s="121"/>
      <c r="B283" s="121"/>
      <c r="C283" s="129"/>
      <c r="D283" s="121"/>
      <c r="E283" s="129"/>
      <c r="F283" s="129"/>
      <c r="G283" s="129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9"/>
      <c r="S283" s="121"/>
      <c r="T283" s="131"/>
      <c r="U283" s="121"/>
      <c r="V283" s="121"/>
      <c r="W283" s="121"/>
      <c r="X283" s="130"/>
      <c r="Y283" s="121"/>
      <c r="Z283" s="129"/>
      <c r="AA283" s="129"/>
      <c r="AB283" s="129"/>
      <c r="AC283" s="121"/>
      <c r="AD283" s="121"/>
      <c r="AE283" s="121"/>
      <c r="AF283" s="121"/>
      <c r="AG283" s="121"/>
      <c r="AH283" s="121"/>
    </row>
    <row r="284" spans="1:34" ht="12.75">
      <c r="A284" s="121"/>
      <c r="B284" s="121"/>
      <c r="C284" s="129"/>
      <c r="D284" s="121"/>
      <c r="E284" s="129"/>
      <c r="F284" s="129"/>
      <c r="G284" s="129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9"/>
      <c r="S284" s="121"/>
      <c r="T284" s="131"/>
      <c r="U284" s="121"/>
      <c r="V284" s="121"/>
      <c r="W284" s="121"/>
      <c r="X284" s="130"/>
      <c r="Y284" s="121"/>
      <c r="Z284" s="129"/>
      <c r="AA284" s="129"/>
      <c r="AB284" s="129"/>
      <c r="AC284" s="121"/>
      <c r="AD284" s="121"/>
      <c r="AE284" s="121"/>
      <c r="AF284" s="121"/>
      <c r="AG284" s="121"/>
      <c r="AH284" s="121"/>
    </row>
    <row r="285" spans="1:34" ht="12.75">
      <c r="A285" s="121"/>
      <c r="B285" s="121"/>
      <c r="C285" s="129"/>
      <c r="D285" s="121"/>
      <c r="E285" s="129"/>
      <c r="F285" s="129"/>
      <c r="G285" s="129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9"/>
      <c r="S285" s="121"/>
      <c r="T285" s="131"/>
      <c r="U285" s="121"/>
      <c r="V285" s="121"/>
      <c r="W285" s="121"/>
      <c r="X285" s="130"/>
      <c r="Y285" s="121"/>
      <c r="Z285" s="129"/>
      <c r="AA285" s="129"/>
      <c r="AB285" s="129"/>
      <c r="AC285" s="121"/>
      <c r="AD285" s="121"/>
      <c r="AE285" s="121"/>
      <c r="AF285" s="121"/>
      <c r="AG285" s="121"/>
      <c r="AH285" s="121"/>
    </row>
    <row r="286" spans="1:34" ht="12.75">
      <c r="A286" s="121"/>
      <c r="B286" s="121"/>
      <c r="C286" s="129"/>
      <c r="D286" s="121"/>
      <c r="E286" s="129"/>
      <c r="F286" s="129"/>
      <c r="G286" s="129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9"/>
      <c r="S286" s="121"/>
      <c r="T286" s="131"/>
      <c r="U286" s="121"/>
      <c r="V286" s="121"/>
      <c r="W286" s="121"/>
      <c r="X286" s="130"/>
      <c r="Y286" s="121"/>
      <c r="Z286" s="129"/>
      <c r="AA286" s="129"/>
      <c r="AB286" s="129"/>
      <c r="AC286" s="121"/>
      <c r="AD286" s="121"/>
      <c r="AE286" s="121"/>
      <c r="AF286" s="121"/>
      <c r="AG286" s="121"/>
      <c r="AH286" s="121"/>
    </row>
    <row r="287" spans="1:34" ht="12.75">
      <c r="A287" s="121"/>
      <c r="B287" s="121"/>
      <c r="C287" s="129"/>
      <c r="D287" s="121"/>
      <c r="E287" s="129"/>
      <c r="F287" s="129"/>
      <c r="G287" s="129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9"/>
      <c r="S287" s="121"/>
      <c r="T287" s="131"/>
      <c r="U287" s="121"/>
      <c r="V287" s="121"/>
      <c r="W287" s="121"/>
      <c r="X287" s="130"/>
      <c r="Y287" s="121"/>
      <c r="Z287" s="129"/>
      <c r="AA287" s="129"/>
      <c r="AB287" s="129"/>
      <c r="AC287" s="121"/>
      <c r="AD287" s="121"/>
      <c r="AE287" s="121"/>
      <c r="AF287" s="121"/>
      <c r="AG287" s="121"/>
      <c r="AH287" s="121"/>
    </row>
    <row r="288" spans="1:34" ht="12.75">
      <c r="A288" s="121"/>
      <c r="B288" s="121"/>
      <c r="C288" s="129"/>
      <c r="D288" s="121"/>
      <c r="E288" s="129"/>
      <c r="F288" s="129"/>
      <c r="G288" s="129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9"/>
      <c r="S288" s="121"/>
      <c r="T288" s="131"/>
      <c r="U288" s="121"/>
      <c r="V288" s="121"/>
      <c r="W288" s="121"/>
      <c r="X288" s="130"/>
      <c r="Y288" s="121"/>
      <c r="Z288" s="129"/>
      <c r="AA288" s="129"/>
      <c r="AB288" s="129"/>
      <c r="AC288" s="121"/>
      <c r="AD288" s="121"/>
      <c r="AE288" s="121"/>
      <c r="AF288" s="121"/>
      <c r="AG288" s="121"/>
      <c r="AH288" s="121"/>
    </row>
    <row r="289" spans="1:34" ht="12.75">
      <c r="A289" s="121"/>
      <c r="B289" s="121"/>
      <c r="C289" s="129"/>
      <c r="D289" s="121"/>
      <c r="E289" s="129"/>
      <c r="F289" s="129"/>
      <c r="G289" s="129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9"/>
      <c r="S289" s="121"/>
      <c r="T289" s="131"/>
      <c r="U289" s="121"/>
      <c r="V289" s="121"/>
      <c r="W289" s="121"/>
      <c r="X289" s="130"/>
      <c r="Y289" s="121"/>
      <c r="Z289" s="129"/>
      <c r="AA289" s="129"/>
      <c r="AB289" s="129"/>
      <c r="AC289" s="121"/>
      <c r="AD289" s="121"/>
      <c r="AE289" s="121"/>
      <c r="AF289" s="121"/>
      <c r="AG289" s="121"/>
      <c r="AH289" s="121"/>
    </row>
    <row r="290" spans="1:34" ht="12.75">
      <c r="A290" s="121"/>
      <c r="B290" s="121"/>
      <c r="C290" s="129"/>
      <c r="D290" s="121"/>
      <c r="E290" s="129"/>
      <c r="F290" s="129"/>
      <c r="G290" s="129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9"/>
      <c r="S290" s="121"/>
      <c r="T290" s="131"/>
      <c r="U290" s="121"/>
      <c r="V290" s="121"/>
      <c r="W290" s="121"/>
      <c r="X290" s="130"/>
      <c r="Y290" s="121"/>
      <c r="Z290" s="129"/>
      <c r="AA290" s="129"/>
      <c r="AB290" s="129"/>
      <c r="AC290" s="121"/>
      <c r="AD290" s="121"/>
      <c r="AE290" s="121"/>
      <c r="AF290" s="121"/>
      <c r="AG290" s="121"/>
      <c r="AH290" s="121"/>
    </row>
    <row r="291" spans="1:34" ht="12.75">
      <c r="A291" s="121"/>
      <c r="B291" s="121"/>
      <c r="C291" s="129"/>
      <c r="D291" s="121"/>
      <c r="E291" s="129"/>
      <c r="F291" s="129"/>
      <c r="G291" s="129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9"/>
      <c r="S291" s="121"/>
      <c r="T291" s="131"/>
      <c r="U291" s="121"/>
      <c r="V291" s="121"/>
      <c r="W291" s="121"/>
      <c r="X291" s="130"/>
      <c r="Y291" s="121"/>
      <c r="Z291" s="129"/>
      <c r="AA291" s="129"/>
      <c r="AB291" s="129"/>
      <c r="AC291" s="121"/>
      <c r="AD291" s="121"/>
      <c r="AE291" s="121"/>
      <c r="AF291" s="121"/>
      <c r="AG291" s="121"/>
      <c r="AH291" s="121"/>
    </row>
    <row r="292" spans="1:34" ht="12.75">
      <c r="A292" s="121"/>
      <c r="B292" s="121"/>
      <c r="C292" s="129"/>
      <c r="D292" s="121"/>
      <c r="E292" s="129"/>
      <c r="F292" s="129"/>
      <c r="G292" s="129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9"/>
      <c r="S292" s="121"/>
      <c r="T292" s="131"/>
      <c r="U292" s="121"/>
      <c r="V292" s="121"/>
      <c r="W292" s="121"/>
      <c r="X292" s="130"/>
      <c r="Y292" s="121"/>
      <c r="Z292" s="129"/>
      <c r="AA292" s="129"/>
      <c r="AB292" s="129"/>
      <c r="AC292" s="121"/>
      <c r="AD292" s="121"/>
      <c r="AE292" s="121"/>
      <c r="AF292" s="121"/>
      <c r="AG292" s="121"/>
      <c r="AH292" s="121"/>
    </row>
    <row r="293" spans="1:34" ht="12.75">
      <c r="A293" s="121"/>
      <c r="B293" s="121"/>
      <c r="C293" s="129"/>
      <c r="D293" s="121"/>
      <c r="E293" s="129"/>
      <c r="F293" s="129"/>
      <c r="G293" s="129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9"/>
      <c r="S293" s="121"/>
      <c r="T293" s="131"/>
      <c r="U293" s="121"/>
      <c r="V293" s="121"/>
      <c r="W293" s="121"/>
      <c r="X293" s="130"/>
      <c r="Y293" s="121"/>
      <c r="Z293" s="129"/>
      <c r="AA293" s="129"/>
      <c r="AB293" s="129"/>
      <c r="AC293" s="121"/>
      <c r="AD293" s="121"/>
      <c r="AE293" s="121"/>
      <c r="AF293" s="121"/>
      <c r="AG293" s="121"/>
      <c r="AH293" s="121"/>
    </row>
    <row r="294" spans="1:34" ht="12.75">
      <c r="A294" s="121"/>
      <c r="B294" s="121"/>
      <c r="C294" s="129"/>
      <c r="D294" s="121"/>
      <c r="E294" s="129"/>
      <c r="F294" s="129"/>
      <c r="G294" s="129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9"/>
      <c r="S294" s="121"/>
      <c r="T294" s="131"/>
      <c r="U294" s="121"/>
      <c r="V294" s="121"/>
      <c r="W294" s="121"/>
      <c r="X294" s="130"/>
      <c r="Y294" s="121"/>
      <c r="Z294" s="129"/>
      <c r="AA294" s="129"/>
      <c r="AB294" s="129"/>
      <c r="AC294" s="121"/>
      <c r="AD294" s="121"/>
      <c r="AE294" s="121"/>
      <c r="AF294" s="121"/>
      <c r="AG294" s="121"/>
      <c r="AH294" s="121"/>
    </row>
    <row r="295" spans="1:34" ht="12.75">
      <c r="A295" s="121"/>
      <c r="B295" s="121"/>
      <c r="C295" s="129"/>
      <c r="D295" s="121"/>
      <c r="E295" s="129"/>
      <c r="F295" s="129"/>
      <c r="G295" s="129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9"/>
      <c r="S295" s="121"/>
      <c r="T295" s="131"/>
      <c r="U295" s="121"/>
      <c r="V295" s="121"/>
      <c r="W295" s="121"/>
      <c r="X295" s="130"/>
      <c r="Y295" s="121"/>
      <c r="Z295" s="129"/>
      <c r="AA295" s="129"/>
      <c r="AB295" s="129"/>
      <c r="AC295" s="121"/>
      <c r="AD295" s="121"/>
      <c r="AE295" s="121"/>
      <c r="AF295" s="121"/>
      <c r="AG295" s="121"/>
      <c r="AH295" s="121"/>
    </row>
    <row r="296" spans="1:34" ht="12.75">
      <c r="A296" s="121"/>
      <c r="B296" s="121"/>
      <c r="C296" s="129"/>
      <c r="D296" s="121"/>
      <c r="E296" s="129"/>
      <c r="F296" s="129"/>
      <c r="G296" s="129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9"/>
      <c r="S296" s="121"/>
      <c r="T296" s="131"/>
      <c r="U296" s="121"/>
      <c r="V296" s="121"/>
      <c r="W296" s="121"/>
      <c r="X296" s="130"/>
      <c r="Y296" s="121"/>
      <c r="Z296" s="129"/>
      <c r="AA296" s="129"/>
      <c r="AB296" s="129"/>
      <c r="AC296" s="121"/>
      <c r="AD296" s="121"/>
      <c r="AE296" s="121"/>
      <c r="AF296" s="121"/>
      <c r="AG296" s="121"/>
      <c r="AH296" s="121"/>
    </row>
    <row r="297" spans="1:34" ht="12.75">
      <c r="A297" s="121"/>
      <c r="B297" s="121"/>
      <c r="C297" s="129"/>
      <c r="D297" s="121"/>
      <c r="E297" s="129"/>
      <c r="F297" s="129"/>
      <c r="G297" s="129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9"/>
      <c r="S297" s="121"/>
      <c r="T297" s="131"/>
      <c r="U297" s="121"/>
      <c r="V297" s="121"/>
      <c r="W297" s="121"/>
      <c r="X297" s="130"/>
      <c r="Y297" s="121"/>
      <c r="Z297" s="129"/>
      <c r="AA297" s="129"/>
      <c r="AB297" s="129"/>
      <c r="AC297" s="121"/>
      <c r="AD297" s="121"/>
      <c r="AE297" s="121"/>
      <c r="AF297" s="121"/>
      <c r="AG297" s="121"/>
      <c r="AH297" s="121"/>
    </row>
    <row r="298" spans="1:34" ht="12.75">
      <c r="A298" s="121"/>
      <c r="B298" s="121"/>
      <c r="C298" s="129"/>
      <c r="D298" s="121"/>
      <c r="E298" s="129"/>
      <c r="F298" s="129"/>
      <c r="G298" s="129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9"/>
      <c r="S298" s="121"/>
      <c r="T298" s="131"/>
      <c r="U298" s="121"/>
      <c r="V298" s="121"/>
      <c r="W298" s="121"/>
      <c r="X298" s="130"/>
      <c r="Y298" s="121"/>
      <c r="Z298" s="129"/>
      <c r="AA298" s="129"/>
      <c r="AB298" s="129"/>
      <c r="AC298" s="121"/>
      <c r="AD298" s="121"/>
      <c r="AE298" s="121"/>
      <c r="AF298" s="121"/>
      <c r="AG298" s="121"/>
      <c r="AH298" s="121"/>
    </row>
    <row r="299" spans="1:34" ht="12.75">
      <c r="A299" s="121"/>
      <c r="B299" s="121"/>
      <c r="C299" s="129"/>
      <c r="D299" s="121"/>
      <c r="E299" s="129"/>
      <c r="F299" s="129"/>
      <c r="G299" s="129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9"/>
      <c r="S299" s="121"/>
      <c r="T299" s="131"/>
      <c r="U299" s="121"/>
      <c r="V299" s="121"/>
      <c r="W299" s="121"/>
      <c r="X299" s="130"/>
      <c r="Y299" s="121"/>
      <c r="Z299" s="129"/>
      <c r="AA299" s="129"/>
      <c r="AB299" s="129"/>
      <c r="AC299" s="121"/>
      <c r="AD299" s="121"/>
      <c r="AE299" s="121"/>
      <c r="AF299" s="121"/>
      <c r="AG299" s="121"/>
      <c r="AH299" s="121"/>
    </row>
    <row r="300" spans="1:34" ht="12.75">
      <c r="A300" s="121"/>
      <c r="B300" s="121"/>
      <c r="C300" s="129"/>
      <c r="D300" s="121"/>
      <c r="E300" s="129"/>
      <c r="F300" s="129"/>
      <c r="G300" s="129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9"/>
      <c r="S300" s="121"/>
      <c r="T300" s="131"/>
      <c r="U300" s="121"/>
      <c r="V300" s="121"/>
      <c r="W300" s="121"/>
      <c r="X300" s="130"/>
      <c r="Y300" s="121"/>
      <c r="Z300" s="129"/>
      <c r="AA300" s="129"/>
      <c r="AB300" s="129"/>
      <c r="AC300" s="121"/>
      <c r="AD300" s="121"/>
      <c r="AE300" s="121"/>
      <c r="AF300" s="121"/>
      <c r="AG300" s="121"/>
      <c r="AH300" s="121"/>
    </row>
    <row r="301" spans="1:34" ht="12.75">
      <c r="A301" s="121"/>
      <c r="B301" s="121"/>
      <c r="C301" s="129"/>
      <c r="D301" s="121"/>
      <c r="E301" s="129"/>
      <c r="F301" s="129"/>
      <c r="G301" s="129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9"/>
      <c r="S301" s="121"/>
      <c r="T301" s="131"/>
      <c r="U301" s="121"/>
      <c r="V301" s="121"/>
      <c r="W301" s="121"/>
      <c r="X301" s="130"/>
      <c r="Y301" s="121"/>
      <c r="Z301" s="129"/>
      <c r="AA301" s="129"/>
      <c r="AB301" s="129"/>
      <c r="AC301" s="121"/>
      <c r="AD301" s="121"/>
      <c r="AE301" s="121"/>
      <c r="AF301" s="121"/>
      <c r="AG301" s="121"/>
      <c r="AH301" s="121"/>
    </row>
    <row r="302" spans="1:34" ht="12.75">
      <c r="A302" s="121"/>
      <c r="B302" s="121"/>
      <c r="C302" s="129"/>
      <c r="D302" s="121"/>
      <c r="E302" s="129"/>
      <c r="F302" s="129"/>
      <c r="G302" s="129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9"/>
      <c r="S302" s="121"/>
      <c r="T302" s="131"/>
      <c r="U302" s="121"/>
      <c r="V302" s="121"/>
      <c r="W302" s="121"/>
      <c r="X302" s="130"/>
      <c r="Y302" s="121"/>
      <c r="Z302" s="129"/>
      <c r="AA302" s="129"/>
      <c r="AB302" s="129"/>
      <c r="AC302" s="121"/>
      <c r="AD302" s="121"/>
      <c r="AE302" s="121"/>
      <c r="AF302" s="121"/>
      <c r="AG302" s="121"/>
      <c r="AH302" s="121"/>
    </row>
    <row r="303" spans="1:34" ht="12.75">
      <c r="A303" s="121"/>
      <c r="B303" s="121"/>
      <c r="C303" s="129"/>
      <c r="D303" s="121"/>
      <c r="E303" s="129"/>
      <c r="F303" s="129"/>
      <c r="G303" s="129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9"/>
      <c r="S303" s="121"/>
      <c r="T303" s="131"/>
      <c r="U303" s="121"/>
      <c r="V303" s="121"/>
      <c r="W303" s="121"/>
      <c r="X303" s="130"/>
      <c r="Y303" s="121"/>
      <c r="Z303" s="129"/>
      <c r="AA303" s="129"/>
      <c r="AB303" s="129"/>
      <c r="AC303" s="121"/>
      <c r="AD303" s="121"/>
      <c r="AE303" s="121"/>
      <c r="AF303" s="121"/>
      <c r="AG303" s="121"/>
      <c r="AH303" s="121"/>
    </row>
    <row r="304" spans="1:34" ht="12.75">
      <c r="A304" s="121"/>
      <c r="B304" s="121"/>
      <c r="C304" s="129"/>
      <c r="D304" s="121"/>
      <c r="E304" s="129"/>
      <c r="F304" s="129"/>
      <c r="G304" s="129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9"/>
      <c r="S304" s="121"/>
      <c r="T304" s="131"/>
      <c r="U304" s="121"/>
      <c r="V304" s="121"/>
      <c r="W304" s="121"/>
      <c r="X304" s="130"/>
      <c r="Y304" s="121"/>
      <c r="Z304" s="129"/>
      <c r="AA304" s="129"/>
      <c r="AB304" s="129"/>
      <c r="AC304" s="121"/>
      <c r="AD304" s="121"/>
      <c r="AE304" s="121"/>
      <c r="AF304" s="121"/>
      <c r="AG304" s="121"/>
      <c r="AH304" s="121"/>
    </row>
    <row r="305" spans="1:34" ht="12.75">
      <c r="A305" s="121"/>
      <c r="B305" s="121"/>
      <c r="C305" s="129"/>
      <c r="D305" s="121"/>
      <c r="E305" s="129"/>
      <c r="F305" s="129"/>
      <c r="G305" s="129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9"/>
      <c r="S305" s="121"/>
      <c r="T305" s="131"/>
      <c r="U305" s="121"/>
      <c r="V305" s="121"/>
      <c r="W305" s="121"/>
      <c r="X305" s="130"/>
      <c r="Y305" s="121"/>
      <c r="Z305" s="129"/>
      <c r="AA305" s="129"/>
      <c r="AB305" s="129"/>
      <c r="AC305" s="121"/>
      <c r="AD305" s="121"/>
      <c r="AE305" s="121"/>
      <c r="AF305" s="121"/>
      <c r="AG305" s="121"/>
      <c r="AH305" s="121"/>
    </row>
    <row r="306" spans="1:34" ht="12.75">
      <c r="A306" s="121"/>
      <c r="B306" s="121"/>
      <c r="C306" s="129"/>
      <c r="D306" s="121"/>
      <c r="E306" s="129"/>
      <c r="F306" s="129"/>
      <c r="G306" s="129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9"/>
      <c r="S306" s="121"/>
      <c r="T306" s="131"/>
      <c r="U306" s="121"/>
      <c r="V306" s="121"/>
      <c r="W306" s="121"/>
      <c r="X306" s="130"/>
      <c r="Y306" s="121"/>
      <c r="Z306" s="129"/>
      <c r="AA306" s="129"/>
      <c r="AB306" s="129"/>
      <c r="AC306" s="121"/>
      <c r="AD306" s="121"/>
      <c r="AE306" s="121"/>
      <c r="AF306" s="121"/>
      <c r="AG306" s="121"/>
      <c r="AH306" s="121"/>
    </row>
    <row r="307" spans="1:34" ht="12.75">
      <c r="A307" s="121"/>
      <c r="B307" s="121"/>
      <c r="C307" s="129"/>
      <c r="D307" s="121"/>
      <c r="E307" s="129"/>
      <c r="F307" s="129"/>
      <c r="G307" s="129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9"/>
      <c r="S307" s="121"/>
      <c r="T307" s="131"/>
      <c r="U307" s="121"/>
      <c r="V307" s="121"/>
      <c r="W307" s="121"/>
      <c r="X307" s="130"/>
      <c r="Y307" s="121"/>
      <c r="Z307" s="129"/>
      <c r="AA307" s="129"/>
      <c r="AB307" s="129"/>
      <c r="AC307" s="121"/>
      <c r="AD307" s="121"/>
      <c r="AE307" s="121"/>
      <c r="AF307" s="121"/>
      <c r="AG307" s="121"/>
      <c r="AH307" s="121"/>
    </row>
    <row r="308" spans="1:34" ht="12.75">
      <c r="A308" s="121"/>
      <c r="B308" s="121"/>
      <c r="C308" s="129"/>
      <c r="D308" s="121"/>
      <c r="E308" s="129"/>
      <c r="F308" s="129"/>
      <c r="G308" s="129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9"/>
      <c r="S308" s="121"/>
      <c r="T308" s="131"/>
      <c r="U308" s="121"/>
      <c r="V308" s="121"/>
      <c r="W308" s="121"/>
      <c r="X308" s="130"/>
      <c r="Y308" s="121"/>
      <c r="Z308" s="129"/>
      <c r="AA308" s="129"/>
      <c r="AB308" s="129"/>
      <c r="AC308" s="121"/>
      <c r="AD308" s="121"/>
      <c r="AE308" s="121"/>
      <c r="AF308" s="121"/>
      <c r="AG308" s="121"/>
      <c r="AH308" s="121"/>
    </row>
    <row r="309" spans="1:34" ht="12.75">
      <c r="A309" s="121"/>
      <c r="B309" s="121"/>
      <c r="C309" s="129"/>
      <c r="D309" s="121"/>
      <c r="E309" s="129"/>
      <c r="F309" s="129"/>
      <c r="G309" s="129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9"/>
      <c r="S309" s="121"/>
      <c r="T309" s="131"/>
      <c r="U309" s="121"/>
      <c r="V309" s="121"/>
      <c r="W309" s="121"/>
      <c r="X309" s="130"/>
      <c r="Y309" s="121"/>
      <c r="Z309" s="129"/>
      <c r="AA309" s="129"/>
      <c r="AB309" s="129"/>
      <c r="AC309" s="121"/>
      <c r="AD309" s="121"/>
      <c r="AE309" s="121"/>
      <c r="AF309" s="121"/>
      <c r="AG309" s="121"/>
      <c r="AH309" s="121"/>
    </row>
    <row r="310" spans="1:34" ht="12.75">
      <c r="A310" s="121"/>
      <c r="B310" s="121"/>
      <c r="C310" s="129"/>
      <c r="D310" s="121"/>
      <c r="E310" s="129"/>
      <c r="F310" s="129"/>
      <c r="G310" s="129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9"/>
      <c r="S310" s="121"/>
      <c r="T310" s="131"/>
      <c r="U310" s="121"/>
      <c r="V310" s="121"/>
      <c r="W310" s="121"/>
      <c r="X310" s="130"/>
      <c r="Y310" s="121"/>
      <c r="Z310" s="129"/>
      <c r="AA310" s="129"/>
      <c r="AB310" s="129"/>
      <c r="AC310" s="121"/>
      <c r="AD310" s="121"/>
      <c r="AE310" s="121"/>
      <c r="AF310" s="121"/>
      <c r="AG310" s="121"/>
      <c r="AH310" s="121"/>
    </row>
    <row r="311" spans="1:34" ht="12.75">
      <c r="A311" s="121"/>
      <c r="B311" s="121"/>
      <c r="C311" s="129"/>
      <c r="D311" s="121"/>
      <c r="E311" s="129"/>
      <c r="F311" s="129"/>
      <c r="G311" s="129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9"/>
      <c r="S311" s="121"/>
      <c r="T311" s="131"/>
      <c r="U311" s="121"/>
      <c r="V311" s="121"/>
      <c r="W311" s="121"/>
      <c r="X311" s="130"/>
      <c r="Y311" s="121"/>
      <c r="Z311" s="129"/>
      <c r="AA311" s="129"/>
      <c r="AB311" s="129"/>
      <c r="AC311" s="121"/>
      <c r="AD311" s="121"/>
      <c r="AE311" s="121"/>
      <c r="AF311" s="121"/>
      <c r="AG311" s="121"/>
      <c r="AH311" s="121"/>
    </row>
    <row r="312" spans="1:34" ht="12.75">
      <c r="A312" s="121"/>
      <c r="B312" s="121"/>
      <c r="C312" s="129"/>
      <c r="D312" s="121"/>
      <c r="E312" s="129"/>
      <c r="F312" s="129"/>
      <c r="G312" s="129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9"/>
      <c r="S312" s="121"/>
      <c r="T312" s="131"/>
      <c r="U312" s="121"/>
      <c r="V312" s="121"/>
      <c r="W312" s="121"/>
      <c r="X312" s="130"/>
      <c r="Y312" s="121"/>
      <c r="Z312" s="129"/>
      <c r="AA312" s="129"/>
      <c r="AB312" s="129"/>
      <c r="AC312" s="121"/>
      <c r="AD312" s="121"/>
      <c r="AE312" s="121"/>
      <c r="AF312" s="121"/>
      <c r="AG312" s="121"/>
      <c r="AH312" s="121"/>
    </row>
    <row r="313" spans="1:34" ht="12.75">
      <c r="A313" s="121"/>
      <c r="B313" s="121"/>
      <c r="C313" s="129"/>
      <c r="D313" s="121"/>
      <c r="E313" s="129"/>
      <c r="F313" s="129"/>
      <c r="G313" s="129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9"/>
      <c r="S313" s="121"/>
      <c r="T313" s="131"/>
      <c r="U313" s="121"/>
      <c r="V313" s="121"/>
      <c r="W313" s="121"/>
      <c r="X313" s="130"/>
      <c r="Y313" s="121"/>
      <c r="Z313" s="129"/>
      <c r="AA313" s="129"/>
      <c r="AB313" s="129"/>
      <c r="AC313" s="121"/>
      <c r="AD313" s="121"/>
      <c r="AE313" s="121"/>
      <c r="AF313" s="121"/>
      <c r="AG313" s="121"/>
      <c r="AH313" s="121"/>
    </row>
    <row r="314" spans="1:34" ht="12.75">
      <c r="A314" s="121"/>
      <c r="B314" s="121"/>
      <c r="C314" s="129"/>
      <c r="D314" s="121"/>
      <c r="E314" s="129"/>
      <c r="F314" s="129"/>
      <c r="G314" s="129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9"/>
      <c r="S314" s="121"/>
      <c r="T314" s="131"/>
      <c r="U314" s="121"/>
      <c r="V314" s="121"/>
      <c r="W314" s="121"/>
      <c r="X314" s="130"/>
      <c r="Y314" s="121"/>
      <c r="Z314" s="129"/>
      <c r="AA314" s="129"/>
      <c r="AB314" s="129"/>
      <c r="AC314" s="121"/>
      <c r="AD314" s="121"/>
      <c r="AE314" s="121"/>
      <c r="AF314" s="121"/>
      <c r="AG314" s="121"/>
      <c r="AH314" s="121"/>
    </row>
    <row r="315" spans="1:34" ht="12.75">
      <c r="A315" s="121"/>
      <c r="B315" s="121"/>
      <c r="C315" s="129"/>
      <c r="D315" s="121"/>
      <c r="E315" s="129"/>
      <c r="F315" s="129"/>
      <c r="G315" s="129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9"/>
      <c r="S315" s="121"/>
      <c r="T315" s="131"/>
      <c r="U315" s="121"/>
      <c r="V315" s="121"/>
      <c r="W315" s="121"/>
      <c r="X315" s="130"/>
      <c r="Y315" s="121"/>
      <c r="Z315" s="129"/>
      <c r="AA315" s="129"/>
      <c r="AB315" s="129"/>
      <c r="AC315" s="121"/>
      <c r="AD315" s="121"/>
      <c r="AE315" s="121"/>
      <c r="AF315" s="121"/>
      <c r="AG315" s="121"/>
      <c r="AH315" s="121"/>
    </row>
    <row r="316" spans="1:34" ht="12.75">
      <c r="A316" s="121"/>
      <c r="B316" s="121"/>
      <c r="C316" s="129"/>
      <c r="D316" s="121"/>
      <c r="E316" s="129"/>
      <c r="F316" s="129"/>
      <c r="G316" s="129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9"/>
      <c r="S316" s="121"/>
      <c r="T316" s="131"/>
      <c r="U316" s="121"/>
      <c r="V316" s="121"/>
      <c r="W316" s="121"/>
      <c r="X316" s="130"/>
      <c r="Y316" s="121"/>
      <c r="Z316" s="129"/>
      <c r="AA316" s="129"/>
      <c r="AB316" s="129"/>
      <c r="AC316" s="121"/>
      <c r="AD316" s="121"/>
      <c r="AE316" s="121"/>
      <c r="AF316" s="121"/>
      <c r="AG316" s="121"/>
      <c r="AH316" s="121"/>
    </row>
    <row r="317" spans="1:34" ht="12.75">
      <c r="A317" s="121"/>
      <c r="B317" s="121"/>
      <c r="C317" s="129"/>
      <c r="D317" s="121"/>
      <c r="E317" s="129"/>
      <c r="F317" s="129"/>
      <c r="G317" s="129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9"/>
      <c r="S317" s="121"/>
      <c r="T317" s="131"/>
      <c r="U317" s="121"/>
      <c r="V317" s="121"/>
      <c r="W317" s="121"/>
      <c r="X317" s="130"/>
      <c r="Y317" s="121"/>
      <c r="Z317" s="129"/>
      <c r="AA317" s="129"/>
      <c r="AB317" s="129"/>
      <c r="AC317" s="121"/>
      <c r="AD317" s="121"/>
      <c r="AE317" s="121"/>
      <c r="AF317" s="121"/>
      <c r="AG317" s="121"/>
      <c r="AH317" s="121"/>
    </row>
    <row r="318" spans="1:34" ht="12.75">
      <c r="A318" s="121"/>
      <c r="B318" s="121"/>
      <c r="C318" s="129"/>
      <c r="D318" s="121"/>
      <c r="E318" s="129"/>
      <c r="F318" s="129"/>
      <c r="G318" s="129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9"/>
      <c r="S318" s="121"/>
      <c r="T318" s="131"/>
      <c r="U318" s="121"/>
      <c r="V318" s="121"/>
      <c r="W318" s="121"/>
      <c r="X318" s="130"/>
      <c r="Y318" s="121"/>
      <c r="Z318" s="129"/>
      <c r="AA318" s="129"/>
      <c r="AB318" s="129"/>
      <c r="AC318" s="121"/>
      <c r="AD318" s="121"/>
      <c r="AE318" s="121"/>
      <c r="AF318" s="121"/>
      <c r="AG318" s="121"/>
      <c r="AH318" s="121"/>
    </row>
    <row r="319" spans="1:34" ht="12.75">
      <c r="A319" s="121"/>
      <c r="B319" s="121"/>
      <c r="C319" s="129"/>
      <c r="D319" s="121"/>
      <c r="E319" s="129"/>
      <c r="F319" s="129"/>
      <c r="G319" s="129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9"/>
      <c r="S319" s="121"/>
      <c r="T319" s="131"/>
      <c r="U319" s="121"/>
      <c r="V319" s="121"/>
      <c r="W319" s="121"/>
      <c r="X319" s="130"/>
      <c r="Y319" s="121"/>
      <c r="Z319" s="129"/>
      <c r="AA319" s="129"/>
      <c r="AB319" s="129"/>
      <c r="AC319" s="121"/>
      <c r="AD319" s="121"/>
      <c r="AE319" s="121"/>
      <c r="AF319" s="121"/>
      <c r="AG319" s="121"/>
      <c r="AH319" s="121"/>
    </row>
    <row r="320" spans="1:34" ht="12.75">
      <c r="A320" s="121"/>
      <c r="B320" s="121"/>
      <c r="C320" s="129"/>
      <c r="D320" s="121"/>
      <c r="E320" s="129"/>
      <c r="F320" s="129"/>
      <c r="G320" s="129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9"/>
      <c r="S320" s="121"/>
      <c r="T320" s="131"/>
      <c r="U320" s="121"/>
      <c r="V320" s="121"/>
      <c r="W320" s="121"/>
      <c r="X320" s="130"/>
      <c r="Y320" s="121"/>
      <c r="Z320" s="129"/>
      <c r="AA320" s="129"/>
      <c r="AB320" s="129"/>
      <c r="AC320" s="121"/>
      <c r="AD320" s="121"/>
      <c r="AE320" s="121"/>
      <c r="AF320" s="121"/>
      <c r="AG320" s="121"/>
      <c r="AH320" s="121"/>
    </row>
    <row r="321" spans="1:34" ht="12.75">
      <c r="A321" s="121"/>
      <c r="B321" s="121"/>
      <c r="C321" s="129"/>
      <c r="D321" s="121"/>
      <c r="E321" s="129"/>
      <c r="F321" s="129"/>
      <c r="G321" s="129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9"/>
      <c r="S321" s="121"/>
      <c r="T321" s="131"/>
      <c r="U321" s="121"/>
      <c r="V321" s="121"/>
      <c r="W321" s="121"/>
      <c r="X321" s="130"/>
      <c r="Y321" s="121"/>
      <c r="Z321" s="129"/>
      <c r="AA321" s="129"/>
      <c r="AB321" s="129"/>
      <c r="AC321" s="121"/>
      <c r="AD321" s="121"/>
      <c r="AE321" s="121"/>
      <c r="AF321" s="121"/>
      <c r="AG321" s="121"/>
      <c r="AH321" s="121"/>
    </row>
    <row r="322" spans="1:34" ht="12.75">
      <c r="A322" s="121"/>
      <c r="B322" s="121"/>
      <c r="C322" s="129"/>
      <c r="D322" s="121"/>
      <c r="E322" s="129"/>
      <c r="F322" s="129"/>
      <c r="G322" s="129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9"/>
      <c r="S322" s="121"/>
      <c r="T322" s="131"/>
      <c r="U322" s="121"/>
      <c r="V322" s="121"/>
      <c r="W322" s="121"/>
      <c r="X322" s="130"/>
      <c r="Y322" s="121"/>
      <c r="Z322" s="129"/>
      <c r="AA322" s="129"/>
      <c r="AB322" s="129"/>
      <c r="AC322" s="121"/>
      <c r="AD322" s="121"/>
      <c r="AE322" s="121"/>
      <c r="AF322" s="121"/>
      <c r="AG322" s="121"/>
      <c r="AH322" s="121"/>
    </row>
    <row r="323" spans="1:34" ht="12.75">
      <c r="A323" s="121"/>
      <c r="B323" s="121"/>
      <c r="C323" s="129"/>
      <c r="D323" s="121"/>
      <c r="E323" s="129"/>
      <c r="F323" s="129"/>
      <c r="G323" s="129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9"/>
      <c r="S323" s="121"/>
      <c r="T323" s="131"/>
      <c r="U323" s="121"/>
      <c r="V323" s="121"/>
      <c r="W323" s="121"/>
      <c r="X323" s="130"/>
      <c r="Y323" s="121"/>
      <c r="Z323" s="129"/>
      <c r="AA323" s="129"/>
      <c r="AB323" s="129"/>
      <c r="AC323" s="121"/>
      <c r="AD323" s="121"/>
      <c r="AE323" s="121"/>
      <c r="AF323" s="121"/>
      <c r="AG323" s="121"/>
      <c r="AH323" s="121"/>
    </row>
    <row r="324" spans="1:34" ht="12.75">
      <c r="A324" s="121"/>
      <c r="B324" s="121"/>
      <c r="C324" s="129"/>
      <c r="D324" s="121"/>
      <c r="E324" s="129"/>
      <c r="F324" s="129"/>
      <c r="G324" s="129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9"/>
      <c r="S324" s="121"/>
      <c r="T324" s="131"/>
      <c r="U324" s="121"/>
      <c r="V324" s="121"/>
      <c r="W324" s="121"/>
      <c r="X324" s="130"/>
      <c r="Y324" s="121"/>
      <c r="Z324" s="129"/>
      <c r="AA324" s="129"/>
      <c r="AB324" s="129"/>
      <c r="AC324" s="121"/>
      <c r="AD324" s="121"/>
      <c r="AE324" s="121"/>
      <c r="AF324" s="121"/>
      <c r="AG324" s="121"/>
      <c r="AH324" s="121"/>
    </row>
    <row r="325" spans="1:34" ht="12.75">
      <c r="A325" s="121"/>
      <c r="B325" s="121"/>
      <c r="C325" s="129"/>
      <c r="D325" s="121"/>
      <c r="E325" s="129"/>
      <c r="F325" s="129"/>
      <c r="G325" s="129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9"/>
      <c r="S325" s="121"/>
      <c r="T325" s="131"/>
      <c r="U325" s="121"/>
      <c r="V325" s="121"/>
      <c r="W325" s="121"/>
      <c r="X325" s="130"/>
      <c r="Y325" s="121"/>
      <c r="Z325" s="129"/>
      <c r="AA325" s="129"/>
      <c r="AB325" s="129"/>
      <c r="AC325" s="121"/>
      <c r="AD325" s="121"/>
      <c r="AE325" s="121"/>
      <c r="AF325" s="121"/>
      <c r="AG325" s="121"/>
      <c r="AH325" s="121"/>
    </row>
    <row r="326" spans="1:34" ht="12.75">
      <c r="A326" s="121"/>
      <c r="B326" s="121"/>
      <c r="C326" s="129"/>
      <c r="D326" s="121"/>
      <c r="E326" s="129"/>
      <c r="F326" s="129"/>
      <c r="G326" s="129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9"/>
      <c r="S326" s="121"/>
      <c r="T326" s="131"/>
      <c r="U326" s="121"/>
      <c r="V326" s="121"/>
      <c r="W326" s="121"/>
      <c r="X326" s="130"/>
      <c r="Y326" s="121"/>
      <c r="Z326" s="129"/>
      <c r="AA326" s="129"/>
      <c r="AB326" s="129"/>
      <c r="AC326" s="121"/>
      <c r="AD326" s="121"/>
      <c r="AE326" s="121"/>
      <c r="AF326" s="121"/>
      <c r="AG326" s="121"/>
      <c r="AH326" s="121"/>
    </row>
    <row r="327" spans="1:34" ht="12.75">
      <c r="A327" s="121"/>
      <c r="B327" s="121"/>
      <c r="C327" s="129"/>
      <c r="D327" s="121"/>
      <c r="E327" s="129"/>
      <c r="F327" s="129"/>
      <c r="G327" s="129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9"/>
      <c r="S327" s="121"/>
      <c r="T327" s="131"/>
      <c r="U327" s="121"/>
      <c r="V327" s="121"/>
      <c r="W327" s="121"/>
      <c r="X327" s="130"/>
      <c r="Y327" s="121"/>
      <c r="Z327" s="129"/>
      <c r="AA327" s="129"/>
      <c r="AB327" s="129"/>
      <c r="AC327" s="121"/>
      <c r="AD327" s="121"/>
      <c r="AE327" s="121"/>
      <c r="AF327" s="121"/>
      <c r="AG327" s="121"/>
      <c r="AH327" s="121"/>
    </row>
    <row r="328" spans="1:34" ht="12.75">
      <c r="A328" s="121"/>
      <c r="B328" s="121"/>
      <c r="C328" s="129"/>
      <c r="D328" s="121"/>
      <c r="E328" s="129"/>
      <c r="F328" s="129"/>
      <c r="G328" s="129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9"/>
      <c r="S328" s="121"/>
      <c r="T328" s="131"/>
      <c r="U328" s="121"/>
      <c r="V328" s="121"/>
      <c r="W328" s="121"/>
      <c r="X328" s="130"/>
      <c r="Y328" s="121"/>
      <c r="Z328" s="129"/>
      <c r="AA328" s="129"/>
      <c r="AB328" s="129"/>
      <c r="AC328" s="121"/>
      <c r="AD328" s="121"/>
      <c r="AE328" s="121"/>
      <c r="AF328" s="121"/>
      <c r="AG328" s="121"/>
      <c r="AH328" s="121"/>
    </row>
    <row r="329" spans="1:34" ht="12.75">
      <c r="A329" s="121"/>
      <c r="B329" s="121"/>
      <c r="C329" s="129"/>
      <c r="D329" s="121"/>
      <c r="E329" s="129"/>
      <c r="F329" s="129"/>
      <c r="G329" s="129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9"/>
      <c r="S329" s="121"/>
      <c r="T329" s="131"/>
      <c r="U329" s="121"/>
      <c r="V329" s="121"/>
      <c r="W329" s="121"/>
      <c r="X329" s="130"/>
      <c r="Y329" s="121"/>
      <c r="Z329" s="129"/>
      <c r="AA329" s="129"/>
      <c r="AB329" s="129"/>
      <c r="AC329" s="121"/>
      <c r="AD329" s="121"/>
      <c r="AE329" s="121"/>
      <c r="AF329" s="121"/>
      <c r="AG329" s="121"/>
      <c r="AH329" s="121"/>
    </row>
    <row r="330" spans="1:34" ht="12.75">
      <c r="A330" s="121"/>
      <c r="B330" s="121"/>
      <c r="C330" s="129"/>
      <c r="D330" s="121"/>
      <c r="E330" s="129"/>
      <c r="F330" s="129"/>
      <c r="G330" s="129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9"/>
      <c r="S330" s="121"/>
      <c r="T330" s="131"/>
      <c r="U330" s="121"/>
      <c r="V330" s="121"/>
      <c r="W330" s="121"/>
      <c r="X330" s="130"/>
      <c r="Y330" s="121"/>
      <c r="Z330" s="129"/>
      <c r="AA330" s="129"/>
      <c r="AB330" s="129"/>
      <c r="AC330" s="121"/>
      <c r="AD330" s="121"/>
      <c r="AE330" s="121"/>
      <c r="AF330" s="121"/>
      <c r="AG330" s="121"/>
      <c r="AH330" s="121"/>
    </row>
    <row r="331" spans="1:34" ht="12.75">
      <c r="A331" s="121"/>
      <c r="B331" s="121"/>
      <c r="C331" s="129"/>
      <c r="D331" s="121"/>
      <c r="E331" s="129"/>
      <c r="F331" s="129"/>
      <c r="G331" s="129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9"/>
      <c r="S331" s="121"/>
      <c r="T331" s="131"/>
      <c r="U331" s="121"/>
      <c r="V331" s="121"/>
      <c r="W331" s="121"/>
      <c r="X331" s="130"/>
      <c r="Y331" s="121"/>
      <c r="Z331" s="129"/>
      <c r="AA331" s="129"/>
      <c r="AB331" s="129"/>
      <c r="AC331" s="121"/>
      <c r="AD331" s="121"/>
      <c r="AE331" s="121"/>
      <c r="AF331" s="121"/>
      <c r="AG331" s="121"/>
      <c r="AH331" s="121"/>
    </row>
    <row r="332" spans="1:34" ht="12.75">
      <c r="A332" s="121"/>
      <c r="B332" s="121"/>
      <c r="C332" s="129"/>
      <c r="D332" s="121"/>
      <c r="E332" s="129"/>
      <c r="F332" s="129"/>
      <c r="G332" s="129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9"/>
      <c r="S332" s="121"/>
      <c r="T332" s="131"/>
      <c r="U332" s="121"/>
      <c r="V332" s="121"/>
      <c r="W332" s="121"/>
      <c r="X332" s="130"/>
      <c r="Y332" s="121"/>
      <c r="Z332" s="129"/>
      <c r="AA332" s="129"/>
      <c r="AB332" s="129"/>
      <c r="AC332" s="121"/>
      <c r="AD332" s="121"/>
      <c r="AE332" s="121"/>
      <c r="AF332" s="121"/>
      <c r="AG332" s="121"/>
      <c r="AH332" s="121"/>
    </row>
    <row r="333" spans="1:34" ht="12.75">
      <c r="A333" s="121"/>
      <c r="B333" s="121"/>
      <c r="C333" s="129"/>
      <c r="D333" s="121"/>
      <c r="E333" s="129"/>
      <c r="F333" s="129"/>
      <c r="G333" s="129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9"/>
      <c r="S333" s="121"/>
      <c r="T333" s="131"/>
      <c r="U333" s="121"/>
      <c r="V333" s="121"/>
      <c r="W333" s="121"/>
      <c r="X333" s="130"/>
      <c r="Y333" s="121"/>
      <c r="Z333" s="129"/>
      <c r="AA333" s="129"/>
      <c r="AB333" s="129"/>
      <c r="AC333" s="121"/>
      <c r="AD333" s="121"/>
      <c r="AE333" s="121"/>
      <c r="AF333" s="121"/>
      <c r="AG333" s="121"/>
      <c r="AH333" s="121"/>
    </row>
    <row r="334" spans="1:34" ht="12.75">
      <c r="A334" s="121"/>
      <c r="B334" s="121"/>
      <c r="C334" s="129"/>
      <c r="D334" s="121"/>
      <c r="E334" s="129"/>
      <c r="F334" s="129"/>
      <c r="G334" s="129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9"/>
      <c r="S334" s="121"/>
      <c r="T334" s="131"/>
      <c r="U334" s="121"/>
      <c r="V334" s="121"/>
      <c r="W334" s="121"/>
      <c r="X334" s="130"/>
      <c r="Y334" s="121"/>
      <c r="Z334" s="129"/>
      <c r="AA334" s="129"/>
      <c r="AB334" s="129"/>
      <c r="AC334" s="121"/>
      <c r="AD334" s="121"/>
      <c r="AE334" s="121"/>
      <c r="AF334" s="121"/>
      <c r="AG334" s="121"/>
      <c r="AH334" s="121"/>
    </row>
    <row r="335" spans="1:34" ht="12.75">
      <c r="A335" s="121"/>
      <c r="B335" s="121"/>
      <c r="C335" s="129"/>
      <c r="D335" s="121"/>
      <c r="E335" s="129"/>
      <c r="F335" s="129"/>
      <c r="G335" s="129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9"/>
      <c r="S335" s="121"/>
      <c r="T335" s="131"/>
      <c r="U335" s="121"/>
      <c r="V335" s="121"/>
      <c r="W335" s="121"/>
      <c r="X335" s="130"/>
      <c r="Y335" s="121"/>
      <c r="Z335" s="129"/>
      <c r="AA335" s="129"/>
      <c r="AB335" s="129"/>
      <c r="AC335" s="121"/>
      <c r="AD335" s="121"/>
      <c r="AE335" s="121"/>
      <c r="AF335" s="121"/>
      <c r="AG335" s="121"/>
      <c r="AH335" s="121"/>
    </row>
    <row r="336" spans="1:34" ht="12.75">
      <c r="A336" s="121"/>
      <c r="B336" s="121"/>
      <c r="C336" s="129"/>
      <c r="D336" s="121"/>
      <c r="E336" s="129"/>
      <c r="F336" s="129"/>
      <c r="G336" s="129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9"/>
      <c r="S336" s="121"/>
      <c r="T336" s="131"/>
      <c r="U336" s="121"/>
      <c r="V336" s="121"/>
      <c r="W336" s="121"/>
      <c r="X336" s="130"/>
      <c r="Y336" s="121"/>
      <c r="Z336" s="129"/>
      <c r="AA336" s="129"/>
      <c r="AB336" s="129"/>
      <c r="AC336" s="121"/>
      <c r="AD336" s="121"/>
      <c r="AE336" s="121"/>
      <c r="AF336" s="121"/>
      <c r="AG336" s="121"/>
      <c r="AH336" s="121"/>
    </row>
    <row r="337" spans="1:34" ht="12.75">
      <c r="A337" s="121"/>
      <c r="B337" s="121"/>
      <c r="C337" s="129"/>
      <c r="D337" s="121"/>
      <c r="E337" s="129"/>
      <c r="F337" s="129"/>
      <c r="G337" s="129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9"/>
      <c r="S337" s="121"/>
      <c r="T337" s="131"/>
      <c r="U337" s="121"/>
      <c r="V337" s="121"/>
      <c r="W337" s="121"/>
      <c r="X337" s="130"/>
      <c r="Y337" s="121"/>
      <c r="Z337" s="129"/>
      <c r="AA337" s="129"/>
      <c r="AB337" s="129"/>
      <c r="AC337" s="121"/>
      <c r="AD337" s="121"/>
      <c r="AE337" s="121"/>
      <c r="AF337" s="121"/>
      <c r="AG337" s="121"/>
      <c r="AH337" s="121"/>
    </row>
    <row r="338" spans="1:34" ht="12.75">
      <c r="A338" s="121"/>
      <c r="B338" s="121"/>
      <c r="C338" s="129"/>
      <c r="D338" s="121"/>
      <c r="E338" s="129"/>
      <c r="F338" s="129"/>
      <c r="G338" s="129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9"/>
      <c r="S338" s="121"/>
      <c r="T338" s="131"/>
      <c r="U338" s="121"/>
      <c r="V338" s="121"/>
      <c r="W338" s="121"/>
      <c r="X338" s="130"/>
      <c r="Y338" s="121"/>
      <c r="Z338" s="129"/>
      <c r="AA338" s="129"/>
      <c r="AB338" s="129"/>
      <c r="AC338" s="121"/>
      <c r="AD338" s="121"/>
      <c r="AE338" s="121"/>
      <c r="AF338" s="121"/>
      <c r="AG338" s="121"/>
      <c r="AH338" s="121"/>
    </row>
    <row r="339" spans="1:34" ht="12.75">
      <c r="A339" s="121"/>
      <c r="B339" s="121"/>
      <c r="C339" s="129"/>
      <c r="D339" s="121"/>
      <c r="E339" s="129"/>
      <c r="F339" s="129"/>
      <c r="G339" s="129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9"/>
      <c r="S339" s="121"/>
      <c r="T339" s="131"/>
      <c r="U339" s="121"/>
      <c r="V339" s="121"/>
      <c r="W339" s="121"/>
      <c r="X339" s="130"/>
      <c r="Y339" s="121"/>
      <c r="Z339" s="129"/>
      <c r="AA339" s="129"/>
      <c r="AB339" s="129"/>
      <c r="AC339" s="121"/>
      <c r="AD339" s="121"/>
      <c r="AE339" s="121"/>
      <c r="AF339" s="121"/>
      <c r="AG339" s="121"/>
      <c r="AH339" s="121"/>
    </row>
    <row r="340" spans="1:34" ht="12.75">
      <c r="A340" s="121"/>
      <c r="B340" s="121"/>
      <c r="C340" s="129"/>
      <c r="D340" s="121"/>
      <c r="E340" s="129"/>
      <c r="F340" s="129"/>
      <c r="G340" s="129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9"/>
      <c r="S340" s="121"/>
      <c r="T340" s="131"/>
      <c r="U340" s="121"/>
      <c r="V340" s="121"/>
      <c r="W340" s="121"/>
      <c r="X340" s="130"/>
      <c r="Y340" s="121"/>
      <c r="Z340" s="129"/>
      <c r="AA340" s="129"/>
      <c r="AB340" s="129"/>
      <c r="AC340" s="121"/>
      <c r="AD340" s="121"/>
      <c r="AE340" s="121"/>
      <c r="AF340" s="121"/>
      <c r="AG340" s="121"/>
      <c r="AH340" s="121"/>
    </row>
    <row r="341" spans="1:34" ht="12.75">
      <c r="A341" s="121"/>
      <c r="B341" s="121"/>
      <c r="C341" s="129"/>
      <c r="D341" s="121"/>
      <c r="E341" s="129"/>
      <c r="F341" s="129"/>
      <c r="G341" s="129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9"/>
      <c r="S341" s="121"/>
      <c r="T341" s="131"/>
      <c r="U341" s="121"/>
      <c r="V341" s="121"/>
      <c r="W341" s="121"/>
      <c r="X341" s="130"/>
      <c r="Y341" s="121"/>
      <c r="Z341" s="129"/>
      <c r="AA341" s="129"/>
      <c r="AB341" s="129"/>
      <c r="AC341" s="121"/>
      <c r="AD341" s="121"/>
      <c r="AE341" s="121"/>
      <c r="AF341" s="121"/>
      <c r="AG341" s="121"/>
      <c r="AH341" s="121"/>
    </row>
    <row r="342" spans="1:34" ht="12.75">
      <c r="A342" s="121"/>
      <c r="B342" s="121"/>
      <c r="C342" s="129"/>
      <c r="D342" s="121"/>
      <c r="E342" s="129"/>
      <c r="F342" s="129"/>
      <c r="G342" s="129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9"/>
      <c r="S342" s="121"/>
      <c r="T342" s="131"/>
      <c r="U342" s="121"/>
      <c r="V342" s="121"/>
      <c r="W342" s="121"/>
      <c r="X342" s="130"/>
      <c r="Y342" s="121"/>
      <c r="Z342" s="129"/>
      <c r="AA342" s="129"/>
      <c r="AB342" s="129"/>
      <c r="AC342" s="121"/>
      <c r="AD342" s="121"/>
      <c r="AE342" s="121"/>
      <c r="AF342" s="121"/>
      <c r="AG342" s="121"/>
      <c r="AH342" s="121"/>
    </row>
    <row r="343" spans="1:34" ht="12.75">
      <c r="A343" s="121"/>
      <c r="B343" s="121"/>
      <c r="C343" s="129"/>
      <c r="D343" s="121"/>
      <c r="E343" s="129"/>
      <c r="F343" s="129"/>
      <c r="G343" s="129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9"/>
      <c r="S343" s="121"/>
      <c r="T343" s="131"/>
      <c r="U343" s="121"/>
      <c r="V343" s="121"/>
      <c r="W343" s="121"/>
      <c r="X343" s="130"/>
      <c r="Y343" s="121"/>
      <c r="Z343" s="129"/>
      <c r="AA343" s="129"/>
      <c r="AB343" s="129"/>
      <c r="AC343" s="121"/>
      <c r="AD343" s="121"/>
      <c r="AE343" s="121"/>
      <c r="AF343" s="121"/>
      <c r="AG343" s="121"/>
      <c r="AH343" s="121"/>
    </row>
    <row r="344" spans="1:34" ht="12.75">
      <c r="A344" s="121"/>
      <c r="B344" s="121"/>
      <c r="C344" s="129"/>
      <c r="D344" s="121"/>
      <c r="E344" s="129"/>
      <c r="F344" s="129"/>
      <c r="G344" s="129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9"/>
      <c r="S344" s="121"/>
      <c r="T344" s="131"/>
      <c r="U344" s="121"/>
      <c r="V344" s="121"/>
      <c r="W344" s="121"/>
      <c r="X344" s="130"/>
      <c r="Y344" s="121"/>
      <c r="Z344" s="129"/>
      <c r="AA344" s="129"/>
      <c r="AB344" s="129"/>
      <c r="AC344" s="121"/>
      <c r="AD344" s="121"/>
      <c r="AE344" s="121"/>
      <c r="AF344" s="121"/>
      <c r="AG344" s="121"/>
      <c r="AH344" s="121"/>
    </row>
    <row r="345" spans="1:34" ht="12.75">
      <c r="A345" s="121"/>
      <c r="B345" s="121"/>
      <c r="C345" s="129"/>
      <c r="D345" s="121"/>
      <c r="E345" s="129"/>
      <c r="F345" s="129"/>
      <c r="G345" s="129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9"/>
      <c r="S345" s="121"/>
      <c r="T345" s="131"/>
      <c r="U345" s="121"/>
      <c r="V345" s="121"/>
      <c r="W345" s="121"/>
      <c r="X345" s="130"/>
      <c r="Y345" s="121"/>
      <c r="Z345" s="129"/>
      <c r="AA345" s="129"/>
      <c r="AB345" s="129"/>
      <c r="AC345" s="121"/>
      <c r="AD345" s="121"/>
      <c r="AE345" s="121"/>
      <c r="AF345" s="121"/>
      <c r="AG345" s="121"/>
      <c r="AH345" s="121"/>
    </row>
    <row r="346" spans="1:34" ht="12.75">
      <c r="A346" s="121"/>
      <c r="B346" s="121"/>
      <c r="C346" s="129"/>
      <c r="D346" s="121"/>
      <c r="E346" s="129"/>
      <c r="F346" s="129"/>
      <c r="G346" s="129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9"/>
      <c r="S346" s="121"/>
      <c r="T346" s="131"/>
      <c r="U346" s="121"/>
      <c r="V346" s="121"/>
      <c r="W346" s="121"/>
      <c r="X346" s="130"/>
      <c r="Y346" s="121"/>
      <c r="Z346" s="129"/>
      <c r="AA346" s="129"/>
      <c r="AB346" s="129"/>
      <c r="AC346" s="121"/>
      <c r="AD346" s="121"/>
      <c r="AE346" s="121"/>
      <c r="AF346" s="121"/>
      <c r="AG346" s="121"/>
      <c r="AH346" s="121"/>
    </row>
    <row r="347" spans="1:34" ht="12.75">
      <c r="A347" s="121"/>
      <c r="B347" s="121"/>
      <c r="C347" s="129"/>
      <c r="D347" s="121"/>
      <c r="E347" s="129"/>
      <c r="F347" s="129"/>
      <c r="G347" s="129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9"/>
      <c r="S347" s="121"/>
      <c r="T347" s="131"/>
      <c r="U347" s="121"/>
      <c r="V347" s="121"/>
      <c r="W347" s="121"/>
      <c r="X347" s="130"/>
      <c r="Y347" s="121"/>
      <c r="Z347" s="129"/>
      <c r="AA347" s="129"/>
      <c r="AB347" s="129"/>
      <c r="AC347" s="121"/>
      <c r="AD347" s="121"/>
      <c r="AE347" s="121"/>
      <c r="AF347" s="121"/>
      <c r="AG347" s="121"/>
      <c r="AH347" s="121"/>
    </row>
    <row r="348" spans="1:34" ht="12.75">
      <c r="A348" s="121"/>
      <c r="B348" s="121"/>
      <c r="C348" s="129"/>
      <c r="D348" s="121"/>
      <c r="E348" s="129"/>
      <c r="F348" s="129"/>
      <c r="G348" s="129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9"/>
      <c r="S348" s="121"/>
      <c r="T348" s="131"/>
      <c r="U348" s="121"/>
      <c r="V348" s="121"/>
      <c r="W348" s="121"/>
      <c r="X348" s="130"/>
      <c r="Y348" s="121"/>
      <c r="Z348" s="129"/>
      <c r="AA348" s="129"/>
      <c r="AB348" s="129"/>
      <c r="AC348" s="121"/>
      <c r="AD348" s="121"/>
      <c r="AE348" s="121"/>
      <c r="AF348" s="121"/>
      <c r="AG348" s="121"/>
      <c r="AH348" s="121"/>
    </row>
    <row r="349" spans="1:34" ht="12.75">
      <c r="A349" s="121"/>
      <c r="B349" s="121"/>
      <c r="C349" s="129"/>
      <c r="D349" s="121"/>
      <c r="E349" s="129"/>
      <c r="F349" s="129"/>
      <c r="G349" s="129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9"/>
      <c r="S349" s="121"/>
      <c r="T349" s="131"/>
      <c r="U349" s="121"/>
      <c r="V349" s="121"/>
      <c r="W349" s="121"/>
      <c r="X349" s="130"/>
      <c r="Y349" s="121"/>
      <c r="Z349" s="129"/>
      <c r="AA349" s="129"/>
      <c r="AB349" s="129"/>
      <c r="AC349" s="121"/>
      <c r="AD349" s="121"/>
      <c r="AE349" s="121"/>
      <c r="AF349" s="121"/>
      <c r="AG349" s="121"/>
      <c r="AH349" s="121"/>
    </row>
    <row r="350" spans="1:34" ht="12.75">
      <c r="A350" s="121"/>
      <c r="B350" s="121"/>
      <c r="C350" s="129"/>
      <c r="D350" s="121"/>
      <c r="E350" s="129"/>
      <c r="F350" s="129"/>
      <c r="G350" s="129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9"/>
      <c r="S350" s="121"/>
      <c r="T350" s="131"/>
      <c r="U350" s="121"/>
      <c r="V350" s="121"/>
      <c r="W350" s="121"/>
      <c r="X350" s="130"/>
      <c r="Y350" s="121"/>
      <c r="Z350" s="129"/>
      <c r="AA350" s="129"/>
      <c r="AB350" s="129"/>
      <c r="AC350" s="121"/>
      <c r="AD350" s="121"/>
      <c r="AE350" s="121"/>
      <c r="AF350" s="121"/>
      <c r="AG350" s="121"/>
      <c r="AH350" s="121"/>
    </row>
    <row r="351" spans="1:34" ht="12.75">
      <c r="A351" s="121"/>
      <c r="B351" s="121"/>
      <c r="C351" s="129"/>
      <c r="D351" s="121"/>
      <c r="E351" s="129"/>
      <c r="F351" s="129"/>
      <c r="G351" s="129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9"/>
      <c r="S351" s="121"/>
      <c r="T351" s="131"/>
      <c r="U351" s="121"/>
      <c r="V351" s="121"/>
      <c r="W351" s="121"/>
      <c r="X351" s="130"/>
      <c r="Y351" s="121"/>
      <c r="Z351" s="129"/>
      <c r="AA351" s="129"/>
      <c r="AB351" s="129"/>
      <c r="AC351" s="121"/>
      <c r="AD351" s="121"/>
      <c r="AE351" s="121"/>
      <c r="AF351" s="121"/>
      <c r="AG351" s="121"/>
      <c r="AH351" s="121"/>
    </row>
    <row r="352" spans="1:34" ht="12.75">
      <c r="A352" s="121"/>
      <c r="B352" s="121"/>
      <c r="C352" s="129"/>
      <c r="D352" s="121"/>
      <c r="E352" s="129"/>
      <c r="F352" s="129"/>
      <c r="G352" s="129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9"/>
      <c r="S352" s="121"/>
      <c r="T352" s="131"/>
      <c r="U352" s="121"/>
      <c r="V352" s="121"/>
      <c r="W352" s="121"/>
      <c r="X352" s="130"/>
      <c r="Y352" s="121"/>
      <c r="Z352" s="129"/>
      <c r="AA352" s="129"/>
      <c r="AB352" s="129"/>
      <c r="AC352" s="121"/>
      <c r="AD352" s="121"/>
      <c r="AE352" s="121"/>
      <c r="AF352" s="121"/>
      <c r="AG352" s="121"/>
      <c r="AH352" s="121"/>
    </row>
    <row r="353" spans="1:34" ht="12.75">
      <c r="A353" s="121"/>
      <c r="B353" s="121"/>
      <c r="C353" s="129"/>
      <c r="D353" s="121"/>
      <c r="E353" s="129"/>
      <c r="F353" s="129"/>
      <c r="G353" s="129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9"/>
      <c r="S353" s="121"/>
      <c r="T353" s="131"/>
      <c r="U353" s="121"/>
      <c r="V353" s="121"/>
      <c r="W353" s="121"/>
      <c r="X353" s="130"/>
      <c r="Y353" s="121"/>
      <c r="Z353" s="129"/>
      <c r="AA353" s="129"/>
      <c r="AB353" s="129"/>
      <c r="AC353" s="121"/>
      <c r="AD353" s="121"/>
      <c r="AE353" s="121"/>
      <c r="AF353" s="121"/>
      <c r="AG353" s="121"/>
      <c r="AH353" s="121"/>
    </row>
    <row r="354" spans="1:34" ht="12.75">
      <c r="A354" s="121"/>
      <c r="B354" s="121"/>
      <c r="C354" s="129"/>
      <c r="D354" s="121"/>
      <c r="E354" s="129"/>
      <c r="F354" s="129"/>
      <c r="G354" s="129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9"/>
      <c r="S354" s="121"/>
      <c r="T354" s="131"/>
      <c r="U354" s="121"/>
      <c r="V354" s="121"/>
      <c r="W354" s="121"/>
      <c r="X354" s="130"/>
      <c r="Y354" s="121"/>
      <c r="Z354" s="129"/>
      <c r="AA354" s="129"/>
      <c r="AB354" s="129"/>
      <c r="AC354" s="121"/>
      <c r="AD354" s="121"/>
      <c r="AE354" s="121"/>
      <c r="AF354" s="121"/>
      <c r="AG354" s="121"/>
      <c r="AH354" s="121"/>
    </row>
    <row r="355" spans="1:34" ht="12.75">
      <c r="A355" s="121"/>
      <c r="B355" s="121"/>
      <c r="C355" s="129"/>
      <c r="D355" s="121"/>
      <c r="E355" s="129"/>
      <c r="F355" s="129"/>
      <c r="G355" s="129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9"/>
      <c r="S355" s="121"/>
      <c r="T355" s="131"/>
      <c r="U355" s="121"/>
      <c r="V355" s="121"/>
      <c r="W355" s="121"/>
      <c r="X355" s="130"/>
      <c r="Y355" s="121"/>
      <c r="Z355" s="129"/>
      <c r="AA355" s="129"/>
      <c r="AB355" s="129"/>
      <c r="AC355" s="121"/>
      <c r="AD355" s="121"/>
      <c r="AE355" s="121"/>
      <c r="AF355" s="121"/>
      <c r="AG355" s="121"/>
      <c r="AH355" s="121"/>
    </row>
    <row r="356" spans="1:34" ht="12.75">
      <c r="A356" s="121"/>
      <c r="B356" s="121"/>
      <c r="C356" s="129"/>
      <c r="D356" s="121"/>
      <c r="E356" s="129"/>
      <c r="F356" s="129"/>
      <c r="G356" s="129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9"/>
      <c r="S356" s="121"/>
      <c r="T356" s="131"/>
      <c r="U356" s="121"/>
      <c r="V356" s="121"/>
      <c r="W356" s="121"/>
      <c r="X356" s="130"/>
      <c r="Y356" s="121"/>
      <c r="Z356" s="129"/>
      <c r="AA356" s="129"/>
      <c r="AB356" s="129"/>
      <c r="AC356" s="121"/>
      <c r="AD356" s="121"/>
      <c r="AE356" s="121"/>
      <c r="AF356" s="121"/>
      <c r="AG356" s="121"/>
      <c r="AH356" s="121"/>
    </row>
    <row r="357" spans="1:34" ht="12.75">
      <c r="A357" s="121"/>
      <c r="B357" s="121"/>
      <c r="C357" s="129"/>
      <c r="D357" s="121"/>
      <c r="E357" s="129"/>
      <c r="F357" s="129"/>
      <c r="G357" s="129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9"/>
      <c r="S357" s="121"/>
      <c r="T357" s="131"/>
      <c r="U357" s="121"/>
      <c r="V357" s="121"/>
      <c r="W357" s="121"/>
      <c r="X357" s="130"/>
      <c r="Y357" s="121"/>
      <c r="Z357" s="129"/>
      <c r="AA357" s="129"/>
      <c r="AB357" s="129"/>
      <c r="AC357" s="121"/>
      <c r="AD357" s="121"/>
      <c r="AE357" s="121"/>
      <c r="AF357" s="121"/>
      <c r="AG357" s="121"/>
      <c r="AH357" s="121"/>
    </row>
    <row r="358" spans="1:34" ht="12.75">
      <c r="A358" s="121"/>
      <c r="B358" s="121"/>
      <c r="C358" s="129"/>
      <c r="D358" s="121"/>
      <c r="E358" s="129"/>
      <c r="F358" s="129"/>
      <c r="G358" s="129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9"/>
      <c r="S358" s="121"/>
      <c r="T358" s="131"/>
      <c r="U358" s="121"/>
      <c r="V358" s="121"/>
      <c r="W358" s="121"/>
      <c r="X358" s="130"/>
      <c r="Y358" s="121"/>
      <c r="Z358" s="129"/>
      <c r="AA358" s="129"/>
      <c r="AB358" s="129"/>
      <c r="AC358" s="121"/>
      <c r="AD358" s="121"/>
      <c r="AE358" s="121"/>
      <c r="AF358" s="121"/>
      <c r="AG358" s="121"/>
      <c r="AH358" s="121"/>
    </row>
    <row r="359" spans="1:34" ht="12.75">
      <c r="A359" s="121"/>
      <c r="B359" s="121"/>
      <c r="C359" s="129"/>
      <c r="D359" s="121"/>
      <c r="E359" s="129"/>
      <c r="F359" s="129"/>
      <c r="G359" s="129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9"/>
      <c r="S359" s="121"/>
      <c r="T359" s="131"/>
      <c r="U359" s="121"/>
      <c r="V359" s="121"/>
      <c r="W359" s="121"/>
      <c r="X359" s="130"/>
      <c r="Y359" s="121"/>
      <c r="Z359" s="129"/>
      <c r="AA359" s="129"/>
      <c r="AB359" s="129"/>
      <c r="AC359" s="121"/>
      <c r="AD359" s="121"/>
      <c r="AE359" s="121"/>
      <c r="AF359" s="121"/>
      <c r="AG359" s="121"/>
      <c r="AH359" s="121"/>
    </row>
    <row r="360" spans="1:34" ht="12.75">
      <c r="A360" s="121"/>
      <c r="B360" s="121"/>
      <c r="C360" s="129"/>
      <c r="D360" s="121"/>
      <c r="E360" s="129"/>
      <c r="F360" s="129"/>
      <c r="G360" s="129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9"/>
      <c r="S360" s="121"/>
      <c r="T360" s="131"/>
      <c r="U360" s="121"/>
      <c r="V360" s="121"/>
      <c r="W360" s="121"/>
      <c r="X360" s="130"/>
      <c r="Y360" s="121"/>
      <c r="Z360" s="129"/>
      <c r="AA360" s="129"/>
      <c r="AB360" s="129"/>
      <c r="AC360" s="121"/>
      <c r="AD360" s="121"/>
      <c r="AE360" s="121"/>
      <c r="AF360" s="121"/>
      <c r="AG360" s="121"/>
      <c r="AH360" s="121"/>
    </row>
    <row r="361" spans="1:34" ht="12.75">
      <c r="A361" s="121"/>
      <c r="B361" s="121"/>
      <c r="C361" s="129"/>
      <c r="D361" s="121"/>
      <c r="E361" s="129"/>
      <c r="F361" s="129"/>
      <c r="G361" s="129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9"/>
      <c r="S361" s="121"/>
      <c r="T361" s="131"/>
      <c r="U361" s="121"/>
      <c r="V361" s="121"/>
      <c r="W361" s="121"/>
      <c r="X361" s="130"/>
      <c r="Y361" s="121"/>
      <c r="Z361" s="129"/>
      <c r="AA361" s="129"/>
      <c r="AB361" s="129"/>
      <c r="AC361" s="121"/>
      <c r="AD361" s="121"/>
      <c r="AE361" s="121"/>
      <c r="AF361" s="121"/>
      <c r="AG361" s="121"/>
      <c r="AH361" s="121"/>
    </row>
    <row r="362" spans="1:34" ht="12.75">
      <c r="A362" s="121"/>
      <c r="B362" s="121"/>
      <c r="C362" s="129"/>
      <c r="D362" s="121"/>
      <c r="E362" s="129"/>
      <c r="F362" s="129"/>
      <c r="G362" s="129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9"/>
      <c r="S362" s="121"/>
      <c r="T362" s="131"/>
      <c r="U362" s="121"/>
      <c r="V362" s="121"/>
      <c r="W362" s="121"/>
      <c r="X362" s="130"/>
      <c r="Y362" s="121"/>
      <c r="Z362" s="129"/>
      <c r="AA362" s="129"/>
      <c r="AB362" s="129"/>
      <c r="AC362" s="121"/>
      <c r="AD362" s="121"/>
      <c r="AE362" s="121"/>
      <c r="AF362" s="121"/>
      <c r="AG362" s="121"/>
      <c r="AH362" s="121"/>
    </row>
    <row r="363" spans="1:34" ht="12.75">
      <c r="A363" s="121"/>
      <c r="B363" s="121"/>
      <c r="C363" s="129"/>
      <c r="D363" s="121"/>
      <c r="E363" s="129"/>
      <c r="F363" s="129"/>
      <c r="G363" s="129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9"/>
      <c r="S363" s="121"/>
      <c r="T363" s="131"/>
      <c r="U363" s="121"/>
      <c r="V363" s="121"/>
      <c r="W363" s="121"/>
      <c r="X363" s="130"/>
      <c r="Y363" s="121"/>
      <c r="Z363" s="129"/>
      <c r="AA363" s="129"/>
      <c r="AB363" s="129"/>
      <c r="AC363" s="121"/>
      <c r="AD363" s="121"/>
      <c r="AE363" s="121"/>
      <c r="AF363" s="121"/>
      <c r="AG363" s="121"/>
      <c r="AH363" s="121"/>
    </row>
    <row r="364" spans="1:34" ht="12.75">
      <c r="A364" s="121"/>
      <c r="B364" s="121"/>
      <c r="C364" s="129"/>
      <c r="D364" s="121"/>
      <c r="E364" s="129"/>
      <c r="F364" s="129"/>
      <c r="G364" s="129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9"/>
      <c r="S364" s="121"/>
      <c r="T364" s="131"/>
      <c r="U364" s="121"/>
      <c r="V364" s="121"/>
      <c r="W364" s="121"/>
      <c r="X364" s="130"/>
      <c r="Y364" s="121"/>
      <c r="Z364" s="129"/>
      <c r="AA364" s="129"/>
      <c r="AB364" s="129"/>
      <c r="AC364" s="121"/>
      <c r="AD364" s="121"/>
      <c r="AE364" s="121"/>
      <c r="AF364" s="121"/>
      <c r="AG364" s="121"/>
      <c r="AH364" s="121"/>
    </row>
    <row r="365" spans="1:34" ht="12.75">
      <c r="A365" s="121"/>
      <c r="B365" s="121"/>
      <c r="C365" s="129"/>
      <c r="D365" s="121"/>
      <c r="E365" s="129"/>
      <c r="F365" s="129"/>
      <c r="G365" s="129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9"/>
      <c r="S365" s="121"/>
      <c r="T365" s="131"/>
      <c r="U365" s="121"/>
      <c r="V365" s="121"/>
      <c r="W365" s="121"/>
      <c r="X365" s="130"/>
      <c r="Y365" s="121"/>
      <c r="Z365" s="129"/>
      <c r="AA365" s="129"/>
      <c r="AB365" s="129"/>
      <c r="AC365" s="121"/>
      <c r="AD365" s="121"/>
      <c r="AE365" s="121"/>
      <c r="AF365" s="121"/>
      <c r="AG365" s="121"/>
      <c r="AH365" s="121"/>
    </row>
    <row r="366" spans="1:34" ht="12.75">
      <c r="A366" s="121"/>
      <c r="B366" s="121"/>
      <c r="C366" s="129"/>
      <c r="D366" s="121"/>
      <c r="E366" s="129"/>
      <c r="F366" s="129"/>
      <c r="G366" s="129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9"/>
      <c r="S366" s="121"/>
      <c r="T366" s="131"/>
      <c r="U366" s="121"/>
      <c r="V366" s="121"/>
      <c r="W366" s="121"/>
      <c r="X366" s="130"/>
      <c r="Y366" s="121"/>
      <c r="Z366" s="129"/>
      <c r="AA366" s="129"/>
      <c r="AB366" s="129"/>
      <c r="AC366" s="121"/>
      <c r="AD366" s="121"/>
      <c r="AE366" s="121"/>
      <c r="AF366" s="121"/>
      <c r="AG366" s="121"/>
      <c r="AH366" s="121"/>
    </row>
    <row r="367" spans="1:34" ht="12.75">
      <c r="A367" s="121"/>
      <c r="B367" s="121"/>
      <c r="C367" s="129"/>
      <c r="D367" s="121"/>
      <c r="E367" s="129"/>
      <c r="F367" s="129"/>
      <c r="G367" s="129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9"/>
      <c r="S367" s="121"/>
      <c r="T367" s="131"/>
      <c r="U367" s="121"/>
      <c r="V367" s="121"/>
      <c r="W367" s="121"/>
      <c r="X367" s="130"/>
      <c r="Y367" s="121"/>
      <c r="Z367" s="129"/>
      <c r="AA367" s="129"/>
      <c r="AB367" s="129"/>
      <c r="AC367" s="121"/>
      <c r="AD367" s="121"/>
      <c r="AE367" s="121"/>
      <c r="AF367" s="121"/>
      <c r="AG367" s="121"/>
      <c r="AH367" s="121"/>
    </row>
    <row r="368" spans="1:34" ht="12.75">
      <c r="A368" s="121"/>
      <c r="B368" s="121"/>
      <c r="C368" s="129"/>
      <c r="D368" s="121"/>
      <c r="E368" s="129"/>
      <c r="F368" s="129"/>
      <c r="G368" s="129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9"/>
      <c r="S368" s="121"/>
      <c r="T368" s="131"/>
      <c r="U368" s="121"/>
      <c r="V368" s="121"/>
      <c r="W368" s="121"/>
      <c r="X368" s="130"/>
      <c r="Y368" s="121"/>
      <c r="Z368" s="129"/>
      <c r="AA368" s="129"/>
      <c r="AB368" s="129"/>
      <c r="AC368" s="121"/>
      <c r="AD368" s="121"/>
      <c r="AE368" s="121"/>
      <c r="AF368" s="121"/>
      <c r="AG368" s="121"/>
      <c r="AH368" s="121"/>
    </row>
    <row r="369" spans="1:34" ht="12.75">
      <c r="A369" s="121"/>
      <c r="B369" s="121"/>
      <c r="C369" s="129"/>
      <c r="D369" s="121"/>
      <c r="E369" s="129"/>
      <c r="F369" s="129"/>
      <c r="G369" s="129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9"/>
      <c r="S369" s="121"/>
      <c r="T369" s="131"/>
      <c r="U369" s="121"/>
      <c r="V369" s="121"/>
      <c r="W369" s="121"/>
      <c r="X369" s="130"/>
      <c r="Y369" s="121"/>
      <c r="Z369" s="129"/>
      <c r="AA369" s="129"/>
      <c r="AB369" s="129"/>
      <c r="AC369" s="121"/>
      <c r="AD369" s="121"/>
      <c r="AE369" s="121"/>
      <c r="AF369" s="121"/>
      <c r="AG369" s="121"/>
      <c r="AH369" s="121"/>
    </row>
    <row r="370" spans="1:34" ht="12.75">
      <c r="A370" s="121"/>
      <c r="B370" s="121"/>
      <c r="C370" s="129"/>
      <c r="D370" s="121"/>
      <c r="E370" s="129"/>
      <c r="F370" s="129"/>
      <c r="G370" s="129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9"/>
      <c r="S370" s="121"/>
      <c r="T370" s="131"/>
      <c r="U370" s="121"/>
      <c r="V370" s="121"/>
      <c r="W370" s="121"/>
      <c r="X370" s="130"/>
      <c r="Y370" s="121"/>
      <c r="Z370" s="129"/>
      <c r="AA370" s="129"/>
      <c r="AB370" s="129"/>
      <c r="AC370" s="121"/>
      <c r="AD370" s="121"/>
      <c r="AE370" s="121"/>
      <c r="AF370" s="121"/>
      <c r="AG370" s="121"/>
      <c r="AH370" s="121"/>
    </row>
    <row r="371" spans="1:34" ht="12.75">
      <c r="A371" s="121"/>
      <c r="B371" s="121"/>
      <c r="C371" s="129"/>
      <c r="D371" s="121"/>
      <c r="E371" s="129"/>
      <c r="F371" s="129"/>
      <c r="G371" s="129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9"/>
      <c r="S371" s="121"/>
      <c r="T371" s="131"/>
      <c r="U371" s="121"/>
      <c r="V371" s="121"/>
      <c r="W371" s="121"/>
      <c r="X371" s="130"/>
      <c r="Y371" s="121"/>
      <c r="Z371" s="129"/>
      <c r="AA371" s="129"/>
      <c r="AB371" s="129"/>
      <c r="AC371" s="121"/>
      <c r="AD371" s="121"/>
      <c r="AE371" s="121"/>
      <c r="AF371" s="121"/>
      <c r="AG371" s="121"/>
      <c r="AH371" s="121"/>
    </row>
    <row r="372" spans="1:34" ht="12.75">
      <c r="A372" s="121"/>
      <c r="B372" s="121"/>
      <c r="C372" s="129"/>
      <c r="D372" s="121"/>
      <c r="E372" s="129"/>
      <c r="F372" s="129"/>
      <c r="G372" s="129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9"/>
      <c r="S372" s="121"/>
      <c r="T372" s="131"/>
      <c r="U372" s="121"/>
      <c r="V372" s="121"/>
      <c r="W372" s="121"/>
      <c r="X372" s="130"/>
      <c r="Y372" s="121"/>
      <c r="Z372" s="129"/>
      <c r="AA372" s="129"/>
      <c r="AB372" s="129"/>
      <c r="AC372" s="121"/>
      <c r="AD372" s="121"/>
      <c r="AE372" s="121"/>
      <c r="AF372" s="121"/>
      <c r="AG372" s="121"/>
      <c r="AH372" s="121"/>
    </row>
    <row r="373" spans="1:34" ht="12.75">
      <c r="A373" s="121"/>
      <c r="B373" s="121"/>
      <c r="C373" s="129"/>
      <c r="D373" s="121"/>
      <c r="E373" s="129"/>
      <c r="F373" s="129"/>
      <c r="G373" s="129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9"/>
      <c r="S373" s="121"/>
      <c r="T373" s="131"/>
      <c r="U373" s="121"/>
      <c r="V373" s="121"/>
      <c r="W373" s="121"/>
      <c r="X373" s="130"/>
      <c r="Y373" s="121"/>
      <c r="Z373" s="129"/>
      <c r="AA373" s="129"/>
      <c r="AB373" s="129"/>
      <c r="AC373" s="121"/>
      <c r="AD373" s="121"/>
      <c r="AE373" s="121"/>
      <c r="AF373" s="121"/>
      <c r="AG373" s="121"/>
      <c r="AH373" s="121"/>
    </row>
    <row r="374" spans="1:34" ht="12.75">
      <c r="A374" s="121"/>
      <c r="B374" s="121"/>
      <c r="C374" s="129"/>
      <c r="D374" s="121"/>
      <c r="E374" s="129"/>
      <c r="F374" s="129"/>
      <c r="G374" s="129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9"/>
      <c r="S374" s="121"/>
      <c r="T374" s="131"/>
      <c r="U374" s="121"/>
      <c r="V374" s="121"/>
      <c r="W374" s="121"/>
      <c r="X374" s="130"/>
      <c r="Y374" s="121"/>
      <c r="Z374" s="129"/>
      <c r="AA374" s="129"/>
      <c r="AB374" s="129"/>
      <c r="AC374" s="121"/>
      <c r="AD374" s="121"/>
      <c r="AE374" s="121"/>
      <c r="AF374" s="121"/>
      <c r="AG374" s="121"/>
      <c r="AH374" s="121"/>
    </row>
    <row r="375" spans="1:34" ht="12.75">
      <c r="A375" s="121"/>
      <c r="B375" s="121"/>
      <c r="C375" s="129"/>
      <c r="D375" s="121"/>
      <c r="E375" s="129"/>
      <c r="F375" s="129"/>
      <c r="G375" s="129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9"/>
      <c r="S375" s="121"/>
      <c r="T375" s="131"/>
      <c r="U375" s="121"/>
      <c r="V375" s="121"/>
      <c r="W375" s="121"/>
      <c r="X375" s="130"/>
      <c r="Y375" s="121"/>
      <c r="Z375" s="129"/>
      <c r="AA375" s="129"/>
      <c r="AB375" s="129"/>
      <c r="AC375" s="121"/>
      <c r="AD375" s="121"/>
      <c r="AE375" s="121"/>
      <c r="AF375" s="121"/>
      <c r="AG375" s="121"/>
      <c r="AH375" s="121"/>
    </row>
    <row r="376" spans="1:34" ht="12.75">
      <c r="A376" s="121"/>
      <c r="B376" s="121"/>
      <c r="C376" s="129"/>
      <c r="D376" s="121"/>
      <c r="E376" s="129"/>
      <c r="F376" s="129"/>
      <c r="G376" s="129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9"/>
      <c r="S376" s="121"/>
      <c r="T376" s="131"/>
      <c r="U376" s="121"/>
      <c r="V376" s="121"/>
      <c r="W376" s="121"/>
      <c r="X376" s="130"/>
      <c r="Y376" s="121"/>
      <c r="Z376" s="129"/>
      <c r="AA376" s="129"/>
      <c r="AB376" s="129"/>
      <c r="AC376" s="121"/>
      <c r="AD376" s="121"/>
      <c r="AE376" s="121"/>
      <c r="AF376" s="121"/>
      <c r="AG376" s="121"/>
      <c r="AH376" s="121"/>
    </row>
    <row r="377" spans="1:34" ht="12.75">
      <c r="A377" s="121"/>
      <c r="B377" s="121"/>
      <c r="C377" s="129"/>
      <c r="D377" s="121"/>
      <c r="E377" s="129"/>
      <c r="F377" s="129"/>
      <c r="G377" s="129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9"/>
      <c r="S377" s="121"/>
      <c r="T377" s="131"/>
      <c r="U377" s="121"/>
      <c r="V377" s="121"/>
      <c r="W377" s="121"/>
      <c r="X377" s="130"/>
      <c r="Y377" s="121"/>
      <c r="Z377" s="129"/>
      <c r="AA377" s="129"/>
      <c r="AB377" s="129"/>
      <c r="AC377" s="121"/>
      <c r="AD377" s="121"/>
      <c r="AE377" s="121"/>
      <c r="AF377" s="121"/>
      <c r="AG377" s="121"/>
      <c r="AH377" s="121"/>
    </row>
    <row r="378" spans="1:34" ht="12.75">
      <c r="A378" s="121"/>
      <c r="B378" s="121"/>
      <c r="C378" s="129"/>
      <c r="D378" s="121"/>
      <c r="E378" s="129"/>
      <c r="F378" s="129"/>
      <c r="G378" s="129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9"/>
      <c r="S378" s="121"/>
      <c r="T378" s="131"/>
      <c r="U378" s="121"/>
      <c r="V378" s="121"/>
      <c r="W378" s="121"/>
      <c r="X378" s="130"/>
      <c r="Y378" s="121"/>
      <c r="Z378" s="129"/>
      <c r="AA378" s="129"/>
      <c r="AB378" s="129"/>
      <c r="AC378" s="121"/>
      <c r="AD378" s="121"/>
      <c r="AE378" s="121"/>
      <c r="AF378" s="121"/>
      <c r="AG378" s="121"/>
      <c r="AH378" s="121"/>
    </row>
    <row r="379" spans="1:34" ht="12.75">
      <c r="A379" s="121"/>
      <c r="B379" s="121"/>
      <c r="C379" s="129"/>
      <c r="D379" s="121"/>
      <c r="E379" s="129"/>
      <c r="F379" s="129"/>
      <c r="G379" s="129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9"/>
      <c r="S379" s="121"/>
      <c r="T379" s="131"/>
      <c r="U379" s="121"/>
      <c r="V379" s="121"/>
      <c r="W379" s="121"/>
      <c r="X379" s="130"/>
      <c r="Y379" s="121"/>
      <c r="Z379" s="129"/>
      <c r="AA379" s="129"/>
      <c r="AB379" s="129"/>
      <c r="AC379" s="121"/>
      <c r="AD379" s="121"/>
      <c r="AE379" s="121"/>
      <c r="AF379" s="121"/>
      <c r="AG379" s="121"/>
      <c r="AH379" s="121"/>
    </row>
    <row r="380" spans="1:34" ht="12.75">
      <c r="A380" s="121"/>
      <c r="B380" s="121"/>
      <c r="C380" s="129"/>
      <c r="D380" s="121"/>
      <c r="E380" s="129"/>
      <c r="F380" s="129"/>
      <c r="G380" s="129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9"/>
      <c r="S380" s="121"/>
      <c r="T380" s="131"/>
      <c r="U380" s="121"/>
      <c r="V380" s="121"/>
      <c r="W380" s="121"/>
      <c r="X380" s="130"/>
      <c r="Y380" s="121"/>
      <c r="Z380" s="129"/>
      <c r="AA380" s="129"/>
      <c r="AB380" s="129"/>
      <c r="AC380" s="121"/>
      <c r="AD380" s="121"/>
      <c r="AE380" s="121"/>
      <c r="AF380" s="121"/>
      <c r="AG380" s="121"/>
      <c r="AH380" s="121"/>
    </row>
    <row r="381" spans="1:34" ht="12.75">
      <c r="A381" s="121"/>
      <c r="B381" s="121"/>
      <c r="C381" s="129"/>
      <c r="D381" s="121"/>
      <c r="E381" s="129"/>
      <c r="F381" s="129"/>
      <c r="G381" s="129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9"/>
      <c r="S381" s="121"/>
      <c r="T381" s="131"/>
      <c r="U381" s="121"/>
      <c r="V381" s="121"/>
      <c r="W381" s="121"/>
      <c r="X381" s="130"/>
      <c r="Y381" s="121"/>
      <c r="Z381" s="129"/>
      <c r="AA381" s="129"/>
      <c r="AB381" s="129"/>
      <c r="AC381" s="121"/>
      <c r="AD381" s="121"/>
      <c r="AE381" s="121"/>
      <c r="AF381" s="121"/>
      <c r="AG381" s="121"/>
      <c r="AH381" s="121"/>
    </row>
    <row r="382" spans="1:34" ht="12.75">
      <c r="A382" s="121"/>
      <c r="B382" s="121"/>
      <c r="C382" s="129"/>
      <c r="D382" s="121"/>
      <c r="E382" s="129"/>
      <c r="F382" s="129"/>
      <c r="G382" s="129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9"/>
      <c r="S382" s="121"/>
      <c r="T382" s="131"/>
      <c r="U382" s="121"/>
      <c r="V382" s="121"/>
      <c r="W382" s="121"/>
      <c r="X382" s="130"/>
      <c r="Y382" s="121"/>
      <c r="Z382" s="129"/>
      <c r="AA382" s="129"/>
      <c r="AB382" s="129"/>
      <c r="AC382" s="121"/>
      <c r="AD382" s="121"/>
      <c r="AE382" s="121"/>
      <c r="AF382" s="121"/>
      <c r="AG382" s="121"/>
      <c r="AH382" s="121"/>
    </row>
    <row r="383" spans="1:34" ht="12.75">
      <c r="A383" s="121"/>
      <c r="B383" s="121"/>
      <c r="C383" s="129"/>
      <c r="D383" s="121"/>
      <c r="E383" s="129"/>
      <c r="F383" s="129"/>
      <c r="G383" s="129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9"/>
      <c r="S383" s="121"/>
      <c r="T383" s="131"/>
      <c r="U383" s="121"/>
      <c r="V383" s="121"/>
      <c r="W383" s="121"/>
      <c r="X383" s="130"/>
      <c r="Y383" s="121"/>
      <c r="Z383" s="129"/>
      <c r="AA383" s="129"/>
      <c r="AB383" s="129"/>
      <c r="AC383" s="121"/>
      <c r="AD383" s="121"/>
      <c r="AE383" s="121"/>
      <c r="AF383" s="121"/>
      <c r="AG383" s="121"/>
      <c r="AH383" s="121"/>
    </row>
    <row r="384" spans="1:34" ht="12.75">
      <c r="A384" s="121"/>
      <c r="B384" s="121"/>
      <c r="C384" s="129"/>
      <c r="D384" s="121"/>
      <c r="E384" s="129"/>
      <c r="F384" s="129"/>
      <c r="G384" s="129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9"/>
      <c r="S384" s="121"/>
      <c r="T384" s="131"/>
      <c r="U384" s="121"/>
      <c r="V384" s="121"/>
      <c r="W384" s="121"/>
      <c r="X384" s="130"/>
      <c r="Y384" s="121"/>
      <c r="Z384" s="129"/>
      <c r="AA384" s="129"/>
      <c r="AB384" s="129"/>
      <c r="AC384" s="121"/>
      <c r="AD384" s="121"/>
      <c r="AE384" s="121"/>
      <c r="AF384" s="121"/>
      <c r="AG384" s="121"/>
      <c r="AH384" s="121"/>
    </row>
    <row r="385" spans="1:34" ht="12.75">
      <c r="A385" s="121"/>
      <c r="B385" s="121"/>
      <c r="C385" s="129"/>
      <c r="D385" s="121"/>
      <c r="E385" s="129"/>
      <c r="F385" s="129"/>
      <c r="G385" s="129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9"/>
      <c r="S385" s="121"/>
      <c r="T385" s="131"/>
      <c r="U385" s="121"/>
      <c r="V385" s="121"/>
      <c r="W385" s="121"/>
      <c r="X385" s="130"/>
      <c r="Y385" s="121"/>
      <c r="Z385" s="129"/>
      <c r="AA385" s="129"/>
      <c r="AB385" s="129"/>
      <c r="AC385" s="121"/>
      <c r="AD385" s="121"/>
      <c r="AE385" s="121"/>
      <c r="AF385" s="121"/>
      <c r="AG385" s="121"/>
      <c r="AH385" s="121"/>
    </row>
    <row r="386" spans="1:34" ht="12.75">
      <c r="A386" s="121"/>
      <c r="B386" s="121"/>
      <c r="C386" s="129"/>
      <c r="D386" s="121"/>
      <c r="E386" s="129"/>
      <c r="F386" s="129"/>
      <c r="G386" s="129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9"/>
      <c r="S386" s="121"/>
      <c r="T386" s="131"/>
      <c r="U386" s="121"/>
      <c r="V386" s="121"/>
      <c r="W386" s="121"/>
      <c r="X386" s="130"/>
      <c r="Y386" s="121"/>
      <c r="Z386" s="129"/>
      <c r="AA386" s="129"/>
      <c r="AB386" s="129"/>
      <c r="AC386" s="121"/>
      <c r="AD386" s="121"/>
      <c r="AE386" s="121"/>
      <c r="AF386" s="121"/>
      <c r="AG386" s="121"/>
      <c r="AH386" s="121"/>
    </row>
    <row r="387" spans="1:34" ht="12.75">
      <c r="A387" s="121"/>
      <c r="B387" s="121"/>
      <c r="C387" s="129"/>
      <c r="D387" s="121"/>
      <c r="E387" s="129"/>
      <c r="F387" s="129"/>
      <c r="G387" s="129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9"/>
      <c r="S387" s="121"/>
      <c r="T387" s="131"/>
      <c r="U387" s="121"/>
      <c r="V387" s="121"/>
      <c r="W387" s="121"/>
      <c r="X387" s="130"/>
      <c r="Y387" s="121"/>
      <c r="Z387" s="129"/>
      <c r="AA387" s="129"/>
      <c r="AB387" s="129"/>
      <c r="AC387" s="121"/>
      <c r="AD387" s="121"/>
      <c r="AE387" s="121"/>
      <c r="AF387" s="121"/>
      <c r="AG387" s="121"/>
      <c r="AH387" s="121"/>
    </row>
    <row r="388" spans="1:34" ht="12.75">
      <c r="A388" s="121"/>
      <c r="B388" s="121"/>
      <c r="C388" s="129"/>
      <c r="D388" s="121"/>
      <c r="E388" s="129"/>
      <c r="F388" s="129"/>
      <c r="G388" s="129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9"/>
      <c r="S388" s="121"/>
      <c r="T388" s="131"/>
      <c r="U388" s="121"/>
      <c r="V388" s="121"/>
      <c r="W388" s="121"/>
      <c r="X388" s="130"/>
      <c r="Y388" s="121"/>
      <c r="Z388" s="129"/>
      <c r="AA388" s="129"/>
      <c r="AB388" s="129"/>
      <c r="AC388" s="121"/>
      <c r="AD388" s="121"/>
      <c r="AE388" s="121"/>
      <c r="AF388" s="121"/>
      <c r="AG388" s="121"/>
      <c r="AH388" s="121"/>
    </row>
    <row r="389" spans="1:34" ht="12.75">
      <c r="A389" s="121"/>
      <c r="B389" s="121"/>
      <c r="C389" s="129"/>
      <c r="D389" s="121"/>
      <c r="E389" s="129"/>
      <c r="F389" s="129"/>
      <c r="G389" s="129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9"/>
      <c r="S389" s="121"/>
      <c r="T389" s="131"/>
      <c r="U389" s="121"/>
      <c r="V389" s="121"/>
      <c r="W389" s="121"/>
      <c r="X389" s="130"/>
      <c r="Y389" s="121"/>
      <c r="Z389" s="129"/>
      <c r="AA389" s="129"/>
      <c r="AB389" s="129"/>
      <c r="AC389" s="121"/>
      <c r="AD389" s="121"/>
      <c r="AE389" s="121"/>
      <c r="AF389" s="121"/>
      <c r="AG389" s="121"/>
      <c r="AH389" s="121"/>
    </row>
    <row r="390" spans="1:34" ht="12.75">
      <c r="A390" s="121"/>
      <c r="B390" s="121"/>
      <c r="C390" s="129"/>
      <c r="D390" s="121"/>
      <c r="E390" s="129"/>
      <c r="F390" s="129"/>
      <c r="G390" s="129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9"/>
      <c r="S390" s="121"/>
      <c r="T390" s="131"/>
      <c r="U390" s="121"/>
      <c r="V390" s="121"/>
      <c r="W390" s="121"/>
      <c r="X390" s="130"/>
      <c r="Y390" s="121"/>
      <c r="Z390" s="129"/>
      <c r="AA390" s="129"/>
      <c r="AB390" s="129"/>
      <c r="AC390" s="121"/>
      <c r="AD390" s="121"/>
      <c r="AE390" s="121"/>
      <c r="AF390" s="121"/>
      <c r="AG390" s="121"/>
      <c r="AH390" s="121"/>
    </row>
    <row r="391" spans="1:34" ht="12.75">
      <c r="A391" s="121"/>
      <c r="B391" s="121"/>
      <c r="C391" s="129"/>
      <c r="D391" s="121"/>
      <c r="E391" s="129"/>
      <c r="F391" s="129"/>
      <c r="G391" s="129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9"/>
      <c r="S391" s="121"/>
      <c r="T391" s="131"/>
      <c r="U391" s="121"/>
      <c r="V391" s="121"/>
      <c r="W391" s="121"/>
      <c r="X391" s="130"/>
      <c r="Y391" s="121"/>
      <c r="Z391" s="129"/>
      <c r="AA391" s="129"/>
      <c r="AB391" s="129"/>
      <c r="AC391" s="121"/>
      <c r="AD391" s="121"/>
      <c r="AE391" s="121"/>
      <c r="AF391" s="121"/>
      <c r="AG391" s="121"/>
      <c r="AH391" s="121"/>
    </row>
    <row r="392" spans="1:34" ht="12.75">
      <c r="A392" s="121"/>
      <c r="B392" s="121"/>
      <c r="C392" s="129"/>
      <c r="D392" s="121"/>
      <c r="E392" s="129"/>
      <c r="F392" s="129"/>
      <c r="G392" s="129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9"/>
      <c r="S392" s="121"/>
      <c r="T392" s="131"/>
      <c r="U392" s="121"/>
      <c r="V392" s="121"/>
      <c r="W392" s="121"/>
      <c r="X392" s="130"/>
      <c r="Y392" s="121"/>
      <c r="Z392" s="129"/>
      <c r="AA392" s="129"/>
      <c r="AB392" s="129"/>
      <c r="AC392" s="121"/>
      <c r="AD392" s="121"/>
      <c r="AE392" s="121"/>
      <c r="AF392" s="121"/>
      <c r="AG392" s="121"/>
      <c r="AH392" s="121"/>
    </row>
    <row r="393" spans="1:34" ht="12.75">
      <c r="A393" s="121"/>
      <c r="B393" s="121"/>
      <c r="C393" s="129"/>
      <c r="D393" s="121"/>
      <c r="E393" s="129"/>
      <c r="F393" s="129"/>
      <c r="G393" s="129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9"/>
      <c r="S393" s="121"/>
      <c r="T393" s="131"/>
      <c r="U393" s="121"/>
      <c r="V393" s="121"/>
      <c r="W393" s="121"/>
      <c r="X393" s="130"/>
      <c r="Y393" s="121"/>
      <c r="Z393" s="129"/>
      <c r="AA393" s="129"/>
      <c r="AB393" s="129"/>
      <c r="AC393" s="121"/>
      <c r="AD393" s="121"/>
      <c r="AE393" s="121"/>
      <c r="AF393" s="121"/>
      <c r="AG393" s="121"/>
      <c r="AH393" s="121"/>
    </row>
    <row r="394" spans="1:34" ht="12.75">
      <c r="A394" s="121"/>
      <c r="B394" s="121"/>
      <c r="C394" s="129"/>
      <c r="D394" s="121"/>
      <c r="E394" s="129"/>
      <c r="F394" s="129"/>
      <c r="G394" s="129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9"/>
      <c r="S394" s="121"/>
      <c r="T394" s="131"/>
      <c r="U394" s="121"/>
      <c r="V394" s="121"/>
      <c r="W394" s="121"/>
      <c r="X394" s="130"/>
      <c r="Y394" s="121"/>
      <c r="Z394" s="129"/>
      <c r="AA394" s="129"/>
      <c r="AB394" s="129"/>
      <c r="AC394" s="121"/>
      <c r="AD394" s="121"/>
      <c r="AE394" s="121"/>
      <c r="AF394" s="121"/>
      <c r="AG394" s="121"/>
      <c r="AH394" s="121"/>
    </row>
    <row r="395" spans="1:34" ht="12.75">
      <c r="A395" s="121"/>
      <c r="B395" s="121"/>
      <c r="C395" s="129"/>
      <c r="D395" s="121"/>
      <c r="E395" s="129"/>
      <c r="F395" s="129"/>
      <c r="G395" s="129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9"/>
      <c r="S395" s="121"/>
      <c r="T395" s="131"/>
      <c r="U395" s="121"/>
      <c r="V395" s="121"/>
      <c r="W395" s="121"/>
      <c r="X395" s="130"/>
      <c r="Y395" s="121"/>
      <c r="Z395" s="129"/>
      <c r="AA395" s="129"/>
      <c r="AB395" s="129"/>
      <c r="AC395" s="121"/>
      <c r="AD395" s="121"/>
      <c r="AE395" s="121"/>
      <c r="AF395" s="121"/>
      <c r="AG395" s="121"/>
      <c r="AH395" s="121"/>
    </row>
    <row r="396" spans="1:34" ht="12.75">
      <c r="A396" s="121"/>
      <c r="B396" s="121"/>
      <c r="C396" s="129"/>
      <c r="D396" s="121"/>
      <c r="E396" s="129"/>
      <c r="F396" s="129"/>
      <c r="G396" s="129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9"/>
      <c r="S396" s="121"/>
      <c r="T396" s="131"/>
      <c r="U396" s="121"/>
      <c r="V396" s="121"/>
      <c r="W396" s="121"/>
      <c r="X396" s="130"/>
      <c r="Y396" s="121"/>
      <c r="Z396" s="129"/>
      <c r="AA396" s="129"/>
      <c r="AB396" s="129"/>
      <c r="AC396" s="121"/>
      <c r="AD396" s="121"/>
      <c r="AE396" s="121"/>
      <c r="AF396" s="121"/>
      <c r="AG396" s="121"/>
      <c r="AH396" s="121"/>
    </row>
    <row r="397" spans="1:34" ht="12.75">
      <c r="A397" s="121"/>
      <c r="B397" s="121"/>
      <c r="C397" s="129"/>
      <c r="D397" s="121"/>
      <c r="E397" s="129"/>
      <c r="F397" s="129"/>
      <c r="G397" s="129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9"/>
      <c r="S397" s="121"/>
      <c r="T397" s="131"/>
      <c r="U397" s="121"/>
      <c r="V397" s="121"/>
      <c r="W397" s="121"/>
      <c r="X397" s="130"/>
      <c r="Y397" s="121"/>
      <c r="Z397" s="129"/>
      <c r="AA397" s="129"/>
      <c r="AB397" s="129"/>
      <c r="AC397" s="121"/>
      <c r="AD397" s="121"/>
      <c r="AE397" s="121"/>
      <c r="AF397" s="121"/>
      <c r="AG397" s="121"/>
      <c r="AH397" s="121"/>
    </row>
    <row r="398" spans="1:34" ht="12.75">
      <c r="A398" s="121"/>
      <c r="B398" s="121"/>
      <c r="C398" s="129"/>
      <c r="D398" s="121"/>
      <c r="E398" s="129"/>
      <c r="F398" s="129"/>
      <c r="G398" s="129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9"/>
      <c r="S398" s="121"/>
      <c r="T398" s="131"/>
      <c r="U398" s="121"/>
      <c r="V398" s="121"/>
      <c r="W398" s="121"/>
      <c r="X398" s="130"/>
      <c r="Y398" s="121"/>
      <c r="Z398" s="129"/>
      <c r="AA398" s="129"/>
      <c r="AB398" s="129"/>
      <c r="AC398" s="121"/>
      <c r="AD398" s="121"/>
      <c r="AE398" s="121"/>
      <c r="AF398" s="121"/>
      <c r="AG398" s="121"/>
      <c r="AH398" s="121"/>
    </row>
    <row r="399" spans="1:34" ht="12.75">
      <c r="A399" s="121"/>
      <c r="B399" s="121"/>
      <c r="C399" s="129"/>
      <c r="D399" s="121"/>
      <c r="E399" s="129"/>
      <c r="F399" s="129"/>
      <c r="G399" s="129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9"/>
      <c r="S399" s="121"/>
      <c r="T399" s="131"/>
      <c r="U399" s="121"/>
      <c r="V399" s="121"/>
      <c r="W399" s="121"/>
      <c r="X399" s="130"/>
      <c r="Y399" s="121"/>
      <c r="Z399" s="129"/>
      <c r="AA399" s="129"/>
      <c r="AB399" s="129"/>
      <c r="AC399" s="121"/>
      <c r="AD399" s="121"/>
      <c r="AE399" s="121"/>
      <c r="AF399" s="121"/>
      <c r="AG399" s="121"/>
      <c r="AH399" s="121"/>
    </row>
    <row r="400" spans="1:34" ht="12.75">
      <c r="A400" s="121"/>
      <c r="B400" s="121"/>
      <c r="C400" s="129"/>
      <c r="D400" s="121"/>
      <c r="E400" s="129"/>
      <c r="F400" s="129"/>
      <c r="G400" s="129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9"/>
      <c r="S400" s="121"/>
      <c r="T400" s="131"/>
      <c r="U400" s="121"/>
      <c r="V400" s="121"/>
      <c r="W400" s="121"/>
      <c r="X400" s="130"/>
      <c r="Y400" s="121"/>
      <c r="Z400" s="129"/>
      <c r="AA400" s="129"/>
      <c r="AB400" s="129"/>
      <c r="AC400" s="121"/>
      <c r="AD400" s="121"/>
      <c r="AE400" s="121"/>
      <c r="AF400" s="121"/>
      <c r="AG400" s="121"/>
      <c r="AH400" s="121"/>
    </row>
    <row r="401" spans="1:34" ht="12.75">
      <c r="A401" s="121"/>
      <c r="B401" s="121"/>
      <c r="C401" s="129"/>
      <c r="D401" s="121"/>
      <c r="E401" s="129"/>
      <c r="F401" s="129"/>
      <c r="G401" s="129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9"/>
      <c r="S401" s="121"/>
      <c r="T401" s="131"/>
      <c r="U401" s="121"/>
      <c r="V401" s="121"/>
      <c r="W401" s="121"/>
      <c r="X401" s="130"/>
      <c r="Y401" s="121"/>
      <c r="Z401" s="129"/>
      <c r="AA401" s="129"/>
      <c r="AB401" s="129"/>
      <c r="AC401" s="121"/>
      <c r="AD401" s="121"/>
      <c r="AE401" s="121"/>
      <c r="AF401" s="121"/>
      <c r="AG401" s="121"/>
      <c r="AH401" s="121"/>
    </row>
    <row r="402" spans="1:34" ht="12.75">
      <c r="A402" s="121"/>
      <c r="B402" s="121"/>
      <c r="C402" s="129"/>
      <c r="D402" s="121"/>
      <c r="E402" s="129"/>
      <c r="F402" s="129"/>
      <c r="G402" s="129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9"/>
      <c r="S402" s="121"/>
      <c r="T402" s="131"/>
      <c r="U402" s="121"/>
      <c r="V402" s="121"/>
      <c r="W402" s="121"/>
      <c r="X402" s="130"/>
      <c r="Y402" s="121"/>
      <c r="Z402" s="129"/>
      <c r="AA402" s="129"/>
      <c r="AB402" s="129"/>
      <c r="AC402" s="121"/>
      <c r="AD402" s="121"/>
      <c r="AE402" s="121"/>
      <c r="AF402" s="121"/>
      <c r="AG402" s="121"/>
      <c r="AH402" s="121"/>
    </row>
    <row r="403" spans="1:34" ht="12.75">
      <c r="A403" s="121"/>
      <c r="B403" s="121"/>
      <c r="C403" s="129"/>
      <c r="D403" s="121"/>
      <c r="E403" s="129"/>
      <c r="F403" s="129"/>
      <c r="G403" s="129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9"/>
      <c r="S403" s="121"/>
      <c r="T403" s="131"/>
      <c r="U403" s="121"/>
      <c r="V403" s="121"/>
      <c r="W403" s="121"/>
      <c r="X403" s="130"/>
      <c r="Y403" s="121"/>
      <c r="Z403" s="129"/>
      <c r="AA403" s="129"/>
      <c r="AB403" s="129"/>
      <c r="AC403" s="121"/>
      <c r="AD403" s="121"/>
      <c r="AE403" s="121"/>
      <c r="AF403" s="121"/>
      <c r="AG403" s="121"/>
      <c r="AH403" s="121"/>
    </row>
    <row r="404" spans="1:34" ht="12.75">
      <c r="A404" s="121"/>
      <c r="B404" s="121"/>
      <c r="C404" s="129"/>
      <c r="D404" s="121"/>
      <c r="E404" s="129"/>
      <c r="F404" s="129"/>
      <c r="G404" s="129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9"/>
      <c r="S404" s="121"/>
      <c r="T404" s="131"/>
      <c r="U404" s="121"/>
      <c r="V404" s="121"/>
      <c r="W404" s="121"/>
      <c r="X404" s="130"/>
      <c r="Y404" s="121"/>
      <c r="Z404" s="129"/>
      <c r="AA404" s="129"/>
      <c r="AB404" s="129"/>
      <c r="AC404" s="121"/>
      <c r="AD404" s="121"/>
      <c r="AE404" s="121"/>
      <c r="AF404" s="121"/>
      <c r="AG404" s="121"/>
      <c r="AH404" s="121"/>
    </row>
    <row r="405" spans="1:34" ht="12.75">
      <c r="A405" s="121"/>
      <c r="B405" s="121"/>
      <c r="C405" s="129"/>
      <c r="D405" s="121"/>
      <c r="E405" s="129"/>
      <c r="F405" s="129"/>
      <c r="G405" s="129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9"/>
      <c r="S405" s="121"/>
      <c r="T405" s="131"/>
      <c r="U405" s="121"/>
      <c r="V405" s="121"/>
      <c r="W405" s="121"/>
      <c r="X405" s="130"/>
      <c r="Y405" s="121"/>
      <c r="Z405" s="129"/>
      <c r="AA405" s="129"/>
      <c r="AB405" s="129"/>
      <c r="AC405" s="121"/>
      <c r="AD405" s="121"/>
      <c r="AE405" s="121"/>
      <c r="AF405" s="121"/>
      <c r="AG405" s="121"/>
      <c r="AH405" s="121"/>
    </row>
    <row r="406" spans="1:34" ht="12.75">
      <c r="A406" s="121"/>
      <c r="B406" s="121"/>
      <c r="C406" s="129"/>
      <c r="D406" s="121"/>
      <c r="E406" s="129"/>
      <c r="F406" s="129"/>
      <c r="G406" s="129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9"/>
      <c r="S406" s="121"/>
      <c r="T406" s="131"/>
      <c r="U406" s="121"/>
      <c r="V406" s="121"/>
      <c r="W406" s="121"/>
      <c r="X406" s="130"/>
      <c r="Y406" s="121"/>
      <c r="Z406" s="129"/>
      <c r="AA406" s="129"/>
      <c r="AB406" s="129"/>
      <c r="AC406" s="121"/>
      <c r="AD406" s="121"/>
      <c r="AE406" s="121"/>
      <c r="AF406" s="121"/>
      <c r="AG406" s="121"/>
      <c r="AH406" s="121"/>
    </row>
    <row r="407" spans="1:34" ht="12.75">
      <c r="A407" s="121"/>
      <c r="B407" s="121"/>
      <c r="C407" s="129"/>
      <c r="D407" s="121"/>
      <c r="E407" s="129"/>
      <c r="F407" s="129"/>
      <c r="G407" s="129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9"/>
      <c r="S407" s="121"/>
      <c r="T407" s="131"/>
      <c r="U407" s="121"/>
      <c r="V407" s="121"/>
      <c r="W407" s="121"/>
      <c r="X407" s="130"/>
      <c r="Y407" s="121"/>
      <c r="Z407" s="129"/>
      <c r="AA407" s="129"/>
      <c r="AB407" s="129"/>
      <c r="AC407" s="121"/>
      <c r="AD407" s="121"/>
      <c r="AE407" s="121"/>
      <c r="AF407" s="121"/>
      <c r="AG407" s="121"/>
      <c r="AH407" s="121"/>
    </row>
    <row r="408" spans="1:34" ht="12.75">
      <c r="A408" s="121"/>
      <c r="B408" s="121"/>
      <c r="C408" s="129"/>
      <c r="D408" s="121"/>
      <c r="E408" s="129"/>
      <c r="F408" s="129"/>
      <c r="G408" s="129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9"/>
      <c r="S408" s="121"/>
      <c r="T408" s="131"/>
      <c r="U408" s="121"/>
      <c r="V408" s="121"/>
      <c r="W408" s="121"/>
      <c r="X408" s="130"/>
      <c r="Y408" s="121"/>
      <c r="Z408" s="129"/>
      <c r="AA408" s="129"/>
      <c r="AB408" s="129"/>
      <c r="AC408" s="121"/>
      <c r="AD408" s="121"/>
      <c r="AE408" s="121"/>
      <c r="AF408" s="121"/>
      <c r="AG408" s="121"/>
      <c r="AH408" s="121"/>
    </row>
    <row r="409" spans="1:34" ht="12.75">
      <c r="A409" s="121"/>
      <c r="B409" s="121"/>
      <c r="C409" s="129"/>
      <c r="D409" s="121"/>
      <c r="E409" s="129"/>
      <c r="F409" s="129"/>
      <c r="G409" s="129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9"/>
      <c r="S409" s="121"/>
      <c r="T409" s="131"/>
      <c r="U409" s="121"/>
      <c r="V409" s="121"/>
      <c r="W409" s="121"/>
      <c r="X409" s="130"/>
      <c r="Y409" s="121"/>
      <c r="Z409" s="129"/>
      <c r="AA409" s="129"/>
      <c r="AB409" s="129"/>
      <c r="AC409" s="121"/>
      <c r="AD409" s="121"/>
      <c r="AE409" s="121"/>
      <c r="AF409" s="121"/>
      <c r="AG409" s="121"/>
      <c r="AH409" s="121"/>
    </row>
    <row r="410" spans="1:34" ht="12.75">
      <c r="A410" s="121"/>
      <c r="B410" s="121"/>
      <c r="C410" s="129"/>
      <c r="D410" s="121"/>
      <c r="E410" s="129"/>
      <c r="F410" s="129"/>
      <c r="G410" s="129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9"/>
      <c r="S410" s="121"/>
      <c r="T410" s="131"/>
      <c r="U410" s="121"/>
      <c r="V410" s="121"/>
      <c r="W410" s="121"/>
      <c r="X410" s="130"/>
      <c r="Y410" s="121"/>
      <c r="Z410" s="129"/>
      <c r="AA410" s="129"/>
      <c r="AB410" s="129"/>
      <c r="AC410" s="121"/>
      <c r="AD410" s="121"/>
      <c r="AE410" s="121"/>
      <c r="AF410" s="121"/>
      <c r="AG410" s="121"/>
      <c r="AH410" s="121"/>
    </row>
    <row r="411" spans="1:34" ht="12.75">
      <c r="A411" s="121"/>
      <c r="B411" s="121"/>
      <c r="C411" s="129"/>
      <c r="D411" s="121"/>
      <c r="E411" s="129"/>
      <c r="F411" s="129"/>
      <c r="G411" s="129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9"/>
      <c r="S411" s="121"/>
      <c r="T411" s="131"/>
      <c r="U411" s="121"/>
      <c r="V411" s="121"/>
      <c r="W411" s="121"/>
      <c r="X411" s="130"/>
      <c r="Y411" s="121"/>
      <c r="Z411" s="129"/>
      <c r="AA411" s="129"/>
      <c r="AB411" s="129"/>
      <c r="AC411" s="121"/>
      <c r="AD411" s="121"/>
      <c r="AE411" s="121"/>
      <c r="AF411" s="121"/>
      <c r="AG411" s="121"/>
      <c r="AH411" s="121"/>
    </row>
    <row r="412" spans="1:34" ht="12.75">
      <c r="A412" s="121"/>
      <c r="B412" s="121"/>
      <c r="C412" s="129"/>
      <c r="D412" s="121"/>
      <c r="E412" s="129"/>
      <c r="F412" s="129"/>
      <c r="G412" s="129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9"/>
      <c r="S412" s="121"/>
      <c r="T412" s="131"/>
      <c r="U412" s="121"/>
      <c r="V412" s="121"/>
      <c r="W412" s="121"/>
      <c r="X412" s="130"/>
      <c r="Y412" s="121"/>
      <c r="Z412" s="129"/>
      <c r="AA412" s="129"/>
      <c r="AB412" s="129"/>
      <c r="AC412" s="121"/>
      <c r="AD412" s="121"/>
      <c r="AE412" s="121"/>
      <c r="AF412" s="121"/>
      <c r="AG412" s="121"/>
      <c r="AH412" s="121"/>
    </row>
    <row r="413" spans="1:34" ht="12.75">
      <c r="A413" s="121"/>
      <c r="B413" s="121"/>
      <c r="C413" s="129"/>
      <c r="D413" s="121"/>
      <c r="E413" s="129"/>
      <c r="F413" s="129"/>
      <c r="G413" s="129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9"/>
      <c r="S413" s="121"/>
      <c r="T413" s="131"/>
      <c r="U413" s="121"/>
      <c r="V413" s="121"/>
      <c r="W413" s="121"/>
      <c r="X413" s="130"/>
      <c r="Y413" s="121"/>
      <c r="Z413" s="129"/>
      <c r="AA413" s="129"/>
      <c r="AB413" s="129"/>
      <c r="AC413" s="121"/>
      <c r="AD413" s="121"/>
      <c r="AE413" s="121"/>
      <c r="AF413" s="121"/>
      <c r="AG413" s="121"/>
      <c r="AH413" s="121"/>
    </row>
    <row r="414" spans="1:34" ht="12.75">
      <c r="A414" s="121"/>
      <c r="B414" s="121"/>
      <c r="C414" s="129"/>
      <c r="D414" s="121"/>
      <c r="E414" s="129"/>
      <c r="F414" s="129"/>
      <c r="G414" s="129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9"/>
      <c r="S414" s="121"/>
      <c r="T414" s="131"/>
      <c r="U414" s="121"/>
      <c r="V414" s="121"/>
      <c r="W414" s="121"/>
      <c r="X414" s="130"/>
      <c r="Y414" s="121"/>
      <c r="Z414" s="129"/>
      <c r="AA414" s="129"/>
      <c r="AB414" s="129"/>
      <c r="AC414" s="121"/>
      <c r="AD414" s="121"/>
      <c r="AE414" s="121"/>
      <c r="AF414" s="121"/>
      <c r="AG414" s="121"/>
      <c r="AH414" s="121"/>
    </row>
    <row r="415" spans="1:34" ht="12.75">
      <c r="A415" s="121"/>
      <c r="B415" s="121"/>
      <c r="C415" s="129"/>
      <c r="D415" s="121"/>
      <c r="E415" s="129"/>
      <c r="F415" s="129"/>
      <c r="G415" s="129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9"/>
      <c r="S415" s="121"/>
      <c r="T415" s="131"/>
      <c r="U415" s="121"/>
      <c r="V415" s="121"/>
      <c r="W415" s="121"/>
      <c r="X415" s="130"/>
      <c r="Y415" s="121"/>
      <c r="Z415" s="129"/>
      <c r="AA415" s="129"/>
      <c r="AB415" s="129"/>
      <c r="AC415" s="121"/>
      <c r="AD415" s="121"/>
      <c r="AE415" s="121"/>
      <c r="AF415" s="121"/>
      <c r="AG415" s="121"/>
      <c r="AH415" s="121"/>
    </row>
    <row r="416" spans="1:34" ht="12.75">
      <c r="A416" s="121"/>
      <c r="B416" s="121"/>
      <c r="C416" s="129"/>
      <c r="D416" s="121"/>
      <c r="E416" s="129"/>
      <c r="F416" s="129"/>
      <c r="G416" s="129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9"/>
      <c r="S416" s="121"/>
      <c r="T416" s="131"/>
      <c r="U416" s="121"/>
      <c r="V416" s="121"/>
      <c r="W416" s="121"/>
      <c r="X416" s="130"/>
      <c r="Y416" s="121"/>
      <c r="Z416" s="129"/>
      <c r="AA416" s="129"/>
      <c r="AB416" s="129"/>
      <c r="AC416" s="121"/>
      <c r="AD416" s="121"/>
      <c r="AE416" s="121"/>
      <c r="AF416" s="121"/>
      <c r="AG416" s="121"/>
      <c r="AH416" s="121"/>
    </row>
    <row r="417" spans="1:34" ht="12.75">
      <c r="A417" s="121"/>
      <c r="B417" s="121"/>
      <c r="C417" s="129"/>
      <c r="D417" s="121"/>
      <c r="E417" s="129"/>
      <c r="F417" s="129"/>
      <c r="G417" s="129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9"/>
      <c r="S417" s="121"/>
      <c r="T417" s="131"/>
      <c r="U417" s="121"/>
      <c r="V417" s="121"/>
      <c r="W417" s="121"/>
      <c r="X417" s="130"/>
      <c r="Y417" s="121"/>
      <c r="Z417" s="129"/>
      <c r="AA417" s="129"/>
      <c r="AB417" s="129"/>
      <c r="AC417" s="121"/>
      <c r="AD417" s="121"/>
      <c r="AE417" s="121"/>
      <c r="AF417" s="121"/>
      <c r="AG417" s="121"/>
      <c r="AH417" s="121"/>
    </row>
    <row r="418" spans="1:34" ht="12.75">
      <c r="A418" s="121"/>
      <c r="B418" s="121"/>
      <c r="C418" s="129"/>
      <c r="D418" s="121"/>
      <c r="E418" s="129"/>
      <c r="F418" s="129"/>
      <c r="G418" s="129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9"/>
      <c r="S418" s="121"/>
      <c r="T418" s="131"/>
      <c r="U418" s="121"/>
      <c r="V418" s="121"/>
      <c r="W418" s="121"/>
      <c r="X418" s="130"/>
      <c r="Y418" s="121"/>
      <c r="Z418" s="129"/>
      <c r="AA418" s="129"/>
      <c r="AB418" s="129"/>
      <c r="AC418" s="121"/>
      <c r="AD418" s="121"/>
      <c r="AE418" s="121"/>
      <c r="AF418" s="121"/>
      <c r="AG418" s="121"/>
      <c r="AH418" s="121"/>
    </row>
    <row r="419" spans="1:34" ht="12.75">
      <c r="A419" s="121"/>
      <c r="B419" s="121"/>
      <c r="C419" s="129"/>
      <c r="D419" s="121"/>
      <c r="E419" s="129"/>
      <c r="F419" s="129"/>
      <c r="G419" s="129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9"/>
      <c r="S419" s="121"/>
      <c r="T419" s="131"/>
      <c r="U419" s="121"/>
      <c r="V419" s="121"/>
      <c r="W419" s="121"/>
      <c r="X419" s="130"/>
      <c r="Y419" s="121"/>
      <c r="Z419" s="129"/>
      <c r="AA419" s="129"/>
      <c r="AB419" s="129"/>
      <c r="AC419" s="121"/>
      <c r="AD419" s="121"/>
      <c r="AE419" s="121"/>
      <c r="AF419" s="121"/>
      <c r="AG419" s="121"/>
      <c r="AH419" s="121"/>
    </row>
    <row r="420" spans="1:34" ht="12.75">
      <c r="A420" s="121"/>
      <c r="B420" s="121"/>
      <c r="C420" s="129"/>
      <c r="D420" s="121"/>
      <c r="E420" s="129"/>
      <c r="F420" s="129"/>
      <c r="G420" s="129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9"/>
      <c r="S420" s="121"/>
      <c r="T420" s="131"/>
      <c r="U420" s="121"/>
      <c r="V420" s="121"/>
      <c r="W420" s="121"/>
      <c r="X420" s="130"/>
      <c r="Y420" s="121"/>
      <c r="Z420" s="129"/>
      <c r="AA420" s="129"/>
      <c r="AB420" s="129"/>
      <c r="AC420" s="121"/>
      <c r="AD420" s="121"/>
      <c r="AE420" s="121"/>
      <c r="AF420" s="121"/>
      <c r="AG420" s="121"/>
      <c r="AH420" s="121"/>
    </row>
    <row r="421" spans="1:34" ht="12.75">
      <c r="A421" s="121"/>
      <c r="B421" s="121"/>
      <c r="C421" s="129"/>
      <c r="D421" s="121"/>
      <c r="E421" s="129"/>
      <c r="F421" s="129"/>
      <c r="G421" s="129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9"/>
      <c r="S421" s="121"/>
      <c r="T421" s="131"/>
      <c r="U421" s="121"/>
      <c r="V421" s="121"/>
      <c r="W421" s="121"/>
      <c r="X421" s="130"/>
      <c r="Y421" s="121"/>
      <c r="Z421" s="129"/>
      <c r="AA421" s="129"/>
      <c r="AB421" s="129"/>
      <c r="AC421" s="121"/>
      <c r="AD421" s="121"/>
      <c r="AE421" s="121"/>
      <c r="AF421" s="121"/>
      <c r="AG421" s="121"/>
      <c r="AH421" s="121"/>
    </row>
    <row r="422" spans="1:34" ht="12.75">
      <c r="A422" s="121"/>
      <c r="B422" s="121"/>
      <c r="C422" s="129"/>
      <c r="D422" s="121"/>
      <c r="E422" s="129"/>
      <c r="F422" s="129"/>
      <c r="G422" s="129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9"/>
      <c r="S422" s="121"/>
      <c r="T422" s="131"/>
      <c r="U422" s="121"/>
      <c r="V422" s="121"/>
      <c r="W422" s="121"/>
      <c r="X422" s="130"/>
      <c r="Y422" s="121"/>
      <c r="Z422" s="129"/>
      <c r="AA422" s="129"/>
      <c r="AB422" s="129"/>
      <c r="AC422" s="121"/>
      <c r="AD422" s="121"/>
      <c r="AE422" s="121"/>
      <c r="AF422" s="121"/>
      <c r="AG422" s="121"/>
      <c r="AH422" s="121"/>
    </row>
    <row r="423" spans="1:34" ht="12.75">
      <c r="A423" s="121"/>
      <c r="B423" s="121"/>
      <c r="C423" s="129"/>
      <c r="D423" s="121"/>
      <c r="E423" s="129"/>
      <c r="F423" s="129"/>
      <c r="G423" s="129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9"/>
      <c r="S423" s="121"/>
      <c r="T423" s="131"/>
      <c r="U423" s="121"/>
      <c r="V423" s="121"/>
      <c r="W423" s="121"/>
      <c r="X423" s="130"/>
      <c r="Y423" s="121"/>
      <c r="Z423" s="129"/>
      <c r="AA423" s="129"/>
      <c r="AB423" s="129"/>
      <c r="AC423" s="121"/>
      <c r="AD423" s="121"/>
      <c r="AE423" s="121"/>
      <c r="AF423" s="121"/>
      <c r="AG423" s="121"/>
      <c r="AH423" s="121"/>
    </row>
    <row r="424" spans="1:34" ht="12.75">
      <c r="A424" s="121"/>
      <c r="B424" s="121"/>
      <c r="C424" s="129"/>
      <c r="D424" s="121"/>
      <c r="E424" s="129"/>
      <c r="F424" s="129"/>
      <c r="G424" s="129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9"/>
      <c r="S424" s="121"/>
      <c r="T424" s="131"/>
      <c r="U424" s="121"/>
      <c r="V424" s="121"/>
      <c r="W424" s="121"/>
      <c r="X424" s="130"/>
      <c r="Y424" s="121"/>
      <c r="Z424" s="129"/>
      <c r="AA424" s="129"/>
      <c r="AB424" s="129"/>
      <c r="AC424" s="121"/>
      <c r="AD424" s="121"/>
      <c r="AE424" s="121"/>
      <c r="AF424" s="121"/>
      <c r="AG424" s="121"/>
      <c r="AH424" s="121"/>
    </row>
    <row r="425" spans="1:34" ht="12.75">
      <c r="A425" s="121"/>
      <c r="B425" s="121"/>
      <c r="C425" s="129"/>
      <c r="D425" s="121"/>
      <c r="E425" s="129"/>
      <c r="F425" s="129"/>
      <c r="G425" s="129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9"/>
      <c r="S425" s="121"/>
      <c r="T425" s="131"/>
      <c r="U425" s="121"/>
      <c r="V425" s="121"/>
      <c r="W425" s="121"/>
      <c r="X425" s="130"/>
      <c r="Y425" s="121"/>
      <c r="Z425" s="129"/>
      <c r="AA425" s="129"/>
      <c r="AB425" s="129"/>
      <c r="AC425" s="121"/>
      <c r="AD425" s="121"/>
      <c r="AE425" s="121"/>
      <c r="AF425" s="121"/>
      <c r="AG425" s="121"/>
      <c r="AH425" s="121"/>
    </row>
    <row r="426" spans="1:34" ht="12.75">
      <c r="A426" s="121"/>
      <c r="B426" s="121"/>
      <c r="C426" s="129"/>
      <c r="D426" s="121"/>
      <c r="E426" s="129"/>
      <c r="F426" s="129"/>
      <c r="G426" s="129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9"/>
      <c r="S426" s="121"/>
      <c r="T426" s="131"/>
      <c r="U426" s="121"/>
      <c r="V426" s="121"/>
      <c r="W426" s="121"/>
      <c r="X426" s="130"/>
      <c r="Y426" s="121"/>
      <c r="Z426" s="129"/>
      <c r="AA426" s="129"/>
      <c r="AB426" s="129"/>
      <c r="AC426" s="121"/>
      <c r="AD426" s="121"/>
      <c r="AE426" s="121"/>
      <c r="AF426" s="121"/>
      <c r="AG426" s="121"/>
      <c r="AH426" s="121"/>
    </row>
    <row r="427" spans="1:34" ht="12.75">
      <c r="A427" s="121"/>
      <c r="B427" s="121"/>
      <c r="C427" s="129"/>
      <c r="D427" s="121"/>
      <c r="E427" s="129"/>
      <c r="F427" s="129"/>
      <c r="G427" s="129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9"/>
      <c r="S427" s="121"/>
      <c r="T427" s="131"/>
      <c r="U427" s="121"/>
      <c r="V427" s="121"/>
      <c r="W427" s="121"/>
      <c r="X427" s="130"/>
      <c r="Y427" s="121"/>
      <c r="Z427" s="129"/>
      <c r="AA427" s="129"/>
      <c r="AB427" s="129"/>
      <c r="AC427" s="121"/>
      <c r="AD427" s="121"/>
      <c r="AE427" s="121"/>
      <c r="AF427" s="121"/>
      <c r="AG427" s="121"/>
      <c r="AH427" s="121"/>
    </row>
    <row r="428" spans="1:34" ht="12.75">
      <c r="A428" s="121"/>
      <c r="B428" s="121"/>
      <c r="C428" s="129"/>
      <c r="D428" s="121"/>
      <c r="E428" s="129"/>
      <c r="F428" s="129"/>
      <c r="G428" s="129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9"/>
      <c r="S428" s="121"/>
      <c r="T428" s="131"/>
      <c r="U428" s="121"/>
      <c r="V428" s="121"/>
      <c r="W428" s="121"/>
      <c r="X428" s="130"/>
      <c r="Y428" s="121"/>
      <c r="Z428" s="129"/>
      <c r="AA428" s="129"/>
      <c r="AB428" s="129"/>
      <c r="AC428" s="121"/>
      <c r="AD428" s="121"/>
      <c r="AE428" s="121"/>
      <c r="AF428" s="121"/>
      <c r="AG428" s="121"/>
      <c r="AH428" s="121"/>
    </row>
    <row r="429" spans="1:34" ht="12.75">
      <c r="A429" s="121"/>
      <c r="B429" s="121"/>
      <c r="C429" s="129"/>
      <c r="D429" s="121"/>
      <c r="E429" s="129"/>
      <c r="F429" s="129"/>
      <c r="G429" s="129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9"/>
      <c r="S429" s="121"/>
      <c r="T429" s="131"/>
      <c r="U429" s="121"/>
      <c r="V429" s="121"/>
      <c r="W429" s="121"/>
      <c r="X429" s="130"/>
      <c r="Y429" s="121"/>
      <c r="Z429" s="129"/>
      <c r="AA429" s="129"/>
      <c r="AB429" s="129"/>
      <c r="AC429" s="121"/>
      <c r="AD429" s="121"/>
      <c r="AE429" s="121"/>
      <c r="AF429" s="121"/>
      <c r="AG429" s="121"/>
      <c r="AH429" s="121"/>
    </row>
    <row r="430" spans="1:34" ht="12.75">
      <c r="A430" s="121"/>
      <c r="B430" s="121"/>
      <c r="C430" s="129"/>
      <c r="D430" s="121"/>
      <c r="E430" s="129"/>
      <c r="F430" s="129"/>
      <c r="G430" s="129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9"/>
      <c r="S430" s="121"/>
      <c r="T430" s="131"/>
      <c r="U430" s="121"/>
      <c r="V430" s="121"/>
      <c r="W430" s="121"/>
      <c r="X430" s="130"/>
      <c r="Y430" s="121"/>
      <c r="Z430" s="129"/>
      <c r="AA430" s="129"/>
      <c r="AB430" s="129"/>
      <c r="AC430" s="121"/>
      <c r="AD430" s="121"/>
      <c r="AE430" s="121"/>
      <c r="AF430" s="121"/>
      <c r="AG430" s="121"/>
      <c r="AH430" s="121"/>
    </row>
    <row r="431" spans="1:34" ht="12.75">
      <c r="A431" s="121"/>
      <c r="B431" s="121"/>
      <c r="C431" s="129"/>
      <c r="D431" s="121"/>
      <c r="E431" s="129"/>
      <c r="F431" s="129"/>
      <c r="G431" s="129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9"/>
      <c r="S431" s="121"/>
      <c r="T431" s="131"/>
      <c r="U431" s="121"/>
      <c r="V431" s="121"/>
      <c r="W431" s="121"/>
      <c r="X431" s="130"/>
      <c r="Y431" s="121"/>
      <c r="Z431" s="129"/>
      <c r="AA431" s="129"/>
      <c r="AB431" s="129"/>
      <c r="AC431" s="121"/>
      <c r="AD431" s="121"/>
      <c r="AE431" s="121"/>
      <c r="AF431" s="121"/>
      <c r="AG431" s="121"/>
      <c r="AH431" s="121"/>
    </row>
    <row r="432" spans="1:34" ht="12.75">
      <c r="A432" s="121"/>
      <c r="B432" s="121"/>
      <c r="C432" s="129"/>
      <c r="D432" s="121"/>
      <c r="E432" s="129"/>
      <c r="F432" s="129"/>
      <c r="G432" s="129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9"/>
      <c r="S432" s="121"/>
      <c r="T432" s="131"/>
      <c r="U432" s="121"/>
      <c r="V432" s="121"/>
      <c r="W432" s="121"/>
      <c r="X432" s="130"/>
      <c r="Y432" s="121"/>
      <c r="Z432" s="129"/>
      <c r="AA432" s="129"/>
      <c r="AB432" s="129"/>
      <c r="AC432" s="121"/>
      <c r="AD432" s="121"/>
      <c r="AE432" s="121"/>
      <c r="AF432" s="121"/>
      <c r="AG432" s="121"/>
      <c r="AH432" s="121"/>
    </row>
    <row r="433" spans="1:34" ht="12.75">
      <c r="A433" s="121"/>
      <c r="B433" s="121"/>
      <c r="C433" s="129"/>
      <c r="D433" s="121"/>
      <c r="E433" s="129"/>
      <c r="F433" s="129"/>
      <c r="G433" s="129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9"/>
      <c r="S433" s="121"/>
      <c r="T433" s="131"/>
      <c r="U433" s="121"/>
      <c r="V433" s="121"/>
      <c r="W433" s="121"/>
      <c r="X433" s="130"/>
      <c r="Y433" s="121"/>
      <c r="Z433" s="129"/>
      <c r="AA433" s="129"/>
      <c r="AB433" s="129"/>
      <c r="AC433" s="121"/>
      <c r="AD433" s="121"/>
      <c r="AE433" s="121"/>
      <c r="AF433" s="121"/>
      <c r="AG433" s="121"/>
      <c r="AH433" s="121"/>
    </row>
    <row r="434" spans="1:34" ht="12.75">
      <c r="A434" s="121"/>
      <c r="B434" s="121"/>
      <c r="C434" s="129"/>
      <c r="D434" s="121"/>
      <c r="E434" s="129"/>
      <c r="F434" s="129"/>
      <c r="G434" s="129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9"/>
      <c r="S434" s="121"/>
      <c r="T434" s="131"/>
      <c r="U434" s="121"/>
      <c r="V434" s="121"/>
      <c r="W434" s="121"/>
      <c r="X434" s="130"/>
      <c r="Y434" s="121"/>
      <c r="Z434" s="129"/>
      <c r="AA434" s="129"/>
      <c r="AB434" s="129"/>
      <c r="AC434" s="121"/>
      <c r="AD434" s="121"/>
      <c r="AE434" s="121"/>
      <c r="AF434" s="121"/>
      <c r="AG434" s="121"/>
      <c r="AH434" s="121"/>
    </row>
    <row r="435" spans="1:34" ht="12.75">
      <c r="A435" s="121"/>
      <c r="B435" s="121"/>
      <c r="C435" s="129"/>
      <c r="D435" s="121"/>
      <c r="E435" s="129"/>
      <c r="F435" s="129"/>
      <c r="G435" s="129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9"/>
      <c r="S435" s="121"/>
      <c r="T435" s="131"/>
      <c r="U435" s="121"/>
      <c r="V435" s="121"/>
      <c r="W435" s="121"/>
      <c r="X435" s="130"/>
      <c r="Y435" s="121"/>
      <c r="Z435" s="129"/>
      <c r="AA435" s="129"/>
      <c r="AB435" s="129"/>
      <c r="AC435" s="121"/>
      <c r="AD435" s="121"/>
      <c r="AE435" s="121"/>
      <c r="AF435" s="121"/>
      <c r="AG435" s="121"/>
      <c r="AH435" s="121"/>
    </row>
    <row r="436" spans="1:34" ht="12.75">
      <c r="A436" s="121"/>
      <c r="B436" s="121"/>
      <c r="C436" s="129"/>
      <c r="D436" s="121"/>
      <c r="E436" s="129"/>
      <c r="F436" s="129"/>
      <c r="G436" s="129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9"/>
      <c r="S436" s="121"/>
      <c r="T436" s="131"/>
      <c r="U436" s="121"/>
      <c r="V436" s="121"/>
      <c r="W436" s="121"/>
      <c r="X436" s="130"/>
      <c r="Y436" s="121"/>
      <c r="Z436" s="129"/>
      <c r="AA436" s="129"/>
      <c r="AB436" s="129"/>
      <c r="AC436" s="121"/>
      <c r="AD436" s="121"/>
      <c r="AE436" s="121"/>
      <c r="AF436" s="121"/>
      <c r="AG436" s="121"/>
      <c r="AH436" s="121"/>
    </row>
    <row r="437" spans="1:34" ht="12.75">
      <c r="A437" s="121"/>
      <c r="B437" s="121"/>
      <c r="C437" s="129"/>
      <c r="D437" s="121"/>
      <c r="E437" s="129"/>
      <c r="F437" s="129"/>
      <c r="G437" s="129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9"/>
      <c r="S437" s="121"/>
      <c r="T437" s="131"/>
      <c r="U437" s="121"/>
      <c r="V437" s="121"/>
      <c r="W437" s="121"/>
      <c r="X437" s="130"/>
      <c r="Y437" s="121"/>
      <c r="Z437" s="129"/>
      <c r="AA437" s="129"/>
      <c r="AB437" s="129"/>
      <c r="AC437" s="121"/>
      <c r="AD437" s="121"/>
      <c r="AE437" s="121"/>
      <c r="AF437" s="121"/>
      <c r="AG437" s="121"/>
      <c r="AH437" s="121"/>
    </row>
    <row r="438" spans="1:34" ht="12.75">
      <c r="A438" s="121"/>
      <c r="B438" s="121"/>
      <c r="C438" s="129"/>
      <c r="D438" s="121"/>
      <c r="E438" s="129"/>
      <c r="F438" s="129"/>
      <c r="G438" s="129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9"/>
      <c r="S438" s="121"/>
      <c r="T438" s="131"/>
      <c r="U438" s="121"/>
      <c r="V438" s="121"/>
      <c r="W438" s="121"/>
      <c r="X438" s="130"/>
      <c r="Y438" s="121"/>
      <c r="Z438" s="129"/>
      <c r="AA438" s="129"/>
      <c r="AB438" s="129"/>
      <c r="AC438" s="121"/>
      <c r="AD438" s="121"/>
      <c r="AE438" s="121"/>
      <c r="AF438" s="121"/>
      <c r="AG438" s="121"/>
      <c r="AH438" s="121"/>
    </row>
    <row r="439" spans="1:34" ht="12.75">
      <c r="A439" s="121"/>
      <c r="B439" s="121"/>
      <c r="C439" s="129"/>
      <c r="D439" s="121"/>
      <c r="E439" s="129"/>
      <c r="F439" s="129"/>
      <c r="G439" s="129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9"/>
      <c r="S439" s="121"/>
      <c r="T439" s="131"/>
      <c r="U439" s="121"/>
      <c r="V439" s="121"/>
      <c r="W439" s="121"/>
      <c r="X439" s="130"/>
      <c r="Y439" s="121"/>
      <c r="Z439" s="129"/>
      <c r="AA439" s="129"/>
      <c r="AB439" s="129"/>
      <c r="AC439" s="121"/>
      <c r="AD439" s="121"/>
      <c r="AE439" s="121"/>
      <c r="AF439" s="121"/>
      <c r="AG439" s="121"/>
      <c r="AH439" s="121"/>
    </row>
    <row r="440" spans="1:34" ht="12.75">
      <c r="A440" s="121"/>
      <c r="B440" s="121"/>
      <c r="C440" s="129"/>
      <c r="D440" s="121"/>
      <c r="E440" s="129"/>
      <c r="F440" s="129"/>
      <c r="G440" s="129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9"/>
      <c r="S440" s="121"/>
      <c r="T440" s="131"/>
      <c r="U440" s="121"/>
      <c r="V440" s="121"/>
      <c r="W440" s="121"/>
      <c r="X440" s="130"/>
      <c r="Y440" s="121"/>
      <c r="Z440" s="129"/>
      <c r="AA440" s="129"/>
      <c r="AB440" s="129"/>
      <c r="AC440" s="121"/>
      <c r="AD440" s="121"/>
      <c r="AE440" s="121"/>
      <c r="AF440" s="121"/>
      <c r="AG440" s="121"/>
      <c r="AH440" s="121"/>
    </row>
    <row r="441" spans="1:34" ht="12.75">
      <c r="A441" s="121"/>
      <c r="B441" s="121"/>
      <c r="C441" s="129"/>
      <c r="D441" s="121"/>
      <c r="E441" s="129"/>
      <c r="F441" s="129"/>
      <c r="G441" s="129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9"/>
      <c r="S441" s="121"/>
      <c r="T441" s="131"/>
      <c r="U441" s="121"/>
      <c r="V441" s="121"/>
      <c r="W441" s="121"/>
      <c r="X441" s="130"/>
      <c r="Y441" s="121"/>
      <c r="Z441" s="129"/>
      <c r="AA441" s="129"/>
      <c r="AB441" s="129"/>
      <c r="AC441" s="121"/>
      <c r="AD441" s="121"/>
      <c r="AE441" s="121"/>
      <c r="AF441" s="121"/>
      <c r="AG441" s="121"/>
      <c r="AH441" s="121"/>
    </row>
    <row r="442" spans="1:34" ht="12.75">
      <c r="A442" s="121"/>
      <c r="B442" s="121"/>
      <c r="C442" s="129"/>
      <c r="D442" s="121"/>
      <c r="E442" s="129"/>
      <c r="F442" s="129"/>
      <c r="G442" s="129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9"/>
      <c r="S442" s="121"/>
      <c r="T442" s="131"/>
      <c r="U442" s="121"/>
      <c r="V442" s="121"/>
      <c r="W442" s="121"/>
      <c r="X442" s="130"/>
      <c r="Y442" s="121"/>
      <c r="Z442" s="129"/>
      <c r="AA442" s="129"/>
      <c r="AB442" s="129"/>
      <c r="AC442" s="121"/>
      <c r="AD442" s="121"/>
      <c r="AE442" s="121"/>
      <c r="AF442" s="121"/>
      <c r="AG442" s="121"/>
      <c r="AH442" s="121"/>
    </row>
    <row r="443" spans="1:34" ht="12.75">
      <c r="A443" s="121"/>
      <c r="B443" s="121"/>
      <c r="C443" s="129"/>
      <c r="D443" s="121"/>
      <c r="E443" s="129"/>
      <c r="F443" s="129"/>
      <c r="G443" s="129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9"/>
      <c r="S443" s="121"/>
      <c r="T443" s="131"/>
      <c r="U443" s="121"/>
      <c r="V443" s="121"/>
      <c r="W443" s="121"/>
      <c r="X443" s="130"/>
      <c r="Y443" s="121"/>
      <c r="Z443" s="129"/>
      <c r="AA443" s="129"/>
      <c r="AB443" s="129"/>
      <c r="AC443" s="121"/>
      <c r="AD443" s="121"/>
      <c r="AE443" s="121"/>
      <c r="AF443" s="121"/>
      <c r="AG443" s="121"/>
      <c r="AH443" s="121"/>
    </row>
    <row r="444" spans="1:34" ht="12.75">
      <c r="A444" s="121"/>
      <c r="B444" s="121"/>
      <c r="C444" s="129"/>
      <c r="D444" s="121"/>
      <c r="E444" s="129"/>
      <c r="F444" s="129"/>
      <c r="G444" s="129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9"/>
      <c r="S444" s="121"/>
      <c r="T444" s="131"/>
      <c r="U444" s="121"/>
      <c r="V444" s="121"/>
      <c r="W444" s="121"/>
      <c r="X444" s="130"/>
      <c r="Y444" s="121"/>
      <c r="Z444" s="129"/>
      <c r="AA444" s="129"/>
      <c r="AB444" s="129"/>
      <c r="AC444" s="121"/>
      <c r="AD444" s="121"/>
      <c r="AE444" s="121"/>
      <c r="AF444" s="121"/>
      <c r="AG444" s="121"/>
      <c r="AH444" s="121"/>
    </row>
    <row r="445" spans="1:34" ht="12.75">
      <c r="A445" s="121"/>
      <c r="B445" s="121"/>
      <c r="C445" s="129"/>
      <c r="D445" s="121"/>
      <c r="E445" s="129"/>
      <c r="F445" s="129"/>
      <c r="G445" s="129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9"/>
      <c r="S445" s="121"/>
      <c r="T445" s="131"/>
      <c r="U445" s="121"/>
      <c r="V445" s="121"/>
      <c r="W445" s="121"/>
      <c r="X445" s="130"/>
      <c r="Y445" s="121"/>
      <c r="Z445" s="129"/>
      <c r="AA445" s="129"/>
      <c r="AB445" s="129"/>
      <c r="AC445" s="121"/>
      <c r="AD445" s="121"/>
      <c r="AE445" s="121"/>
      <c r="AF445" s="121"/>
      <c r="AG445" s="121"/>
      <c r="AH445" s="121"/>
    </row>
    <row r="446" spans="1:34" ht="12.75">
      <c r="A446" s="121"/>
      <c r="B446" s="121"/>
      <c r="C446" s="129"/>
      <c r="D446" s="121"/>
      <c r="E446" s="129"/>
      <c r="F446" s="129"/>
      <c r="G446" s="129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9"/>
      <c r="S446" s="121"/>
      <c r="T446" s="131"/>
      <c r="U446" s="121"/>
      <c r="V446" s="121"/>
      <c r="W446" s="121"/>
      <c r="X446" s="130"/>
      <c r="Y446" s="121"/>
      <c r="Z446" s="129"/>
      <c r="AA446" s="129"/>
      <c r="AB446" s="129"/>
      <c r="AC446" s="121"/>
      <c r="AD446" s="121"/>
      <c r="AE446" s="121"/>
      <c r="AF446" s="121"/>
      <c r="AG446" s="121"/>
      <c r="AH446" s="121"/>
    </row>
    <row r="447" spans="1:34" ht="12.75">
      <c r="A447" s="121"/>
      <c r="B447" s="121"/>
      <c r="C447" s="129"/>
      <c r="D447" s="121"/>
      <c r="E447" s="129"/>
      <c r="F447" s="129"/>
      <c r="G447" s="129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9"/>
      <c r="S447" s="121"/>
      <c r="T447" s="131"/>
      <c r="U447" s="121"/>
      <c r="V447" s="121"/>
      <c r="W447" s="121"/>
      <c r="X447" s="130"/>
      <c r="Y447" s="121"/>
      <c r="Z447" s="129"/>
      <c r="AA447" s="129"/>
      <c r="AB447" s="129"/>
      <c r="AC447" s="121"/>
      <c r="AD447" s="121"/>
      <c r="AE447" s="121"/>
      <c r="AF447" s="121"/>
      <c r="AG447" s="121"/>
      <c r="AH447" s="121"/>
    </row>
    <row r="448" spans="1:34" ht="12.75">
      <c r="A448" s="121"/>
      <c r="B448" s="121"/>
      <c r="C448" s="129"/>
      <c r="D448" s="121"/>
      <c r="E448" s="129"/>
      <c r="F448" s="129"/>
      <c r="G448" s="129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9"/>
      <c r="S448" s="121"/>
      <c r="T448" s="131"/>
      <c r="U448" s="121"/>
      <c r="V448" s="121"/>
      <c r="W448" s="121"/>
      <c r="X448" s="130"/>
      <c r="Y448" s="121"/>
      <c r="Z448" s="129"/>
      <c r="AA448" s="129"/>
      <c r="AB448" s="129"/>
      <c r="AC448" s="121"/>
      <c r="AD448" s="121"/>
      <c r="AE448" s="121"/>
      <c r="AF448" s="121"/>
      <c r="AG448" s="121"/>
      <c r="AH448" s="121"/>
    </row>
    <row r="449" spans="1:34" ht="12.75">
      <c r="A449" s="121"/>
      <c r="B449" s="121"/>
      <c r="C449" s="129"/>
      <c r="D449" s="121"/>
      <c r="E449" s="129"/>
      <c r="F449" s="129"/>
      <c r="G449" s="129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9"/>
      <c r="S449" s="121"/>
      <c r="T449" s="131"/>
      <c r="U449" s="121"/>
      <c r="V449" s="121"/>
      <c r="W449" s="121"/>
      <c r="X449" s="130"/>
      <c r="Y449" s="121"/>
      <c r="Z449" s="129"/>
      <c r="AA449" s="129"/>
      <c r="AB449" s="129"/>
      <c r="AC449" s="121"/>
      <c r="AD449" s="121"/>
      <c r="AE449" s="121"/>
      <c r="AF449" s="121"/>
      <c r="AG449" s="121"/>
      <c r="AH449" s="121"/>
    </row>
    <row r="450" spans="1:34" ht="12.75">
      <c r="A450" s="121"/>
      <c r="B450" s="121"/>
      <c r="C450" s="129"/>
      <c r="D450" s="121"/>
      <c r="E450" s="129"/>
      <c r="F450" s="129"/>
      <c r="G450" s="129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9"/>
      <c r="S450" s="121"/>
      <c r="T450" s="131"/>
      <c r="U450" s="121"/>
      <c r="V450" s="121"/>
      <c r="W450" s="121"/>
      <c r="X450" s="130"/>
      <c r="Y450" s="121"/>
      <c r="Z450" s="129"/>
      <c r="AA450" s="129"/>
      <c r="AB450" s="129"/>
      <c r="AC450" s="121"/>
      <c r="AD450" s="121"/>
      <c r="AE450" s="121"/>
      <c r="AF450" s="121"/>
      <c r="AG450" s="121"/>
      <c r="AH450" s="121"/>
    </row>
    <row r="451" spans="1:34" ht="12.75">
      <c r="A451" s="121"/>
      <c r="B451" s="121"/>
      <c r="C451" s="129"/>
      <c r="D451" s="121"/>
      <c r="E451" s="129"/>
      <c r="F451" s="129"/>
      <c r="G451" s="129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9"/>
      <c r="S451" s="121"/>
      <c r="T451" s="131"/>
      <c r="U451" s="121"/>
      <c r="V451" s="121"/>
      <c r="W451" s="121"/>
      <c r="X451" s="130"/>
      <c r="Y451" s="121"/>
      <c r="Z451" s="129"/>
      <c r="AA451" s="129"/>
      <c r="AB451" s="129"/>
      <c r="AC451" s="121"/>
      <c r="AD451" s="121"/>
      <c r="AE451" s="121"/>
      <c r="AF451" s="121"/>
      <c r="AG451" s="121"/>
      <c r="AH451" s="121"/>
    </row>
    <row r="452" spans="1:34" ht="12.75">
      <c r="A452" s="121"/>
      <c r="B452" s="121"/>
      <c r="C452" s="129"/>
      <c r="D452" s="121"/>
      <c r="E452" s="129"/>
      <c r="F452" s="129"/>
      <c r="G452" s="129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9"/>
      <c r="S452" s="121"/>
      <c r="T452" s="131"/>
      <c r="U452" s="121"/>
      <c r="V452" s="121"/>
      <c r="W452" s="121"/>
      <c r="X452" s="130"/>
      <c r="Y452" s="121"/>
      <c r="Z452" s="129"/>
      <c r="AA452" s="129"/>
      <c r="AB452" s="129"/>
      <c r="AC452" s="121"/>
      <c r="AD452" s="121"/>
      <c r="AE452" s="121"/>
      <c r="AF452" s="121"/>
      <c r="AG452" s="121"/>
      <c r="AH452" s="121"/>
    </row>
    <row r="453" spans="1:34" ht="12.75">
      <c r="A453" s="121"/>
      <c r="B453" s="121"/>
      <c r="C453" s="129"/>
      <c r="D453" s="121"/>
      <c r="E453" s="129"/>
      <c r="F453" s="129"/>
      <c r="G453" s="129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9"/>
      <c r="S453" s="121"/>
      <c r="T453" s="131"/>
      <c r="U453" s="121"/>
      <c r="V453" s="121"/>
      <c r="W453" s="121"/>
      <c r="X453" s="130"/>
      <c r="Y453" s="121"/>
      <c r="Z453" s="129"/>
      <c r="AA453" s="129"/>
      <c r="AB453" s="129"/>
      <c r="AC453" s="121"/>
      <c r="AD453" s="121"/>
      <c r="AE453" s="121"/>
      <c r="AF453" s="121"/>
      <c r="AG453" s="121"/>
      <c r="AH453" s="121"/>
    </row>
    <row r="454" spans="1:34" ht="12.75">
      <c r="A454" s="121"/>
      <c r="B454" s="121"/>
      <c r="C454" s="129"/>
      <c r="D454" s="121"/>
      <c r="E454" s="129"/>
      <c r="F454" s="129"/>
      <c r="G454" s="129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9"/>
      <c r="S454" s="121"/>
      <c r="T454" s="131"/>
      <c r="U454" s="121"/>
      <c r="V454" s="121"/>
      <c r="W454" s="121"/>
      <c r="X454" s="130"/>
      <c r="Y454" s="121"/>
      <c r="Z454" s="129"/>
      <c r="AA454" s="129"/>
      <c r="AB454" s="129"/>
      <c r="AC454" s="121"/>
      <c r="AD454" s="121"/>
      <c r="AE454" s="121"/>
      <c r="AF454" s="121"/>
      <c r="AG454" s="121"/>
      <c r="AH454" s="121"/>
    </row>
    <row r="455" spans="1:34" ht="12.75">
      <c r="A455" s="121"/>
      <c r="B455" s="121"/>
      <c r="C455" s="129"/>
      <c r="D455" s="121"/>
      <c r="E455" s="129"/>
      <c r="F455" s="129"/>
      <c r="G455" s="129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9"/>
      <c r="S455" s="121"/>
      <c r="T455" s="131"/>
      <c r="U455" s="121"/>
      <c r="V455" s="121"/>
      <c r="W455" s="121"/>
      <c r="X455" s="130"/>
      <c r="Y455" s="121"/>
      <c r="Z455" s="129"/>
      <c r="AA455" s="129"/>
      <c r="AB455" s="129"/>
      <c r="AC455" s="121"/>
      <c r="AD455" s="121"/>
      <c r="AE455" s="121"/>
      <c r="AF455" s="121"/>
      <c r="AG455" s="121"/>
      <c r="AH455" s="121"/>
    </row>
    <row r="456" spans="1:34" ht="12.75">
      <c r="A456" s="121"/>
      <c r="B456" s="121"/>
      <c r="C456" s="129"/>
      <c r="D456" s="121"/>
      <c r="E456" s="129"/>
      <c r="F456" s="129"/>
      <c r="G456" s="129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9"/>
      <c r="S456" s="121"/>
      <c r="T456" s="131"/>
      <c r="U456" s="121"/>
      <c r="V456" s="121"/>
      <c r="W456" s="121"/>
      <c r="X456" s="130"/>
      <c r="Y456" s="121"/>
      <c r="Z456" s="129"/>
      <c r="AA456" s="129"/>
      <c r="AB456" s="129"/>
      <c r="AC456" s="121"/>
      <c r="AD456" s="121"/>
      <c r="AE456" s="121"/>
      <c r="AF456" s="121"/>
      <c r="AG456" s="121"/>
      <c r="AH456" s="121"/>
    </row>
    <row r="457" spans="1:34" ht="12.75">
      <c r="A457" s="121"/>
      <c r="B457" s="121"/>
      <c r="C457" s="129"/>
      <c r="D457" s="121"/>
      <c r="E457" s="129"/>
      <c r="F457" s="129"/>
      <c r="G457" s="129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9"/>
      <c r="S457" s="121"/>
      <c r="T457" s="131"/>
      <c r="U457" s="121"/>
      <c r="V457" s="121"/>
      <c r="W457" s="121"/>
      <c r="X457" s="130"/>
      <c r="Y457" s="121"/>
      <c r="Z457" s="129"/>
      <c r="AA457" s="129"/>
      <c r="AB457" s="129"/>
      <c r="AC457" s="121"/>
      <c r="AD457" s="121"/>
      <c r="AE457" s="121"/>
      <c r="AF457" s="121"/>
      <c r="AG457" s="121"/>
      <c r="AH457" s="121"/>
    </row>
    <row r="458" spans="1:34" ht="12.75">
      <c r="A458" s="121"/>
      <c r="B458" s="121"/>
      <c r="C458" s="129"/>
      <c r="D458" s="121"/>
      <c r="E458" s="129"/>
      <c r="F458" s="129"/>
      <c r="G458" s="129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9"/>
      <c r="S458" s="121"/>
      <c r="T458" s="131"/>
      <c r="U458" s="121"/>
      <c r="V458" s="121"/>
      <c r="W458" s="121"/>
      <c r="X458" s="130"/>
      <c r="Y458" s="121"/>
      <c r="Z458" s="129"/>
      <c r="AA458" s="129"/>
      <c r="AB458" s="129"/>
      <c r="AC458" s="121"/>
      <c r="AD458" s="121"/>
      <c r="AE458" s="121"/>
      <c r="AF458" s="121"/>
      <c r="AG458" s="121"/>
      <c r="AH458" s="121"/>
    </row>
    <row r="459" spans="1:34" ht="12.75">
      <c r="A459" s="121"/>
      <c r="B459" s="121"/>
      <c r="C459" s="129"/>
      <c r="D459" s="121"/>
      <c r="E459" s="129"/>
      <c r="F459" s="129"/>
      <c r="G459" s="129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9"/>
      <c r="S459" s="121"/>
      <c r="T459" s="131"/>
      <c r="U459" s="121"/>
      <c r="V459" s="121"/>
      <c r="W459" s="121"/>
      <c r="X459" s="130"/>
      <c r="Y459" s="121"/>
      <c r="Z459" s="129"/>
      <c r="AA459" s="129"/>
      <c r="AB459" s="129"/>
      <c r="AC459" s="121"/>
      <c r="AD459" s="121"/>
      <c r="AE459" s="121"/>
      <c r="AF459" s="121"/>
      <c r="AG459" s="121"/>
      <c r="AH459" s="121"/>
    </row>
    <row r="460" spans="1:34" ht="12.75">
      <c r="A460" s="121"/>
      <c r="B460" s="121"/>
      <c r="C460" s="129"/>
      <c r="D460" s="121"/>
      <c r="E460" s="129"/>
      <c r="F460" s="129"/>
      <c r="G460" s="129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9"/>
      <c r="S460" s="121"/>
      <c r="T460" s="131"/>
      <c r="U460" s="121"/>
      <c r="V460" s="121"/>
      <c r="W460" s="121"/>
      <c r="X460" s="130"/>
      <c r="Y460" s="121"/>
      <c r="Z460" s="129"/>
      <c r="AA460" s="129"/>
      <c r="AB460" s="129"/>
      <c r="AC460" s="121"/>
      <c r="AD460" s="121"/>
      <c r="AE460" s="121"/>
      <c r="AF460" s="121"/>
      <c r="AG460" s="121"/>
      <c r="AH460" s="121"/>
    </row>
    <row r="461" spans="1:34" ht="12.75">
      <c r="A461" s="121"/>
      <c r="B461" s="121"/>
      <c r="C461" s="129"/>
      <c r="D461" s="121"/>
      <c r="E461" s="129"/>
      <c r="F461" s="129"/>
      <c r="G461" s="129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9"/>
      <c r="S461" s="121"/>
      <c r="T461" s="131"/>
      <c r="U461" s="121"/>
      <c r="V461" s="121"/>
      <c r="W461" s="121"/>
      <c r="X461" s="130"/>
      <c r="Y461" s="121"/>
      <c r="Z461" s="129"/>
      <c r="AA461" s="129"/>
      <c r="AB461" s="129"/>
      <c r="AC461" s="121"/>
      <c r="AD461" s="121"/>
      <c r="AE461" s="121"/>
      <c r="AF461" s="121"/>
      <c r="AG461" s="121"/>
      <c r="AH461" s="121"/>
    </row>
    <row r="462" spans="1:34" ht="12.75">
      <c r="A462" s="121"/>
      <c r="B462" s="121"/>
      <c r="C462" s="129"/>
      <c r="D462" s="121"/>
      <c r="E462" s="129"/>
      <c r="F462" s="129"/>
      <c r="G462" s="129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9"/>
      <c r="S462" s="121"/>
      <c r="T462" s="131"/>
      <c r="U462" s="121"/>
      <c r="V462" s="121"/>
      <c r="W462" s="121"/>
      <c r="X462" s="130"/>
      <c r="Y462" s="121"/>
      <c r="Z462" s="129"/>
      <c r="AA462" s="129"/>
      <c r="AB462" s="129"/>
      <c r="AC462" s="121"/>
      <c r="AD462" s="121"/>
      <c r="AE462" s="121"/>
      <c r="AF462" s="121"/>
      <c r="AG462" s="121"/>
      <c r="AH462" s="121"/>
    </row>
    <row r="463" spans="1:34" ht="12.75">
      <c r="A463" s="121"/>
      <c r="B463" s="121"/>
      <c r="C463" s="129"/>
      <c r="D463" s="121"/>
      <c r="E463" s="129"/>
      <c r="F463" s="129"/>
      <c r="G463" s="129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9"/>
      <c r="S463" s="121"/>
      <c r="T463" s="131"/>
      <c r="U463" s="121"/>
      <c r="V463" s="121"/>
      <c r="W463" s="121"/>
      <c r="X463" s="130"/>
      <c r="Y463" s="121"/>
      <c r="Z463" s="129"/>
      <c r="AA463" s="129"/>
      <c r="AB463" s="129"/>
      <c r="AC463" s="121"/>
      <c r="AD463" s="121"/>
      <c r="AE463" s="121"/>
      <c r="AF463" s="121"/>
      <c r="AG463" s="121"/>
      <c r="AH463" s="121"/>
    </row>
    <row r="464" spans="1:34" ht="12.75">
      <c r="A464" s="121"/>
      <c r="B464" s="121"/>
      <c r="C464" s="129"/>
      <c r="D464" s="121"/>
      <c r="E464" s="129"/>
      <c r="F464" s="129"/>
      <c r="G464" s="129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9"/>
      <c r="S464" s="121"/>
      <c r="T464" s="131"/>
      <c r="U464" s="121"/>
      <c r="V464" s="121"/>
      <c r="W464" s="121"/>
      <c r="X464" s="130"/>
      <c r="Y464" s="121"/>
      <c r="Z464" s="129"/>
      <c r="AA464" s="129"/>
      <c r="AB464" s="129"/>
      <c r="AC464" s="121"/>
      <c r="AD464" s="121"/>
      <c r="AE464" s="121"/>
      <c r="AF464" s="121"/>
      <c r="AG464" s="121"/>
      <c r="AH464" s="121"/>
    </row>
    <row r="465" spans="1:34" ht="12.75">
      <c r="A465" s="121"/>
      <c r="B465" s="121"/>
      <c r="C465" s="129"/>
      <c r="D465" s="121"/>
      <c r="E465" s="129"/>
      <c r="F465" s="129"/>
      <c r="G465" s="129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9"/>
      <c r="S465" s="121"/>
      <c r="T465" s="131"/>
      <c r="U465" s="121"/>
      <c r="V465" s="121"/>
      <c r="W465" s="121"/>
      <c r="X465" s="130"/>
      <c r="Y465" s="121"/>
      <c r="Z465" s="129"/>
      <c r="AA465" s="129"/>
      <c r="AB465" s="129"/>
      <c r="AC465" s="121"/>
      <c r="AD465" s="121"/>
      <c r="AE465" s="121"/>
      <c r="AF465" s="121"/>
      <c r="AG465" s="121"/>
      <c r="AH465" s="121"/>
    </row>
    <row r="466" spans="1:34" ht="12.75">
      <c r="A466" s="121"/>
      <c r="B466" s="121"/>
      <c r="C466" s="129"/>
      <c r="D466" s="121"/>
      <c r="E466" s="129"/>
      <c r="F466" s="129"/>
      <c r="G466" s="129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9"/>
      <c r="S466" s="121"/>
      <c r="T466" s="131"/>
      <c r="U466" s="121"/>
      <c r="V466" s="121"/>
      <c r="W466" s="121"/>
      <c r="X466" s="130"/>
      <c r="Y466" s="121"/>
      <c r="Z466" s="129"/>
      <c r="AA466" s="129"/>
      <c r="AB466" s="129"/>
      <c r="AC466" s="121"/>
      <c r="AD466" s="121"/>
      <c r="AE466" s="121"/>
      <c r="AF466" s="121"/>
      <c r="AG466" s="121"/>
      <c r="AH466" s="121"/>
    </row>
    <row r="467" spans="1:34" ht="12.75">
      <c r="A467" s="121"/>
      <c r="B467" s="121"/>
      <c r="C467" s="129"/>
      <c r="D467" s="121"/>
      <c r="E467" s="129"/>
      <c r="F467" s="129"/>
      <c r="G467" s="129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9"/>
      <c r="S467" s="121"/>
      <c r="T467" s="131"/>
      <c r="U467" s="121"/>
      <c r="V467" s="121"/>
      <c r="W467" s="121"/>
      <c r="X467" s="130"/>
      <c r="Y467" s="121"/>
      <c r="Z467" s="129"/>
      <c r="AA467" s="129"/>
      <c r="AB467" s="129"/>
      <c r="AC467" s="121"/>
      <c r="AD467" s="121"/>
      <c r="AE467" s="121"/>
      <c r="AF467" s="121"/>
      <c r="AG467" s="121"/>
      <c r="AH467" s="121"/>
    </row>
    <row r="468" spans="1:34" ht="12.75">
      <c r="A468" s="121"/>
      <c r="B468" s="121"/>
      <c r="C468" s="129"/>
      <c r="D468" s="121"/>
      <c r="E468" s="129"/>
      <c r="F468" s="129"/>
      <c r="G468" s="129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9"/>
      <c r="S468" s="121"/>
      <c r="T468" s="131"/>
      <c r="U468" s="121"/>
      <c r="V468" s="121"/>
      <c r="W468" s="121"/>
      <c r="X468" s="130"/>
      <c r="Y468" s="121"/>
      <c r="Z468" s="129"/>
      <c r="AA468" s="129"/>
      <c r="AB468" s="129"/>
      <c r="AC468" s="121"/>
      <c r="AD468" s="121"/>
      <c r="AE468" s="121"/>
      <c r="AF468" s="121"/>
      <c r="AG468" s="121"/>
      <c r="AH468" s="121"/>
    </row>
    <row r="469" spans="1:34" ht="12.75">
      <c r="A469" s="121"/>
      <c r="B469" s="121"/>
      <c r="C469" s="129"/>
      <c r="D469" s="121"/>
      <c r="E469" s="129"/>
      <c r="F469" s="129"/>
      <c r="G469" s="129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9"/>
      <c r="S469" s="121"/>
      <c r="T469" s="131"/>
      <c r="U469" s="121"/>
      <c r="V469" s="121"/>
      <c r="W469" s="121"/>
      <c r="X469" s="130"/>
      <c r="Y469" s="121"/>
      <c r="Z469" s="129"/>
      <c r="AA469" s="129"/>
      <c r="AB469" s="129"/>
      <c r="AC469" s="121"/>
      <c r="AD469" s="121"/>
      <c r="AE469" s="121"/>
      <c r="AF469" s="121"/>
      <c r="AG469" s="121"/>
      <c r="AH469" s="121"/>
    </row>
    <row r="470" spans="1:34" ht="12.75">
      <c r="A470" s="121"/>
      <c r="B470" s="121"/>
      <c r="C470" s="129"/>
      <c r="D470" s="121"/>
      <c r="E470" s="129"/>
      <c r="F470" s="129"/>
      <c r="G470" s="129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9"/>
      <c r="S470" s="121"/>
      <c r="T470" s="131"/>
      <c r="U470" s="121"/>
      <c r="V470" s="121"/>
      <c r="W470" s="121"/>
      <c r="X470" s="130"/>
      <c r="Y470" s="121"/>
      <c r="Z470" s="129"/>
      <c r="AA470" s="129"/>
      <c r="AB470" s="129"/>
      <c r="AC470" s="121"/>
      <c r="AD470" s="121"/>
      <c r="AE470" s="121"/>
      <c r="AF470" s="121"/>
      <c r="AG470" s="121"/>
      <c r="AH470" s="121"/>
    </row>
    <row r="471" spans="1:34" ht="12.75">
      <c r="A471" s="121"/>
      <c r="B471" s="121"/>
      <c r="C471" s="129"/>
      <c r="D471" s="121"/>
      <c r="E471" s="129"/>
      <c r="F471" s="129"/>
      <c r="G471" s="129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9"/>
      <c r="S471" s="121"/>
      <c r="T471" s="131"/>
      <c r="U471" s="121"/>
      <c r="V471" s="121"/>
      <c r="W471" s="121"/>
      <c r="X471" s="130"/>
      <c r="Y471" s="121"/>
      <c r="Z471" s="129"/>
      <c r="AA471" s="129"/>
      <c r="AB471" s="129"/>
      <c r="AC471" s="121"/>
      <c r="AD471" s="121"/>
      <c r="AE471" s="121"/>
      <c r="AF471" s="121"/>
      <c r="AG471" s="121"/>
      <c r="AH471" s="121"/>
    </row>
    <row r="472" spans="1:34" ht="12.75">
      <c r="A472" s="121"/>
      <c r="B472" s="121"/>
      <c r="C472" s="129"/>
      <c r="D472" s="121"/>
      <c r="E472" s="129"/>
      <c r="F472" s="129"/>
      <c r="G472" s="129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9"/>
      <c r="S472" s="121"/>
      <c r="T472" s="131"/>
      <c r="U472" s="121"/>
      <c r="V472" s="121"/>
      <c r="W472" s="121"/>
      <c r="X472" s="130"/>
      <c r="Y472" s="121"/>
      <c r="Z472" s="129"/>
      <c r="AA472" s="129"/>
      <c r="AB472" s="129"/>
      <c r="AC472" s="121"/>
      <c r="AD472" s="121"/>
      <c r="AE472" s="121"/>
      <c r="AF472" s="121"/>
      <c r="AG472" s="121"/>
      <c r="AH472" s="121"/>
    </row>
    <row r="473" spans="1:34" ht="12.75">
      <c r="A473" s="121"/>
      <c r="B473" s="121"/>
      <c r="C473" s="129"/>
      <c r="D473" s="121"/>
      <c r="E473" s="129"/>
      <c r="F473" s="129"/>
      <c r="G473" s="129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9"/>
      <c r="S473" s="121"/>
      <c r="T473" s="131"/>
      <c r="U473" s="121"/>
      <c r="V473" s="121"/>
      <c r="W473" s="121"/>
      <c r="X473" s="130"/>
      <c r="Y473" s="121"/>
      <c r="Z473" s="129"/>
      <c r="AA473" s="129"/>
      <c r="AB473" s="129"/>
      <c r="AC473" s="121"/>
      <c r="AD473" s="121"/>
      <c r="AE473" s="121"/>
      <c r="AF473" s="121"/>
      <c r="AG473" s="121"/>
      <c r="AH473" s="121"/>
    </row>
    <row r="474" spans="1:34" ht="12.75">
      <c r="A474" s="121"/>
      <c r="B474" s="121"/>
      <c r="C474" s="129"/>
      <c r="D474" s="121"/>
      <c r="E474" s="129"/>
      <c r="F474" s="129"/>
      <c r="G474" s="129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9"/>
      <c r="S474" s="121"/>
      <c r="T474" s="131"/>
      <c r="U474" s="121"/>
      <c r="V474" s="121"/>
      <c r="W474" s="121"/>
      <c r="X474" s="130"/>
      <c r="Y474" s="121"/>
      <c r="Z474" s="129"/>
      <c r="AA474" s="129"/>
      <c r="AB474" s="129"/>
      <c r="AC474" s="121"/>
      <c r="AD474" s="121"/>
      <c r="AE474" s="121"/>
      <c r="AF474" s="121"/>
      <c r="AG474" s="121"/>
      <c r="AH474" s="121"/>
    </row>
    <row r="475" spans="1:34" ht="12.75">
      <c r="A475" s="121"/>
      <c r="B475" s="121"/>
      <c r="C475" s="129"/>
      <c r="D475" s="121"/>
      <c r="E475" s="129"/>
      <c r="F475" s="129"/>
      <c r="G475" s="129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9"/>
      <c r="S475" s="121"/>
      <c r="T475" s="131"/>
      <c r="U475" s="121"/>
      <c r="V475" s="121"/>
      <c r="W475" s="121"/>
      <c r="X475" s="130"/>
      <c r="Y475" s="121"/>
      <c r="Z475" s="129"/>
      <c r="AA475" s="129"/>
      <c r="AB475" s="129"/>
      <c r="AC475" s="121"/>
      <c r="AD475" s="121"/>
      <c r="AE475" s="121"/>
      <c r="AF475" s="121"/>
      <c r="AG475" s="121"/>
      <c r="AH475" s="121"/>
    </row>
    <row r="476" spans="1:34" ht="12.75">
      <c r="A476" s="121"/>
      <c r="B476" s="121"/>
      <c r="C476" s="129"/>
      <c r="D476" s="121"/>
      <c r="E476" s="129"/>
      <c r="F476" s="129"/>
      <c r="G476" s="129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9"/>
      <c r="S476" s="121"/>
      <c r="T476" s="131"/>
      <c r="U476" s="121"/>
      <c r="V476" s="121"/>
      <c r="W476" s="121"/>
      <c r="X476" s="130"/>
      <c r="Y476" s="121"/>
      <c r="Z476" s="129"/>
      <c r="AA476" s="129"/>
      <c r="AB476" s="129"/>
      <c r="AC476" s="121"/>
      <c r="AD476" s="121"/>
      <c r="AE476" s="121"/>
      <c r="AF476" s="121"/>
      <c r="AG476" s="121"/>
      <c r="AH476" s="121"/>
    </row>
    <row r="477" spans="1:34" ht="12.75">
      <c r="A477" s="121"/>
      <c r="B477" s="121"/>
      <c r="C477" s="129"/>
      <c r="D477" s="121"/>
      <c r="E477" s="129"/>
      <c r="F477" s="129"/>
      <c r="G477" s="129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9"/>
      <c r="S477" s="121"/>
      <c r="T477" s="131"/>
      <c r="U477" s="121"/>
      <c r="V477" s="121"/>
      <c r="W477" s="121"/>
      <c r="X477" s="130"/>
      <c r="Y477" s="121"/>
      <c r="Z477" s="129"/>
      <c r="AA477" s="129"/>
      <c r="AB477" s="129"/>
      <c r="AC477" s="121"/>
      <c r="AD477" s="121"/>
      <c r="AE477" s="121"/>
      <c r="AF477" s="121"/>
      <c r="AG477" s="121"/>
      <c r="AH477" s="121"/>
    </row>
    <row r="478" spans="1:34" ht="12.75">
      <c r="A478" s="121"/>
      <c r="B478" s="121"/>
      <c r="C478" s="129"/>
      <c r="D478" s="121"/>
      <c r="E478" s="129"/>
      <c r="F478" s="129"/>
      <c r="G478" s="129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9"/>
      <c r="S478" s="121"/>
      <c r="T478" s="131"/>
      <c r="U478" s="121"/>
      <c r="V478" s="121"/>
      <c r="W478" s="121"/>
      <c r="X478" s="130"/>
      <c r="Y478" s="121"/>
      <c r="Z478" s="129"/>
      <c r="AA478" s="129"/>
      <c r="AB478" s="129"/>
      <c r="AC478" s="121"/>
      <c r="AD478" s="121"/>
      <c r="AE478" s="121"/>
      <c r="AF478" s="121"/>
      <c r="AG478" s="121"/>
      <c r="AH478" s="121"/>
    </row>
    <row r="479" spans="1:34" ht="12.75">
      <c r="A479" s="121"/>
      <c r="B479" s="121"/>
      <c r="C479" s="129"/>
      <c r="D479" s="121"/>
      <c r="E479" s="129"/>
      <c r="F479" s="129"/>
      <c r="G479" s="129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9"/>
      <c r="S479" s="121"/>
      <c r="T479" s="131"/>
      <c r="U479" s="121"/>
      <c r="V479" s="121"/>
      <c r="W479" s="121"/>
      <c r="X479" s="130"/>
      <c r="Y479" s="121"/>
      <c r="Z479" s="129"/>
      <c r="AA479" s="129"/>
      <c r="AB479" s="129"/>
      <c r="AC479" s="121"/>
      <c r="AD479" s="121"/>
      <c r="AE479" s="121"/>
      <c r="AF479" s="121"/>
      <c r="AG479" s="121"/>
      <c r="AH479" s="121"/>
    </row>
    <row r="480" spans="1:34" ht="12.75">
      <c r="A480" s="121"/>
      <c r="B480" s="121"/>
      <c r="C480" s="129"/>
      <c r="D480" s="121"/>
      <c r="E480" s="129"/>
      <c r="F480" s="129"/>
      <c r="G480" s="129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9"/>
      <c r="S480" s="121"/>
      <c r="T480" s="131"/>
      <c r="U480" s="121"/>
      <c r="V480" s="121"/>
      <c r="W480" s="121"/>
      <c r="X480" s="130"/>
      <c r="Y480" s="121"/>
      <c r="Z480" s="129"/>
      <c r="AA480" s="129"/>
      <c r="AB480" s="129"/>
      <c r="AC480" s="121"/>
      <c r="AD480" s="121"/>
      <c r="AE480" s="121"/>
      <c r="AF480" s="121"/>
      <c r="AG480" s="121"/>
      <c r="AH480" s="121"/>
    </row>
    <row r="481" spans="1:34" ht="12.75">
      <c r="A481" s="121"/>
      <c r="B481" s="121"/>
      <c r="C481" s="129"/>
      <c r="D481" s="121"/>
      <c r="E481" s="129"/>
      <c r="F481" s="129"/>
      <c r="G481" s="129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9"/>
      <c r="S481" s="121"/>
      <c r="T481" s="131"/>
      <c r="U481" s="121"/>
      <c r="V481" s="121"/>
      <c r="W481" s="121"/>
      <c r="X481" s="130"/>
      <c r="Y481" s="121"/>
      <c r="Z481" s="129"/>
      <c r="AA481" s="129"/>
      <c r="AB481" s="129"/>
      <c r="AC481" s="121"/>
      <c r="AD481" s="121"/>
      <c r="AE481" s="121"/>
      <c r="AF481" s="121"/>
      <c r="AG481" s="121"/>
      <c r="AH481" s="121"/>
    </row>
    <row r="482" spans="1:34" ht="12.75">
      <c r="A482" s="121"/>
      <c r="B482" s="121"/>
      <c r="C482" s="129"/>
      <c r="D482" s="121"/>
      <c r="E482" s="129"/>
      <c r="F482" s="129"/>
      <c r="G482" s="129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9"/>
      <c r="S482" s="121"/>
      <c r="T482" s="131"/>
      <c r="U482" s="121"/>
      <c r="V482" s="121"/>
      <c r="W482" s="121"/>
      <c r="X482" s="130"/>
      <c r="Y482" s="121"/>
      <c r="Z482" s="129"/>
      <c r="AA482" s="129"/>
      <c r="AB482" s="129"/>
      <c r="AC482" s="121"/>
      <c r="AD482" s="121"/>
      <c r="AE482" s="121"/>
      <c r="AF482" s="121"/>
      <c r="AG482" s="121"/>
      <c r="AH482" s="121"/>
    </row>
    <row r="483" spans="1:34" ht="12.75">
      <c r="A483" s="121"/>
      <c r="B483" s="121"/>
      <c r="C483" s="129"/>
      <c r="D483" s="121"/>
      <c r="E483" s="129"/>
      <c r="F483" s="129"/>
      <c r="G483" s="129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9"/>
      <c r="S483" s="121"/>
      <c r="T483" s="131"/>
      <c r="U483" s="121"/>
      <c r="V483" s="121"/>
      <c r="W483" s="121"/>
      <c r="X483" s="130"/>
      <c r="Y483" s="121"/>
      <c r="Z483" s="129"/>
      <c r="AA483" s="129"/>
      <c r="AB483" s="129"/>
      <c r="AC483" s="121"/>
      <c r="AD483" s="121"/>
      <c r="AE483" s="121"/>
      <c r="AF483" s="121"/>
      <c r="AG483" s="121"/>
      <c r="AH483" s="121"/>
    </row>
    <row r="484" spans="1:34" ht="12.75">
      <c r="A484" s="121"/>
      <c r="B484" s="121"/>
      <c r="C484" s="129"/>
      <c r="D484" s="121"/>
      <c r="E484" s="129"/>
      <c r="F484" s="129"/>
      <c r="G484" s="129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9"/>
      <c r="S484" s="121"/>
      <c r="T484" s="131"/>
      <c r="U484" s="121"/>
      <c r="V484" s="121"/>
      <c r="W484" s="121"/>
      <c r="X484" s="130"/>
      <c r="Y484" s="121"/>
      <c r="Z484" s="129"/>
      <c r="AA484" s="129"/>
      <c r="AB484" s="129"/>
      <c r="AC484" s="121"/>
      <c r="AD484" s="121"/>
      <c r="AE484" s="121"/>
      <c r="AF484" s="121"/>
      <c r="AG484" s="121"/>
      <c r="AH484" s="121"/>
    </row>
    <row r="485" spans="1:34" ht="12.75">
      <c r="A485" s="121"/>
      <c r="B485" s="121"/>
      <c r="C485" s="129"/>
      <c r="D485" s="121"/>
      <c r="E485" s="129"/>
      <c r="F485" s="129"/>
      <c r="G485" s="129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9"/>
      <c r="S485" s="121"/>
      <c r="T485" s="131"/>
      <c r="U485" s="121"/>
      <c r="V485" s="121"/>
      <c r="W485" s="121"/>
      <c r="X485" s="130"/>
      <c r="Y485" s="121"/>
      <c r="Z485" s="129"/>
      <c r="AA485" s="129"/>
      <c r="AB485" s="129"/>
      <c r="AC485" s="121"/>
      <c r="AD485" s="121"/>
      <c r="AE485" s="121"/>
      <c r="AF485" s="121"/>
      <c r="AG485" s="121"/>
      <c r="AH485" s="121"/>
    </row>
    <row r="486" spans="1:34" ht="12.75">
      <c r="A486" s="121"/>
      <c r="B486" s="121"/>
      <c r="C486" s="129"/>
      <c r="D486" s="121"/>
      <c r="E486" s="129"/>
      <c r="F486" s="129"/>
      <c r="G486" s="129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9"/>
      <c r="S486" s="121"/>
      <c r="T486" s="131"/>
      <c r="U486" s="121"/>
      <c r="V486" s="121"/>
      <c r="W486" s="121"/>
      <c r="X486" s="130"/>
      <c r="Y486" s="121"/>
      <c r="Z486" s="129"/>
      <c r="AA486" s="129"/>
      <c r="AB486" s="129"/>
      <c r="AC486" s="121"/>
      <c r="AD486" s="121"/>
      <c r="AE486" s="121"/>
      <c r="AF486" s="121"/>
      <c r="AG486" s="121"/>
      <c r="AH486" s="121"/>
    </row>
    <row r="487" spans="1:34" ht="12.75">
      <c r="A487" s="121"/>
      <c r="B487" s="121"/>
      <c r="C487" s="129"/>
      <c r="D487" s="121"/>
      <c r="E487" s="129"/>
      <c r="F487" s="129"/>
      <c r="G487" s="129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9"/>
      <c r="S487" s="121"/>
      <c r="T487" s="131"/>
      <c r="U487" s="121"/>
      <c r="V487" s="121"/>
      <c r="W487" s="121"/>
      <c r="X487" s="130"/>
      <c r="Y487" s="121"/>
      <c r="Z487" s="129"/>
      <c r="AA487" s="129"/>
      <c r="AB487" s="129"/>
      <c r="AC487" s="121"/>
      <c r="AD487" s="121"/>
      <c r="AE487" s="121"/>
      <c r="AF487" s="121"/>
      <c r="AG487" s="121"/>
      <c r="AH487" s="121"/>
    </row>
    <row r="488" spans="1:34" ht="12.75">
      <c r="A488" s="121"/>
      <c r="B488" s="121"/>
      <c r="C488" s="129"/>
      <c r="D488" s="121"/>
      <c r="E488" s="129"/>
      <c r="F488" s="129"/>
      <c r="G488" s="129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9"/>
      <c r="S488" s="121"/>
      <c r="T488" s="131"/>
      <c r="U488" s="121"/>
      <c r="V488" s="121"/>
      <c r="W488" s="121"/>
      <c r="X488" s="130"/>
      <c r="Y488" s="121"/>
      <c r="Z488" s="129"/>
      <c r="AA488" s="129"/>
      <c r="AB488" s="129"/>
      <c r="AC488" s="121"/>
      <c r="AD488" s="121"/>
      <c r="AE488" s="121"/>
      <c r="AF488" s="121"/>
      <c r="AG488" s="121"/>
      <c r="AH488" s="121"/>
    </row>
    <row r="489" spans="1:34" ht="12.75">
      <c r="A489" s="121"/>
      <c r="B489" s="121"/>
      <c r="C489" s="129"/>
      <c r="D489" s="121"/>
      <c r="E489" s="129"/>
      <c r="F489" s="129"/>
      <c r="G489" s="129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9"/>
      <c r="S489" s="121"/>
      <c r="T489" s="131"/>
      <c r="U489" s="121"/>
      <c r="V489" s="121"/>
      <c r="W489" s="121"/>
      <c r="X489" s="130"/>
      <c r="Y489" s="121"/>
      <c r="Z489" s="129"/>
      <c r="AA489" s="129"/>
      <c r="AB489" s="129"/>
      <c r="AC489" s="121"/>
      <c r="AD489" s="121"/>
      <c r="AE489" s="121"/>
      <c r="AF489" s="121"/>
      <c r="AG489" s="121"/>
      <c r="AH489" s="121"/>
    </row>
    <row r="490" spans="1:34" ht="12.75">
      <c r="A490" s="121"/>
      <c r="B490" s="121"/>
      <c r="C490" s="129"/>
      <c r="D490" s="121"/>
      <c r="E490" s="129"/>
      <c r="F490" s="129"/>
      <c r="G490" s="129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9"/>
      <c r="S490" s="121"/>
      <c r="T490" s="131"/>
      <c r="U490" s="121"/>
      <c r="V490" s="121"/>
      <c r="W490" s="121"/>
      <c r="X490" s="130"/>
      <c r="Y490" s="121"/>
      <c r="Z490" s="129"/>
      <c r="AA490" s="129"/>
      <c r="AB490" s="129"/>
      <c r="AC490" s="121"/>
      <c r="AD490" s="121"/>
      <c r="AE490" s="121"/>
      <c r="AF490" s="121"/>
      <c r="AG490" s="121"/>
      <c r="AH490" s="121"/>
    </row>
    <row r="491" spans="1:34" ht="12.75">
      <c r="A491" s="121"/>
      <c r="B491" s="121"/>
      <c r="C491" s="129"/>
      <c r="D491" s="121"/>
      <c r="E491" s="129"/>
      <c r="F491" s="129"/>
      <c r="G491" s="129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9"/>
      <c r="S491" s="121"/>
      <c r="T491" s="131"/>
      <c r="U491" s="121"/>
      <c r="V491" s="121"/>
      <c r="W491" s="121"/>
      <c r="X491" s="130"/>
      <c r="Y491" s="121"/>
      <c r="Z491" s="129"/>
      <c r="AA491" s="129"/>
      <c r="AB491" s="129"/>
      <c r="AC491" s="121"/>
      <c r="AD491" s="121"/>
      <c r="AE491" s="121"/>
      <c r="AF491" s="121"/>
      <c r="AG491" s="121"/>
      <c r="AH491" s="121"/>
    </row>
    <row r="492" spans="1:34" ht="12.75">
      <c r="A492" s="121"/>
      <c r="B492" s="121"/>
      <c r="C492" s="129"/>
      <c r="D492" s="121"/>
      <c r="E492" s="129"/>
      <c r="F492" s="129"/>
      <c r="G492" s="129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9"/>
      <c r="S492" s="121"/>
      <c r="T492" s="131"/>
      <c r="U492" s="121"/>
      <c r="V492" s="121"/>
      <c r="W492" s="121"/>
      <c r="X492" s="130"/>
      <c r="Y492" s="121"/>
      <c r="Z492" s="129"/>
      <c r="AA492" s="129"/>
      <c r="AB492" s="129"/>
      <c r="AC492" s="121"/>
      <c r="AD492" s="121"/>
      <c r="AE492" s="121"/>
      <c r="AF492" s="121"/>
      <c r="AG492" s="121"/>
      <c r="AH492" s="121"/>
    </row>
    <row r="493" spans="1:34" ht="12.75">
      <c r="A493" s="121"/>
      <c r="B493" s="121"/>
      <c r="C493" s="129"/>
      <c r="D493" s="121"/>
      <c r="E493" s="129"/>
      <c r="F493" s="129"/>
      <c r="G493" s="129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9"/>
      <c r="S493" s="121"/>
      <c r="T493" s="131"/>
      <c r="U493" s="121"/>
      <c r="V493" s="121"/>
      <c r="W493" s="121"/>
      <c r="X493" s="130"/>
      <c r="Y493" s="121"/>
      <c r="Z493" s="129"/>
      <c r="AA493" s="129"/>
      <c r="AB493" s="129"/>
      <c r="AC493" s="121"/>
      <c r="AD493" s="121"/>
      <c r="AE493" s="121"/>
      <c r="AF493" s="121"/>
      <c r="AG493" s="121"/>
      <c r="AH493" s="121"/>
    </row>
    <row r="494" spans="1:34" ht="12.75">
      <c r="A494" s="121"/>
      <c r="B494" s="121"/>
      <c r="C494" s="129"/>
      <c r="D494" s="121"/>
      <c r="E494" s="129"/>
      <c r="F494" s="129"/>
      <c r="G494" s="129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9"/>
      <c r="S494" s="121"/>
      <c r="T494" s="131"/>
      <c r="U494" s="121"/>
      <c r="V494" s="121"/>
      <c r="W494" s="121"/>
      <c r="X494" s="130"/>
      <c r="Y494" s="121"/>
      <c r="Z494" s="129"/>
      <c r="AA494" s="129"/>
      <c r="AB494" s="129"/>
      <c r="AC494" s="121"/>
      <c r="AD494" s="121"/>
      <c r="AE494" s="121"/>
      <c r="AF494" s="121"/>
      <c r="AG494" s="121"/>
      <c r="AH494" s="121"/>
    </row>
    <row r="495" spans="1:34" ht="12.75">
      <c r="A495" s="121"/>
      <c r="B495" s="121"/>
      <c r="C495" s="129"/>
      <c r="D495" s="121"/>
      <c r="E495" s="129"/>
      <c r="F495" s="129"/>
      <c r="G495" s="129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9"/>
      <c r="S495" s="121"/>
      <c r="T495" s="131"/>
      <c r="U495" s="121"/>
      <c r="V495" s="121"/>
      <c r="W495" s="121"/>
      <c r="X495" s="130"/>
      <c r="Y495" s="121"/>
      <c r="Z495" s="129"/>
      <c r="AA495" s="129"/>
      <c r="AB495" s="129"/>
      <c r="AC495" s="121"/>
      <c r="AD495" s="121"/>
      <c r="AE495" s="121"/>
      <c r="AF495" s="121"/>
      <c r="AG495" s="121"/>
      <c r="AH495" s="121"/>
    </row>
    <row r="496" spans="1:34" ht="12.75">
      <c r="A496" s="121"/>
      <c r="B496" s="121"/>
      <c r="C496" s="129"/>
      <c r="D496" s="121"/>
      <c r="E496" s="129"/>
      <c r="F496" s="129"/>
      <c r="G496" s="129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9"/>
      <c r="S496" s="121"/>
      <c r="T496" s="131"/>
      <c r="U496" s="121"/>
      <c r="V496" s="121"/>
      <c r="W496" s="121"/>
      <c r="X496" s="130"/>
      <c r="Y496" s="121"/>
      <c r="Z496" s="129"/>
      <c r="AA496" s="129"/>
      <c r="AB496" s="129"/>
      <c r="AC496" s="121"/>
      <c r="AD496" s="121"/>
      <c r="AE496" s="121"/>
      <c r="AF496" s="121"/>
      <c r="AG496" s="121"/>
      <c r="AH496" s="121"/>
    </row>
    <row r="497" spans="1:34" ht="12.75">
      <c r="A497" s="121"/>
      <c r="B497" s="121"/>
      <c r="C497" s="129"/>
      <c r="D497" s="121"/>
      <c r="E497" s="129"/>
      <c r="F497" s="129"/>
      <c r="G497" s="129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9"/>
      <c r="S497" s="121"/>
      <c r="T497" s="131"/>
      <c r="U497" s="121"/>
      <c r="V497" s="121"/>
      <c r="W497" s="121"/>
      <c r="X497" s="130"/>
      <c r="Y497" s="121"/>
      <c r="Z497" s="129"/>
      <c r="AA497" s="129"/>
      <c r="AB497" s="129"/>
      <c r="AC497" s="121"/>
      <c r="AD497" s="121"/>
      <c r="AE497" s="121"/>
      <c r="AF497" s="121"/>
      <c r="AG497" s="121"/>
      <c r="AH497" s="121"/>
    </row>
    <row r="498" spans="1:34" ht="12.75">
      <c r="A498" s="121"/>
      <c r="B498" s="121"/>
      <c r="C498" s="129"/>
      <c r="D498" s="121"/>
      <c r="E498" s="129"/>
      <c r="F498" s="129"/>
      <c r="G498" s="129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9"/>
      <c r="S498" s="121"/>
      <c r="T498" s="131"/>
      <c r="U498" s="121"/>
      <c r="V498" s="121"/>
      <c r="W498" s="121"/>
      <c r="X498" s="130"/>
      <c r="Y498" s="121"/>
      <c r="Z498" s="129"/>
      <c r="AA498" s="129"/>
      <c r="AB498" s="129"/>
      <c r="AC498" s="121"/>
      <c r="AD498" s="121"/>
      <c r="AE498" s="121"/>
      <c r="AF498" s="121"/>
      <c r="AG498" s="121"/>
      <c r="AH498" s="121"/>
    </row>
    <row r="499" spans="1:34" ht="12.75">
      <c r="A499" s="121"/>
      <c r="B499" s="121"/>
      <c r="C499" s="129"/>
      <c r="D499" s="121"/>
      <c r="E499" s="129"/>
      <c r="F499" s="129"/>
      <c r="G499" s="129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9"/>
      <c r="S499" s="121"/>
      <c r="T499" s="131"/>
      <c r="U499" s="121"/>
      <c r="V499" s="121"/>
      <c r="W499" s="121"/>
      <c r="X499" s="130"/>
      <c r="Y499" s="121"/>
      <c r="Z499" s="129"/>
      <c r="AA499" s="129"/>
      <c r="AB499" s="129"/>
      <c r="AC499" s="121"/>
      <c r="AD499" s="121"/>
      <c r="AE499" s="121"/>
      <c r="AF499" s="121"/>
      <c r="AG499" s="121"/>
      <c r="AH499" s="121"/>
    </row>
    <row r="500" spans="1:34" ht="12.75">
      <c r="A500" s="121"/>
      <c r="B500" s="121"/>
      <c r="C500" s="129"/>
      <c r="D500" s="121"/>
      <c r="E500" s="129"/>
      <c r="F500" s="129"/>
      <c r="G500" s="129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9"/>
      <c r="S500" s="121"/>
      <c r="T500" s="131"/>
      <c r="U500" s="121"/>
      <c r="V500" s="121"/>
      <c r="W500" s="121"/>
      <c r="X500" s="130"/>
      <c r="Y500" s="121"/>
      <c r="Z500" s="129"/>
      <c r="AA500" s="129"/>
      <c r="AB500" s="129"/>
      <c r="AC500" s="121"/>
      <c r="AD500" s="121"/>
      <c r="AE500" s="121"/>
      <c r="AF500" s="121"/>
      <c r="AG500" s="121"/>
      <c r="AH500" s="121"/>
    </row>
    <row r="501" spans="1:34" ht="12.75">
      <c r="A501" s="121"/>
      <c r="B501" s="121"/>
      <c r="C501" s="129"/>
      <c r="D501" s="121"/>
      <c r="E501" s="129"/>
      <c r="F501" s="129"/>
      <c r="G501" s="129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9"/>
      <c r="S501" s="121"/>
      <c r="T501" s="131"/>
      <c r="U501" s="121"/>
      <c r="V501" s="121"/>
      <c r="W501" s="121"/>
      <c r="X501" s="130"/>
      <c r="Y501" s="121"/>
      <c r="Z501" s="129"/>
      <c r="AA501" s="129"/>
      <c r="AB501" s="129"/>
      <c r="AC501" s="121"/>
      <c r="AD501" s="121"/>
      <c r="AE501" s="121"/>
      <c r="AF501" s="121"/>
      <c r="AG501" s="121"/>
      <c r="AH501" s="121"/>
    </row>
    <row r="502" spans="1:34" ht="12.75">
      <c r="A502" s="121"/>
      <c r="B502" s="121"/>
      <c r="C502" s="129"/>
      <c r="D502" s="121"/>
      <c r="E502" s="129"/>
      <c r="F502" s="129"/>
      <c r="G502" s="129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9"/>
      <c r="S502" s="121"/>
      <c r="T502" s="131"/>
      <c r="U502" s="121"/>
      <c r="V502" s="121"/>
      <c r="W502" s="121"/>
      <c r="X502" s="130"/>
      <c r="Y502" s="121"/>
      <c r="Z502" s="129"/>
      <c r="AA502" s="129"/>
      <c r="AB502" s="129"/>
      <c r="AC502" s="121"/>
      <c r="AD502" s="121"/>
      <c r="AE502" s="121"/>
      <c r="AF502" s="121"/>
      <c r="AG502" s="121"/>
      <c r="AH502" s="121"/>
    </row>
    <row r="503" spans="1:34" ht="12.75">
      <c r="A503" s="121"/>
      <c r="B503" s="121"/>
      <c r="C503" s="129"/>
      <c r="D503" s="121"/>
      <c r="E503" s="129"/>
      <c r="F503" s="129"/>
      <c r="G503" s="129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9"/>
      <c r="S503" s="121"/>
      <c r="T503" s="131"/>
      <c r="U503" s="121"/>
      <c r="V503" s="121"/>
      <c r="W503" s="121"/>
      <c r="X503" s="130"/>
      <c r="Y503" s="121"/>
      <c r="Z503" s="129"/>
      <c r="AA503" s="129"/>
      <c r="AB503" s="129"/>
      <c r="AC503" s="121"/>
      <c r="AD503" s="121"/>
      <c r="AE503" s="121"/>
      <c r="AF503" s="121"/>
      <c r="AG503" s="121"/>
      <c r="AH503" s="121"/>
    </row>
    <row r="504" spans="1:34" ht="12.75">
      <c r="A504" s="121"/>
      <c r="B504" s="121"/>
      <c r="C504" s="129"/>
      <c r="D504" s="121"/>
      <c r="E504" s="129"/>
      <c r="F504" s="129"/>
      <c r="G504" s="129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9"/>
      <c r="S504" s="121"/>
      <c r="T504" s="131"/>
      <c r="U504" s="121"/>
      <c r="V504" s="121"/>
      <c r="W504" s="121"/>
      <c r="X504" s="130"/>
      <c r="Y504" s="121"/>
      <c r="Z504" s="129"/>
      <c r="AA504" s="129"/>
      <c r="AB504" s="129"/>
      <c r="AC504" s="121"/>
      <c r="AD504" s="121"/>
      <c r="AE504" s="121"/>
      <c r="AF504" s="121"/>
      <c r="AG504" s="121"/>
      <c r="AH504" s="121"/>
    </row>
    <row r="505" spans="1:34" ht="12.75">
      <c r="A505" s="121"/>
      <c r="B505" s="121"/>
      <c r="C505" s="129"/>
      <c r="D505" s="121"/>
      <c r="E505" s="129"/>
      <c r="F505" s="129"/>
      <c r="G505" s="129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9"/>
      <c r="S505" s="121"/>
      <c r="T505" s="131"/>
      <c r="U505" s="121"/>
      <c r="V505" s="121"/>
      <c r="W505" s="121"/>
      <c r="X505" s="130"/>
      <c r="Y505" s="121"/>
      <c r="Z505" s="129"/>
      <c r="AA505" s="129"/>
      <c r="AB505" s="129"/>
      <c r="AC505" s="121"/>
      <c r="AD505" s="121"/>
      <c r="AE505" s="121"/>
      <c r="AF505" s="121"/>
      <c r="AG505" s="121"/>
      <c r="AH505" s="121"/>
    </row>
    <row r="506" spans="1:34" ht="12.75">
      <c r="A506" s="121"/>
      <c r="B506" s="121"/>
      <c r="C506" s="129"/>
      <c r="D506" s="121"/>
      <c r="E506" s="129"/>
      <c r="F506" s="129"/>
      <c r="G506" s="129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9"/>
      <c r="S506" s="121"/>
      <c r="T506" s="131"/>
      <c r="U506" s="121"/>
      <c r="V506" s="121"/>
      <c r="W506" s="121"/>
      <c r="X506" s="130"/>
      <c r="Y506" s="121"/>
      <c r="Z506" s="129"/>
      <c r="AA506" s="129"/>
      <c r="AB506" s="129"/>
      <c r="AC506" s="121"/>
      <c r="AD506" s="121"/>
      <c r="AE506" s="121"/>
      <c r="AF506" s="121"/>
      <c r="AG506" s="121"/>
      <c r="AH506" s="121"/>
    </row>
    <row r="507" spans="1:34" ht="12.75">
      <c r="A507" s="121"/>
      <c r="B507" s="121"/>
      <c r="C507" s="129"/>
      <c r="D507" s="121"/>
      <c r="E507" s="129"/>
      <c r="F507" s="129"/>
      <c r="G507" s="129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9"/>
      <c r="S507" s="121"/>
      <c r="T507" s="131"/>
      <c r="U507" s="121"/>
      <c r="V507" s="121"/>
      <c r="W507" s="121"/>
      <c r="X507" s="130"/>
      <c r="Y507" s="121"/>
      <c r="Z507" s="129"/>
      <c r="AA507" s="129"/>
      <c r="AB507" s="129"/>
      <c r="AC507" s="121"/>
      <c r="AD507" s="121"/>
      <c r="AE507" s="121"/>
      <c r="AF507" s="121"/>
      <c r="AG507" s="121"/>
      <c r="AH507" s="121"/>
    </row>
    <row r="508" spans="1:34" ht="12.75">
      <c r="A508" s="121"/>
      <c r="B508" s="121"/>
      <c r="C508" s="129"/>
      <c r="D508" s="121"/>
      <c r="E508" s="129"/>
      <c r="F508" s="129"/>
      <c r="G508" s="129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9"/>
      <c r="S508" s="121"/>
      <c r="T508" s="131"/>
      <c r="U508" s="121"/>
      <c r="V508" s="121"/>
      <c r="W508" s="121"/>
      <c r="X508" s="130"/>
      <c r="Y508" s="121"/>
      <c r="Z508" s="129"/>
      <c r="AA508" s="129"/>
      <c r="AB508" s="129"/>
      <c r="AC508" s="121"/>
      <c r="AD508" s="121"/>
      <c r="AE508" s="121"/>
      <c r="AF508" s="121"/>
      <c r="AG508" s="121"/>
      <c r="AH508" s="121"/>
    </row>
    <row r="509" spans="1:34" ht="12.75">
      <c r="A509" s="121"/>
      <c r="B509" s="121"/>
      <c r="C509" s="129"/>
      <c r="D509" s="121"/>
      <c r="E509" s="129"/>
      <c r="F509" s="129"/>
      <c r="G509" s="129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9"/>
      <c r="S509" s="121"/>
      <c r="T509" s="131"/>
      <c r="U509" s="121"/>
      <c r="V509" s="121"/>
      <c r="W509" s="121"/>
      <c r="X509" s="130"/>
      <c r="Y509" s="121"/>
      <c r="Z509" s="129"/>
      <c r="AA509" s="129"/>
      <c r="AB509" s="129"/>
      <c r="AC509" s="121"/>
      <c r="AD509" s="121"/>
      <c r="AE509" s="121"/>
      <c r="AF509" s="121"/>
      <c r="AG509" s="121"/>
      <c r="AH509" s="121"/>
    </row>
    <row r="510" spans="1:34" ht="12.75">
      <c r="A510" s="121"/>
      <c r="B510" s="121"/>
      <c r="C510" s="129"/>
      <c r="D510" s="121"/>
      <c r="E510" s="129"/>
      <c r="F510" s="129"/>
      <c r="G510" s="129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9"/>
      <c r="S510" s="121"/>
      <c r="T510" s="131"/>
      <c r="U510" s="121"/>
      <c r="V510" s="121"/>
      <c r="W510" s="121"/>
      <c r="X510" s="130"/>
      <c r="Y510" s="121"/>
      <c r="Z510" s="129"/>
      <c r="AA510" s="129"/>
      <c r="AB510" s="129"/>
      <c r="AC510" s="121"/>
      <c r="AD510" s="121"/>
      <c r="AE510" s="121"/>
      <c r="AF510" s="121"/>
      <c r="AG510" s="121"/>
      <c r="AH510" s="121"/>
    </row>
    <row r="511" spans="1:34" ht="12.75">
      <c r="A511" s="121"/>
      <c r="B511" s="121"/>
      <c r="C511" s="129"/>
      <c r="D511" s="121"/>
      <c r="E511" s="129"/>
      <c r="F511" s="129"/>
      <c r="G511" s="129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9"/>
      <c r="S511" s="121"/>
      <c r="T511" s="131"/>
      <c r="U511" s="121"/>
      <c r="V511" s="121"/>
      <c r="W511" s="121"/>
      <c r="X511" s="130"/>
      <c r="Y511" s="121"/>
      <c r="Z511" s="129"/>
      <c r="AA511" s="129"/>
      <c r="AB511" s="129"/>
      <c r="AC511" s="121"/>
      <c r="AD511" s="121"/>
      <c r="AE511" s="121"/>
      <c r="AF511" s="121"/>
      <c r="AG511" s="121"/>
      <c r="AH511" s="121"/>
    </row>
    <row r="512" spans="1:34" ht="12.75">
      <c r="A512" s="121"/>
      <c r="B512" s="121"/>
      <c r="C512" s="129"/>
      <c r="D512" s="121"/>
      <c r="E512" s="129"/>
      <c r="F512" s="129"/>
      <c r="G512" s="129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9"/>
      <c r="S512" s="121"/>
      <c r="T512" s="131"/>
      <c r="U512" s="121"/>
      <c r="V512" s="121"/>
      <c r="W512" s="121"/>
      <c r="X512" s="130"/>
      <c r="Y512" s="121"/>
      <c r="Z512" s="129"/>
      <c r="AA512" s="129"/>
      <c r="AB512" s="129"/>
      <c r="AC512" s="121"/>
      <c r="AD512" s="121"/>
      <c r="AE512" s="121"/>
      <c r="AF512" s="121"/>
      <c r="AG512" s="121"/>
      <c r="AH512" s="121"/>
    </row>
    <row r="513" spans="1:34" ht="12.75">
      <c r="A513" s="121"/>
      <c r="B513" s="121"/>
      <c r="C513" s="129"/>
      <c r="D513" s="121"/>
      <c r="E513" s="129"/>
      <c r="F513" s="129"/>
      <c r="G513" s="129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9"/>
      <c r="S513" s="121"/>
      <c r="T513" s="131"/>
      <c r="U513" s="121"/>
      <c r="V513" s="121"/>
      <c r="W513" s="121"/>
      <c r="X513" s="130"/>
      <c r="Y513" s="121"/>
      <c r="Z513" s="129"/>
      <c r="AA513" s="129"/>
      <c r="AB513" s="129"/>
      <c r="AC513" s="121"/>
      <c r="AD513" s="121"/>
      <c r="AE513" s="121"/>
      <c r="AF513" s="121"/>
      <c r="AG513" s="121"/>
      <c r="AH513" s="121"/>
    </row>
    <row r="514" spans="1:34" ht="12.75">
      <c r="A514" s="121"/>
      <c r="B514" s="121"/>
      <c r="C514" s="129"/>
      <c r="D514" s="121"/>
      <c r="E514" s="129"/>
      <c r="F514" s="129"/>
      <c r="G514" s="129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9"/>
      <c r="S514" s="121"/>
      <c r="T514" s="131"/>
      <c r="U514" s="121"/>
      <c r="V514" s="121"/>
      <c r="W514" s="121"/>
      <c r="X514" s="130"/>
      <c r="Y514" s="121"/>
      <c r="Z514" s="129"/>
      <c r="AA514" s="129"/>
      <c r="AB514" s="129"/>
      <c r="AC514" s="121"/>
      <c r="AD514" s="121"/>
      <c r="AE514" s="121"/>
      <c r="AF514" s="121"/>
      <c r="AG514" s="121"/>
      <c r="AH514" s="121"/>
    </row>
    <row r="515" spans="1:34" ht="12.75">
      <c r="A515" s="121"/>
      <c r="B515" s="121"/>
      <c r="C515" s="129"/>
      <c r="D515" s="121"/>
      <c r="E515" s="129"/>
      <c r="F515" s="129"/>
      <c r="G515" s="129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9"/>
      <c r="S515" s="121"/>
      <c r="T515" s="131"/>
      <c r="U515" s="121"/>
      <c r="V515" s="121"/>
      <c r="W515" s="121"/>
      <c r="X515" s="130"/>
      <c r="Y515" s="121"/>
      <c r="Z515" s="129"/>
      <c r="AA515" s="129"/>
      <c r="AB515" s="129"/>
      <c r="AC515" s="121"/>
      <c r="AD515" s="121"/>
      <c r="AE515" s="121"/>
      <c r="AF515" s="121"/>
      <c r="AG515" s="121"/>
      <c r="AH515" s="121"/>
    </row>
    <row r="516" spans="1:34" ht="12.75">
      <c r="A516" s="121"/>
      <c r="B516" s="121"/>
      <c r="C516" s="129"/>
      <c r="D516" s="121"/>
      <c r="E516" s="129"/>
      <c r="F516" s="129"/>
      <c r="G516" s="129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9"/>
      <c r="S516" s="121"/>
      <c r="T516" s="131"/>
      <c r="U516" s="121"/>
      <c r="V516" s="121"/>
      <c r="W516" s="121"/>
      <c r="X516" s="130"/>
      <c r="Y516" s="121"/>
      <c r="Z516" s="129"/>
      <c r="AA516" s="129"/>
      <c r="AB516" s="129"/>
      <c r="AC516" s="121"/>
      <c r="AD516" s="121"/>
      <c r="AE516" s="121"/>
      <c r="AF516" s="121"/>
      <c r="AG516" s="121"/>
      <c r="AH516" s="121"/>
    </row>
    <row r="517" spans="1:34" ht="12.75">
      <c r="A517" s="121"/>
      <c r="B517" s="121"/>
      <c r="C517" s="129"/>
      <c r="D517" s="121"/>
      <c r="E517" s="129"/>
      <c r="F517" s="129"/>
      <c r="G517" s="129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9"/>
      <c r="S517" s="121"/>
      <c r="T517" s="131"/>
      <c r="U517" s="121"/>
      <c r="V517" s="121"/>
      <c r="W517" s="121"/>
      <c r="X517" s="130"/>
      <c r="Y517" s="121"/>
      <c r="Z517" s="129"/>
      <c r="AA517" s="129"/>
      <c r="AB517" s="129"/>
      <c r="AC517" s="121"/>
      <c r="AD517" s="121"/>
      <c r="AE517" s="121"/>
      <c r="AF517" s="121"/>
      <c r="AG517" s="121"/>
      <c r="AH517" s="121"/>
    </row>
    <row r="518" spans="1:34" ht="12.75">
      <c r="A518" s="121"/>
      <c r="B518" s="121"/>
      <c r="C518" s="129"/>
      <c r="D518" s="121"/>
      <c r="E518" s="129"/>
      <c r="F518" s="129"/>
      <c r="G518" s="129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9"/>
      <c r="S518" s="121"/>
      <c r="T518" s="131"/>
      <c r="U518" s="121"/>
      <c r="V518" s="121"/>
      <c r="W518" s="121"/>
      <c r="X518" s="130"/>
      <c r="Y518" s="121"/>
      <c r="Z518" s="129"/>
      <c r="AA518" s="129"/>
      <c r="AB518" s="129"/>
      <c r="AC518" s="121"/>
      <c r="AD518" s="121"/>
      <c r="AE518" s="121"/>
      <c r="AF518" s="121"/>
      <c r="AG518" s="121"/>
      <c r="AH518" s="121"/>
    </row>
    <row r="519" spans="1:34" ht="12.75">
      <c r="A519" s="121"/>
      <c r="B519" s="121"/>
      <c r="C519" s="129"/>
      <c r="D519" s="121"/>
      <c r="E519" s="129"/>
      <c r="F519" s="129"/>
      <c r="G519" s="129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9"/>
      <c r="S519" s="121"/>
      <c r="T519" s="131"/>
      <c r="U519" s="121"/>
      <c r="V519" s="121"/>
      <c r="W519" s="121"/>
      <c r="X519" s="130"/>
      <c r="Y519" s="121"/>
      <c r="Z519" s="129"/>
      <c r="AA519" s="129"/>
      <c r="AB519" s="129"/>
      <c r="AC519" s="121"/>
      <c r="AD519" s="121"/>
      <c r="AE519" s="121"/>
      <c r="AF519" s="121"/>
      <c r="AG519" s="121"/>
      <c r="AH519" s="121"/>
    </row>
    <row r="520" spans="1:34" ht="12.75">
      <c r="A520" s="121"/>
      <c r="B520" s="121"/>
      <c r="C520" s="129"/>
      <c r="D520" s="121"/>
      <c r="E520" s="129"/>
      <c r="F520" s="129"/>
      <c r="G520" s="129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9"/>
      <c r="S520" s="121"/>
      <c r="T520" s="131"/>
      <c r="U520" s="121"/>
      <c r="V520" s="121"/>
      <c r="W520" s="121"/>
      <c r="X520" s="130"/>
      <c r="Y520" s="121"/>
      <c r="Z520" s="129"/>
      <c r="AA520" s="129"/>
      <c r="AB520" s="129"/>
      <c r="AC520" s="121"/>
      <c r="AD520" s="121"/>
      <c r="AE520" s="121"/>
      <c r="AF520" s="121"/>
      <c r="AG520" s="121"/>
      <c r="AH520" s="121"/>
    </row>
    <row r="521" spans="1:34" ht="12.75">
      <c r="A521" s="121"/>
      <c r="B521" s="121"/>
      <c r="C521" s="129"/>
      <c r="D521" s="121"/>
      <c r="E521" s="129"/>
      <c r="F521" s="129"/>
      <c r="G521" s="129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9"/>
      <c r="S521" s="121"/>
      <c r="T521" s="131"/>
      <c r="U521" s="121"/>
      <c r="V521" s="121"/>
      <c r="W521" s="121"/>
      <c r="X521" s="130"/>
      <c r="Y521" s="121"/>
      <c r="Z521" s="129"/>
      <c r="AA521" s="129"/>
      <c r="AB521" s="129"/>
      <c r="AC521" s="121"/>
      <c r="AD521" s="121"/>
      <c r="AE521" s="121"/>
      <c r="AF521" s="121"/>
      <c r="AG521" s="121"/>
      <c r="AH521" s="121"/>
    </row>
    <row r="522" spans="1:34" ht="12.75">
      <c r="A522" s="121"/>
      <c r="B522" s="121"/>
      <c r="C522" s="129"/>
      <c r="D522" s="121"/>
      <c r="E522" s="129"/>
      <c r="F522" s="129"/>
      <c r="G522" s="129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9"/>
      <c r="S522" s="121"/>
      <c r="T522" s="131"/>
      <c r="U522" s="121"/>
      <c r="V522" s="121"/>
      <c r="W522" s="121"/>
      <c r="X522" s="130"/>
      <c r="Y522" s="121"/>
      <c r="Z522" s="129"/>
      <c r="AA522" s="129"/>
      <c r="AB522" s="129"/>
      <c r="AC522" s="121"/>
      <c r="AD522" s="121"/>
      <c r="AE522" s="121"/>
      <c r="AF522" s="121"/>
      <c r="AG522" s="121"/>
      <c r="AH522" s="121"/>
    </row>
    <row r="523" spans="1:34" ht="12.75">
      <c r="A523" s="121"/>
      <c r="B523" s="121"/>
      <c r="C523" s="129"/>
      <c r="D523" s="121"/>
      <c r="E523" s="129"/>
      <c r="F523" s="129"/>
      <c r="G523" s="129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9"/>
      <c r="S523" s="121"/>
      <c r="T523" s="131"/>
      <c r="U523" s="121"/>
      <c r="V523" s="121"/>
      <c r="W523" s="121"/>
      <c r="X523" s="130"/>
      <c r="Y523" s="121"/>
      <c r="Z523" s="129"/>
      <c r="AA523" s="129"/>
      <c r="AB523" s="129"/>
      <c r="AC523" s="121"/>
      <c r="AD523" s="121"/>
      <c r="AE523" s="121"/>
      <c r="AF523" s="121"/>
      <c r="AG523" s="121"/>
      <c r="AH523" s="121"/>
    </row>
    <row r="524" spans="1:34" ht="12.75">
      <c r="A524" s="121"/>
      <c r="B524" s="121"/>
      <c r="C524" s="129"/>
      <c r="D524" s="121"/>
      <c r="E524" s="129"/>
      <c r="F524" s="129"/>
      <c r="G524" s="129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9"/>
      <c r="S524" s="121"/>
      <c r="T524" s="131"/>
      <c r="U524" s="121"/>
      <c r="V524" s="121"/>
      <c r="W524" s="121"/>
      <c r="X524" s="130"/>
      <c r="Y524" s="121"/>
      <c r="Z524" s="129"/>
      <c r="AA524" s="129"/>
      <c r="AB524" s="129"/>
      <c r="AC524" s="121"/>
      <c r="AD524" s="121"/>
      <c r="AE524" s="121"/>
      <c r="AF524" s="121"/>
      <c r="AG524" s="121"/>
      <c r="AH524" s="121"/>
    </row>
    <row r="525" spans="1:34" ht="12.75">
      <c r="A525" s="121"/>
      <c r="B525" s="121"/>
      <c r="C525" s="129"/>
      <c r="D525" s="121"/>
      <c r="E525" s="129"/>
      <c r="F525" s="129"/>
      <c r="G525" s="129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9"/>
      <c r="S525" s="121"/>
      <c r="T525" s="131"/>
      <c r="U525" s="121"/>
      <c r="V525" s="121"/>
      <c r="W525" s="121"/>
      <c r="X525" s="130"/>
      <c r="Y525" s="121"/>
      <c r="Z525" s="129"/>
      <c r="AA525" s="129"/>
      <c r="AB525" s="129"/>
      <c r="AC525" s="121"/>
      <c r="AD525" s="121"/>
      <c r="AE525" s="121"/>
      <c r="AF525" s="121"/>
      <c r="AG525" s="121"/>
      <c r="AH525" s="121"/>
    </row>
    <row r="526" spans="1:34" ht="12.75">
      <c r="A526" s="121"/>
      <c r="B526" s="121"/>
      <c r="C526" s="129"/>
      <c r="D526" s="121"/>
      <c r="E526" s="129"/>
      <c r="F526" s="129"/>
      <c r="G526" s="129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9"/>
      <c r="S526" s="121"/>
      <c r="T526" s="131"/>
      <c r="U526" s="121"/>
      <c r="V526" s="121"/>
      <c r="W526" s="121"/>
      <c r="X526" s="130"/>
      <c r="Y526" s="121"/>
      <c r="Z526" s="129"/>
      <c r="AA526" s="129"/>
      <c r="AB526" s="129"/>
      <c r="AC526" s="121"/>
      <c r="AD526" s="121"/>
      <c r="AE526" s="121"/>
      <c r="AF526" s="121"/>
      <c r="AG526" s="121"/>
      <c r="AH526" s="121"/>
    </row>
    <row r="527" spans="1:34" ht="12.75">
      <c r="A527" s="121"/>
      <c r="B527" s="121"/>
      <c r="C527" s="129"/>
      <c r="D527" s="121"/>
      <c r="E527" s="129"/>
      <c r="F527" s="129"/>
      <c r="G527" s="129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9"/>
      <c r="S527" s="121"/>
      <c r="T527" s="131"/>
      <c r="U527" s="121"/>
      <c r="V527" s="121"/>
      <c r="W527" s="121"/>
      <c r="X527" s="130"/>
      <c r="Y527" s="121"/>
      <c r="Z527" s="129"/>
      <c r="AA527" s="129"/>
      <c r="AB527" s="129"/>
      <c r="AC527" s="121"/>
      <c r="AD527" s="121"/>
      <c r="AE527" s="121"/>
      <c r="AF527" s="121"/>
      <c r="AG527" s="121"/>
      <c r="AH527" s="121"/>
    </row>
    <row r="528" spans="1:34" ht="12.75">
      <c r="A528" s="121"/>
      <c r="B528" s="121"/>
      <c r="C528" s="129"/>
      <c r="D528" s="121"/>
      <c r="E528" s="129"/>
      <c r="F528" s="129"/>
      <c r="G528" s="129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9"/>
      <c r="S528" s="121"/>
      <c r="T528" s="131"/>
      <c r="U528" s="121"/>
      <c r="V528" s="121"/>
      <c r="W528" s="121"/>
      <c r="X528" s="130"/>
      <c r="Y528" s="121"/>
      <c r="Z528" s="129"/>
      <c r="AA528" s="129"/>
      <c r="AB528" s="129"/>
      <c r="AC528" s="121"/>
      <c r="AD528" s="121"/>
      <c r="AE528" s="121"/>
      <c r="AF528" s="121"/>
      <c r="AG528" s="121"/>
      <c r="AH528" s="121"/>
    </row>
    <row r="529" spans="1:34" ht="12.75">
      <c r="A529" s="121"/>
      <c r="B529" s="121"/>
      <c r="C529" s="129"/>
      <c r="D529" s="121"/>
      <c r="E529" s="129"/>
      <c r="F529" s="129"/>
      <c r="G529" s="129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9"/>
      <c r="S529" s="121"/>
      <c r="T529" s="131"/>
      <c r="U529" s="121"/>
      <c r="V529" s="121"/>
      <c r="W529" s="121"/>
      <c r="X529" s="130"/>
      <c r="Y529" s="121"/>
      <c r="Z529" s="129"/>
      <c r="AA529" s="129"/>
      <c r="AB529" s="129"/>
      <c r="AC529" s="121"/>
      <c r="AD529" s="121"/>
      <c r="AE529" s="121"/>
      <c r="AF529" s="121"/>
      <c r="AG529" s="121"/>
      <c r="AH529" s="121"/>
    </row>
    <row r="530" spans="1:34" ht="12.75">
      <c r="A530" s="121"/>
      <c r="B530" s="121"/>
      <c r="C530" s="129"/>
      <c r="D530" s="121"/>
      <c r="E530" s="129"/>
      <c r="F530" s="129"/>
      <c r="G530" s="129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9"/>
      <c r="S530" s="121"/>
      <c r="T530" s="131"/>
      <c r="U530" s="121"/>
      <c r="V530" s="121"/>
      <c r="W530" s="121"/>
      <c r="X530" s="130"/>
      <c r="Y530" s="121"/>
      <c r="Z530" s="129"/>
      <c r="AA530" s="129"/>
      <c r="AB530" s="129"/>
      <c r="AC530" s="121"/>
      <c r="AD530" s="121"/>
      <c r="AE530" s="121"/>
      <c r="AF530" s="121"/>
      <c r="AG530" s="121"/>
      <c r="AH530" s="121"/>
    </row>
    <row r="531" spans="1:34" ht="12.75">
      <c r="A531" s="121"/>
      <c r="B531" s="121"/>
      <c r="C531" s="129"/>
      <c r="D531" s="121"/>
      <c r="E531" s="129"/>
      <c r="F531" s="129"/>
      <c r="G531" s="129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9"/>
      <c r="S531" s="121"/>
      <c r="T531" s="131"/>
      <c r="U531" s="121"/>
      <c r="V531" s="121"/>
      <c r="W531" s="121"/>
      <c r="X531" s="130"/>
      <c r="Y531" s="121"/>
      <c r="Z531" s="129"/>
      <c r="AA531" s="129"/>
      <c r="AB531" s="129"/>
      <c r="AC531" s="121"/>
      <c r="AD531" s="121"/>
      <c r="AE531" s="121"/>
      <c r="AF531" s="121"/>
      <c r="AG531" s="121"/>
      <c r="AH531" s="121"/>
    </row>
    <row r="532" spans="1:34" ht="12.75">
      <c r="A532" s="121"/>
      <c r="B532" s="121"/>
      <c r="C532" s="129"/>
      <c r="D532" s="121"/>
      <c r="E532" s="129"/>
      <c r="F532" s="129"/>
      <c r="G532" s="129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9"/>
      <c r="S532" s="121"/>
      <c r="T532" s="131"/>
      <c r="U532" s="121"/>
      <c r="V532" s="121"/>
      <c r="W532" s="121"/>
      <c r="X532" s="130"/>
      <c r="Y532" s="121"/>
      <c r="Z532" s="129"/>
      <c r="AA532" s="129"/>
      <c r="AB532" s="129"/>
      <c r="AC532" s="121"/>
      <c r="AD532" s="121"/>
      <c r="AE532" s="121"/>
      <c r="AF532" s="121"/>
      <c r="AG532" s="121"/>
      <c r="AH532" s="121"/>
    </row>
    <row r="533" spans="1:34" ht="12.75">
      <c r="A533" s="121"/>
      <c r="B533" s="121"/>
      <c r="C533" s="129"/>
      <c r="D533" s="121"/>
      <c r="E533" s="129"/>
      <c r="F533" s="129"/>
      <c r="G533" s="129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9"/>
      <c r="S533" s="121"/>
      <c r="T533" s="131"/>
      <c r="U533" s="121"/>
      <c r="V533" s="121"/>
      <c r="W533" s="121"/>
      <c r="X533" s="130"/>
      <c r="Y533" s="121"/>
      <c r="Z533" s="129"/>
      <c r="AA533" s="129"/>
      <c r="AB533" s="129"/>
      <c r="AC533" s="121"/>
      <c r="AD533" s="121"/>
      <c r="AE533" s="121"/>
      <c r="AF533" s="121"/>
      <c r="AG533" s="121"/>
      <c r="AH533" s="121"/>
    </row>
    <row r="534" spans="1:34" ht="12.75">
      <c r="A534" s="121"/>
      <c r="B534" s="121"/>
      <c r="C534" s="129"/>
      <c r="D534" s="121"/>
      <c r="E534" s="129"/>
      <c r="F534" s="129"/>
      <c r="G534" s="129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9"/>
      <c r="S534" s="121"/>
      <c r="T534" s="131"/>
      <c r="U534" s="121"/>
      <c r="V534" s="121"/>
      <c r="W534" s="121"/>
      <c r="X534" s="130"/>
      <c r="Y534" s="121"/>
      <c r="Z534" s="129"/>
      <c r="AA534" s="129"/>
      <c r="AB534" s="129"/>
      <c r="AC534" s="121"/>
      <c r="AD534" s="121"/>
      <c r="AE534" s="121"/>
      <c r="AF534" s="121"/>
      <c r="AG534" s="121"/>
      <c r="AH534" s="121"/>
    </row>
    <row r="535" spans="1:34" ht="12.75">
      <c r="A535" s="121"/>
      <c r="B535" s="121"/>
      <c r="C535" s="129"/>
      <c r="D535" s="121"/>
      <c r="E535" s="129"/>
      <c r="F535" s="129"/>
      <c r="G535" s="129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9"/>
      <c r="S535" s="121"/>
      <c r="T535" s="131"/>
      <c r="U535" s="121"/>
      <c r="V535" s="121"/>
      <c r="W535" s="121"/>
      <c r="X535" s="130"/>
      <c r="Y535" s="121"/>
      <c r="Z535" s="129"/>
      <c r="AA535" s="129"/>
      <c r="AB535" s="129"/>
      <c r="AC535" s="121"/>
      <c r="AD535" s="121"/>
      <c r="AE535" s="121"/>
      <c r="AF535" s="121"/>
      <c r="AG535" s="121"/>
      <c r="AH535" s="121"/>
    </row>
    <row r="536" spans="1:34" ht="12.75">
      <c r="A536" s="121"/>
      <c r="B536" s="121"/>
      <c r="C536" s="129"/>
      <c r="D536" s="121"/>
      <c r="E536" s="129"/>
      <c r="F536" s="129"/>
      <c r="G536" s="129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9"/>
      <c r="S536" s="121"/>
      <c r="T536" s="131"/>
      <c r="U536" s="121"/>
      <c r="V536" s="121"/>
      <c r="W536" s="121"/>
      <c r="X536" s="130"/>
      <c r="Y536" s="121"/>
      <c r="Z536" s="129"/>
      <c r="AA536" s="129"/>
      <c r="AB536" s="129"/>
      <c r="AC536" s="121"/>
      <c r="AD536" s="121"/>
      <c r="AE536" s="121"/>
      <c r="AF536" s="121"/>
      <c r="AG536" s="121"/>
      <c r="AH536" s="121"/>
    </row>
    <row r="537" spans="1:34" ht="12.75">
      <c r="A537" s="121"/>
      <c r="B537" s="121"/>
      <c r="C537" s="129"/>
      <c r="D537" s="121"/>
      <c r="E537" s="129"/>
      <c r="F537" s="129"/>
      <c r="G537" s="129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9"/>
      <c r="S537" s="121"/>
      <c r="T537" s="131"/>
      <c r="U537" s="121"/>
      <c r="V537" s="121"/>
      <c r="W537" s="121"/>
      <c r="X537" s="130"/>
      <c r="Y537" s="121"/>
      <c r="Z537" s="129"/>
      <c r="AA537" s="129"/>
      <c r="AB537" s="129"/>
      <c r="AC537" s="121"/>
      <c r="AD537" s="121"/>
      <c r="AE537" s="121"/>
      <c r="AF537" s="121"/>
      <c r="AG537" s="121"/>
      <c r="AH537" s="121"/>
    </row>
    <row r="538" spans="1:34" ht="12.75">
      <c r="A538" s="121"/>
      <c r="B538" s="121"/>
      <c r="C538" s="129"/>
      <c r="D538" s="121"/>
      <c r="E538" s="129"/>
      <c r="F538" s="129"/>
      <c r="G538" s="129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9"/>
      <c r="S538" s="121"/>
      <c r="T538" s="131"/>
      <c r="U538" s="121"/>
      <c r="V538" s="121"/>
      <c r="W538" s="121"/>
      <c r="X538" s="130"/>
      <c r="Y538" s="121"/>
      <c r="Z538" s="129"/>
      <c r="AA538" s="129"/>
      <c r="AB538" s="129"/>
      <c r="AC538" s="121"/>
      <c r="AD538" s="121"/>
      <c r="AE538" s="121"/>
      <c r="AF538" s="121"/>
      <c r="AG538" s="121"/>
      <c r="AH538" s="121"/>
    </row>
    <row r="539" spans="1:34" ht="12.75">
      <c r="A539" s="121"/>
      <c r="B539" s="121"/>
      <c r="C539" s="129"/>
      <c r="D539" s="121"/>
      <c r="E539" s="129"/>
      <c r="F539" s="129"/>
      <c r="G539" s="129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9"/>
      <c r="S539" s="121"/>
      <c r="T539" s="131"/>
      <c r="U539" s="121"/>
      <c r="V539" s="121"/>
      <c r="W539" s="121"/>
      <c r="X539" s="130"/>
      <c r="Y539" s="121"/>
      <c r="Z539" s="129"/>
      <c r="AA539" s="129"/>
      <c r="AB539" s="129"/>
      <c r="AC539" s="121"/>
      <c r="AD539" s="121"/>
      <c r="AE539" s="121"/>
      <c r="AF539" s="121"/>
      <c r="AG539" s="121"/>
      <c r="AH539" s="121"/>
    </row>
    <row r="540" spans="1:34" ht="12.75">
      <c r="A540" s="121"/>
      <c r="B540" s="121"/>
      <c r="C540" s="129"/>
      <c r="D540" s="121"/>
      <c r="E540" s="129"/>
      <c r="F540" s="129"/>
      <c r="G540" s="129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9"/>
      <c r="S540" s="121"/>
      <c r="T540" s="131"/>
      <c r="U540" s="121"/>
      <c r="V540" s="121"/>
      <c r="W540" s="121"/>
      <c r="X540" s="130"/>
      <c r="Y540" s="121"/>
      <c r="Z540" s="129"/>
      <c r="AA540" s="129"/>
      <c r="AB540" s="129"/>
      <c r="AC540" s="121"/>
      <c r="AD540" s="121"/>
      <c r="AE540" s="121"/>
      <c r="AF540" s="121"/>
      <c r="AG540" s="121"/>
      <c r="AH540" s="121"/>
    </row>
    <row r="541" spans="1:34" ht="12.75">
      <c r="A541" s="121"/>
      <c r="B541" s="121"/>
      <c r="C541" s="129"/>
      <c r="D541" s="121"/>
      <c r="E541" s="129"/>
      <c r="F541" s="129"/>
      <c r="G541" s="129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9"/>
      <c r="S541" s="121"/>
      <c r="T541" s="131"/>
      <c r="U541" s="121"/>
      <c r="V541" s="121"/>
      <c r="W541" s="121"/>
      <c r="X541" s="130"/>
      <c r="Y541" s="121"/>
      <c r="Z541" s="129"/>
      <c r="AA541" s="129"/>
      <c r="AB541" s="129"/>
      <c r="AC541" s="121"/>
      <c r="AD541" s="121"/>
      <c r="AE541" s="121"/>
      <c r="AF541" s="121"/>
      <c r="AG541" s="121"/>
      <c r="AH541" s="121"/>
    </row>
    <row r="542" spans="1:34" ht="12.75">
      <c r="A542" s="121"/>
      <c r="B542" s="121"/>
      <c r="C542" s="129"/>
      <c r="D542" s="121"/>
      <c r="E542" s="129"/>
      <c r="F542" s="129"/>
      <c r="G542" s="129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9"/>
      <c r="S542" s="121"/>
      <c r="T542" s="131"/>
      <c r="U542" s="121"/>
      <c r="V542" s="121"/>
      <c r="W542" s="121"/>
      <c r="X542" s="130"/>
      <c r="Y542" s="121"/>
      <c r="Z542" s="129"/>
      <c r="AA542" s="129"/>
      <c r="AB542" s="129"/>
      <c r="AC542" s="121"/>
      <c r="AD542" s="121"/>
      <c r="AE542" s="121"/>
      <c r="AF542" s="121"/>
      <c r="AG542" s="121"/>
      <c r="AH542" s="121"/>
    </row>
    <row r="543" spans="1:34" ht="12.75">
      <c r="A543" s="121"/>
      <c r="B543" s="121"/>
      <c r="C543" s="129"/>
      <c r="D543" s="121"/>
      <c r="E543" s="129"/>
      <c r="F543" s="129"/>
      <c r="G543" s="129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9"/>
      <c r="S543" s="121"/>
      <c r="T543" s="131"/>
      <c r="U543" s="121"/>
      <c r="V543" s="121"/>
      <c r="W543" s="121"/>
      <c r="X543" s="130"/>
      <c r="Y543" s="121"/>
      <c r="Z543" s="129"/>
      <c r="AA543" s="129"/>
      <c r="AB543" s="129"/>
      <c r="AC543" s="121"/>
      <c r="AD543" s="121"/>
      <c r="AE543" s="121"/>
      <c r="AF543" s="121"/>
      <c r="AG543" s="121"/>
      <c r="AH543" s="121"/>
    </row>
    <row r="544" spans="1:34" ht="12.75">
      <c r="A544" s="121"/>
      <c r="B544" s="121"/>
      <c r="C544" s="129"/>
      <c r="D544" s="121"/>
      <c r="E544" s="129"/>
      <c r="F544" s="129"/>
      <c r="G544" s="129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9"/>
      <c r="S544" s="121"/>
      <c r="T544" s="131"/>
      <c r="U544" s="121"/>
      <c r="V544" s="121"/>
      <c r="W544" s="121"/>
      <c r="X544" s="130"/>
      <c r="Y544" s="121"/>
      <c r="Z544" s="129"/>
      <c r="AA544" s="129"/>
      <c r="AB544" s="129"/>
      <c r="AC544" s="121"/>
      <c r="AD544" s="121"/>
      <c r="AE544" s="121"/>
      <c r="AF544" s="121"/>
      <c r="AG544" s="121"/>
      <c r="AH544" s="121"/>
    </row>
    <row r="545" spans="1:34" ht="12.75">
      <c r="A545" s="121"/>
      <c r="B545" s="121"/>
      <c r="C545" s="129"/>
      <c r="D545" s="121"/>
      <c r="E545" s="129"/>
      <c r="F545" s="129"/>
      <c r="G545" s="129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9"/>
      <c r="S545" s="121"/>
      <c r="T545" s="131"/>
      <c r="U545" s="121"/>
      <c r="V545" s="121"/>
      <c r="W545" s="121"/>
      <c r="X545" s="130"/>
      <c r="Y545" s="121"/>
      <c r="Z545" s="129"/>
      <c r="AA545" s="129"/>
      <c r="AB545" s="129"/>
      <c r="AC545" s="121"/>
      <c r="AD545" s="121"/>
      <c r="AE545" s="121"/>
      <c r="AF545" s="121"/>
      <c r="AG545" s="121"/>
      <c r="AH545" s="121"/>
    </row>
    <row r="546" spans="1:34" ht="12.75">
      <c r="A546" s="121"/>
      <c r="B546" s="121"/>
      <c r="C546" s="129"/>
      <c r="D546" s="121"/>
      <c r="E546" s="129"/>
      <c r="F546" s="129"/>
      <c r="G546" s="129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9"/>
      <c r="S546" s="121"/>
      <c r="T546" s="131"/>
      <c r="U546" s="121"/>
      <c r="V546" s="121"/>
      <c r="W546" s="121"/>
      <c r="X546" s="130"/>
      <c r="Y546" s="121"/>
      <c r="Z546" s="129"/>
      <c r="AA546" s="129"/>
      <c r="AB546" s="129"/>
      <c r="AC546" s="121"/>
      <c r="AD546" s="121"/>
      <c r="AE546" s="121"/>
      <c r="AF546" s="121"/>
      <c r="AG546" s="121"/>
      <c r="AH546" s="121"/>
    </row>
    <row r="547" spans="1:34" ht="12.75">
      <c r="A547" s="121"/>
      <c r="B547" s="121"/>
      <c r="C547" s="129"/>
      <c r="D547" s="121"/>
      <c r="E547" s="129"/>
      <c r="F547" s="129"/>
      <c r="G547" s="129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9"/>
      <c r="S547" s="121"/>
      <c r="T547" s="131"/>
      <c r="U547" s="121"/>
      <c r="V547" s="121"/>
      <c r="W547" s="121"/>
      <c r="X547" s="130"/>
      <c r="Y547" s="121"/>
      <c r="Z547" s="129"/>
      <c r="AA547" s="129"/>
      <c r="AB547" s="129"/>
      <c r="AC547" s="121"/>
      <c r="AD547" s="121"/>
      <c r="AE547" s="121"/>
      <c r="AF547" s="121"/>
      <c r="AG547" s="121"/>
      <c r="AH547" s="121"/>
    </row>
    <row r="548" spans="1:34" ht="12.75">
      <c r="A548" s="121"/>
      <c r="B548" s="121"/>
      <c r="C548" s="129"/>
      <c r="D548" s="121"/>
      <c r="E548" s="129"/>
      <c r="F548" s="129"/>
      <c r="G548" s="129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9"/>
      <c r="S548" s="121"/>
      <c r="T548" s="131"/>
      <c r="U548" s="121"/>
      <c r="V548" s="121"/>
      <c r="W548" s="121"/>
      <c r="X548" s="130"/>
      <c r="Y548" s="121"/>
      <c r="Z548" s="129"/>
      <c r="AA548" s="129"/>
      <c r="AB548" s="129"/>
      <c r="AC548" s="121"/>
      <c r="AD548" s="121"/>
      <c r="AE548" s="121"/>
      <c r="AF548" s="121"/>
      <c r="AG548" s="121"/>
      <c r="AH548" s="121"/>
    </row>
    <row r="549" spans="1:34" ht="12.75">
      <c r="A549" s="121"/>
      <c r="B549" s="121"/>
      <c r="C549" s="129"/>
      <c r="D549" s="121"/>
      <c r="E549" s="129"/>
      <c r="F549" s="129"/>
      <c r="G549" s="129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9"/>
      <c r="S549" s="121"/>
      <c r="T549" s="131"/>
      <c r="U549" s="121"/>
      <c r="V549" s="121"/>
      <c r="W549" s="121"/>
      <c r="X549" s="130"/>
      <c r="Y549" s="121"/>
      <c r="Z549" s="129"/>
      <c r="AA549" s="129"/>
      <c r="AB549" s="129"/>
      <c r="AC549" s="121"/>
      <c r="AD549" s="121"/>
      <c r="AE549" s="121"/>
      <c r="AF549" s="121"/>
      <c r="AG549" s="121"/>
      <c r="AH549" s="121"/>
    </row>
    <row r="550" spans="1:34" ht="12.75">
      <c r="A550" s="121"/>
      <c r="B550" s="121"/>
      <c r="C550" s="129"/>
      <c r="D550" s="121"/>
      <c r="E550" s="129"/>
      <c r="F550" s="129"/>
      <c r="G550" s="129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9"/>
      <c r="S550" s="121"/>
      <c r="T550" s="131"/>
      <c r="U550" s="121"/>
      <c r="V550" s="121"/>
      <c r="W550" s="121"/>
      <c r="X550" s="130"/>
      <c r="Y550" s="121"/>
      <c r="Z550" s="129"/>
      <c r="AA550" s="129"/>
      <c r="AB550" s="129"/>
      <c r="AC550" s="121"/>
      <c r="AD550" s="121"/>
      <c r="AE550" s="121"/>
      <c r="AF550" s="121"/>
      <c r="AG550" s="121"/>
      <c r="AH550" s="121"/>
    </row>
    <row r="551" spans="1:34" ht="12.75">
      <c r="A551" s="121"/>
      <c r="B551" s="121"/>
      <c r="C551" s="129"/>
      <c r="D551" s="121"/>
      <c r="E551" s="129"/>
      <c r="F551" s="129"/>
      <c r="G551" s="129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9"/>
      <c r="S551" s="121"/>
      <c r="T551" s="131"/>
      <c r="U551" s="121"/>
      <c r="V551" s="121"/>
      <c r="W551" s="121"/>
      <c r="X551" s="130"/>
      <c r="Y551" s="121"/>
      <c r="Z551" s="129"/>
      <c r="AA551" s="129"/>
      <c r="AB551" s="129"/>
      <c r="AC551" s="121"/>
      <c r="AD551" s="121"/>
      <c r="AE551" s="121"/>
      <c r="AF551" s="121"/>
      <c r="AG551" s="121"/>
      <c r="AH551" s="121"/>
    </row>
    <row r="552" spans="1:34" ht="12.75">
      <c r="A552" s="121"/>
      <c r="B552" s="121"/>
      <c r="C552" s="129"/>
      <c r="D552" s="121"/>
      <c r="E552" s="129"/>
      <c r="F552" s="129"/>
      <c r="G552" s="129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9"/>
      <c r="S552" s="121"/>
      <c r="T552" s="131"/>
      <c r="U552" s="121"/>
      <c r="V552" s="121"/>
      <c r="W552" s="121"/>
      <c r="X552" s="130"/>
      <c r="Y552" s="121"/>
      <c r="Z552" s="129"/>
      <c r="AA552" s="129"/>
      <c r="AB552" s="129"/>
      <c r="AC552" s="121"/>
      <c r="AD552" s="121"/>
      <c r="AE552" s="121"/>
      <c r="AF552" s="121"/>
      <c r="AG552" s="121"/>
      <c r="AH552" s="121"/>
    </row>
    <row r="553" spans="1:34" ht="12.75">
      <c r="A553" s="121"/>
      <c r="B553" s="121"/>
      <c r="C553" s="129"/>
      <c r="D553" s="121"/>
      <c r="E553" s="129"/>
      <c r="F553" s="129"/>
      <c r="G553" s="129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9"/>
      <c r="S553" s="121"/>
      <c r="T553" s="131"/>
      <c r="U553" s="121"/>
      <c r="V553" s="121"/>
      <c r="W553" s="121"/>
      <c r="X553" s="130"/>
      <c r="Y553" s="121"/>
      <c r="Z553" s="129"/>
      <c r="AA553" s="129"/>
      <c r="AB553" s="129"/>
      <c r="AC553" s="121"/>
      <c r="AD553" s="121"/>
      <c r="AE553" s="121"/>
      <c r="AF553" s="121"/>
      <c r="AG553" s="121"/>
      <c r="AH553" s="121"/>
    </row>
    <row r="554" spans="1:34" ht="12.75">
      <c r="A554" s="121"/>
      <c r="B554" s="121"/>
      <c r="C554" s="129"/>
      <c r="D554" s="121"/>
      <c r="E554" s="129"/>
      <c r="F554" s="129"/>
      <c r="G554" s="129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9"/>
      <c r="S554" s="121"/>
      <c r="T554" s="131"/>
      <c r="U554" s="121"/>
      <c r="V554" s="121"/>
      <c r="W554" s="121"/>
      <c r="X554" s="130"/>
      <c r="Y554" s="121"/>
      <c r="Z554" s="129"/>
      <c r="AA554" s="129"/>
      <c r="AB554" s="129"/>
      <c r="AC554" s="121"/>
      <c r="AD554" s="121"/>
      <c r="AE554" s="121"/>
      <c r="AF554" s="121"/>
      <c r="AG554" s="121"/>
      <c r="AH554" s="121"/>
    </row>
    <row r="555" spans="1:34" ht="12.75">
      <c r="A555" s="121"/>
      <c r="B555" s="121"/>
      <c r="C555" s="129"/>
      <c r="D555" s="121"/>
      <c r="E555" s="129"/>
      <c r="F555" s="129"/>
      <c r="G555" s="129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9"/>
      <c r="S555" s="121"/>
      <c r="T555" s="131"/>
      <c r="U555" s="121"/>
      <c r="V555" s="121"/>
      <c r="W555" s="121"/>
      <c r="X555" s="130"/>
      <c r="Y555" s="121"/>
      <c r="Z555" s="129"/>
      <c r="AA555" s="129"/>
      <c r="AB555" s="129"/>
      <c r="AC555" s="121"/>
      <c r="AD555" s="121"/>
      <c r="AE555" s="121"/>
      <c r="AF555" s="121"/>
      <c r="AG555" s="121"/>
      <c r="AH555" s="121"/>
    </row>
    <row r="556" spans="1:34" ht="12.75">
      <c r="A556" s="121"/>
      <c r="B556" s="121"/>
      <c r="C556" s="129"/>
      <c r="D556" s="121"/>
      <c r="E556" s="129"/>
      <c r="F556" s="129"/>
      <c r="G556" s="129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9"/>
      <c r="S556" s="121"/>
      <c r="T556" s="131"/>
      <c r="U556" s="121"/>
      <c r="V556" s="121"/>
      <c r="W556" s="121"/>
      <c r="X556" s="130"/>
      <c r="Y556" s="121"/>
      <c r="Z556" s="129"/>
      <c r="AA556" s="129"/>
      <c r="AB556" s="129"/>
      <c r="AC556" s="121"/>
      <c r="AD556" s="121"/>
      <c r="AE556" s="121"/>
      <c r="AF556" s="121"/>
      <c r="AG556" s="121"/>
      <c r="AH556" s="121"/>
    </row>
    <row r="557" spans="1:34" ht="12.75">
      <c r="A557" s="121"/>
      <c r="B557" s="121"/>
      <c r="C557" s="129"/>
      <c r="D557" s="121"/>
      <c r="E557" s="129"/>
      <c r="F557" s="129"/>
      <c r="G557" s="129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9"/>
      <c r="S557" s="121"/>
      <c r="T557" s="131"/>
      <c r="U557" s="121"/>
      <c r="V557" s="121"/>
      <c r="W557" s="121"/>
      <c r="X557" s="130"/>
      <c r="Y557" s="121"/>
      <c r="Z557" s="129"/>
      <c r="AA557" s="129"/>
      <c r="AB557" s="129"/>
      <c r="AC557" s="121"/>
      <c r="AD557" s="121"/>
      <c r="AE557" s="121"/>
      <c r="AF557" s="121"/>
      <c r="AG557" s="121"/>
      <c r="AH557" s="121"/>
    </row>
    <row r="558" spans="1:34" ht="12.75">
      <c r="A558" s="121"/>
      <c r="B558" s="121"/>
      <c r="C558" s="129"/>
      <c r="D558" s="121"/>
      <c r="E558" s="129"/>
      <c r="F558" s="129"/>
      <c r="G558" s="129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9"/>
      <c r="S558" s="121"/>
      <c r="T558" s="131"/>
      <c r="U558" s="121"/>
      <c r="V558" s="121"/>
      <c r="W558" s="121"/>
      <c r="X558" s="130"/>
      <c r="Y558" s="121"/>
      <c r="Z558" s="129"/>
      <c r="AA558" s="129"/>
      <c r="AB558" s="129"/>
      <c r="AC558" s="121"/>
      <c r="AD558" s="121"/>
      <c r="AE558" s="121"/>
      <c r="AF558" s="121"/>
      <c r="AG558" s="121"/>
      <c r="AH558" s="121"/>
    </row>
    <row r="559" spans="1:34" ht="12.75">
      <c r="A559" s="121"/>
      <c r="B559" s="121"/>
      <c r="C559" s="129"/>
      <c r="D559" s="121"/>
      <c r="E559" s="129"/>
      <c r="F559" s="129"/>
      <c r="G559" s="129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9"/>
      <c r="S559" s="121"/>
      <c r="T559" s="131"/>
      <c r="U559" s="121"/>
      <c r="V559" s="121"/>
      <c r="W559" s="121"/>
      <c r="X559" s="130"/>
      <c r="Y559" s="121"/>
      <c r="Z559" s="129"/>
      <c r="AA559" s="129"/>
      <c r="AB559" s="129"/>
      <c r="AC559" s="121"/>
      <c r="AD559" s="121"/>
      <c r="AE559" s="121"/>
      <c r="AF559" s="121"/>
      <c r="AG559" s="121"/>
      <c r="AH559" s="121"/>
    </row>
    <row r="560" spans="1:34" ht="12.75">
      <c r="A560" s="121"/>
      <c r="B560" s="121"/>
      <c r="C560" s="129"/>
      <c r="D560" s="121"/>
      <c r="E560" s="129"/>
      <c r="F560" s="129"/>
      <c r="G560" s="129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9"/>
      <c r="S560" s="121"/>
      <c r="T560" s="131"/>
      <c r="U560" s="121"/>
      <c r="V560" s="121"/>
      <c r="W560" s="121"/>
      <c r="X560" s="130"/>
      <c r="Y560" s="121"/>
      <c r="Z560" s="129"/>
      <c r="AA560" s="129"/>
      <c r="AB560" s="129"/>
      <c r="AC560" s="121"/>
      <c r="AD560" s="121"/>
      <c r="AE560" s="121"/>
      <c r="AF560" s="121"/>
      <c r="AG560" s="121"/>
      <c r="AH560" s="121"/>
    </row>
    <row r="561" spans="1:34" ht="12.75">
      <c r="A561" s="121"/>
      <c r="B561" s="121"/>
      <c r="C561" s="129"/>
      <c r="D561" s="121"/>
      <c r="E561" s="129"/>
      <c r="F561" s="129"/>
      <c r="G561" s="129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9"/>
      <c r="S561" s="121"/>
      <c r="T561" s="131"/>
      <c r="U561" s="121"/>
      <c r="V561" s="121"/>
      <c r="W561" s="121"/>
      <c r="X561" s="130"/>
      <c r="Y561" s="121"/>
      <c r="Z561" s="129"/>
      <c r="AA561" s="129"/>
      <c r="AB561" s="129"/>
      <c r="AC561" s="121"/>
      <c r="AD561" s="121"/>
      <c r="AE561" s="121"/>
      <c r="AF561" s="121"/>
      <c r="AG561" s="121"/>
      <c r="AH561" s="121"/>
    </row>
    <row r="562" spans="1:34" ht="12.75">
      <c r="A562" s="121"/>
      <c r="B562" s="121"/>
      <c r="C562" s="129"/>
      <c r="D562" s="121"/>
      <c r="E562" s="129"/>
      <c r="F562" s="129"/>
      <c r="G562" s="129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9"/>
      <c r="S562" s="121"/>
      <c r="T562" s="131"/>
      <c r="U562" s="121"/>
      <c r="V562" s="121"/>
      <c r="W562" s="121"/>
      <c r="X562" s="130"/>
      <c r="Y562" s="121"/>
      <c r="Z562" s="129"/>
      <c r="AA562" s="129"/>
      <c r="AB562" s="129"/>
      <c r="AC562" s="121"/>
      <c r="AD562" s="121"/>
      <c r="AE562" s="121"/>
      <c r="AF562" s="121"/>
      <c r="AG562" s="121"/>
      <c r="AH562" s="121"/>
    </row>
    <row r="563" spans="1:34" ht="12.75">
      <c r="A563" s="121"/>
      <c r="B563" s="121"/>
      <c r="C563" s="129"/>
      <c r="D563" s="121"/>
      <c r="E563" s="129"/>
      <c r="F563" s="129"/>
      <c r="G563" s="129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9"/>
      <c r="S563" s="121"/>
      <c r="T563" s="131"/>
      <c r="U563" s="121"/>
      <c r="V563" s="121"/>
      <c r="W563" s="121"/>
      <c r="X563" s="130"/>
      <c r="Y563" s="121"/>
      <c r="Z563" s="129"/>
      <c r="AA563" s="129"/>
      <c r="AB563" s="129"/>
      <c r="AC563" s="121"/>
      <c r="AD563" s="121"/>
      <c r="AE563" s="121"/>
      <c r="AF563" s="121"/>
      <c r="AG563" s="121"/>
      <c r="AH563" s="121"/>
    </row>
    <row r="564" spans="1:34" ht="12.75">
      <c r="A564" s="121"/>
      <c r="B564" s="121"/>
      <c r="C564" s="129"/>
      <c r="D564" s="121"/>
      <c r="E564" s="129"/>
      <c r="F564" s="129"/>
      <c r="G564" s="129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9"/>
      <c r="S564" s="121"/>
      <c r="T564" s="131"/>
      <c r="U564" s="121"/>
      <c r="V564" s="121"/>
      <c r="W564" s="121"/>
      <c r="X564" s="130"/>
      <c r="Y564" s="121"/>
      <c r="Z564" s="129"/>
      <c r="AA564" s="129"/>
      <c r="AB564" s="129"/>
      <c r="AC564" s="121"/>
      <c r="AD564" s="121"/>
      <c r="AE564" s="121"/>
      <c r="AF564" s="121"/>
      <c r="AG564" s="121"/>
      <c r="AH564" s="121"/>
    </row>
    <row r="565" spans="1:34" ht="12.75">
      <c r="A565" s="121"/>
      <c r="B565" s="121"/>
      <c r="C565" s="129"/>
      <c r="D565" s="121"/>
      <c r="E565" s="129"/>
      <c r="F565" s="129"/>
      <c r="G565" s="129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9"/>
      <c r="S565" s="121"/>
      <c r="T565" s="131"/>
      <c r="U565" s="121"/>
      <c r="V565" s="121"/>
      <c r="W565" s="121"/>
      <c r="X565" s="130"/>
      <c r="Y565" s="121"/>
      <c r="Z565" s="129"/>
      <c r="AA565" s="129"/>
      <c r="AB565" s="129"/>
      <c r="AC565" s="121"/>
      <c r="AD565" s="121"/>
      <c r="AE565" s="121"/>
      <c r="AF565" s="121"/>
      <c r="AG565" s="121"/>
      <c r="AH565" s="121"/>
    </row>
    <row r="566" spans="1:34" ht="12.75">
      <c r="A566" s="121"/>
      <c r="B566" s="121"/>
      <c r="C566" s="129"/>
      <c r="D566" s="121"/>
      <c r="E566" s="129"/>
      <c r="F566" s="129"/>
      <c r="G566" s="129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9"/>
      <c r="S566" s="121"/>
      <c r="T566" s="131"/>
      <c r="U566" s="121"/>
      <c r="V566" s="121"/>
      <c r="W566" s="121"/>
      <c r="X566" s="130"/>
      <c r="Y566" s="121"/>
      <c r="Z566" s="129"/>
      <c r="AA566" s="129"/>
      <c r="AB566" s="129"/>
      <c r="AC566" s="121"/>
      <c r="AD566" s="121"/>
      <c r="AE566" s="121"/>
      <c r="AF566" s="121"/>
      <c r="AG566" s="121"/>
      <c r="AH566" s="121"/>
    </row>
    <row r="567" spans="1:34" ht="12.75">
      <c r="A567" s="121"/>
      <c r="B567" s="121"/>
      <c r="C567" s="129"/>
      <c r="D567" s="121"/>
      <c r="E567" s="129"/>
      <c r="F567" s="129"/>
      <c r="G567" s="129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9"/>
      <c r="S567" s="121"/>
      <c r="T567" s="131"/>
      <c r="U567" s="121"/>
      <c r="V567" s="121"/>
      <c r="W567" s="121"/>
      <c r="X567" s="130"/>
      <c r="Y567" s="121"/>
      <c r="Z567" s="129"/>
      <c r="AA567" s="129"/>
      <c r="AB567" s="129"/>
      <c r="AC567" s="121"/>
      <c r="AD567" s="121"/>
      <c r="AE567" s="121"/>
      <c r="AF567" s="121"/>
      <c r="AG567" s="121"/>
      <c r="AH567" s="121"/>
    </row>
    <row r="568" spans="1:34" ht="12.75">
      <c r="A568" s="121"/>
      <c r="B568" s="121"/>
      <c r="C568" s="129"/>
      <c r="D568" s="121"/>
      <c r="E568" s="129"/>
      <c r="F568" s="129"/>
      <c r="G568" s="129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9"/>
      <c r="S568" s="121"/>
      <c r="T568" s="131"/>
      <c r="U568" s="121"/>
      <c r="V568" s="121"/>
      <c r="W568" s="121"/>
      <c r="X568" s="130"/>
      <c r="Y568" s="121"/>
      <c r="Z568" s="129"/>
      <c r="AA568" s="129"/>
      <c r="AB568" s="129"/>
      <c r="AC568" s="121"/>
      <c r="AD568" s="121"/>
      <c r="AE568" s="121"/>
      <c r="AF568" s="121"/>
      <c r="AG568" s="121"/>
      <c r="AH568" s="121"/>
    </row>
    <row r="569" spans="1:34" ht="12.75">
      <c r="A569" s="121"/>
      <c r="B569" s="121"/>
      <c r="C569" s="129"/>
      <c r="D569" s="121"/>
      <c r="E569" s="129"/>
      <c r="F569" s="129"/>
      <c r="G569" s="129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9"/>
      <c r="S569" s="121"/>
      <c r="T569" s="131"/>
      <c r="U569" s="121"/>
      <c r="V569" s="121"/>
      <c r="W569" s="121"/>
      <c r="X569" s="130"/>
      <c r="Y569" s="121"/>
      <c r="Z569" s="129"/>
      <c r="AA569" s="129"/>
      <c r="AB569" s="129"/>
      <c r="AC569" s="121"/>
      <c r="AD569" s="121"/>
      <c r="AE569" s="121"/>
      <c r="AF569" s="121"/>
      <c r="AG569" s="121"/>
      <c r="AH569" s="121"/>
    </row>
    <row r="570" spans="1:34" ht="12.75">
      <c r="A570" s="121"/>
      <c r="B570" s="121"/>
      <c r="C570" s="129"/>
      <c r="D570" s="121"/>
      <c r="E570" s="129"/>
      <c r="F570" s="129"/>
      <c r="G570" s="129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9"/>
      <c r="S570" s="121"/>
      <c r="T570" s="131"/>
      <c r="U570" s="121"/>
      <c r="V570" s="121"/>
      <c r="W570" s="121"/>
      <c r="X570" s="130"/>
      <c r="Y570" s="121"/>
      <c r="Z570" s="129"/>
      <c r="AA570" s="129"/>
      <c r="AB570" s="129"/>
      <c r="AC570" s="121"/>
      <c r="AD570" s="121"/>
      <c r="AE570" s="121"/>
      <c r="AF570" s="121"/>
      <c r="AG570" s="121"/>
      <c r="AH570" s="121"/>
    </row>
    <row r="571" spans="1:34" ht="12.75">
      <c r="A571" s="121"/>
      <c r="B571" s="121"/>
      <c r="C571" s="129"/>
      <c r="D571" s="121"/>
      <c r="E571" s="129"/>
      <c r="F571" s="129"/>
      <c r="G571" s="129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9"/>
      <c r="S571" s="121"/>
      <c r="T571" s="131"/>
      <c r="U571" s="121"/>
      <c r="V571" s="121"/>
      <c r="W571" s="121"/>
      <c r="X571" s="130"/>
      <c r="Y571" s="121"/>
      <c r="Z571" s="129"/>
      <c r="AA571" s="129"/>
      <c r="AB571" s="129"/>
      <c r="AC571" s="121"/>
      <c r="AD571" s="121"/>
      <c r="AE571" s="121"/>
      <c r="AF571" s="121"/>
      <c r="AG571" s="121"/>
      <c r="AH571" s="121"/>
    </row>
    <row r="572" spans="1:34" ht="12.75">
      <c r="A572" s="121"/>
      <c r="B572" s="121"/>
      <c r="C572" s="129"/>
      <c r="D572" s="121"/>
      <c r="E572" s="129"/>
      <c r="F572" s="129"/>
      <c r="G572" s="129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9"/>
      <c r="S572" s="121"/>
      <c r="T572" s="131"/>
      <c r="U572" s="121"/>
      <c r="V572" s="121"/>
      <c r="W572" s="121"/>
      <c r="X572" s="130"/>
      <c r="Y572" s="121"/>
      <c r="Z572" s="129"/>
      <c r="AA572" s="129"/>
      <c r="AB572" s="129"/>
      <c r="AC572" s="121"/>
      <c r="AD572" s="121"/>
      <c r="AE572" s="121"/>
      <c r="AF572" s="121"/>
      <c r="AG572" s="121"/>
      <c r="AH572" s="121"/>
    </row>
    <row r="573" spans="1:34" ht="12.75">
      <c r="A573" s="121"/>
      <c r="B573" s="121"/>
      <c r="C573" s="129"/>
      <c r="D573" s="121"/>
      <c r="E573" s="129"/>
      <c r="F573" s="129"/>
      <c r="G573" s="129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9"/>
      <c r="S573" s="121"/>
      <c r="T573" s="131"/>
      <c r="U573" s="121"/>
      <c r="V573" s="121"/>
      <c r="W573" s="121"/>
      <c r="X573" s="130"/>
      <c r="Y573" s="121"/>
      <c r="Z573" s="129"/>
      <c r="AA573" s="129"/>
      <c r="AB573" s="129"/>
      <c r="AC573" s="121"/>
      <c r="AD573" s="121"/>
      <c r="AE573" s="121"/>
      <c r="AF573" s="121"/>
      <c r="AG573" s="121"/>
      <c r="AH573" s="121"/>
    </row>
    <row r="574" spans="1:34" ht="12.75">
      <c r="A574" s="121"/>
      <c r="B574" s="121"/>
      <c r="C574" s="129"/>
      <c r="D574" s="121"/>
      <c r="E574" s="129"/>
      <c r="F574" s="129"/>
      <c r="G574" s="129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9"/>
      <c r="S574" s="121"/>
      <c r="T574" s="131"/>
      <c r="U574" s="121"/>
      <c r="V574" s="121"/>
      <c r="W574" s="121"/>
      <c r="X574" s="130"/>
      <c r="Y574" s="121"/>
      <c r="Z574" s="129"/>
      <c r="AA574" s="129"/>
      <c r="AB574" s="129"/>
      <c r="AC574" s="121"/>
      <c r="AD574" s="121"/>
      <c r="AE574" s="121"/>
      <c r="AF574" s="121"/>
      <c r="AG574" s="121"/>
      <c r="AH574" s="121"/>
    </row>
    <row r="575" spans="1:34" ht="12.75">
      <c r="A575" s="121"/>
      <c r="B575" s="121"/>
      <c r="C575" s="129"/>
      <c r="D575" s="121"/>
      <c r="E575" s="129"/>
      <c r="F575" s="129"/>
      <c r="G575" s="129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9"/>
      <c r="S575" s="121"/>
      <c r="T575" s="131"/>
      <c r="U575" s="121"/>
      <c r="V575" s="121"/>
      <c r="W575" s="121"/>
      <c r="X575" s="130"/>
      <c r="Y575" s="121"/>
      <c r="Z575" s="129"/>
      <c r="AA575" s="129"/>
      <c r="AB575" s="129"/>
      <c r="AC575" s="121"/>
      <c r="AD575" s="121"/>
      <c r="AE575" s="121"/>
      <c r="AF575" s="121"/>
      <c r="AG575" s="121"/>
      <c r="AH575" s="121"/>
    </row>
    <row r="576" spans="1:34" ht="12.75">
      <c r="A576" s="121"/>
      <c r="B576" s="121"/>
      <c r="C576" s="129"/>
      <c r="D576" s="121"/>
      <c r="E576" s="129"/>
      <c r="F576" s="129"/>
      <c r="G576" s="129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9"/>
      <c r="S576" s="121"/>
      <c r="T576" s="131"/>
      <c r="U576" s="121"/>
      <c r="V576" s="121"/>
      <c r="W576" s="121"/>
      <c r="X576" s="130"/>
      <c r="Y576" s="121"/>
      <c r="Z576" s="129"/>
      <c r="AA576" s="129"/>
      <c r="AB576" s="129"/>
      <c r="AC576" s="121"/>
      <c r="AD576" s="121"/>
      <c r="AE576" s="121"/>
      <c r="AF576" s="121"/>
      <c r="AG576" s="121"/>
      <c r="AH576" s="121"/>
    </row>
    <row r="577" spans="1:34" ht="12.75">
      <c r="A577" s="121"/>
      <c r="B577" s="121"/>
      <c r="C577" s="129"/>
      <c r="D577" s="121"/>
      <c r="E577" s="129"/>
      <c r="F577" s="129"/>
      <c r="G577" s="129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9"/>
      <c r="S577" s="121"/>
      <c r="T577" s="131"/>
      <c r="U577" s="121"/>
      <c r="V577" s="121"/>
      <c r="W577" s="121"/>
      <c r="X577" s="130"/>
      <c r="Y577" s="121"/>
      <c r="Z577" s="129"/>
      <c r="AA577" s="129"/>
      <c r="AB577" s="129"/>
      <c r="AC577" s="121"/>
      <c r="AD577" s="121"/>
      <c r="AE577" s="121"/>
      <c r="AF577" s="121"/>
      <c r="AG577" s="121"/>
      <c r="AH577" s="121"/>
    </row>
    <row r="578" spans="1:34" ht="12.75">
      <c r="A578" s="121"/>
      <c r="B578" s="121"/>
      <c r="C578" s="129"/>
      <c r="D578" s="121"/>
      <c r="E578" s="129"/>
      <c r="F578" s="129"/>
      <c r="G578" s="129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9"/>
      <c r="S578" s="121"/>
      <c r="T578" s="131"/>
      <c r="U578" s="121"/>
      <c r="V578" s="121"/>
      <c r="W578" s="121"/>
      <c r="X578" s="130"/>
      <c r="Y578" s="121"/>
      <c r="Z578" s="129"/>
      <c r="AA578" s="129"/>
      <c r="AB578" s="129"/>
      <c r="AC578" s="121"/>
      <c r="AD578" s="121"/>
      <c r="AE578" s="121"/>
      <c r="AF578" s="121"/>
      <c r="AG578" s="121"/>
      <c r="AH578" s="121"/>
    </row>
    <row r="579" spans="1:34" ht="12.75">
      <c r="A579" s="121"/>
      <c r="B579" s="121"/>
      <c r="C579" s="129"/>
      <c r="D579" s="121"/>
      <c r="E579" s="129"/>
      <c r="F579" s="129"/>
      <c r="G579" s="129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9"/>
      <c r="S579" s="121"/>
      <c r="T579" s="131"/>
      <c r="U579" s="121"/>
      <c r="V579" s="121"/>
      <c r="W579" s="121"/>
      <c r="X579" s="130"/>
      <c r="Y579" s="121"/>
      <c r="Z579" s="129"/>
      <c r="AA579" s="129"/>
      <c r="AB579" s="129"/>
      <c r="AC579" s="121"/>
      <c r="AD579" s="121"/>
      <c r="AE579" s="121"/>
      <c r="AF579" s="121"/>
      <c r="AG579" s="121"/>
      <c r="AH579" s="121"/>
    </row>
    <row r="580" spans="1:34" ht="12.75">
      <c r="A580" s="121"/>
      <c r="B580" s="121"/>
      <c r="C580" s="129"/>
      <c r="D580" s="121"/>
      <c r="E580" s="129"/>
      <c r="F580" s="129"/>
      <c r="G580" s="129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9"/>
      <c r="S580" s="121"/>
      <c r="T580" s="131"/>
      <c r="U580" s="121"/>
      <c r="V580" s="121"/>
      <c r="W580" s="121"/>
      <c r="X580" s="130"/>
      <c r="Y580" s="121"/>
      <c r="Z580" s="129"/>
      <c r="AA580" s="129"/>
      <c r="AB580" s="129"/>
      <c r="AC580" s="121"/>
      <c r="AD580" s="121"/>
      <c r="AE580" s="121"/>
      <c r="AF580" s="121"/>
      <c r="AG580" s="121"/>
      <c r="AH580" s="121"/>
    </row>
    <row r="581" spans="1:34" ht="12.75">
      <c r="A581" s="121"/>
      <c r="B581" s="121"/>
      <c r="C581" s="129"/>
      <c r="D581" s="121"/>
      <c r="E581" s="129"/>
      <c r="F581" s="129"/>
      <c r="G581" s="129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9"/>
      <c r="S581" s="121"/>
      <c r="T581" s="131"/>
      <c r="U581" s="121"/>
      <c r="V581" s="121"/>
      <c r="W581" s="121"/>
      <c r="X581" s="130"/>
      <c r="Y581" s="121"/>
      <c r="Z581" s="129"/>
      <c r="AA581" s="129"/>
      <c r="AB581" s="129"/>
      <c r="AC581" s="121"/>
      <c r="AD581" s="121"/>
      <c r="AE581" s="121"/>
      <c r="AF581" s="121"/>
      <c r="AG581" s="121"/>
      <c r="AH581" s="121"/>
    </row>
    <row r="582" spans="1:34" ht="12.75">
      <c r="A582" s="121"/>
      <c r="B582" s="121"/>
      <c r="C582" s="129"/>
      <c r="D582" s="121"/>
      <c r="E582" s="129"/>
      <c r="F582" s="129"/>
      <c r="G582" s="129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9"/>
      <c r="S582" s="121"/>
      <c r="T582" s="131"/>
      <c r="U582" s="121"/>
      <c r="V582" s="121"/>
      <c r="W582" s="121"/>
      <c r="X582" s="130"/>
      <c r="Y582" s="121"/>
      <c r="Z582" s="129"/>
      <c r="AA582" s="129"/>
      <c r="AB582" s="129"/>
      <c r="AC582" s="121"/>
      <c r="AD582" s="121"/>
      <c r="AE582" s="121"/>
      <c r="AF582" s="121"/>
      <c r="AG582" s="121"/>
      <c r="AH582" s="121"/>
    </row>
    <row r="583" spans="1:34" ht="12.75">
      <c r="A583" s="121"/>
      <c r="B583" s="121"/>
      <c r="C583" s="129"/>
      <c r="D583" s="121"/>
      <c r="E583" s="129"/>
      <c r="F583" s="129"/>
      <c r="G583" s="129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9"/>
      <c r="S583" s="121"/>
      <c r="T583" s="131"/>
      <c r="U583" s="121"/>
      <c r="V583" s="121"/>
      <c r="W583" s="121"/>
      <c r="X583" s="130"/>
      <c r="Y583" s="121"/>
      <c r="Z583" s="129"/>
      <c r="AA583" s="129"/>
      <c r="AB583" s="129"/>
      <c r="AC583" s="121"/>
      <c r="AD583" s="121"/>
      <c r="AE583" s="121"/>
      <c r="AF583" s="121"/>
      <c r="AG583" s="121"/>
      <c r="AH583" s="121"/>
    </row>
    <row r="584" spans="1:34" ht="12.75">
      <c r="A584" s="121"/>
      <c r="B584" s="121"/>
      <c r="C584" s="129"/>
      <c r="D584" s="121"/>
      <c r="E584" s="129"/>
      <c r="F584" s="129"/>
      <c r="G584" s="129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9"/>
      <c r="S584" s="121"/>
      <c r="T584" s="131"/>
      <c r="U584" s="121"/>
      <c r="V584" s="121"/>
      <c r="W584" s="121"/>
      <c r="X584" s="130"/>
      <c r="Y584" s="121"/>
      <c r="Z584" s="129"/>
      <c r="AA584" s="129"/>
      <c r="AB584" s="129"/>
      <c r="AC584" s="121"/>
      <c r="AD584" s="121"/>
      <c r="AE584" s="121"/>
      <c r="AF584" s="121"/>
      <c r="AG584" s="121"/>
      <c r="AH584" s="121"/>
    </row>
    <row r="585" spans="1:34" ht="12.75">
      <c r="A585" s="121"/>
      <c r="B585" s="121"/>
      <c r="C585" s="129"/>
      <c r="D585" s="121"/>
      <c r="E585" s="129"/>
      <c r="F585" s="129"/>
      <c r="G585" s="129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9"/>
      <c r="S585" s="121"/>
      <c r="T585" s="131"/>
      <c r="U585" s="121"/>
      <c r="V585" s="121"/>
      <c r="W585" s="121"/>
      <c r="X585" s="130"/>
      <c r="Y585" s="121"/>
      <c r="Z585" s="129"/>
      <c r="AA585" s="129"/>
      <c r="AB585" s="129"/>
      <c r="AC585" s="121"/>
      <c r="AD585" s="121"/>
      <c r="AE585" s="121"/>
      <c r="AF585" s="121"/>
      <c r="AG585" s="121"/>
      <c r="AH585" s="121"/>
    </row>
    <row r="586" spans="1:34" ht="12.75">
      <c r="A586" s="121"/>
      <c r="B586" s="121"/>
      <c r="C586" s="129"/>
      <c r="D586" s="121"/>
      <c r="E586" s="129"/>
      <c r="F586" s="129"/>
      <c r="G586" s="129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9"/>
      <c r="S586" s="121"/>
      <c r="T586" s="131"/>
      <c r="U586" s="121"/>
      <c r="V586" s="121"/>
      <c r="W586" s="121"/>
      <c r="X586" s="130"/>
      <c r="Y586" s="121"/>
      <c r="Z586" s="129"/>
      <c r="AA586" s="129"/>
      <c r="AB586" s="129"/>
      <c r="AC586" s="121"/>
      <c r="AD586" s="121"/>
      <c r="AE586" s="121"/>
      <c r="AF586" s="121"/>
      <c r="AG586" s="121"/>
      <c r="AH586" s="121"/>
    </row>
    <row r="587" spans="1:34" ht="12.75">
      <c r="A587" s="121"/>
      <c r="B587" s="121"/>
      <c r="C587" s="129"/>
      <c r="D587" s="121"/>
      <c r="E587" s="129"/>
      <c r="F587" s="129"/>
      <c r="G587" s="129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9"/>
      <c r="S587" s="121"/>
      <c r="T587" s="131"/>
      <c r="U587" s="121"/>
      <c r="V587" s="121"/>
      <c r="W587" s="121"/>
      <c r="X587" s="130"/>
      <c r="Y587" s="121"/>
      <c r="Z587" s="129"/>
      <c r="AA587" s="129"/>
      <c r="AB587" s="129"/>
      <c r="AC587" s="121"/>
      <c r="AD587" s="121"/>
      <c r="AE587" s="121"/>
      <c r="AF587" s="121"/>
      <c r="AG587" s="121"/>
      <c r="AH587" s="121"/>
    </row>
    <row r="588" spans="1:34" ht="12.75">
      <c r="A588" s="121"/>
      <c r="B588" s="121"/>
      <c r="C588" s="129"/>
      <c r="D588" s="121"/>
      <c r="E588" s="129"/>
      <c r="F588" s="129"/>
      <c r="G588" s="129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9"/>
      <c r="S588" s="121"/>
      <c r="T588" s="131"/>
      <c r="U588" s="121"/>
      <c r="V588" s="121"/>
      <c r="W588" s="121"/>
      <c r="X588" s="130"/>
      <c r="Y588" s="121"/>
      <c r="Z588" s="129"/>
      <c r="AA588" s="129"/>
      <c r="AB588" s="129"/>
      <c r="AC588" s="121"/>
      <c r="AD588" s="121"/>
      <c r="AE588" s="121"/>
      <c r="AF588" s="121"/>
      <c r="AG588" s="121"/>
      <c r="AH588" s="121"/>
    </row>
    <row r="589" spans="1:34" ht="12.75">
      <c r="A589" s="121"/>
      <c r="B589" s="121"/>
      <c r="C589" s="129"/>
      <c r="D589" s="121"/>
      <c r="E589" s="129"/>
      <c r="F589" s="129"/>
      <c r="G589" s="129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9"/>
      <c r="S589" s="121"/>
      <c r="T589" s="131"/>
      <c r="U589" s="121"/>
      <c r="V589" s="121"/>
      <c r="W589" s="121"/>
      <c r="X589" s="130"/>
      <c r="Y589" s="121"/>
      <c r="Z589" s="129"/>
      <c r="AA589" s="129"/>
      <c r="AB589" s="129"/>
      <c r="AC589" s="121"/>
      <c r="AD589" s="121"/>
      <c r="AE589" s="121"/>
      <c r="AF589" s="121"/>
      <c r="AG589" s="121"/>
      <c r="AH589" s="121"/>
    </row>
    <row r="590" spans="1:34" ht="12.75">
      <c r="A590" s="121"/>
      <c r="B590" s="121"/>
      <c r="C590" s="129"/>
      <c r="D590" s="121"/>
      <c r="E590" s="129"/>
      <c r="F590" s="129"/>
      <c r="G590" s="129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9"/>
      <c r="S590" s="121"/>
      <c r="T590" s="131"/>
      <c r="U590" s="121"/>
      <c r="V590" s="121"/>
      <c r="W590" s="121"/>
      <c r="X590" s="130"/>
      <c r="Y590" s="121"/>
      <c r="Z590" s="129"/>
      <c r="AA590" s="129"/>
      <c r="AB590" s="129"/>
      <c r="AC590" s="121"/>
      <c r="AD590" s="121"/>
      <c r="AE590" s="121"/>
      <c r="AF590" s="121"/>
      <c r="AG590" s="121"/>
      <c r="AH590" s="121"/>
    </row>
    <row r="591" spans="1:34" ht="12.75">
      <c r="A591" s="121"/>
      <c r="B591" s="121"/>
      <c r="C591" s="129"/>
      <c r="D591" s="121"/>
      <c r="E591" s="129"/>
      <c r="F591" s="129"/>
      <c r="G591" s="129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9"/>
      <c r="S591" s="121"/>
      <c r="T591" s="131"/>
      <c r="U591" s="121"/>
      <c r="V591" s="121"/>
      <c r="W591" s="121"/>
      <c r="X591" s="130"/>
      <c r="Y591" s="121"/>
      <c r="Z591" s="129"/>
      <c r="AA591" s="129"/>
      <c r="AB591" s="129"/>
      <c r="AC591" s="121"/>
      <c r="AD591" s="121"/>
      <c r="AE591" s="121"/>
      <c r="AF591" s="121"/>
      <c r="AG591" s="121"/>
      <c r="AH591" s="121"/>
    </row>
    <row r="592" spans="1:34" ht="12.75">
      <c r="A592" s="121"/>
      <c r="B592" s="121"/>
      <c r="C592" s="129"/>
      <c r="D592" s="121"/>
      <c r="E592" s="129"/>
      <c r="F592" s="129"/>
      <c r="G592" s="129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9"/>
      <c r="S592" s="121"/>
      <c r="T592" s="131"/>
      <c r="U592" s="121"/>
      <c r="V592" s="121"/>
      <c r="W592" s="121"/>
      <c r="X592" s="130"/>
      <c r="Y592" s="121"/>
      <c r="Z592" s="129"/>
      <c r="AA592" s="129"/>
      <c r="AB592" s="129"/>
      <c r="AC592" s="121"/>
      <c r="AD592" s="121"/>
      <c r="AE592" s="121"/>
      <c r="AF592" s="121"/>
      <c r="AG592" s="121"/>
      <c r="AH592" s="121"/>
    </row>
    <row r="593" spans="1:34" ht="12.75">
      <c r="A593" s="121"/>
      <c r="B593" s="121"/>
      <c r="C593" s="129"/>
      <c r="D593" s="121"/>
      <c r="E593" s="129"/>
      <c r="F593" s="129"/>
      <c r="G593" s="129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9"/>
      <c r="S593" s="121"/>
      <c r="T593" s="131"/>
      <c r="U593" s="121"/>
      <c r="V593" s="121"/>
      <c r="W593" s="121"/>
      <c r="X593" s="130"/>
      <c r="Y593" s="121"/>
      <c r="Z593" s="129"/>
      <c r="AA593" s="129"/>
      <c r="AB593" s="129"/>
      <c r="AC593" s="121"/>
      <c r="AD593" s="121"/>
      <c r="AE593" s="121"/>
      <c r="AF593" s="121"/>
      <c r="AG593" s="121"/>
      <c r="AH593" s="121"/>
    </row>
    <row r="594" spans="1:34" ht="12.75">
      <c r="A594" s="121"/>
      <c r="B594" s="121"/>
      <c r="C594" s="129"/>
      <c r="D594" s="121"/>
      <c r="E594" s="129"/>
      <c r="F594" s="129"/>
      <c r="G594" s="129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9"/>
      <c r="S594" s="121"/>
      <c r="T594" s="131"/>
      <c r="U594" s="121"/>
      <c r="V594" s="121"/>
      <c r="W594" s="121"/>
      <c r="X594" s="130"/>
      <c r="Y594" s="121"/>
      <c r="Z594" s="129"/>
      <c r="AA594" s="129"/>
      <c r="AB594" s="129"/>
      <c r="AC594" s="121"/>
      <c r="AD594" s="121"/>
      <c r="AE594" s="121"/>
      <c r="AF594" s="121"/>
      <c r="AG594" s="121"/>
      <c r="AH594" s="121"/>
    </row>
    <row r="595" spans="1:34" ht="12.75">
      <c r="A595" s="121"/>
      <c r="B595" s="121"/>
      <c r="C595" s="129"/>
      <c r="D595" s="121"/>
      <c r="E595" s="129"/>
      <c r="F595" s="129"/>
      <c r="G595" s="129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9"/>
      <c r="S595" s="121"/>
      <c r="T595" s="131"/>
      <c r="U595" s="121"/>
      <c r="V595" s="121"/>
      <c r="W595" s="121"/>
      <c r="X595" s="130"/>
      <c r="Y595" s="121"/>
      <c r="Z595" s="129"/>
      <c r="AA595" s="129"/>
      <c r="AB595" s="129"/>
      <c r="AC595" s="121"/>
      <c r="AD595" s="121"/>
      <c r="AE595" s="121"/>
      <c r="AF595" s="121"/>
      <c r="AG595" s="121"/>
      <c r="AH595" s="121"/>
    </row>
    <row r="596" spans="1:34" ht="12.75">
      <c r="A596" s="121"/>
      <c r="B596" s="121"/>
      <c r="C596" s="129"/>
      <c r="D596" s="121"/>
      <c r="E596" s="129"/>
      <c r="F596" s="129"/>
      <c r="G596" s="129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9"/>
      <c r="S596" s="121"/>
      <c r="T596" s="131"/>
      <c r="U596" s="121"/>
      <c r="V596" s="121"/>
      <c r="W596" s="121"/>
      <c r="X596" s="130"/>
      <c r="Y596" s="121"/>
      <c r="Z596" s="129"/>
      <c r="AA596" s="129"/>
      <c r="AB596" s="129"/>
      <c r="AC596" s="121"/>
      <c r="AD596" s="121"/>
      <c r="AE596" s="121"/>
      <c r="AF596" s="121"/>
      <c r="AG596" s="121"/>
      <c r="AH596" s="121"/>
    </row>
    <row r="597" spans="1:34" ht="12.75">
      <c r="A597" s="121"/>
      <c r="B597" s="121"/>
      <c r="C597" s="129"/>
      <c r="D597" s="121"/>
      <c r="E597" s="129"/>
      <c r="F597" s="129"/>
      <c r="G597" s="129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9"/>
      <c r="S597" s="121"/>
      <c r="T597" s="131"/>
      <c r="U597" s="121"/>
      <c r="V597" s="121"/>
      <c r="W597" s="121"/>
      <c r="X597" s="130"/>
      <c r="Y597" s="121"/>
      <c r="Z597" s="129"/>
      <c r="AA597" s="129"/>
      <c r="AB597" s="129"/>
      <c r="AC597" s="121"/>
      <c r="AD597" s="121"/>
      <c r="AE597" s="121"/>
      <c r="AF597" s="121"/>
      <c r="AG597" s="121"/>
      <c r="AH597" s="121"/>
    </row>
    <row r="598" spans="1:34" ht="12.75">
      <c r="A598" s="121"/>
      <c r="B598" s="121"/>
      <c r="C598" s="129"/>
      <c r="D598" s="121"/>
      <c r="E598" s="129"/>
      <c r="F598" s="129"/>
      <c r="G598" s="129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9"/>
      <c r="S598" s="121"/>
      <c r="T598" s="131"/>
      <c r="U598" s="121"/>
      <c r="V598" s="121"/>
      <c r="W598" s="121"/>
      <c r="X598" s="130"/>
      <c r="Y598" s="121"/>
      <c r="Z598" s="129"/>
      <c r="AA598" s="129"/>
      <c r="AB598" s="129"/>
      <c r="AC598" s="121"/>
      <c r="AD598" s="121"/>
      <c r="AE598" s="121"/>
      <c r="AF598" s="121"/>
      <c r="AG598" s="121"/>
      <c r="AH598" s="121"/>
    </row>
    <row r="599" spans="1:34" ht="12.75">
      <c r="A599" s="121"/>
      <c r="B599" s="121"/>
      <c r="C599" s="129"/>
      <c r="D599" s="121"/>
      <c r="E599" s="129"/>
      <c r="F599" s="129"/>
      <c r="G599" s="129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9"/>
      <c r="S599" s="121"/>
      <c r="T599" s="131"/>
      <c r="U599" s="121"/>
      <c r="V599" s="121"/>
      <c r="W599" s="121"/>
      <c r="X599" s="130"/>
      <c r="Y599" s="121"/>
      <c r="Z599" s="129"/>
      <c r="AA599" s="129"/>
      <c r="AB599" s="129"/>
      <c r="AC599" s="121"/>
      <c r="AD599" s="121"/>
      <c r="AE599" s="121"/>
      <c r="AF599" s="121"/>
      <c r="AG599" s="121"/>
      <c r="AH599" s="121"/>
    </row>
    <row r="600" spans="1:34" ht="12.75">
      <c r="A600" s="121"/>
      <c r="B600" s="121"/>
      <c r="C600" s="129"/>
      <c r="D600" s="121"/>
      <c r="E600" s="129"/>
      <c r="F600" s="129"/>
      <c r="G600" s="129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9"/>
      <c r="S600" s="121"/>
      <c r="T600" s="131"/>
      <c r="U600" s="121"/>
      <c r="V600" s="121"/>
      <c r="W600" s="121"/>
      <c r="X600" s="130"/>
      <c r="Y600" s="121"/>
      <c r="Z600" s="129"/>
      <c r="AA600" s="129"/>
      <c r="AB600" s="129"/>
      <c r="AC600" s="121"/>
      <c r="AD600" s="121"/>
      <c r="AE600" s="121"/>
      <c r="AF600" s="121"/>
      <c r="AG600" s="121"/>
      <c r="AH600" s="121"/>
    </row>
    <row r="601" spans="1:34" ht="12.75">
      <c r="A601" s="121"/>
      <c r="B601" s="121"/>
      <c r="C601" s="129"/>
      <c r="D601" s="121"/>
      <c r="E601" s="129"/>
      <c r="F601" s="129"/>
      <c r="G601" s="129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9"/>
      <c r="S601" s="121"/>
      <c r="T601" s="131"/>
      <c r="U601" s="121"/>
      <c r="V601" s="121"/>
      <c r="W601" s="121"/>
      <c r="X601" s="130"/>
      <c r="Y601" s="121"/>
      <c r="Z601" s="129"/>
      <c r="AA601" s="129"/>
      <c r="AB601" s="129"/>
      <c r="AC601" s="121"/>
      <c r="AD601" s="121"/>
      <c r="AE601" s="121"/>
      <c r="AF601" s="121"/>
      <c r="AG601" s="121"/>
      <c r="AH601" s="121"/>
    </row>
    <row r="602" spans="1:34" ht="12.75">
      <c r="A602" s="121"/>
      <c r="B602" s="121"/>
      <c r="C602" s="129"/>
      <c r="D602" s="121"/>
      <c r="E602" s="129"/>
      <c r="F602" s="129"/>
      <c r="G602" s="129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9"/>
      <c r="S602" s="121"/>
      <c r="T602" s="131"/>
      <c r="U602" s="121"/>
      <c r="V602" s="121"/>
      <c r="W602" s="121"/>
      <c r="X602" s="130"/>
      <c r="Y602" s="121"/>
      <c r="Z602" s="129"/>
      <c r="AA602" s="129"/>
      <c r="AB602" s="129"/>
      <c r="AC602" s="121"/>
      <c r="AD602" s="121"/>
      <c r="AE602" s="121"/>
      <c r="AF602" s="121"/>
      <c r="AG602" s="121"/>
      <c r="AH602" s="121"/>
    </row>
    <row r="603" spans="1:34" ht="12.75">
      <c r="A603" s="121"/>
      <c r="B603" s="121"/>
      <c r="C603" s="129"/>
      <c r="D603" s="121"/>
      <c r="E603" s="129"/>
      <c r="F603" s="129"/>
      <c r="G603" s="129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9"/>
      <c r="S603" s="121"/>
      <c r="T603" s="131"/>
      <c r="U603" s="121"/>
      <c r="V603" s="121"/>
      <c r="W603" s="121"/>
      <c r="X603" s="130"/>
      <c r="Y603" s="121"/>
      <c r="Z603" s="129"/>
      <c r="AA603" s="129"/>
      <c r="AB603" s="129"/>
      <c r="AC603" s="121"/>
      <c r="AD603" s="121"/>
      <c r="AE603" s="121"/>
      <c r="AF603" s="121"/>
      <c r="AG603" s="121"/>
      <c r="AH603" s="121"/>
    </row>
    <row r="604" spans="1:34" ht="12.75">
      <c r="A604" s="121"/>
      <c r="B604" s="121"/>
      <c r="C604" s="129"/>
      <c r="D604" s="121"/>
      <c r="E604" s="129"/>
      <c r="F604" s="129"/>
      <c r="G604" s="129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9"/>
      <c r="S604" s="121"/>
      <c r="T604" s="131"/>
      <c r="U604" s="121"/>
      <c r="V604" s="121"/>
      <c r="W604" s="121"/>
      <c r="X604" s="130"/>
      <c r="Y604" s="121"/>
      <c r="Z604" s="129"/>
      <c r="AA604" s="129"/>
      <c r="AB604" s="129"/>
      <c r="AC604" s="121"/>
      <c r="AD604" s="121"/>
      <c r="AE604" s="121"/>
      <c r="AF604" s="121"/>
      <c r="AG604" s="121"/>
      <c r="AH604" s="121"/>
    </row>
    <row r="605" spans="1:34" ht="12.75">
      <c r="A605" s="121"/>
      <c r="B605" s="121"/>
      <c r="C605" s="129"/>
      <c r="D605" s="121"/>
      <c r="E605" s="129"/>
      <c r="F605" s="129"/>
      <c r="G605" s="129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9"/>
      <c r="S605" s="121"/>
      <c r="T605" s="131"/>
      <c r="U605" s="121"/>
      <c r="V605" s="121"/>
      <c r="W605" s="121"/>
      <c r="X605" s="130"/>
      <c r="Y605" s="121"/>
      <c r="Z605" s="129"/>
      <c r="AA605" s="129"/>
      <c r="AB605" s="129"/>
      <c r="AC605" s="121"/>
      <c r="AD605" s="121"/>
      <c r="AE605" s="121"/>
      <c r="AF605" s="121"/>
      <c r="AG605" s="121"/>
      <c r="AH605" s="121"/>
    </row>
    <row r="606" spans="1:34" ht="12.75">
      <c r="A606" s="121"/>
      <c r="B606" s="121"/>
      <c r="C606" s="129"/>
      <c r="D606" s="121"/>
      <c r="E606" s="129"/>
      <c r="F606" s="129"/>
      <c r="G606" s="129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9"/>
      <c r="S606" s="121"/>
      <c r="T606" s="131"/>
      <c r="U606" s="121"/>
      <c r="V606" s="121"/>
      <c r="W606" s="121"/>
      <c r="X606" s="130"/>
      <c r="Y606" s="121"/>
      <c r="Z606" s="129"/>
      <c r="AA606" s="129"/>
      <c r="AB606" s="129"/>
      <c r="AC606" s="121"/>
      <c r="AD606" s="121"/>
      <c r="AE606" s="121"/>
      <c r="AF606" s="121"/>
      <c r="AG606" s="121"/>
      <c r="AH606" s="121"/>
    </row>
    <row r="607" spans="1:34" ht="12.75">
      <c r="A607" s="121"/>
      <c r="B607" s="121"/>
      <c r="C607" s="129"/>
      <c r="D607" s="121"/>
      <c r="E607" s="129"/>
      <c r="F607" s="129"/>
      <c r="G607" s="129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9"/>
      <c r="S607" s="121"/>
      <c r="T607" s="131"/>
      <c r="U607" s="121"/>
      <c r="V607" s="121"/>
      <c r="W607" s="121"/>
      <c r="X607" s="130"/>
      <c r="Y607" s="121"/>
      <c r="Z607" s="129"/>
      <c r="AA607" s="129"/>
      <c r="AB607" s="129"/>
      <c r="AC607" s="121"/>
      <c r="AD607" s="121"/>
      <c r="AE607" s="121"/>
      <c r="AF607" s="121"/>
      <c r="AG607" s="121"/>
      <c r="AH607" s="121"/>
    </row>
    <row r="608" spans="1:34" ht="12.75">
      <c r="A608" s="121"/>
      <c r="B608" s="121"/>
      <c r="C608" s="129"/>
      <c r="D608" s="121"/>
      <c r="E608" s="129"/>
      <c r="F608" s="129"/>
      <c r="G608" s="129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9"/>
      <c r="S608" s="121"/>
      <c r="T608" s="131"/>
      <c r="U608" s="121"/>
      <c r="V608" s="121"/>
      <c r="W608" s="121"/>
      <c r="X608" s="130"/>
      <c r="Y608" s="121"/>
      <c r="Z608" s="129"/>
      <c r="AA608" s="129"/>
      <c r="AB608" s="129"/>
      <c r="AC608" s="121"/>
      <c r="AD608" s="121"/>
      <c r="AE608" s="121"/>
      <c r="AF608" s="121"/>
      <c r="AG608" s="121"/>
      <c r="AH608" s="121"/>
    </row>
    <row r="609" spans="1:34" ht="12.75">
      <c r="A609" s="121"/>
      <c r="B609" s="121"/>
      <c r="C609" s="129"/>
      <c r="D609" s="121"/>
      <c r="E609" s="129"/>
      <c r="F609" s="129"/>
      <c r="G609" s="129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9"/>
      <c r="S609" s="121"/>
      <c r="T609" s="131"/>
      <c r="U609" s="121"/>
      <c r="V609" s="121"/>
      <c r="W609" s="121"/>
      <c r="X609" s="130"/>
      <c r="Y609" s="121"/>
      <c r="Z609" s="129"/>
      <c r="AA609" s="129"/>
      <c r="AB609" s="129"/>
      <c r="AC609" s="121"/>
      <c r="AD609" s="121"/>
      <c r="AE609" s="121"/>
      <c r="AF609" s="121"/>
      <c r="AG609" s="121"/>
      <c r="AH609" s="121"/>
    </row>
    <row r="610" spans="1:34" ht="12.75">
      <c r="A610" s="121"/>
      <c r="B610" s="121"/>
      <c r="C610" s="129"/>
      <c r="D610" s="121"/>
      <c r="E610" s="129"/>
      <c r="F610" s="129"/>
      <c r="G610" s="129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9"/>
      <c r="S610" s="121"/>
      <c r="T610" s="131"/>
      <c r="U610" s="121"/>
      <c r="V610" s="121"/>
      <c r="W610" s="121"/>
      <c r="X610" s="130"/>
      <c r="Y610" s="121"/>
      <c r="Z610" s="129"/>
      <c r="AA610" s="129"/>
      <c r="AB610" s="129"/>
      <c r="AC610" s="121"/>
      <c r="AD610" s="121"/>
      <c r="AE610" s="121"/>
      <c r="AF610" s="121"/>
      <c r="AG610" s="121"/>
      <c r="AH610" s="121"/>
    </row>
    <row r="611" spans="1:34" ht="12.75">
      <c r="A611" s="121"/>
      <c r="B611" s="121"/>
      <c r="C611" s="129"/>
      <c r="D611" s="121"/>
      <c r="E611" s="129"/>
      <c r="F611" s="129"/>
      <c r="G611" s="129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9"/>
      <c r="S611" s="121"/>
      <c r="T611" s="131"/>
      <c r="U611" s="121"/>
      <c r="V611" s="121"/>
      <c r="W611" s="121"/>
      <c r="X611" s="130"/>
      <c r="Y611" s="121"/>
      <c r="Z611" s="129"/>
      <c r="AA611" s="129"/>
      <c r="AB611" s="129"/>
      <c r="AC611" s="121"/>
      <c r="AD611" s="121"/>
      <c r="AE611" s="121"/>
      <c r="AF611" s="121"/>
      <c r="AG611" s="121"/>
      <c r="AH611" s="121"/>
    </row>
    <row r="612" spans="1:34" ht="12.75">
      <c r="A612" s="121"/>
      <c r="B612" s="121"/>
      <c r="C612" s="129"/>
      <c r="D612" s="121"/>
      <c r="E612" s="129"/>
      <c r="F612" s="129"/>
      <c r="G612" s="129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9"/>
      <c r="S612" s="121"/>
      <c r="T612" s="131"/>
      <c r="U612" s="121"/>
      <c r="V612" s="121"/>
      <c r="W612" s="121"/>
      <c r="X612" s="130"/>
      <c r="Y612" s="121"/>
      <c r="Z612" s="129"/>
      <c r="AA612" s="129"/>
      <c r="AB612" s="129"/>
      <c r="AC612" s="121"/>
      <c r="AD612" s="121"/>
      <c r="AE612" s="121"/>
      <c r="AF612" s="121"/>
      <c r="AG612" s="121"/>
      <c r="AH612" s="121"/>
    </row>
    <row r="613" spans="1:34" ht="12.75">
      <c r="A613" s="121"/>
      <c r="B613" s="121"/>
      <c r="C613" s="129"/>
      <c r="D613" s="121"/>
      <c r="E613" s="129"/>
      <c r="F613" s="129"/>
      <c r="G613" s="129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9"/>
      <c r="S613" s="121"/>
      <c r="T613" s="131"/>
      <c r="U613" s="121"/>
      <c r="V613" s="121"/>
      <c r="W613" s="121"/>
      <c r="X613" s="130"/>
      <c r="Y613" s="121"/>
      <c r="Z613" s="129"/>
      <c r="AA613" s="129"/>
      <c r="AB613" s="129"/>
      <c r="AC613" s="121"/>
      <c r="AD613" s="121"/>
      <c r="AE613" s="121"/>
      <c r="AF613" s="121"/>
      <c r="AG613" s="121"/>
      <c r="AH613" s="121"/>
    </row>
    <row r="614" spans="1:34" ht="12.75">
      <c r="A614" s="121"/>
      <c r="B614" s="121"/>
      <c r="C614" s="129"/>
      <c r="D614" s="121"/>
      <c r="E614" s="129"/>
      <c r="F614" s="129"/>
      <c r="G614" s="129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9"/>
      <c r="S614" s="121"/>
      <c r="T614" s="131"/>
      <c r="U614" s="121"/>
      <c r="V614" s="121"/>
      <c r="W614" s="121"/>
      <c r="X614" s="130"/>
      <c r="Y614" s="121"/>
      <c r="Z614" s="129"/>
      <c r="AA614" s="129"/>
      <c r="AB614" s="129"/>
      <c r="AC614" s="121"/>
      <c r="AD614" s="121"/>
      <c r="AE614" s="121"/>
      <c r="AF614" s="121"/>
      <c r="AG614" s="121"/>
      <c r="AH614" s="121"/>
    </row>
    <row r="615" spans="1:34" ht="12.75">
      <c r="A615" s="121"/>
      <c r="B615" s="121"/>
      <c r="C615" s="129"/>
      <c r="D615" s="121"/>
      <c r="E615" s="129"/>
      <c r="F615" s="129"/>
      <c r="G615" s="129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9"/>
      <c r="S615" s="121"/>
      <c r="T615" s="131"/>
      <c r="U615" s="121"/>
      <c r="V615" s="121"/>
      <c r="W615" s="121"/>
      <c r="X615" s="130"/>
      <c r="Y615" s="121"/>
      <c r="Z615" s="129"/>
      <c r="AA615" s="129"/>
      <c r="AB615" s="129"/>
      <c r="AC615" s="121"/>
      <c r="AD615" s="121"/>
      <c r="AE615" s="121"/>
      <c r="AF615" s="121"/>
      <c r="AG615" s="121"/>
      <c r="AH615" s="121"/>
    </row>
    <row r="616" spans="1:34" ht="12.75">
      <c r="A616" s="121"/>
      <c r="B616" s="121"/>
      <c r="C616" s="129"/>
      <c r="D616" s="121"/>
      <c r="E616" s="129"/>
      <c r="F616" s="129"/>
      <c r="G616" s="129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9"/>
      <c r="S616" s="121"/>
      <c r="T616" s="131"/>
      <c r="U616" s="121"/>
      <c r="V616" s="121"/>
      <c r="W616" s="121"/>
      <c r="X616" s="130"/>
      <c r="Y616" s="121"/>
      <c r="Z616" s="129"/>
      <c r="AA616" s="129"/>
      <c r="AB616" s="129"/>
      <c r="AC616" s="121"/>
      <c r="AD616" s="121"/>
      <c r="AE616" s="121"/>
      <c r="AF616" s="121"/>
      <c r="AG616" s="121"/>
      <c r="AH616" s="121"/>
    </row>
    <row r="617" spans="1:34" ht="12.75">
      <c r="A617" s="121"/>
      <c r="B617" s="121"/>
      <c r="C617" s="129"/>
      <c r="D617" s="121"/>
      <c r="E617" s="129"/>
      <c r="F617" s="129"/>
      <c r="G617" s="129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9"/>
      <c r="S617" s="121"/>
      <c r="T617" s="131"/>
      <c r="U617" s="121"/>
      <c r="V617" s="121"/>
      <c r="W617" s="121"/>
      <c r="X617" s="130"/>
      <c r="Y617" s="121"/>
      <c r="Z617" s="129"/>
      <c r="AA617" s="129"/>
      <c r="AB617" s="129"/>
      <c r="AC617" s="121"/>
      <c r="AD617" s="121"/>
      <c r="AE617" s="121"/>
      <c r="AF617" s="121"/>
      <c r="AG617" s="121"/>
      <c r="AH617" s="121"/>
    </row>
    <row r="618" spans="1:34" ht="12.75">
      <c r="A618" s="121"/>
      <c r="B618" s="121"/>
      <c r="C618" s="129"/>
      <c r="D618" s="121"/>
      <c r="E618" s="129"/>
      <c r="F618" s="129"/>
      <c r="G618" s="129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9"/>
      <c r="S618" s="121"/>
      <c r="T618" s="131"/>
      <c r="U618" s="121"/>
      <c r="V618" s="121"/>
      <c r="W618" s="121"/>
      <c r="X618" s="130"/>
      <c r="Y618" s="121"/>
      <c r="Z618" s="129"/>
      <c r="AA618" s="129"/>
      <c r="AB618" s="129"/>
      <c r="AC618" s="121"/>
      <c r="AD618" s="121"/>
      <c r="AE618" s="121"/>
      <c r="AF618" s="121"/>
      <c r="AG618" s="121"/>
      <c r="AH618" s="121"/>
    </row>
    <row r="619" spans="1:34" ht="12.75">
      <c r="A619" s="121"/>
      <c r="B619" s="121"/>
      <c r="C619" s="129"/>
      <c r="D619" s="121"/>
      <c r="E619" s="129"/>
      <c r="F619" s="129"/>
      <c r="G619" s="129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9"/>
      <c r="S619" s="121"/>
      <c r="T619" s="131"/>
      <c r="U619" s="121"/>
      <c r="V619" s="121"/>
      <c r="W619" s="121"/>
      <c r="X619" s="130"/>
      <c r="Y619" s="121"/>
      <c r="Z619" s="129"/>
      <c r="AA619" s="129"/>
      <c r="AB619" s="129"/>
      <c r="AC619" s="121"/>
      <c r="AD619" s="121"/>
      <c r="AE619" s="121"/>
      <c r="AF619" s="121"/>
      <c r="AG619" s="121"/>
      <c r="AH619" s="121"/>
    </row>
    <row r="620" spans="1:34" ht="12.75">
      <c r="A620" s="121"/>
      <c r="B620" s="121"/>
      <c r="C620" s="129"/>
      <c r="D620" s="121"/>
      <c r="E620" s="129"/>
      <c r="F620" s="129"/>
      <c r="G620" s="129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9"/>
      <c r="S620" s="121"/>
      <c r="T620" s="131"/>
      <c r="U620" s="121"/>
      <c r="V620" s="121"/>
      <c r="W620" s="121"/>
      <c r="X620" s="130"/>
      <c r="Y620" s="121"/>
      <c r="Z620" s="129"/>
      <c r="AA620" s="129"/>
      <c r="AB620" s="129"/>
      <c r="AC620" s="121"/>
      <c r="AD620" s="121"/>
      <c r="AE620" s="121"/>
      <c r="AF620" s="121"/>
      <c r="AG620" s="121"/>
      <c r="AH620" s="121"/>
    </row>
    <row r="621" spans="1:34" ht="12.75">
      <c r="A621" s="121"/>
      <c r="B621" s="121"/>
      <c r="C621" s="129"/>
      <c r="D621" s="121"/>
      <c r="E621" s="129"/>
      <c r="F621" s="129"/>
      <c r="G621" s="129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9"/>
      <c r="S621" s="121"/>
      <c r="T621" s="131"/>
      <c r="U621" s="121"/>
      <c r="V621" s="121"/>
      <c r="W621" s="121"/>
      <c r="X621" s="130"/>
      <c r="Y621" s="121"/>
      <c r="Z621" s="129"/>
      <c r="AA621" s="129"/>
      <c r="AB621" s="129"/>
      <c r="AC621" s="121"/>
      <c r="AD621" s="121"/>
      <c r="AE621" s="121"/>
      <c r="AF621" s="121"/>
      <c r="AG621" s="121"/>
      <c r="AH621" s="121"/>
    </row>
    <row r="622" spans="1:34" ht="12.75">
      <c r="A622" s="121"/>
      <c r="B622" s="121"/>
      <c r="C622" s="129"/>
      <c r="D622" s="121"/>
      <c r="E622" s="129"/>
      <c r="F622" s="129"/>
      <c r="G622" s="129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9"/>
      <c r="S622" s="121"/>
      <c r="T622" s="131"/>
      <c r="U622" s="121"/>
      <c r="V622" s="121"/>
      <c r="W622" s="121"/>
      <c r="X622" s="130"/>
      <c r="Y622" s="121"/>
      <c r="Z622" s="129"/>
      <c r="AA622" s="129"/>
      <c r="AB622" s="129"/>
      <c r="AC622" s="121"/>
      <c r="AD622" s="121"/>
      <c r="AE622" s="121"/>
      <c r="AF622" s="121"/>
      <c r="AG622" s="121"/>
      <c r="AH622" s="121"/>
    </row>
    <row r="623" spans="1:34" ht="12.75">
      <c r="A623" s="121"/>
      <c r="B623" s="121"/>
      <c r="C623" s="129"/>
      <c r="D623" s="121"/>
      <c r="E623" s="129"/>
      <c r="F623" s="129"/>
      <c r="G623" s="129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9"/>
      <c r="S623" s="121"/>
      <c r="T623" s="131"/>
      <c r="U623" s="121"/>
      <c r="V623" s="121"/>
      <c r="W623" s="121"/>
      <c r="X623" s="130"/>
      <c r="Y623" s="121"/>
      <c r="Z623" s="129"/>
      <c r="AA623" s="129"/>
      <c r="AB623" s="129"/>
      <c r="AC623" s="121"/>
      <c r="AD623" s="121"/>
      <c r="AE623" s="121"/>
      <c r="AF623" s="121"/>
      <c r="AG623" s="121"/>
      <c r="AH623" s="121"/>
    </row>
    <row r="624" spans="1:34" ht="12.75">
      <c r="A624" s="121"/>
      <c r="B624" s="121"/>
      <c r="C624" s="129"/>
      <c r="D624" s="121"/>
      <c r="E624" s="129"/>
      <c r="F624" s="129"/>
      <c r="G624" s="129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9"/>
      <c r="S624" s="121"/>
      <c r="T624" s="131"/>
      <c r="U624" s="121"/>
      <c r="V624" s="121"/>
      <c r="W624" s="121"/>
      <c r="X624" s="130"/>
      <c r="Y624" s="121"/>
      <c r="Z624" s="129"/>
      <c r="AA624" s="129"/>
      <c r="AB624" s="129"/>
      <c r="AC624" s="121"/>
      <c r="AD624" s="121"/>
      <c r="AE624" s="121"/>
      <c r="AF624" s="121"/>
      <c r="AG624" s="121"/>
      <c r="AH624" s="121"/>
    </row>
    <row r="625" spans="1:34" ht="12.75">
      <c r="A625" s="121"/>
      <c r="B625" s="121"/>
      <c r="C625" s="129"/>
      <c r="D625" s="121"/>
      <c r="E625" s="129"/>
      <c r="F625" s="129"/>
      <c r="G625" s="129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9"/>
      <c r="S625" s="121"/>
      <c r="T625" s="131"/>
      <c r="U625" s="121"/>
      <c r="V625" s="121"/>
      <c r="W625" s="121"/>
      <c r="X625" s="130"/>
      <c r="Y625" s="121"/>
      <c r="Z625" s="129"/>
      <c r="AA625" s="129"/>
      <c r="AB625" s="129"/>
      <c r="AC625" s="121"/>
      <c r="AD625" s="121"/>
      <c r="AE625" s="121"/>
      <c r="AF625" s="121"/>
      <c r="AG625" s="121"/>
      <c r="AH625" s="121"/>
    </row>
    <row r="626" spans="1:34" ht="12.75">
      <c r="A626" s="121"/>
      <c r="B626" s="121"/>
      <c r="C626" s="129"/>
      <c r="D626" s="121"/>
      <c r="E626" s="129"/>
      <c r="F626" s="129"/>
      <c r="G626" s="129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9"/>
      <c r="S626" s="121"/>
      <c r="T626" s="131"/>
      <c r="U626" s="121"/>
      <c r="V626" s="121"/>
      <c r="W626" s="121"/>
      <c r="X626" s="130"/>
      <c r="Y626" s="121"/>
      <c r="Z626" s="129"/>
      <c r="AA626" s="129"/>
      <c r="AB626" s="129"/>
      <c r="AC626" s="121"/>
      <c r="AD626" s="121"/>
      <c r="AE626" s="121"/>
      <c r="AF626" s="121"/>
      <c r="AG626" s="121"/>
      <c r="AH626" s="121"/>
    </row>
    <row r="627" spans="1:34" ht="12.75">
      <c r="A627" s="121"/>
      <c r="B627" s="121"/>
      <c r="C627" s="129"/>
      <c r="D627" s="121"/>
      <c r="E627" s="129"/>
      <c r="F627" s="129"/>
      <c r="G627" s="129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9"/>
      <c r="S627" s="121"/>
      <c r="T627" s="131"/>
      <c r="U627" s="121"/>
      <c r="V627" s="121"/>
      <c r="W627" s="121"/>
      <c r="X627" s="130"/>
      <c r="Y627" s="121"/>
      <c r="Z627" s="129"/>
      <c r="AA627" s="129"/>
      <c r="AB627" s="129"/>
      <c r="AC627" s="121"/>
      <c r="AD627" s="121"/>
      <c r="AE627" s="121"/>
      <c r="AF627" s="121"/>
      <c r="AG627" s="121"/>
      <c r="AH627" s="121"/>
    </row>
    <row r="628" spans="1:34" ht="12.75">
      <c r="A628" s="121"/>
      <c r="B628" s="121"/>
      <c r="C628" s="129"/>
      <c r="D628" s="121"/>
      <c r="E628" s="129"/>
      <c r="F628" s="129"/>
      <c r="G628" s="129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9"/>
      <c r="S628" s="121"/>
      <c r="T628" s="131"/>
      <c r="U628" s="121"/>
      <c r="V628" s="121"/>
      <c r="W628" s="121"/>
      <c r="X628" s="130"/>
      <c r="Y628" s="121"/>
      <c r="Z628" s="129"/>
      <c r="AA628" s="129"/>
      <c r="AB628" s="129"/>
      <c r="AC628" s="121"/>
      <c r="AD628" s="121"/>
      <c r="AE628" s="121"/>
      <c r="AF628" s="121"/>
      <c r="AG628" s="121"/>
      <c r="AH628" s="121"/>
    </row>
    <row r="629" spans="1:34" ht="12.75">
      <c r="A629" s="121"/>
      <c r="B629" s="121"/>
      <c r="C629" s="129"/>
      <c r="D629" s="121"/>
      <c r="E629" s="129"/>
      <c r="F629" s="129"/>
      <c r="G629" s="129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9"/>
      <c r="S629" s="121"/>
      <c r="T629" s="131"/>
      <c r="U629" s="121"/>
      <c r="V629" s="121"/>
      <c r="W629" s="121"/>
      <c r="X629" s="130"/>
      <c r="Y629" s="121"/>
      <c r="Z629" s="129"/>
      <c r="AA629" s="129"/>
      <c r="AB629" s="129"/>
      <c r="AC629" s="121"/>
      <c r="AD629" s="121"/>
      <c r="AE629" s="121"/>
      <c r="AF629" s="121"/>
      <c r="AG629" s="121"/>
      <c r="AH629" s="121"/>
    </row>
    <row r="630" spans="1:34" ht="12.75">
      <c r="A630" s="121"/>
      <c r="B630" s="121"/>
      <c r="C630" s="129"/>
      <c r="D630" s="121"/>
      <c r="E630" s="129"/>
      <c r="F630" s="129"/>
      <c r="G630" s="129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9"/>
      <c r="S630" s="121"/>
      <c r="T630" s="131"/>
      <c r="U630" s="121"/>
      <c r="V630" s="121"/>
      <c r="W630" s="121"/>
      <c r="X630" s="130"/>
      <c r="Y630" s="121"/>
      <c r="Z630" s="129"/>
      <c r="AA630" s="129"/>
      <c r="AB630" s="129"/>
      <c r="AC630" s="121"/>
      <c r="AD630" s="121"/>
      <c r="AE630" s="121"/>
      <c r="AF630" s="121"/>
      <c r="AG630" s="121"/>
      <c r="AH630" s="121"/>
    </row>
    <row r="631" spans="1:34" ht="12.75">
      <c r="A631" s="121"/>
      <c r="B631" s="121"/>
      <c r="C631" s="129"/>
      <c r="D631" s="121"/>
      <c r="E631" s="129"/>
      <c r="F631" s="129"/>
      <c r="G631" s="129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9"/>
      <c r="S631" s="121"/>
      <c r="T631" s="131"/>
      <c r="U631" s="121"/>
      <c r="V631" s="121"/>
      <c r="W631" s="121"/>
      <c r="X631" s="130"/>
      <c r="Y631" s="121"/>
      <c r="Z631" s="129"/>
      <c r="AA631" s="129"/>
      <c r="AB631" s="129"/>
      <c r="AC631" s="121"/>
      <c r="AD631" s="121"/>
      <c r="AE631" s="121"/>
      <c r="AF631" s="121"/>
      <c r="AG631" s="121"/>
      <c r="AH631" s="121"/>
    </row>
    <row r="632" spans="1:34" ht="12.75">
      <c r="A632" s="121"/>
      <c r="B632" s="121"/>
      <c r="C632" s="129"/>
      <c r="D632" s="121"/>
      <c r="E632" s="129"/>
      <c r="F632" s="129"/>
      <c r="G632" s="129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9"/>
      <c r="S632" s="121"/>
      <c r="T632" s="131"/>
      <c r="U632" s="121"/>
      <c r="V632" s="121"/>
      <c r="W632" s="121"/>
      <c r="X632" s="130"/>
      <c r="Y632" s="121"/>
      <c r="Z632" s="129"/>
      <c r="AA632" s="129"/>
      <c r="AB632" s="129"/>
      <c r="AC632" s="121"/>
      <c r="AD632" s="121"/>
      <c r="AE632" s="121"/>
      <c r="AF632" s="121"/>
      <c r="AG632" s="121"/>
      <c r="AH632" s="121"/>
    </row>
    <row r="633" spans="1:34" ht="12.75">
      <c r="A633" s="121"/>
      <c r="B633" s="121"/>
      <c r="C633" s="129"/>
      <c r="D633" s="121"/>
      <c r="E633" s="129"/>
      <c r="F633" s="129"/>
      <c r="G633" s="129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9"/>
      <c r="S633" s="121"/>
      <c r="T633" s="131"/>
      <c r="U633" s="121"/>
      <c r="V633" s="121"/>
      <c r="W633" s="121"/>
      <c r="X633" s="130"/>
      <c r="Y633" s="121"/>
      <c r="Z633" s="129"/>
      <c r="AA633" s="129"/>
      <c r="AB633" s="129"/>
      <c r="AC633" s="121"/>
      <c r="AD633" s="121"/>
      <c r="AE633" s="121"/>
      <c r="AF633" s="121"/>
      <c r="AG633" s="121"/>
      <c r="AH633" s="121"/>
    </row>
    <row r="634" spans="1:34" ht="12.75">
      <c r="A634" s="121"/>
      <c r="B634" s="121"/>
      <c r="C634" s="129"/>
      <c r="D634" s="121"/>
      <c r="E634" s="129"/>
      <c r="F634" s="129"/>
      <c r="G634" s="129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9"/>
      <c r="S634" s="121"/>
      <c r="T634" s="131"/>
      <c r="U634" s="121"/>
      <c r="V634" s="121"/>
      <c r="W634" s="121"/>
      <c r="X634" s="130"/>
      <c r="Y634" s="121"/>
      <c r="Z634" s="129"/>
      <c r="AA634" s="129"/>
      <c r="AB634" s="129"/>
      <c r="AC634" s="121"/>
      <c r="AD634" s="121"/>
      <c r="AE634" s="121"/>
      <c r="AF634" s="121"/>
      <c r="AG634" s="121"/>
      <c r="AH634" s="121"/>
    </row>
    <row r="635" spans="1:34" ht="12.75">
      <c r="A635" s="121"/>
      <c r="B635" s="121"/>
      <c r="C635" s="129"/>
      <c r="D635" s="121"/>
      <c r="E635" s="129"/>
      <c r="F635" s="129"/>
      <c r="G635" s="129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9"/>
      <c r="S635" s="121"/>
      <c r="T635" s="131"/>
      <c r="U635" s="121"/>
      <c r="V635" s="121"/>
      <c r="W635" s="121"/>
      <c r="X635" s="130"/>
      <c r="Y635" s="121"/>
      <c r="Z635" s="129"/>
      <c r="AA635" s="129"/>
      <c r="AB635" s="129"/>
      <c r="AC635" s="121"/>
      <c r="AD635" s="121"/>
      <c r="AE635" s="121"/>
      <c r="AF635" s="121"/>
      <c r="AG635" s="121"/>
      <c r="AH635" s="121"/>
    </row>
    <row r="636" spans="1:34" ht="12.75">
      <c r="A636" s="121"/>
      <c r="B636" s="121"/>
      <c r="C636" s="129"/>
      <c r="D636" s="121"/>
      <c r="E636" s="129"/>
      <c r="F636" s="129"/>
      <c r="G636" s="129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9"/>
      <c r="S636" s="121"/>
      <c r="T636" s="131"/>
      <c r="U636" s="121"/>
      <c r="V636" s="121"/>
      <c r="W636" s="121"/>
      <c r="X636" s="130"/>
      <c r="Y636" s="121"/>
      <c r="Z636" s="129"/>
      <c r="AA636" s="129"/>
      <c r="AB636" s="129"/>
      <c r="AC636" s="121"/>
      <c r="AD636" s="121"/>
      <c r="AE636" s="121"/>
      <c r="AF636" s="121"/>
      <c r="AG636" s="121"/>
      <c r="AH636" s="121"/>
    </row>
    <row r="637" spans="1:34" ht="12.75">
      <c r="A637" s="121"/>
      <c r="B637" s="121"/>
      <c r="C637" s="129"/>
      <c r="D637" s="121"/>
      <c r="E637" s="129"/>
      <c r="F637" s="129"/>
      <c r="G637" s="129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9"/>
      <c r="S637" s="121"/>
      <c r="T637" s="131"/>
      <c r="U637" s="121"/>
      <c r="V637" s="121"/>
      <c r="W637" s="121"/>
      <c r="X637" s="130"/>
      <c r="Y637" s="121"/>
      <c r="Z637" s="129"/>
      <c r="AA637" s="129"/>
      <c r="AB637" s="129"/>
      <c r="AC637" s="121"/>
      <c r="AD637" s="121"/>
      <c r="AE637" s="121"/>
      <c r="AF637" s="121"/>
      <c r="AG637" s="121"/>
      <c r="AH637" s="121"/>
    </row>
    <row r="638" spans="1:34" ht="12.75">
      <c r="A638" s="121"/>
      <c r="B638" s="121"/>
      <c r="C638" s="129"/>
      <c r="D638" s="121"/>
      <c r="E638" s="129"/>
      <c r="F638" s="129"/>
      <c r="G638" s="129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9"/>
      <c r="S638" s="121"/>
      <c r="T638" s="131"/>
      <c r="U638" s="121"/>
      <c r="V638" s="121"/>
      <c r="W638" s="121"/>
      <c r="X638" s="130"/>
      <c r="Y638" s="121"/>
      <c r="Z638" s="129"/>
      <c r="AA638" s="129"/>
      <c r="AB638" s="129"/>
      <c r="AC638" s="121"/>
      <c r="AD638" s="121"/>
      <c r="AE638" s="121"/>
      <c r="AF638" s="121"/>
      <c r="AG638" s="121"/>
      <c r="AH638" s="121"/>
    </row>
    <row r="639" spans="1:34" ht="12.75">
      <c r="A639" s="121"/>
      <c r="B639" s="121"/>
      <c r="C639" s="129"/>
      <c r="D639" s="121"/>
      <c r="E639" s="129"/>
      <c r="F639" s="129"/>
      <c r="G639" s="129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9"/>
      <c r="S639" s="121"/>
      <c r="T639" s="131"/>
      <c r="U639" s="121"/>
      <c r="V639" s="121"/>
      <c r="W639" s="121"/>
      <c r="X639" s="130"/>
      <c r="Y639" s="121"/>
      <c r="Z639" s="129"/>
      <c r="AA639" s="129"/>
      <c r="AB639" s="129"/>
      <c r="AC639" s="121"/>
      <c r="AD639" s="121"/>
      <c r="AE639" s="121"/>
      <c r="AF639" s="121"/>
      <c r="AG639" s="121"/>
      <c r="AH639" s="121"/>
    </row>
    <row r="640" spans="1:34" ht="12.75">
      <c r="A640" s="121"/>
      <c r="B640" s="121"/>
      <c r="C640" s="129"/>
      <c r="D640" s="121"/>
      <c r="E640" s="129"/>
      <c r="F640" s="129"/>
      <c r="G640" s="129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9"/>
      <c r="S640" s="121"/>
      <c r="T640" s="131"/>
      <c r="U640" s="121"/>
      <c r="V640" s="121"/>
      <c r="W640" s="121"/>
      <c r="X640" s="130"/>
      <c r="Y640" s="121"/>
      <c r="Z640" s="129"/>
      <c r="AA640" s="129"/>
      <c r="AB640" s="129"/>
      <c r="AC640" s="121"/>
      <c r="AD640" s="121"/>
      <c r="AE640" s="121"/>
      <c r="AF640" s="121"/>
      <c r="AG640" s="121"/>
      <c r="AH640" s="121"/>
    </row>
    <row r="641" spans="1:34" ht="12.75">
      <c r="A641" s="121"/>
      <c r="B641" s="121"/>
      <c r="C641" s="129"/>
      <c r="D641" s="121"/>
      <c r="E641" s="129"/>
      <c r="F641" s="129"/>
      <c r="G641" s="129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9"/>
      <c r="S641" s="121"/>
      <c r="T641" s="131"/>
      <c r="U641" s="121"/>
      <c r="V641" s="121"/>
      <c r="W641" s="121"/>
      <c r="X641" s="130"/>
      <c r="Y641" s="121"/>
      <c r="Z641" s="129"/>
      <c r="AA641" s="129"/>
      <c r="AB641" s="129"/>
      <c r="AC641" s="121"/>
      <c r="AD641" s="121"/>
      <c r="AE641" s="121"/>
      <c r="AF641" s="121"/>
      <c r="AG641" s="121"/>
      <c r="AH641" s="121"/>
    </row>
    <row r="642" spans="1:34" ht="12.75">
      <c r="A642" s="121"/>
      <c r="B642" s="121"/>
      <c r="C642" s="129"/>
      <c r="D642" s="121"/>
      <c r="E642" s="129"/>
      <c r="F642" s="129"/>
      <c r="G642" s="129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9"/>
      <c r="S642" s="121"/>
      <c r="T642" s="131"/>
      <c r="U642" s="121"/>
      <c r="V642" s="121"/>
      <c r="W642" s="121"/>
      <c r="X642" s="130"/>
      <c r="Y642" s="121"/>
      <c r="Z642" s="129"/>
      <c r="AA642" s="129"/>
      <c r="AB642" s="129"/>
      <c r="AC642" s="121"/>
      <c r="AD642" s="121"/>
      <c r="AE642" s="121"/>
      <c r="AF642" s="121"/>
      <c r="AG642" s="121"/>
      <c r="AH642" s="121"/>
    </row>
    <row r="643" spans="1:34" ht="12.75">
      <c r="A643" s="121"/>
      <c r="B643" s="121"/>
      <c r="C643" s="129"/>
      <c r="D643" s="121"/>
      <c r="E643" s="129"/>
      <c r="F643" s="129"/>
      <c r="G643" s="129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9"/>
      <c r="S643" s="121"/>
      <c r="T643" s="131"/>
      <c r="U643" s="121"/>
      <c r="V643" s="121"/>
      <c r="W643" s="121"/>
      <c r="X643" s="130"/>
      <c r="Y643" s="121"/>
      <c r="Z643" s="129"/>
      <c r="AA643" s="129"/>
      <c r="AB643" s="129"/>
      <c r="AC643" s="121"/>
      <c r="AD643" s="121"/>
      <c r="AE643" s="121"/>
      <c r="AF643" s="121"/>
      <c r="AG643" s="121"/>
      <c r="AH643" s="121"/>
    </row>
    <row r="644" spans="1:34" ht="12.75">
      <c r="A644" s="121"/>
      <c r="B644" s="121"/>
      <c r="C644" s="129"/>
      <c r="D644" s="121"/>
      <c r="E644" s="129"/>
      <c r="F644" s="129"/>
      <c r="G644" s="129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9"/>
      <c r="S644" s="121"/>
      <c r="T644" s="131"/>
      <c r="U644" s="121"/>
      <c r="V644" s="121"/>
      <c r="W644" s="121"/>
      <c r="X644" s="130"/>
      <c r="Y644" s="121"/>
      <c r="Z644" s="129"/>
      <c r="AA644" s="129"/>
      <c r="AB644" s="129"/>
      <c r="AC644" s="121"/>
      <c r="AD644" s="121"/>
      <c r="AE644" s="121"/>
      <c r="AF644" s="121"/>
      <c r="AG644" s="121"/>
      <c r="AH644" s="121"/>
    </row>
    <row r="645" spans="1:34" ht="12.75">
      <c r="A645" s="121"/>
      <c r="B645" s="121"/>
      <c r="C645" s="129"/>
      <c r="D645" s="121"/>
      <c r="E645" s="129"/>
      <c r="F645" s="129"/>
      <c r="G645" s="129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9"/>
      <c r="S645" s="121"/>
      <c r="T645" s="131"/>
      <c r="U645" s="121"/>
      <c r="V645" s="121"/>
      <c r="W645" s="121"/>
      <c r="X645" s="130"/>
      <c r="Y645" s="121"/>
      <c r="Z645" s="129"/>
      <c r="AA645" s="129"/>
      <c r="AB645" s="129"/>
      <c r="AC645" s="121"/>
      <c r="AD645" s="121"/>
      <c r="AE645" s="121"/>
      <c r="AF645" s="121"/>
      <c r="AG645" s="121"/>
      <c r="AH645" s="121"/>
    </row>
    <row r="646" spans="1:34" ht="12.75">
      <c r="A646" s="121"/>
      <c r="B646" s="121"/>
      <c r="C646" s="129"/>
      <c r="D646" s="121"/>
      <c r="E646" s="129"/>
      <c r="F646" s="129"/>
      <c r="G646" s="129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9"/>
      <c r="S646" s="121"/>
      <c r="T646" s="131"/>
      <c r="U646" s="121"/>
      <c r="V646" s="121"/>
      <c r="W646" s="121"/>
      <c r="X646" s="130"/>
      <c r="Y646" s="121"/>
      <c r="Z646" s="129"/>
      <c r="AA646" s="129"/>
      <c r="AB646" s="129"/>
      <c r="AC646" s="121"/>
      <c r="AD646" s="121"/>
      <c r="AE646" s="121"/>
      <c r="AF646" s="121"/>
      <c r="AG646" s="121"/>
      <c r="AH646" s="121"/>
    </row>
    <row r="647" spans="1:34" ht="12.75">
      <c r="A647" s="121"/>
      <c r="B647" s="121"/>
      <c r="C647" s="129"/>
      <c r="D647" s="121"/>
      <c r="E647" s="129"/>
      <c r="F647" s="129"/>
      <c r="G647" s="129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9"/>
      <c r="S647" s="121"/>
      <c r="T647" s="131"/>
      <c r="U647" s="121"/>
      <c r="V647" s="121"/>
      <c r="W647" s="121"/>
      <c r="X647" s="130"/>
      <c r="Y647" s="121"/>
      <c r="Z647" s="129"/>
      <c r="AA647" s="129"/>
      <c r="AB647" s="129"/>
      <c r="AC647" s="121"/>
      <c r="AD647" s="121"/>
      <c r="AE647" s="121"/>
      <c r="AF647" s="121"/>
      <c r="AG647" s="121"/>
      <c r="AH647" s="121"/>
    </row>
    <row r="648" spans="1:34" ht="12.75">
      <c r="A648" s="121"/>
      <c r="B648" s="121"/>
      <c r="C648" s="129"/>
      <c r="D648" s="121"/>
      <c r="E648" s="129"/>
      <c r="F648" s="129"/>
      <c r="G648" s="129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9"/>
      <c r="S648" s="121"/>
      <c r="T648" s="131"/>
      <c r="U648" s="121"/>
      <c r="V648" s="121"/>
      <c r="W648" s="121"/>
      <c r="X648" s="130"/>
      <c r="Y648" s="121"/>
      <c r="Z648" s="129"/>
      <c r="AA648" s="129"/>
      <c r="AB648" s="129"/>
      <c r="AC648" s="121"/>
      <c r="AD648" s="121"/>
      <c r="AE648" s="121"/>
      <c r="AF648" s="121"/>
      <c r="AG648" s="121"/>
      <c r="AH648" s="121"/>
    </row>
    <row r="649" spans="1:34" ht="12.75">
      <c r="A649" s="121"/>
      <c r="B649" s="121"/>
      <c r="C649" s="129"/>
      <c r="D649" s="121"/>
      <c r="E649" s="129"/>
      <c r="F649" s="129"/>
      <c r="G649" s="129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9"/>
      <c r="S649" s="121"/>
      <c r="T649" s="131"/>
      <c r="U649" s="121"/>
      <c r="V649" s="121"/>
      <c r="W649" s="121"/>
      <c r="X649" s="130"/>
      <c r="Y649" s="121"/>
      <c r="Z649" s="129"/>
      <c r="AA649" s="129"/>
      <c r="AB649" s="129"/>
      <c r="AC649" s="121"/>
      <c r="AD649" s="121"/>
      <c r="AE649" s="121"/>
      <c r="AF649" s="121"/>
      <c r="AG649" s="121"/>
      <c r="AH649" s="121"/>
    </row>
    <row r="650" spans="1:34" ht="12.75">
      <c r="A650" s="121"/>
      <c r="B650" s="121"/>
      <c r="C650" s="129"/>
      <c r="D650" s="121"/>
      <c r="E650" s="129"/>
      <c r="F650" s="129"/>
      <c r="G650" s="129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9"/>
      <c r="S650" s="121"/>
      <c r="T650" s="131"/>
      <c r="U650" s="121"/>
      <c r="V650" s="121"/>
      <c r="W650" s="121"/>
      <c r="X650" s="130"/>
      <c r="Y650" s="121"/>
      <c r="Z650" s="129"/>
      <c r="AA650" s="129"/>
      <c r="AB650" s="129"/>
      <c r="AC650" s="121"/>
      <c r="AD650" s="121"/>
      <c r="AE650" s="121"/>
      <c r="AF650" s="121"/>
      <c r="AG650" s="121"/>
      <c r="AH650" s="121"/>
    </row>
    <row r="651" spans="1:34" ht="12.75">
      <c r="A651" s="121"/>
      <c r="B651" s="121"/>
      <c r="C651" s="129"/>
      <c r="D651" s="121"/>
      <c r="E651" s="129"/>
      <c r="F651" s="129"/>
      <c r="G651" s="129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9"/>
      <c r="S651" s="121"/>
      <c r="T651" s="131"/>
      <c r="U651" s="121"/>
      <c r="V651" s="121"/>
      <c r="W651" s="121"/>
      <c r="X651" s="130"/>
      <c r="Y651" s="121"/>
      <c r="Z651" s="129"/>
      <c r="AA651" s="129"/>
      <c r="AB651" s="129"/>
      <c r="AC651" s="121"/>
      <c r="AD651" s="121"/>
      <c r="AE651" s="121"/>
      <c r="AF651" s="121"/>
      <c r="AG651" s="121"/>
      <c r="AH651" s="121"/>
    </row>
    <row r="652" spans="1:34" ht="12.75">
      <c r="A652" s="121"/>
      <c r="B652" s="121"/>
      <c r="C652" s="129"/>
      <c r="D652" s="121"/>
      <c r="E652" s="129"/>
      <c r="F652" s="129"/>
      <c r="G652" s="129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9"/>
      <c r="S652" s="121"/>
      <c r="T652" s="131"/>
      <c r="U652" s="121"/>
      <c r="V652" s="121"/>
      <c r="W652" s="121"/>
      <c r="X652" s="130"/>
      <c r="Y652" s="121"/>
      <c r="Z652" s="129"/>
      <c r="AA652" s="129"/>
      <c r="AB652" s="129"/>
      <c r="AC652" s="121"/>
      <c r="AD652" s="121"/>
      <c r="AE652" s="121"/>
      <c r="AF652" s="121"/>
      <c r="AG652" s="121"/>
      <c r="AH652" s="121"/>
    </row>
    <row r="653" spans="1:34" ht="12.75">
      <c r="A653" s="121"/>
      <c r="B653" s="121"/>
      <c r="C653" s="129"/>
      <c r="D653" s="121"/>
      <c r="E653" s="129"/>
      <c r="F653" s="129"/>
      <c r="G653" s="129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9"/>
      <c r="S653" s="121"/>
      <c r="T653" s="131"/>
      <c r="U653" s="121"/>
      <c r="V653" s="121"/>
      <c r="W653" s="121"/>
      <c r="X653" s="130"/>
      <c r="Y653" s="121"/>
      <c r="Z653" s="129"/>
      <c r="AA653" s="129"/>
      <c r="AB653" s="129"/>
      <c r="AC653" s="121"/>
      <c r="AD653" s="121"/>
      <c r="AE653" s="121"/>
      <c r="AF653" s="121"/>
      <c r="AG653" s="121"/>
      <c r="AH653" s="121"/>
    </row>
    <row r="654" spans="1:34" ht="12.75">
      <c r="A654" s="121"/>
      <c r="B654" s="121"/>
      <c r="C654" s="129"/>
      <c r="D654" s="121"/>
      <c r="E654" s="129"/>
      <c r="F654" s="129"/>
      <c r="G654" s="129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9"/>
      <c r="S654" s="121"/>
      <c r="T654" s="131"/>
      <c r="U654" s="121"/>
      <c r="V654" s="121"/>
      <c r="W654" s="121"/>
      <c r="X654" s="130"/>
      <c r="Y654" s="121"/>
      <c r="Z654" s="129"/>
      <c r="AA654" s="129"/>
      <c r="AB654" s="129"/>
      <c r="AC654" s="121"/>
      <c r="AD654" s="121"/>
      <c r="AE654" s="121"/>
      <c r="AF654" s="121"/>
      <c r="AG654" s="121"/>
      <c r="AH654" s="121"/>
    </row>
    <row r="655" spans="1:34" ht="12.75">
      <c r="A655" s="121"/>
      <c r="B655" s="121"/>
      <c r="C655" s="129"/>
      <c r="D655" s="121"/>
      <c r="E655" s="129"/>
      <c r="F655" s="129"/>
      <c r="G655" s="129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9"/>
      <c r="S655" s="121"/>
      <c r="T655" s="131"/>
      <c r="U655" s="121"/>
      <c r="V655" s="121"/>
      <c r="W655" s="121"/>
      <c r="X655" s="130"/>
      <c r="Y655" s="121"/>
      <c r="Z655" s="129"/>
      <c r="AA655" s="129"/>
      <c r="AB655" s="129"/>
      <c r="AC655" s="121"/>
      <c r="AD655" s="121"/>
      <c r="AE655" s="121"/>
      <c r="AF655" s="121"/>
      <c r="AG655" s="121"/>
      <c r="AH655" s="121"/>
    </row>
    <row r="656" spans="1:34" ht="12.75">
      <c r="A656" s="121"/>
      <c r="B656" s="121"/>
      <c r="C656" s="129"/>
      <c r="D656" s="121"/>
      <c r="E656" s="129"/>
      <c r="F656" s="129"/>
      <c r="G656" s="129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9"/>
      <c r="S656" s="121"/>
      <c r="T656" s="131"/>
      <c r="U656" s="121"/>
      <c r="V656" s="121"/>
      <c r="W656" s="121"/>
      <c r="X656" s="130"/>
      <c r="Y656" s="121"/>
      <c r="Z656" s="129"/>
      <c r="AA656" s="129"/>
      <c r="AB656" s="129"/>
      <c r="AC656" s="121"/>
      <c r="AD656" s="121"/>
      <c r="AE656" s="121"/>
      <c r="AF656" s="121"/>
      <c r="AG656" s="121"/>
      <c r="AH656" s="121"/>
    </row>
    <row r="657" spans="1:34" ht="12.75">
      <c r="A657" s="121"/>
      <c r="B657" s="121"/>
      <c r="C657" s="129"/>
      <c r="D657" s="121"/>
      <c r="E657" s="129"/>
      <c r="F657" s="129"/>
      <c r="G657" s="129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9"/>
      <c r="S657" s="121"/>
      <c r="T657" s="131"/>
      <c r="U657" s="121"/>
      <c r="V657" s="121"/>
      <c r="W657" s="121"/>
      <c r="X657" s="130"/>
      <c r="Y657" s="121"/>
      <c r="Z657" s="129"/>
      <c r="AA657" s="129"/>
      <c r="AB657" s="129"/>
      <c r="AC657" s="121"/>
      <c r="AD657" s="121"/>
      <c r="AE657" s="121"/>
      <c r="AF657" s="121"/>
      <c r="AG657" s="121"/>
      <c r="AH657" s="121"/>
    </row>
    <row r="658" spans="1:34" ht="12.75">
      <c r="A658" s="121"/>
      <c r="B658" s="121"/>
      <c r="C658" s="129"/>
      <c r="D658" s="121"/>
      <c r="E658" s="129"/>
      <c r="F658" s="129"/>
      <c r="G658" s="129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9"/>
      <c r="S658" s="121"/>
      <c r="T658" s="131"/>
      <c r="U658" s="121"/>
      <c r="V658" s="121"/>
      <c r="W658" s="121"/>
      <c r="X658" s="130"/>
      <c r="Y658" s="121"/>
      <c r="Z658" s="129"/>
      <c r="AA658" s="129"/>
      <c r="AB658" s="129"/>
      <c r="AC658" s="121"/>
      <c r="AD658" s="121"/>
      <c r="AE658" s="121"/>
      <c r="AF658" s="121"/>
      <c r="AG658" s="121"/>
      <c r="AH658" s="121"/>
    </row>
    <row r="659" spans="1:34" ht="12.75">
      <c r="A659" s="121"/>
      <c r="B659" s="121"/>
      <c r="C659" s="129"/>
      <c r="D659" s="121"/>
      <c r="E659" s="129"/>
      <c r="F659" s="129"/>
      <c r="G659" s="129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9"/>
      <c r="S659" s="121"/>
      <c r="T659" s="131"/>
      <c r="U659" s="121"/>
      <c r="V659" s="121"/>
      <c r="W659" s="121"/>
      <c r="X659" s="130"/>
      <c r="Y659" s="121"/>
      <c r="Z659" s="129"/>
      <c r="AA659" s="129"/>
      <c r="AB659" s="129"/>
      <c r="AC659" s="121"/>
      <c r="AD659" s="121"/>
      <c r="AE659" s="121"/>
      <c r="AF659" s="121"/>
      <c r="AG659" s="121"/>
      <c r="AH659" s="121"/>
    </row>
    <row r="660" spans="1:34" ht="12.75">
      <c r="A660" s="121"/>
      <c r="B660" s="121"/>
      <c r="C660" s="129"/>
      <c r="D660" s="121"/>
      <c r="E660" s="129"/>
      <c r="F660" s="129"/>
      <c r="G660" s="129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9"/>
      <c r="S660" s="121"/>
      <c r="T660" s="131"/>
      <c r="U660" s="121"/>
      <c r="V660" s="121"/>
      <c r="W660" s="121"/>
      <c r="X660" s="130"/>
      <c r="Y660" s="121"/>
      <c r="Z660" s="129"/>
      <c r="AA660" s="129"/>
      <c r="AB660" s="129"/>
      <c r="AC660" s="121"/>
      <c r="AD660" s="121"/>
      <c r="AE660" s="121"/>
      <c r="AF660" s="121"/>
      <c r="AG660" s="121"/>
      <c r="AH660" s="121"/>
    </row>
    <row r="661" spans="1:34" ht="12.75">
      <c r="A661" s="121"/>
      <c r="B661" s="121"/>
      <c r="C661" s="129"/>
      <c r="D661" s="121"/>
      <c r="E661" s="129"/>
      <c r="F661" s="129"/>
      <c r="G661" s="129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9"/>
      <c r="S661" s="121"/>
      <c r="T661" s="131"/>
      <c r="U661" s="121"/>
      <c r="V661" s="121"/>
      <c r="W661" s="121"/>
      <c r="X661" s="130"/>
      <c r="Y661" s="121"/>
      <c r="Z661" s="129"/>
      <c r="AA661" s="129"/>
      <c r="AB661" s="129"/>
      <c r="AC661" s="121"/>
      <c r="AD661" s="121"/>
      <c r="AE661" s="121"/>
      <c r="AF661" s="121"/>
      <c r="AG661" s="121"/>
      <c r="AH661" s="121"/>
    </row>
    <row r="662" spans="1:34" ht="12.75">
      <c r="A662" s="121"/>
      <c r="B662" s="121"/>
      <c r="C662" s="129"/>
      <c r="D662" s="121"/>
      <c r="E662" s="129"/>
      <c r="F662" s="129"/>
      <c r="G662" s="129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9"/>
      <c r="S662" s="121"/>
      <c r="T662" s="131"/>
      <c r="U662" s="121"/>
      <c r="V662" s="121"/>
      <c r="W662" s="121"/>
      <c r="X662" s="130"/>
      <c r="Y662" s="121"/>
      <c r="Z662" s="129"/>
      <c r="AA662" s="129"/>
      <c r="AB662" s="129"/>
      <c r="AC662" s="121"/>
      <c r="AD662" s="121"/>
      <c r="AE662" s="121"/>
      <c r="AF662" s="121"/>
      <c r="AG662" s="121"/>
      <c r="AH662" s="121"/>
    </row>
    <row r="663" spans="1:34" ht="12.75">
      <c r="A663" s="121"/>
      <c r="B663" s="121"/>
      <c r="C663" s="129"/>
      <c r="D663" s="121"/>
      <c r="E663" s="129"/>
      <c r="F663" s="129"/>
      <c r="G663" s="129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9"/>
      <c r="S663" s="121"/>
      <c r="T663" s="131"/>
      <c r="U663" s="121"/>
      <c r="V663" s="121"/>
      <c r="W663" s="121"/>
      <c r="X663" s="130"/>
      <c r="Y663" s="121"/>
      <c r="Z663" s="129"/>
      <c r="AA663" s="129"/>
      <c r="AB663" s="129"/>
      <c r="AC663" s="121"/>
      <c r="AD663" s="121"/>
      <c r="AE663" s="121"/>
      <c r="AF663" s="121"/>
      <c r="AG663" s="121"/>
      <c r="AH663" s="121"/>
    </row>
    <row r="664" spans="1:34" ht="12.75">
      <c r="A664" s="121"/>
      <c r="B664" s="121"/>
      <c r="C664" s="129"/>
      <c r="D664" s="121"/>
      <c r="E664" s="129"/>
      <c r="F664" s="129"/>
      <c r="G664" s="129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9"/>
      <c r="S664" s="121"/>
      <c r="T664" s="131"/>
      <c r="U664" s="121"/>
      <c r="V664" s="121"/>
      <c r="W664" s="121"/>
      <c r="X664" s="130"/>
      <c r="Y664" s="121"/>
      <c r="Z664" s="129"/>
      <c r="AA664" s="129"/>
      <c r="AB664" s="129"/>
      <c r="AC664" s="121"/>
      <c r="AD664" s="121"/>
      <c r="AE664" s="121"/>
      <c r="AF664" s="121"/>
      <c r="AG664" s="121"/>
      <c r="AH664" s="121"/>
    </row>
    <row r="665" spans="1:34" ht="12.75">
      <c r="A665" s="121"/>
      <c r="B665" s="121"/>
      <c r="C665" s="129"/>
      <c r="D665" s="121"/>
      <c r="E665" s="129"/>
      <c r="F665" s="129"/>
      <c r="G665" s="129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9"/>
      <c r="S665" s="121"/>
      <c r="T665" s="131"/>
      <c r="U665" s="121"/>
      <c r="V665" s="121"/>
      <c r="W665" s="121"/>
      <c r="X665" s="130"/>
      <c r="Y665" s="121"/>
      <c r="Z665" s="129"/>
      <c r="AA665" s="129"/>
      <c r="AB665" s="129"/>
      <c r="AC665" s="121"/>
      <c r="AD665" s="121"/>
      <c r="AE665" s="121"/>
      <c r="AF665" s="121"/>
      <c r="AG665" s="121"/>
      <c r="AH665" s="121"/>
    </row>
    <row r="666" spans="1:34" ht="12.75">
      <c r="A666" s="121"/>
      <c r="B666" s="121"/>
      <c r="C666" s="129"/>
      <c r="D666" s="121"/>
      <c r="E666" s="129"/>
      <c r="F666" s="129"/>
      <c r="G666" s="129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9"/>
      <c r="S666" s="121"/>
      <c r="T666" s="131"/>
      <c r="U666" s="121"/>
      <c r="V666" s="121"/>
      <c r="W666" s="121"/>
      <c r="X666" s="130"/>
      <c r="Y666" s="121"/>
      <c r="Z666" s="129"/>
      <c r="AA666" s="129"/>
      <c r="AB666" s="129"/>
      <c r="AC666" s="121"/>
      <c r="AD666" s="121"/>
      <c r="AE666" s="121"/>
      <c r="AF666" s="121"/>
      <c r="AG666" s="121"/>
      <c r="AH666" s="121"/>
    </row>
    <row r="667" spans="1:34" ht="12.75">
      <c r="A667" s="121"/>
      <c r="B667" s="121"/>
      <c r="C667" s="129"/>
      <c r="D667" s="121"/>
      <c r="E667" s="129"/>
      <c r="F667" s="129"/>
      <c r="G667" s="129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9"/>
      <c r="S667" s="121"/>
      <c r="T667" s="131"/>
      <c r="U667" s="121"/>
      <c r="V667" s="121"/>
      <c r="W667" s="121"/>
      <c r="X667" s="130"/>
      <c r="Y667" s="121"/>
      <c r="Z667" s="129"/>
      <c r="AA667" s="129"/>
      <c r="AB667" s="129"/>
      <c r="AC667" s="121"/>
      <c r="AD667" s="121"/>
      <c r="AE667" s="121"/>
      <c r="AF667" s="121"/>
      <c r="AG667" s="121"/>
      <c r="AH667" s="121"/>
    </row>
    <row r="668" spans="1:34" ht="12.75">
      <c r="A668" s="121"/>
      <c r="B668" s="121"/>
      <c r="C668" s="129"/>
      <c r="D668" s="121"/>
      <c r="E668" s="129"/>
      <c r="F668" s="129"/>
      <c r="G668" s="129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9"/>
      <c r="S668" s="121"/>
      <c r="T668" s="131"/>
      <c r="U668" s="121"/>
      <c r="V668" s="121"/>
      <c r="W668" s="121"/>
      <c r="X668" s="130"/>
      <c r="Y668" s="121"/>
      <c r="Z668" s="129"/>
      <c r="AA668" s="129"/>
      <c r="AB668" s="129"/>
      <c r="AC668" s="121"/>
      <c r="AD668" s="121"/>
      <c r="AE668" s="121"/>
      <c r="AF668" s="121"/>
      <c r="AG668" s="121"/>
      <c r="AH668" s="121"/>
    </row>
    <row r="669" spans="1:34" ht="12.75">
      <c r="A669" s="121"/>
      <c r="B669" s="121"/>
      <c r="C669" s="129"/>
      <c r="D669" s="121"/>
      <c r="E669" s="129"/>
      <c r="F669" s="129"/>
      <c r="G669" s="129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9"/>
      <c r="S669" s="121"/>
      <c r="T669" s="131"/>
      <c r="U669" s="121"/>
      <c r="V669" s="121"/>
      <c r="W669" s="121"/>
      <c r="X669" s="130"/>
      <c r="Y669" s="121"/>
      <c r="Z669" s="129"/>
      <c r="AA669" s="129"/>
      <c r="AB669" s="129"/>
      <c r="AC669" s="121"/>
      <c r="AD669" s="121"/>
      <c r="AE669" s="121"/>
      <c r="AF669" s="121"/>
      <c r="AG669" s="121"/>
      <c r="AH669" s="121"/>
    </row>
    <row r="670" spans="1:34" ht="12.75">
      <c r="A670" s="121"/>
      <c r="B670" s="121"/>
      <c r="C670" s="129"/>
      <c r="D670" s="121"/>
      <c r="E670" s="129"/>
      <c r="F670" s="129"/>
      <c r="G670" s="129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9"/>
      <c r="S670" s="121"/>
      <c r="T670" s="131"/>
      <c r="U670" s="121"/>
      <c r="V670" s="121"/>
      <c r="W670" s="121"/>
      <c r="X670" s="130"/>
      <c r="Y670" s="121"/>
      <c r="Z670" s="129"/>
      <c r="AA670" s="129"/>
      <c r="AB670" s="129"/>
      <c r="AC670" s="121"/>
      <c r="AD670" s="121"/>
      <c r="AE670" s="121"/>
      <c r="AF670" s="121"/>
      <c r="AG670" s="121"/>
      <c r="AH670" s="121"/>
    </row>
    <row r="671" spans="1:34" ht="12.75">
      <c r="A671" s="121"/>
      <c r="B671" s="121"/>
      <c r="C671" s="129"/>
      <c r="D671" s="121"/>
      <c r="E671" s="129"/>
      <c r="F671" s="129"/>
      <c r="G671" s="129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9"/>
      <c r="S671" s="121"/>
      <c r="T671" s="131"/>
      <c r="U671" s="121"/>
      <c r="V671" s="121"/>
      <c r="W671" s="121"/>
      <c r="X671" s="130"/>
      <c r="Y671" s="121"/>
      <c r="Z671" s="129"/>
      <c r="AA671" s="129"/>
      <c r="AB671" s="129"/>
      <c r="AC671" s="121"/>
      <c r="AD671" s="121"/>
      <c r="AE671" s="121"/>
      <c r="AF671" s="121"/>
      <c r="AG671" s="121"/>
      <c r="AH671" s="121"/>
    </row>
    <row r="672" spans="1:34" ht="12.75">
      <c r="A672" s="121"/>
      <c r="B672" s="121"/>
      <c r="C672" s="129"/>
      <c r="D672" s="121"/>
      <c r="E672" s="129"/>
      <c r="F672" s="129"/>
      <c r="G672" s="129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9"/>
      <c r="S672" s="121"/>
      <c r="T672" s="131"/>
      <c r="U672" s="121"/>
      <c r="V672" s="121"/>
      <c r="W672" s="121"/>
      <c r="X672" s="130"/>
      <c r="Y672" s="121"/>
      <c r="Z672" s="129"/>
      <c r="AA672" s="129"/>
      <c r="AB672" s="129"/>
      <c r="AC672" s="121"/>
      <c r="AD672" s="121"/>
      <c r="AE672" s="121"/>
      <c r="AF672" s="121"/>
      <c r="AG672" s="121"/>
      <c r="AH672" s="121"/>
    </row>
    <row r="673" spans="1:34" ht="12.75">
      <c r="A673" s="121"/>
      <c r="B673" s="121"/>
      <c r="C673" s="129"/>
      <c r="D673" s="121"/>
      <c r="E673" s="129"/>
      <c r="F673" s="129"/>
      <c r="G673" s="129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9"/>
      <c r="S673" s="121"/>
      <c r="T673" s="131"/>
      <c r="U673" s="121"/>
      <c r="V673" s="121"/>
      <c r="W673" s="121"/>
      <c r="X673" s="130"/>
      <c r="Y673" s="121"/>
      <c r="Z673" s="129"/>
      <c r="AA673" s="129"/>
      <c r="AB673" s="129"/>
      <c r="AC673" s="121"/>
      <c r="AD673" s="121"/>
      <c r="AE673" s="121"/>
      <c r="AF673" s="121"/>
      <c r="AG673" s="121"/>
      <c r="AH673" s="121"/>
    </row>
    <row r="674" spans="1:34" ht="12.75">
      <c r="A674" s="121"/>
      <c r="B674" s="121"/>
      <c r="C674" s="129"/>
      <c r="D674" s="121"/>
      <c r="E674" s="129"/>
      <c r="F674" s="129"/>
      <c r="G674" s="129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9"/>
      <c r="S674" s="121"/>
      <c r="T674" s="131"/>
      <c r="U674" s="121"/>
      <c r="V674" s="121"/>
      <c r="W674" s="121"/>
      <c r="X674" s="130"/>
      <c r="Y674" s="121"/>
      <c r="Z674" s="129"/>
      <c r="AA674" s="129"/>
      <c r="AB674" s="129"/>
      <c r="AC674" s="121"/>
      <c r="AD674" s="121"/>
      <c r="AE674" s="121"/>
      <c r="AF674" s="121"/>
      <c r="AG674" s="121"/>
      <c r="AH674" s="121"/>
    </row>
    <row r="675" spans="1:34" ht="12.75">
      <c r="A675" s="121"/>
      <c r="B675" s="121"/>
      <c r="C675" s="129"/>
      <c r="D675" s="121"/>
      <c r="E675" s="129"/>
      <c r="F675" s="129"/>
      <c r="G675" s="129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9"/>
      <c r="S675" s="121"/>
      <c r="T675" s="131"/>
      <c r="U675" s="121"/>
      <c r="V675" s="121"/>
      <c r="W675" s="121"/>
      <c r="X675" s="130"/>
      <c r="Y675" s="121"/>
      <c r="Z675" s="129"/>
      <c r="AA675" s="129"/>
      <c r="AB675" s="129"/>
      <c r="AC675" s="121"/>
      <c r="AD675" s="121"/>
      <c r="AE675" s="121"/>
      <c r="AF675" s="121"/>
      <c r="AG675" s="121"/>
      <c r="AH675" s="121"/>
    </row>
    <row r="676" spans="1:34" ht="12.75">
      <c r="A676" s="121"/>
      <c r="B676" s="121"/>
      <c r="C676" s="129"/>
      <c r="D676" s="121"/>
      <c r="E676" s="129"/>
      <c r="F676" s="129"/>
      <c r="G676" s="129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9"/>
      <c r="S676" s="121"/>
      <c r="T676" s="131"/>
      <c r="U676" s="121"/>
      <c r="V676" s="121"/>
      <c r="W676" s="121"/>
      <c r="X676" s="130"/>
      <c r="Y676" s="121"/>
      <c r="Z676" s="129"/>
      <c r="AA676" s="129"/>
      <c r="AB676" s="129"/>
      <c r="AC676" s="121"/>
      <c r="AD676" s="121"/>
      <c r="AE676" s="121"/>
      <c r="AF676" s="121"/>
      <c r="AG676" s="121"/>
      <c r="AH676" s="121"/>
    </row>
    <row r="677" spans="1:34" ht="12.75">
      <c r="A677" s="121"/>
      <c r="B677" s="121"/>
      <c r="C677" s="129"/>
      <c r="D677" s="121"/>
      <c r="E677" s="129"/>
      <c r="F677" s="129"/>
      <c r="G677" s="129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9"/>
      <c r="S677" s="121"/>
      <c r="T677" s="131"/>
      <c r="U677" s="121"/>
      <c r="V677" s="121"/>
      <c r="W677" s="121"/>
      <c r="X677" s="130"/>
      <c r="Y677" s="121"/>
      <c r="Z677" s="129"/>
      <c r="AA677" s="129"/>
      <c r="AB677" s="129"/>
      <c r="AC677" s="121"/>
      <c r="AD677" s="121"/>
      <c r="AE677" s="121"/>
      <c r="AF677" s="121"/>
      <c r="AG677" s="121"/>
      <c r="AH677" s="121"/>
    </row>
    <row r="678" spans="1:34" ht="12.75">
      <c r="A678" s="121"/>
      <c r="B678" s="121"/>
      <c r="C678" s="129"/>
      <c r="D678" s="121"/>
      <c r="E678" s="129"/>
      <c r="F678" s="129"/>
      <c r="G678" s="129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9"/>
      <c r="S678" s="121"/>
      <c r="T678" s="131"/>
      <c r="U678" s="121"/>
      <c r="V678" s="121"/>
      <c r="W678" s="121"/>
      <c r="X678" s="130"/>
      <c r="Y678" s="121"/>
      <c r="Z678" s="129"/>
      <c r="AA678" s="129"/>
      <c r="AB678" s="129"/>
      <c r="AC678" s="121"/>
      <c r="AD678" s="121"/>
      <c r="AE678" s="121"/>
      <c r="AF678" s="121"/>
      <c r="AG678" s="121"/>
      <c r="AH678" s="121"/>
    </row>
    <row r="679" spans="1:34" ht="12.75">
      <c r="A679" s="121"/>
      <c r="B679" s="121"/>
      <c r="C679" s="129"/>
      <c r="D679" s="121"/>
      <c r="E679" s="129"/>
      <c r="F679" s="129"/>
      <c r="G679" s="129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9"/>
      <c r="S679" s="121"/>
      <c r="T679" s="131"/>
      <c r="U679" s="121"/>
      <c r="V679" s="121"/>
      <c r="W679" s="121"/>
      <c r="X679" s="130"/>
      <c r="Y679" s="121"/>
      <c r="Z679" s="129"/>
      <c r="AA679" s="129"/>
      <c r="AB679" s="129"/>
      <c r="AC679" s="121"/>
      <c r="AD679" s="121"/>
      <c r="AE679" s="121"/>
      <c r="AF679" s="121"/>
      <c r="AG679" s="121"/>
      <c r="AH679" s="121"/>
    </row>
    <row r="680" spans="1:34" ht="12.75">
      <c r="A680" s="121"/>
      <c r="B680" s="121"/>
      <c r="C680" s="129"/>
      <c r="D680" s="121"/>
      <c r="E680" s="129"/>
      <c r="F680" s="129"/>
      <c r="G680" s="129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9"/>
      <c r="S680" s="121"/>
      <c r="T680" s="131"/>
      <c r="U680" s="121"/>
      <c r="V680" s="121"/>
      <c r="W680" s="121"/>
      <c r="X680" s="130"/>
      <c r="Y680" s="121"/>
      <c r="Z680" s="129"/>
      <c r="AA680" s="129"/>
      <c r="AB680" s="129"/>
      <c r="AC680" s="121"/>
      <c r="AD680" s="121"/>
      <c r="AE680" s="121"/>
      <c r="AF680" s="121"/>
      <c r="AG680" s="121"/>
      <c r="AH680" s="121"/>
    </row>
    <row r="681" spans="1:34" ht="12.75">
      <c r="A681" s="121"/>
      <c r="B681" s="121"/>
      <c r="C681" s="129"/>
      <c r="D681" s="121"/>
      <c r="E681" s="129"/>
      <c r="F681" s="129"/>
      <c r="G681" s="129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9"/>
      <c r="S681" s="121"/>
      <c r="T681" s="131"/>
      <c r="U681" s="121"/>
      <c r="V681" s="121"/>
      <c r="W681" s="121"/>
      <c r="X681" s="130"/>
      <c r="Y681" s="121"/>
      <c r="Z681" s="129"/>
      <c r="AA681" s="129"/>
      <c r="AB681" s="129"/>
      <c r="AC681" s="121"/>
      <c r="AD681" s="121"/>
      <c r="AE681" s="121"/>
      <c r="AF681" s="121"/>
      <c r="AG681" s="121"/>
      <c r="AH681" s="121"/>
    </row>
    <row r="682" spans="1:34" ht="12.75">
      <c r="A682" s="121"/>
      <c r="B682" s="121"/>
      <c r="C682" s="129"/>
      <c r="D682" s="121"/>
      <c r="E682" s="129"/>
      <c r="F682" s="129"/>
      <c r="G682" s="129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9"/>
      <c r="S682" s="121"/>
      <c r="T682" s="131"/>
      <c r="U682" s="121"/>
      <c r="V682" s="121"/>
      <c r="W682" s="121"/>
      <c r="X682" s="130"/>
      <c r="Y682" s="121"/>
      <c r="Z682" s="129"/>
      <c r="AA682" s="129"/>
      <c r="AB682" s="129"/>
      <c r="AC682" s="121"/>
      <c r="AD682" s="121"/>
      <c r="AE682" s="121"/>
      <c r="AF682" s="121"/>
      <c r="AG682" s="121"/>
      <c r="AH682" s="121"/>
    </row>
    <row r="683" spans="1:34" ht="12.75">
      <c r="A683" s="121"/>
      <c r="B683" s="121"/>
      <c r="C683" s="129"/>
      <c r="D683" s="121"/>
      <c r="E683" s="129"/>
      <c r="F683" s="129"/>
      <c r="G683" s="129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9"/>
      <c r="S683" s="121"/>
      <c r="T683" s="131"/>
      <c r="U683" s="121"/>
      <c r="V683" s="121"/>
      <c r="W683" s="121"/>
      <c r="X683" s="130"/>
      <c r="Y683" s="121"/>
      <c r="Z683" s="129"/>
      <c r="AA683" s="129"/>
      <c r="AB683" s="129"/>
      <c r="AC683" s="121"/>
      <c r="AD683" s="121"/>
      <c r="AE683" s="121"/>
      <c r="AF683" s="121"/>
      <c r="AG683" s="121"/>
      <c r="AH683" s="121"/>
    </row>
    <row r="684" spans="1:34" ht="12.75">
      <c r="A684" s="121"/>
      <c r="B684" s="121"/>
      <c r="C684" s="129"/>
      <c r="D684" s="121"/>
      <c r="E684" s="129"/>
      <c r="F684" s="129"/>
      <c r="G684" s="129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9"/>
      <c r="S684" s="121"/>
      <c r="T684" s="131"/>
      <c r="U684" s="121"/>
      <c r="V684" s="121"/>
      <c r="W684" s="121"/>
      <c r="X684" s="130"/>
      <c r="Y684" s="121"/>
      <c r="Z684" s="129"/>
      <c r="AA684" s="129"/>
      <c r="AB684" s="129"/>
      <c r="AC684" s="121"/>
      <c r="AD684" s="121"/>
      <c r="AE684" s="121"/>
      <c r="AF684" s="121"/>
      <c r="AG684" s="121"/>
      <c r="AH684" s="121"/>
    </row>
    <row r="685" spans="1:34" ht="12.75">
      <c r="A685" s="121"/>
      <c r="B685" s="121"/>
      <c r="C685" s="129"/>
      <c r="D685" s="121"/>
      <c r="E685" s="129"/>
      <c r="F685" s="129"/>
      <c r="G685" s="129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9"/>
      <c r="S685" s="121"/>
      <c r="T685" s="131"/>
      <c r="U685" s="121"/>
      <c r="V685" s="121"/>
      <c r="W685" s="121"/>
      <c r="X685" s="130"/>
      <c r="Y685" s="121"/>
      <c r="Z685" s="129"/>
      <c r="AA685" s="129"/>
      <c r="AB685" s="129"/>
      <c r="AC685" s="121"/>
      <c r="AD685" s="121"/>
      <c r="AE685" s="121"/>
      <c r="AF685" s="121"/>
      <c r="AG685" s="121"/>
      <c r="AH685" s="121"/>
    </row>
    <row r="686" spans="1:34" ht="12.75">
      <c r="A686" s="121"/>
      <c r="B686" s="121"/>
      <c r="C686" s="129"/>
      <c r="D686" s="121"/>
      <c r="E686" s="129"/>
      <c r="F686" s="129"/>
      <c r="G686" s="129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9"/>
      <c r="S686" s="121"/>
      <c r="T686" s="131"/>
      <c r="U686" s="121"/>
      <c r="V686" s="121"/>
      <c r="W686" s="121"/>
      <c r="X686" s="130"/>
      <c r="Y686" s="121"/>
      <c r="Z686" s="129"/>
      <c r="AA686" s="129"/>
      <c r="AB686" s="129"/>
      <c r="AC686" s="121"/>
      <c r="AD686" s="121"/>
      <c r="AE686" s="121"/>
      <c r="AF686" s="121"/>
      <c r="AG686" s="121"/>
      <c r="AH686" s="121"/>
    </row>
    <row r="687" spans="1:34" ht="12.75">
      <c r="A687" s="121"/>
      <c r="B687" s="121"/>
      <c r="C687" s="129"/>
      <c r="D687" s="121"/>
      <c r="E687" s="129"/>
      <c r="F687" s="129"/>
      <c r="G687" s="129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9"/>
      <c r="S687" s="121"/>
      <c r="T687" s="131"/>
      <c r="U687" s="121"/>
      <c r="V687" s="121"/>
      <c r="W687" s="121"/>
      <c r="X687" s="130"/>
      <c r="Y687" s="121"/>
      <c r="Z687" s="129"/>
      <c r="AA687" s="129"/>
      <c r="AB687" s="129"/>
      <c r="AC687" s="121"/>
      <c r="AD687" s="121"/>
      <c r="AE687" s="121"/>
      <c r="AF687" s="121"/>
      <c r="AG687" s="121"/>
      <c r="AH687" s="121"/>
    </row>
    <row r="688" spans="1:34" ht="12.75">
      <c r="A688" s="121"/>
      <c r="B688" s="121"/>
      <c r="C688" s="129"/>
      <c r="D688" s="121"/>
      <c r="E688" s="129"/>
      <c r="F688" s="129"/>
      <c r="G688" s="129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9"/>
      <c r="S688" s="121"/>
      <c r="T688" s="131"/>
      <c r="U688" s="121"/>
      <c r="V688" s="121"/>
      <c r="W688" s="121"/>
      <c r="X688" s="130"/>
      <c r="Y688" s="121"/>
      <c r="Z688" s="129"/>
      <c r="AA688" s="129"/>
      <c r="AB688" s="129"/>
      <c r="AC688" s="121"/>
      <c r="AD688" s="121"/>
      <c r="AE688" s="121"/>
      <c r="AF688" s="121"/>
      <c r="AG688" s="121"/>
      <c r="AH688" s="121"/>
    </row>
    <row r="689" spans="1:34" ht="12.75">
      <c r="A689" s="121"/>
      <c r="B689" s="121"/>
      <c r="C689" s="129"/>
      <c r="D689" s="121"/>
      <c r="E689" s="129"/>
      <c r="F689" s="129"/>
      <c r="G689" s="129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9"/>
      <c r="S689" s="121"/>
      <c r="T689" s="131"/>
      <c r="U689" s="121"/>
      <c r="V689" s="121"/>
      <c r="W689" s="121"/>
      <c r="X689" s="130"/>
      <c r="Y689" s="121"/>
      <c r="Z689" s="129"/>
      <c r="AA689" s="129"/>
      <c r="AB689" s="129"/>
      <c r="AC689" s="121"/>
      <c r="AD689" s="121"/>
      <c r="AE689" s="121"/>
      <c r="AF689" s="121"/>
      <c r="AG689" s="121"/>
      <c r="AH689" s="121"/>
    </row>
    <row r="690" spans="1:34" ht="12.75">
      <c r="A690" s="121"/>
      <c r="B690" s="121"/>
      <c r="C690" s="129"/>
      <c r="D690" s="121"/>
      <c r="E690" s="129"/>
      <c r="F690" s="129"/>
      <c r="G690" s="129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9"/>
      <c r="S690" s="121"/>
      <c r="T690" s="131"/>
      <c r="U690" s="121"/>
      <c r="V690" s="121"/>
      <c r="W690" s="121"/>
      <c r="X690" s="130"/>
      <c r="Y690" s="121"/>
      <c r="Z690" s="129"/>
      <c r="AA690" s="129"/>
      <c r="AB690" s="129"/>
      <c r="AC690" s="121"/>
      <c r="AD690" s="121"/>
      <c r="AE690" s="121"/>
      <c r="AF690" s="121"/>
      <c r="AG690" s="121"/>
      <c r="AH690" s="121"/>
    </row>
    <row r="691" spans="1:34" ht="12.75">
      <c r="A691" s="121"/>
      <c r="B691" s="121"/>
      <c r="C691" s="129"/>
      <c r="D691" s="121"/>
      <c r="E691" s="129"/>
      <c r="F691" s="129"/>
      <c r="G691" s="129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9"/>
      <c r="S691" s="121"/>
      <c r="T691" s="131"/>
      <c r="U691" s="121"/>
      <c r="V691" s="121"/>
      <c r="W691" s="121"/>
      <c r="X691" s="130"/>
      <c r="Y691" s="121"/>
      <c r="Z691" s="129"/>
      <c r="AA691" s="129"/>
      <c r="AB691" s="129"/>
      <c r="AC691" s="121"/>
      <c r="AD691" s="121"/>
      <c r="AE691" s="121"/>
      <c r="AF691" s="121"/>
      <c r="AG691" s="121"/>
      <c r="AH691" s="121"/>
    </row>
    <row r="692" spans="1:34" ht="12.75">
      <c r="A692" s="121"/>
      <c r="B692" s="121"/>
      <c r="C692" s="129"/>
      <c r="D692" s="121"/>
      <c r="E692" s="129"/>
      <c r="F692" s="129"/>
      <c r="G692" s="129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9"/>
      <c r="S692" s="121"/>
      <c r="T692" s="131"/>
      <c r="U692" s="121"/>
      <c r="V692" s="121"/>
      <c r="W692" s="121"/>
      <c r="X692" s="130"/>
      <c r="Y692" s="121"/>
      <c r="Z692" s="129"/>
      <c r="AA692" s="129"/>
      <c r="AB692" s="129"/>
      <c r="AC692" s="121"/>
      <c r="AD692" s="121"/>
      <c r="AE692" s="121"/>
      <c r="AF692" s="121"/>
      <c r="AG692" s="121"/>
      <c r="AH692" s="121"/>
    </row>
    <row r="693" spans="1:34" ht="12.75">
      <c r="A693" s="121"/>
      <c r="B693" s="121"/>
      <c r="C693" s="129"/>
      <c r="D693" s="121"/>
      <c r="E693" s="129"/>
      <c r="F693" s="129"/>
      <c r="G693" s="129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9"/>
      <c r="S693" s="121"/>
      <c r="T693" s="131"/>
      <c r="U693" s="121"/>
      <c r="V693" s="121"/>
      <c r="W693" s="121"/>
      <c r="X693" s="130"/>
      <c r="Y693" s="121"/>
      <c r="Z693" s="129"/>
      <c r="AA693" s="129"/>
      <c r="AB693" s="129"/>
      <c r="AC693" s="121"/>
      <c r="AD693" s="121"/>
      <c r="AE693" s="121"/>
      <c r="AF693" s="121"/>
      <c r="AG693" s="121"/>
      <c r="AH693" s="121"/>
    </row>
    <row r="694" spans="1:34" ht="12.75">
      <c r="A694" s="121"/>
      <c r="B694" s="121"/>
      <c r="C694" s="129"/>
      <c r="D694" s="121"/>
      <c r="E694" s="129"/>
      <c r="F694" s="129"/>
      <c r="G694" s="129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9"/>
      <c r="S694" s="121"/>
      <c r="T694" s="131"/>
      <c r="U694" s="121"/>
      <c r="V694" s="121"/>
      <c r="W694" s="121"/>
      <c r="X694" s="130"/>
      <c r="Y694" s="121"/>
      <c r="Z694" s="129"/>
      <c r="AA694" s="129"/>
      <c r="AB694" s="129"/>
      <c r="AC694" s="121"/>
      <c r="AD694" s="121"/>
      <c r="AE694" s="121"/>
      <c r="AF694" s="121"/>
      <c r="AG694" s="121"/>
      <c r="AH694" s="121"/>
    </row>
    <row r="695" spans="1:34" ht="12.75">
      <c r="A695" s="121"/>
      <c r="B695" s="121"/>
      <c r="C695" s="129"/>
      <c r="D695" s="121"/>
      <c r="E695" s="129"/>
      <c r="F695" s="129"/>
      <c r="G695" s="129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9"/>
      <c r="S695" s="121"/>
      <c r="T695" s="131"/>
      <c r="U695" s="121"/>
      <c r="V695" s="121"/>
      <c r="W695" s="121"/>
      <c r="X695" s="130"/>
      <c r="Y695" s="121"/>
      <c r="Z695" s="129"/>
      <c r="AA695" s="129"/>
      <c r="AB695" s="129"/>
      <c r="AC695" s="121"/>
      <c r="AD695" s="121"/>
      <c r="AE695" s="121"/>
      <c r="AF695" s="121"/>
      <c r="AG695" s="121"/>
      <c r="AH695" s="121"/>
    </row>
    <row r="696" spans="1:34" ht="12.75">
      <c r="A696" s="121"/>
      <c r="B696" s="121"/>
      <c r="C696" s="129"/>
      <c r="D696" s="121"/>
      <c r="E696" s="129"/>
      <c r="F696" s="129"/>
      <c r="G696" s="129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9"/>
      <c r="S696" s="121"/>
      <c r="T696" s="131"/>
      <c r="U696" s="121"/>
      <c r="V696" s="121"/>
      <c r="W696" s="121"/>
      <c r="X696" s="130"/>
      <c r="Y696" s="121"/>
      <c r="Z696" s="129"/>
      <c r="AA696" s="129"/>
      <c r="AB696" s="129"/>
      <c r="AC696" s="121"/>
      <c r="AD696" s="121"/>
      <c r="AE696" s="121"/>
      <c r="AF696" s="121"/>
      <c r="AG696" s="121"/>
      <c r="AH696" s="121"/>
    </row>
    <row r="697" spans="1:34" ht="12.75">
      <c r="A697" s="121"/>
      <c r="B697" s="121"/>
      <c r="C697" s="129"/>
      <c r="D697" s="121"/>
      <c r="E697" s="129"/>
      <c r="F697" s="129"/>
      <c r="G697" s="129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9"/>
      <c r="S697" s="121"/>
      <c r="T697" s="131"/>
      <c r="U697" s="121"/>
      <c r="V697" s="121"/>
      <c r="W697" s="121"/>
      <c r="X697" s="130"/>
      <c r="Y697" s="121"/>
      <c r="Z697" s="129"/>
      <c r="AA697" s="129"/>
      <c r="AB697" s="129"/>
      <c r="AC697" s="121"/>
      <c r="AD697" s="121"/>
      <c r="AE697" s="121"/>
      <c r="AF697" s="121"/>
      <c r="AG697" s="121"/>
      <c r="AH697" s="121"/>
    </row>
    <row r="698" spans="1:34" ht="12.75">
      <c r="A698" s="121"/>
      <c r="B698" s="121"/>
      <c r="C698" s="129"/>
      <c r="D698" s="121"/>
      <c r="E698" s="129"/>
      <c r="F698" s="129"/>
      <c r="G698" s="129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9"/>
      <c r="S698" s="121"/>
      <c r="T698" s="131"/>
      <c r="U698" s="121"/>
      <c r="V698" s="121"/>
      <c r="W698" s="121"/>
      <c r="X698" s="130"/>
      <c r="Y698" s="121"/>
      <c r="Z698" s="129"/>
      <c r="AA698" s="129"/>
      <c r="AB698" s="129"/>
      <c r="AC698" s="121"/>
      <c r="AD698" s="121"/>
      <c r="AE698" s="121"/>
      <c r="AF698" s="121"/>
      <c r="AG698" s="121"/>
      <c r="AH698" s="121"/>
    </row>
    <row r="699" spans="1:34" ht="12.75">
      <c r="A699" s="121"/>
      <c r="B699" s="121"/>
      <c r="C699" s="129"/>
      <c r="D699" s="121"/>
      <c r="E699" s="129"/>
      <c r="F699" s="129"/>
      <c r="G699" s="129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9"/>
      <c r="S699" s="121"/>
      <c r="T699" s="131"/>
      <c r="U699" s="121"/>
      <c r="V699" s="121"/>
      <c r="W699" s="121"/>
      <c r="X699" s="130"/>
      <c r="Y699" s="121"/>
      <c r="Z699" s="129"/>
      <c r="AA699" s="129"/>
      <c r="AB699" s="129"/>
      <c r="AC699" s="121"/>
      <c r="AD699" s="121"/>
      <c r="AE699" s="121"/>
      <c r="AF699" s="121"/>
      <c r="AG699" s="121"/>
      <c r="AH699" s="121"/>
    </row>
    <row r="700" spans="1:34" ht="12.75">
      <c r="A700" s="121"/>
      <c r="B700" s="121"/>
      <c r="C700" s="129"/>
      <c r="D700" s="121"/>
      <c r="E700" s="129"/>
      <c r="F700" s="129"/>
      <c r="G700" s="129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9"/>
      <c r="S700" s="121"/>
      <c r="T700" s="131"/>
      <c r="U700" s="121"/>
      <c r="V700" s="121"/>
      <c r="W700" s="121"/>
      <c r="X700" s="130"/>
      <c r="Y700" s="121"/>
      <c r="Z700" s="129"/>
      <c r="AA700" s="129"/>
      <c r="AB700" s="129"/>
      <c r="AC700" s="121"/>
      <c r="AD700" s="121"/>
      <c r="AE700" s="121"/>
      <c r="AF700" s="121"/>
      <c r="AG700" s="121"/>
      <c r="AH700" s="121"/>
    </row>
    <row r="701" spans="1:34" ht="12.75">
      <c r="A701" s="121"/>
      <c r="B701" s="121"/>
      <c r="C701" s="129"/>
      <c r="D701" s="121"/>
      <c r="E701" s="129"/>
      <c r="F701" s="129"/>
      <c r="G701" s="129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9"/>
      <c r="S701" s="121"/>
      <c r="T701" s="131"/>
      <c r="U701" s="121"/>
      <c r="V701" s="121"/>
      <c r="W701" s="121"/>
      <c r="X701" s="130"/>
      <c r="Y701" s="121"/>
      <c r="Z701" s="129"/>
      <c r="AA701" s="129"/>
      <c r="AB701" s="129"/>
      <c r="AC701" s="121"/>
      <c r="AD701" s="121"/>
      <c r="AE701" s="121"/>
      <c r="AF701" s="121"/>
      <c r="AG701" s="121"/>
      <c r="AH701" s="121"/>
    </row>
    <row r="702" spans="1:34" ht="12.75">
      <c r="A702" s="121"/>
      <c r="B702" s="121"/>
      <c r="C702" s="129"/>
      <c r="D702" s="121"/>
      <c r="E702" s="129"/>
      <c r="F702" s="129"/>
      <c r="G702" s="129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9"/>
      <c r="S702" s="121"/>
      <c r="T702" s="131"/>
      <c r="U702" s="121"/>
      <c r="V702" s="121"/>
      <c r="W702" s="121"/>
      <c r="X702" s="130"/>
      <c r="Y702" s="121"/>
      <c r="Z702" s="129"/>
      <c r="AA702" s="129"/>
      <c r="AB702" s="129"/>
      <c r="AC702" s="121"/>
      <c r="AD702" s="121"/>
      <c r="AE702" s="121"/>
      <c r="AF702" s="121"/>
      <c r="AG702" s="121"/>
      <c r="AH702" s="121"/>
    </row>
    <row r="703" spans="1:34" ht="12.75">
      <c r="A703" s="121"/>
      <c r="B703" s="121"/>
      <c r="C703" s="129"/>
      <c r="D703" s="121"/>
      <c r="E703" s="129"/>
      <c r="F703" s="129"/>
      <c r="G703" s="129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9"/>
      <c r="S703" s="121"/>
      <c r="T703" s="131"/>
      <c r="U703" s="121"/>
      <c r="V703" s="121"/>
      <c r="W703" s="121"/>
      <c r="X703" s="130"/>
      <c r="Y703" s="121"/>
      <c r="Z703" s="129"/>
      <c r="AA703" s="129"/>
      <c r="AB703" s="129"/>
      <c r="AC703" s="121"/>
      <c r="AD703" s="121"/>
      <c r="AE703" s="121"/>
      <c r="AF703" s="121"/>
      <c r="AG703" s="121"/>
      <c r="AH703" s="121"/>
    </row>
    <row r="704" spans="1:34" ht="12.75">
      <c r="A704" s="121"/>
      <c r="B704" s="121"/>
      <c r="C704" s="129"/>
      <c r="D704" s="121"/>
      <c r="E704" s="129"/>
      <c r="F704" s="129"/>
      <c r="G704" s="129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9"/>
      <c r="S704" s="121"/>
      <c r="T704" s="131"/>
      <c r="U704" s="121"/>
      <c r="V704" s="121"/>
      <c r="W704" s="121"/>
      <c r="X704" s="130"/>
      <c r="Y704" s="121"/>
      <c r="Z704" s="129"/>
      <c r="AA704" s="129"/>
      <c r="AB704" s="129"/>
      <c r="AC704" s="121"/>
      <c r="AD704" s="121"/>
      <c r="AE704" s="121"/>
      <c r="AF704" s="121"/>
      <c r="AG704" s="121"/>
      <c r="AH704" s="121"/>
    </row>
    <row r="705" spans="1:34" ht="12.75">
      <c r="A705" s="121"/>
      <c r="B705" s="121"/>
      <c r="C705" s="129"/>
      <c r="D705" s="121"/>
      <c r="E705" s="129"/>
      <c r="F705" s="129"/>
      <c r="G705" s="129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9"/>
      <c r="S705" s="121"/>
      <c r="T705" s="131"/>
      <c r="U705" s="121"/>
      <c r="V705" s="121"/>
      <c r="W705" s="121"/>
      <c r="X705" s="130"/>
      <c r="Y705" s="121"/>
      <c r="Z705" s="129"/>
      <c r="AA705" s="129"/>
      <c r="AB705" s="129"/>
      <c r="AC705" s="121"/>
      <c r="AD705" s="121"/>
      <c r="AE705" s="121"/>
      <c r="AF705" s="121"/>
      <c r="AG705" s="121"/>
      <c r="AH705" s="121"/>
    </row>
    <row r="706" spans="1:34" ht="12.75">
      <c r="A706" s="121"/>
      <c r="B706" s="121"/>
      <c r="C706" s="129"/>
      <c r="D706" s="121"/>
      <c r="E706" s="129"/>
      <c r="F706" s="129"/>
      <c r="G706" s="129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9"/>
      <c r="S706" s="121"/>
      <c r="T706" s="131"/>
      <c r="U706" s="121"/>
      <c r="V706" s="121"/>
      <c r="W706" s="121"/>
      <c r="X706" s="130"/>
      <c r="Y706" s="121"/>
      <c r="Z706" s="129"/>
      <c r="AA706" s="129"/>
      <c r="AB706" s="129"/>
      <c r="AC706" s="121"/>
      <c r="AD706" s="121"/>
      <c r="AE706" s="121"/>
      <c r="AF706" s="121"/>
      <c r="AG706" s="121"/>
      <c r="AH706" s="121"/>
    </row>
    <row r="707" spans="1:34" ht="12.75">
      <c r="A707" s="121"/>
      <c r="B707" s="121"/>
      <c r="C707" s="129"/>
      <c r="D707" s="121"/>
      <c r="E707" s="129"/>
      <c r="F707" s="129"/>
      <c r="G707" s="129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9"/>
      <c r="S707" s="121"/>
      <c r="T707" s="131"/>
      <c r="U707" s="121"/>
      <c r="V707" s="121"/>
      <c r="W707" s="121"/>
      <c r="X707" s="130"/>
      <c r="Y707" s="121"/>
      <c r="Z707" s="129"/>
      <c r="AA707" s="129"/>
      <c r="AB707" s="129"/>
      <c r="AC707" s="121"/>
      <c r="AD707" s="121"/>
      <c r="AE707" s="121"/>
      <c r="AF707" s="121"/>
      <c r="AG707" s="121"/>
      <c r="AH707" s="121"/>
    </row>
    <row r="708" spans="1:34" ht="12.75">
      <c r="A708" s="121"/>
      <c r="B708" s="121"/>
      <c r="C708" s="129"/>
      <c r="D708" s="121"/>
      <c r="E708" s="129"/>
      <c r="F708" s="129"/>
      <c r="G708" s="129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9"/>
      <c r="S708" s="121"/>
      <c r="T708" s="131"/>
      <c r="U708" s="121"/>
      <c r="V708" s="121"/>
      <c r="W708" s="121"/>
      <c r="X708" s="130"/>
      <c r="Y708" s="121"/>
      <c r="Z708" s="129"/>
      <c r="AA708" s="129"/>
      <c r="AB708" s="129"/>
      <c r="AC708" s="121"/>
      <c r="AD708" s="121"/>
      <c r="AE708" s="121"/>
      <c r="AF708" s="121"/>
      <c r="AG708" s="121"/>
      <c r="AH708" s="121"/>
    </row>
    <row r="709" spans="1:34" ht="12.75">
      <c r="A709" s="121"/>
      <c r="B709" s="121"/>
      <c r="C709" s="129"/>
      <c r="D709" s="121"/>
      <c r="E709" s="129"/>
      <c r="F709" s="129"/>
      <c r="G709" s="129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9"/>
      <c r="S709" s="121"/>
      <c r="T709" s="131"/>
      <c r="U709" s="121"/>
      <c r="V709" s="121"/>
      <c r="W709" s="121"/>
      <c r="X709" s="130"/>
      <c r="Y709" s="121"/>
      <c r="Z709" s="129"/>
      <c r="AA709" s="129"/>
      <c r="AB709" s="129"/>
      <c r="AC709" s="121"/>
      <c r="AD709" s="121"/>
      <c r="AE709" s="121"/>
      <c r="AF709" s="121"/>
      <c r="AG709" s="121"/>
      <c r="AH709" s="121"/>
    </row>
    <row r="710" spans="1:34" ht="12.75">
      <c r="A710" s="121"/>
      <c r="B710" s="121"/>
      <c r="C710" s="129"/>
      <c r="D710" s="121"/>
      <c r="E710" s="129"/>
      <c r="F710" s="129"/>
      <c r="G710" s="129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9"/>
      <c r="S710" s="121"/>
      <c r="T710" s="131"/>
      <c r="U710" s="121"/>
      <c r="V710" s="121"/>
      <c r="W710" s="121"/>
      <c r="X710" s="130"/>
      <c r="Y710" s="121"/>
      <c r="Z710" s="129"/>
      <c r="AA710" s="129"/>
      <c r="AB710" s="129"/>
      <c r="AC710" s="121"/>
      <c r="AD710" s="121"/>
      <c r="AE710" s="121"/>
      <c r="AF710" s="121"/>
      <c r="AG710" s="121"/>
      <c r="AH710" s="121"/>
    </row>
    <row r="711" spans="1:34" ht="12.75">
      <c r="A711" s="121"/>
      <c r="B711" s="121"/>
      <c r="C711" s="129"/>
      <c r="D711" s="121"/>
      <c r="E711" s="129"/>
      <c r="F711" s="129"/>
      <c r="G711" s="129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9"/>
      <c r="S711" s="121"/>
      <c r="T711" s="131"/>
      <c r="U711" s="121"/>
      <c r="V711" s="121"/>
      <c r="W711" s="121"/>
      <c r="X711" s="130"/>
      <c r="Y711" s="121"/>
      <c r="Z711" s="129"/>
      <c r="AA711" s="129"/>
      <c r="AB711" s="129"/>
      <c r="AC711" s="121"/>
      <c r="AD711" s="121"/>
      <c r="AE711" s="121"/>
      <c r="AF711" s="121"/>
      <c r="AG711" s="121"/>
      <c r="AH711" s="121"/>
    </row>
    <row r="712" spans="1:34" ht="12.75">
      <c r="A712" s="121"/>
      <c r="B712" s="121"/>
      <c r="C712" s="129"/>
      <c r="D712" s="121"/>
      <c r="E712" s="129"/>
      <c r="F712" s="129"/>
      <c r="G712" s="129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9"/>
      <c r="S712" s="121"/>
      <c r="T712" s="131"/>
      <c r="U712" s="121"/>
      <c r="V712" s="121"/>
      <c r="W712" s="121"/>
      <c r="X712" s="130"/>
      <c r="Y712" s="121"/>
      <c r="Z712" s="129"/>
      <c r="AA712" s="129"/>
      <c r="AB712" s="129"/>
      <c r="AC712" s="121"/>
      <c r="AD712" s="121"/>
      <c r="AE712" s="121"/>
      <c r="AF712" s="121"/>
      <c r="AG712" s="121"/>
      <c r="AH712" s="121"/>
    </row>
    <row r="713" spans="1:34" ht="12.75">
      <c r="A713" s="121"/>
      <c r="B713" s="121"/>
      <c r="C713" s="129"/>
      <c r="D713" s="121"/>
      <c r="E713" s="129"/>
      <c r="F713" s="129"/>
      <c r="G713" s="129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9"/>
      <c r="S713" s="121"/>
      <c r="T713" s="131"/>
      <c r="U713" s="121"/>
      <c r="V713" s="121"/>
      <c r="W713" s="121"/>
      <c r="X713" s="130"/>
      <c r="Y713" s="121"/>
      <c r="Z713" s="129"/>
      <c r="AA713" s="129"/>
      <c r="AB713" s="129"/>
      <c r="AC713" s="121"/>
      <c r="AD713" s="121"/>
      <c r="AE713" s="121"/>
      <c r="AF713" s="121"/>
      <c r="AG713" s="121"/>
      <c r="AH713" s="121"/>
    </row>
    <row r="714" spans="1:34" ht="12.75">
      <c r="A714" s="121"/>
      <c r="B714" s="121"/>
      <c r="C714" s="129"/>
      <c r="D714" s="121"/>
      <c r="E714" s="129"/>
      <c r="F714" s="129"/>
      <c r="G714" s="129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9"/>
      <c r="S714" s="121"/>
      <c r="T714" s="131"/>
      <c r="U714" s="121"/>
      <c r="V714" s="121"/>
      <c r="W714" s="121"/>
      <c r="X714" s="130"/>
      <c r="Y714" s="121"/>
      <c r="Z714" s="129"/>
      <c r="AA714" s="129"/>
      <c r="AB714" s="129"/>
      <c r="AC714" s="121"/>
      <c r="AD714" s="121"/>
      <c r="AE714" s="121"/>
      <c r="AF714" s="121"/>
      <c r="AG714" s="121"/>
      <c r="AH714" s="121"/>
    </row>
    <row r="715" spans="1:34" ht="12.75">
      <c r="A715" s="121"/>
      <c r="B715" s="121"/>
      <c r="C715" s="129"/>
      <c r="D715" s="121"/>
      <c r="E715" s="129"/>
      <c r="F715" s="129"/>
      <c r="G715" s="129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9"/>
      <c r="S715" s="121"/>
      <c r="T715" s="131"/>
      <c r="U715" s="121"/>
      <c r="V715" s="121"/>
      <c r="W715" s="121"/>
      <c r="X715" s="130"/>
      <c r="Y715" s="121"/>
      <c r="Z715" s="129"/>
      <c r="AA715" s="129"/>
      <c r="AB715" s="129"/>
      <c r="AC715" s="121"/>
      <c r="AD715" s="121"/>
      <c r="AE715" s="121"/>
      <c r="AF715" s="121"/>
      <c r="AG715" s="121"/>
      <c r="AH715" s="121"/>
    </row>
    <row r="716" spans="1:34" ht="12.75">
      <c r="A716" s="121"/>
      <c r="B716" s="121"/>
      <c r="C716" s="129"/>
      <c r="D716" s="121"/>
      <c r="E716" s="129"/>
      <c r="F716" s="129"/>
      <c r="G716" s="129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9"/>
      <c r="S716" s="121"/>
      <c r="T716" s="131"/>
      <c r="U716" s="121"/>
      <c r="V716" s="121"/>
      <c r="W716" s="121"/>
      <c r="X716" s="130"/>
      <c r="Y716" s="121"/>
      <c r="Z716" s="129"/>
      <c r="AA716" s="129"/>
      <c r="AB716" s="129"/>
      <c r="AC716" s="121"/>
      <c r="AD716" s="121"/>
      <c r="AE716" s="121"/>
      <c r="AF716" s="121"/>
      <c r="AG716" s="121"/>
      <c r="AH716" s="121"/>
    </row>
    <row r="717" spans="1:34" ht="12.75">
      <c r="A717" s="121"/>
      <c r="B717" s="121"/>
      <c r="C717" s="129"/>
      <c r="D717" s="121"/>
      <c r="E717" s="129"/>
      <c r="F717" s="129"/>
      <c r="G717" s="129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9"/>
      <c r="S717" s="121"/>
      <c r="T717" s="131"/>
      <c r="U717" s="121"/>
      <c r="V717" s="121"/>
      <c r="W717" s="121"/>
      <c r="X717" s="130"/>
      <c r="Y717" s="121"/>
      <c r="Z717" s="129"/>
      <c r="AA717" s="129"/>
      <c r="AB717" s="129"/>
      <c r="AC717" s="121"/>
      <c r="AD717" s="121"/>
      <c r="AE717" s="121"/>
      <c r="AF717" s="121"/>
      <c r="AG717" s="121"/>
      <c r="AH717" s="121"/>
    </row>
    <row r="718" spans="1:34" ht="12.75">
      <c r="A718" s="121"/>
      <c r="B718" s="121"/>
      <c r="C718" s="129"/>
      <c r="D718" s="121"/>
      <c r="E718" s="129"/>
      <c r="F718" s="129"/>
      <c r="G718" s="129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9"/>
      <c r="S718" s="121"/>
      <c r="T718" s="131"/>
      <c r="U718" s="121"/>
      <c r="V718" s="121"/>
      <c r="W718" s="121"/>
      <c r="X718" s="130"/>
      <c r="Y718" s="121"/>
      <c r="Z718" s="129"/>
      <c r="AA718" s="129"/>
      <c r="AB718" s="129"/>
      <c r="AC718" s="121"/>
      <c r="AD718" s="121"/>
      <c r="AE718" s="121"/>
      <c r="AF718" s="121"/>
      <c r="AG718" s="121"/>
      <c r="AH718" s="121"/>
    </row>
    <row r="719" spans="1:34" ht="12.75">
      <c r="A719" s="121"/>
      <c r="B719" s="121"/>
      <c r="C719" s="129"/>
      <c r="D719" s="121"/>
      <c r="E719" s="129"/>
      <c r="F719" s="129"/>
      <c r="G719" s="129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9"/>
      <c r="S719" s="121"/>
      <c r="T719" s="131"/>
      <c r="U719" s="121"/>
      <c r="V719" s="121"/>
      <c r="W719" s="121"/>
      <c r="X719" s="130"/>
      <c r="Y719" s="121"/>
      <c r="Z719" s="129"/>
      <c r="AA719" s="129"/>
      <c r="AB719" s="129"/>
      <c r="AC719" s="121"/>
      <c r="AD719" s="121"/>
      <c r="AE719" s="121"/>
      <c r="AF719" s="121"/>
      <c r="AG719" s="121"/>
      <c r="AH719" s="121"/>
    </row>
    <row r="720" spans="1:34" ht="12.75">
      <c r="A720" s="121"/>
      <c r="B720" s="121"/>
      <c r="C720" s="129"/>
      <c r="D720" s="121"/>
      <c r="E720" s="129"/>
      <c r="F720" s="129"/>
      <c r="G720" s="129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9"/>
      <c r="S720" s="121"/>
      <c r="T720" s="131"/>
      <c r="U720" s="121"/>
      <c r="V720" s="121"/>
      <c r="W720" s="121"/>
      <c r="X720" s="130"/>
      <c r="Y720" s="121"/>
      <c r="Z720" s="129"/>
      <c r="AA720" s="129"/>
      <c r="AB720" s="129"/>
      <c r="AC720" s="121"/>
      <c r="AD720" s="121"/>
      <c r="AE720" s="121"/>
      <c r="AF720" s="121"/>
      <c r="AG720" s="121"/>
      <c r="AH720" s="121"/>
    </row>
    <row r="721" spans="1:34" ht="12.75">
      <c r="A721" s="121"/>
      <c r="B721" s="121"/>
      <c r="C721" s="129"/>
      <c r="D721" s="121"/>
      <c r="E721" s="129"/>
      <c r="F721" s="129"/>
      <c r="G721" s="129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9"/>
      <c r="S721" s="121"/>
      <c r="T721" s="131"/>
      <c r="U721" s="121"/>
      <c r="V721" s="121"/>
      <c r="W721" s="121"/>
      <c r="X721" s="130"/>
      <c r="Y721" s="121"/>
      <c r="Z721" s="129"/>
      <c r="AA721" s="129"/>
      <c r="AB721" s="129"/>
      <c r="AC721" s="121"/>
      <c r="AD721" s="121"/>
      <c r="AE721" s="121"/>
      <c r="AF721" s="121"/>
      <c r="AG721" s="121"/>
      <c r="AH721" s="121"/>
    </row>
    <row r="722" spans="1:34" ht="12.75">
      <c r="A722" s="121"/>
      <c r="B722" s="121"/>
      <c r="C722" s="129"/>
      <c r="D722" s="121"/>
      <c r="E722" s="129"/>
      <c r="F722" s="129"/>
      <c r="G722" s="129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9"/>
      <c r="S722" s="121"/>
      <c r="T722" s="131"/>
      <c r="U722" s="121"/>
      <c r="V722" s="121"/>
      <c r="W722" s="121"/>
      <c r="X722" s="130"/>
      <c r="Y722" s="121"/>
      <c r="Z722" s="129"/>
      <c r="AA722" s="129"/>
      <c r="AB722" s="129"/>
      <c r="AC722" s="121"/>
      <c r="AD722" s="121"/>
      <c r="AE722" s="121"/>
      <c r="AF722" s="121"/>
      <c r="AG722" s="121"/>
      <c r="AH722" s="121"/>
    </row>
    <row r="723" spans="1:34" ht="12.75">
      <c r="A723" s="121"/>
      <c r="B723" s="121"/>
      <c r="C723" s="129"/>
      <c r="D723" s="121"/>
      <c r="E723" s="129"/>
      <c r="F723" s="129"/>
      <c r="G723" s="129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9"/>
      <c r="S723" s="121"/>
      <c r="T723" s="131"/>
      <c r="U723" s="121"/>
      <c r="V723" s="121"/>
      <c r="W723" s="121"/>
      <c r="X723" s="130"/>
      <c r="Y723" s="121"/>
      <c r="Z723" s="129"/>
      <c r="AA723" s="129"/>
      <c r="AB723" s="129"/>
      <c r="AC723" s="121"/>
      <c r="AD723" s="121"/>
      <c r="AE723" s="121"/>
      <c r="AF723" s="121"/>
      <c r="AG723" s="121"/>
      <c r="AH723" s="121"/>
    </row>
    <row r="724" spans="1:34" ht="12.75">
      <c r="A724" s="121"/>
      <c r="B724" s="121"/>
      <c r="C724" s="129"/>
      <c r="D724" s="121"/>
      <c r="E724" s="129"/>
      <c r="F724" s="129"/>
      <c r="G724" s="129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9"/>
      <c r="S724" s="121"/>
      <c r="T724" s="131"/>
      <c r="U724" s="121"/>
      <c r="V724" s="121"/>
      <c r="W724" s="121"/>
      <c r="X724" s="130"/>
      <c r="Y724" s="121"/>
      <c r="Z724" s="129"/>
      <c r="AA724" s="129"/>
      <c r="AB724" s="129"/>
      <c r="AC724" s="121"/>
      <c r="AD724" s="121"/>
      <c r="AE724" s="121"/>
      <c r="AF724" s="121"/>
      <c r="AG724" s="121"/>
      <c r="AH724" s="121"/>
    </row>
    <row r="725" spans="1:34" ht="12.75">
      <c r="A725" s="121"/>
      <c r="B725" s="121"/>
      <c r="C725" s="129"/>
      <c r="D725" s="121"/>
      <c r="E725" s="129"/>
      <c r="F725" s="129"/>
      <c r="G725" s="129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9"/>
      <c r="S725" s="121"/>
      <c r="T725" s="131"/>
      <c r="U725" s="121"/>
      <c r="V725" s="121"/>
      <c r="W725" s="121"/>
      <c r="X725" s="130"/>
      <c r="Y725" s="121"/>
      <c r="Z725" s="129"/>
      <c r="AA725" s="129"/>
      <c r="AB725" s="129"/>
      <c r="AC725" s="121"/>
      <c r="AD725" s="121"/>
      <c r="AE725" s="121"/>
      <c r="AF725" s="121"/>
      <c r="AG725" s="121"/>
      <c r="AH725" s="121"/>
    </row>
    <row r="726" spans="1:34" ht="12.75">
      <c r="A726" s="121"/>
      <c r="B726" s="121"/>
      <c r="C726" s="129"/>
      <c r="D726" s="121"/>
      <c r="E726" s="129"/>
      <c r="F726" s="129"/>
      <c r="G726" s="129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9"/>
      <c r="S726" s="121"/>
      <c r="T726" s="131"/>
      <c r="U726" s="121"/>
      <c r="V726" s="121"/>
      <c r="W726" s="121"/>
      <c r="X726" s="130"/>
      <c r="Y726" s="121"/>
      <c r="Z726" s="129"/>
      <c r="AA726" s="129"/>
      <c r="AB726" s="129"/>
      <c r="AC726" s="121"/>
      <c r="AD726" s="121"/>
      <c r="AE726" s="121"/>
      <c r="AF726" s="121"/>
      <c r="AG726" s="121"/>
      <c r="AH726" s="121"/>
    </row>
    <row r="727" spans="1:34" ht="12.75">
      <c r="A727" s="121"/>
      <c r="B727" s="121"/>
      <c r="C727" s="129"/>
      <c r="D727" s="121"/>
      <c r="E727" s="129"/>
      <c r="F727" s="129"/>
      <c r="G727" s="129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9"/>
      <c r="S727" s="121"/>
      <c r="T727" s="131"/>
      <c r="U727" s="121"/>
      <c r="V727" s="121"/>
      <c r="W727" s="121"/>
      <c r="X727" s="130"/>
      <c r="Y727" s="121"/>
      <c r="Z727" s="129"/>
      <c r="AA727" s="129"/>
      <c r="AB727" s="129"/>
      <c r="AC727" s="121"/>
      <c r="AD727" s="121"/>
      <c r="AE727" s="121"/>
      <c r="AF727" s="121"/>
      <c r="AG727" s="121"/>
      <c r="AH727" s="121"/>
    </row>
    <row r="728" spans="1:34" ht="12.75">
      <c r="A728" s="121"/>
      <c r="B728" s="121"/>
      <c r="C728" s="129"/>
      <c r="D728" s="121"/>
      <c r="E728" s="129"/>
      <c r="F728" s="129"/>
      <c r="G728" s="129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9"/>
      <c r="S728" s="121"/>
      <c r="T728" s="131"/>
      <c r="U728" s="121"/>
      <c r="V728" s="121"/>
      <c r="W728" s="121"/>
      <c r="X728" s="130"/>
      <c r="Y728" s="121"/>
      <c r="Z728" s="129"/>
      <c r="AA728" s="129"/>
      <c r="AB728" s="129"/>
      <c r="AC728" s="121"/>
      <c r="AD728" s="121"/>
      <c r="AE728" s="121"/>
      <c r="AF728" s="121"/>
      <c r="AG728" s="121"/>
      <c r="AH728" s="121"/>
    </row>
    <row r="729" spans="1:34" ht="12.75">
      <c r="A729" s="121"/>
      <c r="B729" s="121"/>
      <c r="C729" s="129"/>
      <c r="D729" s="121"/>
      <c r="E729" s="129"/>
      <c r="F729" s="129"/>
      <c r="G729" s="129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9"/>
      <c r="S729" s="121"/>
      <c r="T729" s="131"/>
      <c r="U729" s="121"/>
      <c r="V729" s="121"/>
      <c r="W729" s="121"/>
      <c r="X729" s="130"/>
      <c r="Y729" s="121"/>
      <c r="Z729" s="129"/>
      <c r="AA729" s="129"/>
      <c r="AB729" s="129"/>
      <c r="AC729" s="121"/>
      <c r="AD729" s="121"/>
      <c r="AE729" s="121"/>
      <c r="AF729" s="121"/>
      <c r="AG729" s="121"/>
      <c r="AH729" s="121"/>
    </row>
    <row r="730" spans="1:34" ht="12.75">
      <c r="A730" s="121"/>
      <c r="B730" s="121"/>
      <c r="C730" s="129"/>
      <c r="D730" s="121"/>
      <c r="E730" s="129"/>
      <c r="F730" s="129"/>
      <c r="G730" s="129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9"/>
      <c r="S730" s="121"/>
      <c r="T730" s="131"/>
      <c r="U730" s="121"/>
      <c r="V730" s="121"/>
      <c r="W730" s="121"/>
      <c r="X730" s="130"/>
      <c r="Y730" s="121"/>
      <c r="Z730" s="129"/>
      <c r="AA730" s="129"/>
      <c r="AB730" s="129"/>
      <c r="AC730" s="121"/>
      <c r="AD730" s="121"/>
      <c r="AE730" s="121"/>
      <c r="AF730" s="121"/>
      <c r="AG730" s="121"/>
      <c r="AH730" s="121"/>
    </row>
    <row r="731" spans="1:34" ht="12.75">
      <c r="A731" s="121"/>
      <c r="B731" s="121"/>
      <c r="C731" s="129"/>
      <c r="D731" s="121"/>
      <c r="E731" s="129"/>
      <c r="F731" s="129"/>
      <c r="G731" s="129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9"/>
      <c r="S731" s="121"/>
      <c r="T731" s="131"/>
      <c r="U731" s="121"/>
      <c r="V731" s="121"/>
      <c r="W731" s="121"/>
      <c r="X731" s="130"/>
      <c r="Y731" s="121"/>
      <c r="Z731" s="129"/>
      <c r="AA731" s="129"/>
      <c r="AB731" s="129"/>
      <c r="AC731" s="121"/>
      <c r="AD731" s="121"/>
      <c r="AE731" s="121"/>
      <c r="AF731" s="121"/>
      <c r="AG731" s="121"/>
      <c r="AH731" s="121"/>
    </row>
    <row r="732" spans="1:34" ht="12.75">
      <c r="A732" s="121"/>
      <c r="B732" s="121"/>
      <c r="C732" s="129"/>
      <c r="D732" s="121"/>
      <c r="E732" s="129"/>
      <c r="F732" s="129"/>
      <c r="G732" s="129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9"/>
      <c r="S732" s="121"/>
      <c r="T732" s="131"/>
      <c r="U732" s="121"/>
      <c r="V732" s="121"/>
      <c r="W732" s="121"/>
      <c r="X732" s="130"/>
      <c r="Y732" s="121"/>
      <c r="Z732" s="129"/>
      <c r="AA732" s="129"/>
      <c r="AB732" s="129"/>
      <c r="AC732" s="121"/>
      <c r="AD732" s="121"/>
      <c r="AE732" s="121"/>
      <c r="AF732" s="121"/>
      <c r="AG732" s="121"/>
      <c r="AH732" s="121"/>
    </row>
    <row r="733" spans="1:34" ht="12.75">
      <c r="A733" s="121"/>
      <c r="B733" s="121"/>
      <c r="C733" s="129"/>
      <c r="D733" s="121"/>
      <c r="E733" s="129"/>
      <c r="F733" s="129"/>
      <c r="G733" s="129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9"/>
      <c r="S733" s="121"/>
      <c r="T733" s="131"/>
      <c r="U733" s="121"/>
      <c r="V733" s="121"/>
      <c r="W733" s="121"/>
      <c r="X733" s="130"/>
      <c r="Y733" s="121"/>
      <c r="Z733" s="129"/>
      <c r="AA733" s="129"/>
      <c r="AB733" s="129"/>
      <c r="AC733" s="121"/>
      <c r="AD733" s="121"/>
      <c r="AE733" s="121"/>
      <c r="AF733" s="121"/>
      <c r="AG733" s="121"/>
      <c r="AH733" s="121"/>
    </row>
    <row r="734" spans="1:34" ht="12.75">
      <c r="A734" s="121"/>
      <c r="B734" s="121"/>
      <c r="C734" s="129"/>
      <c r="D734" s="121"/>
      <c r="E734" s="129"/>
      <c r="F734" s="129"/>
      <c r="G734" s="129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9"/>
      <c r="S734" s="121"/>
      <c r="T734" s="131"/>
      <c r="U734" s="121"/>
      <c r="V734" s="121"/>
      <c r="W734" s="121"/>
      <c r="X734" s="130"/>
      <c r="Y734" s="121"/>
      <c r="Z734" s="129"/>
      <c r="AA734" s="129"/>
      <c r="AB734" s="129"/>
      <c r="AC734" s="121"/>
      <c r="AD734" s="121"/>
      <c r="AE734" s="121"/>
      <c r="AF734" s="121"/>
      <c r="AG734" s="121"/>
      <c r="AH734" s="121"/>
    </row>
    <row r="735" spans="1:34" ht="12.75">
      <c r="A735" s="121"/>
      <c r="B735" s="121"/>
      <c r="C735" s="129"/>
      <c r="D735" s="121"/>
      <c r="E735" s="129"/>
      <c r="F735" s="129"/>
      <c r="G735" s="129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9"/>
      <c r="S735" s="121"/>
      <c r="T735" s="131"/>
      <c r="U735" s="121"/>
      <c r="V735" s="121"/>
      <c r="W735" s="121"/>
      <c r="X735" s="130"/>
      <c r="Y735" s="121"/>
      <c r="Z735" s="129"/>
      <c r="AA735" s="129"/>
      <c r="AB735" s="129"/>
      <c r="AC735" s="121"/>
      <c r="AD735" s="121"/>
      <c r="AE735" s="121"/>
      <c r="AF735" s="121"/>
      <c r="AG735" s="121"/>
      <c r="AH735" s="121"/>
    </row>
    <row r="736" spans="1:34" ht="12.75">
      <c r="A736" s="121"/>
      <c r="B736" s="121"/>
      <c r="C736" s="129"/>
      <c r="D736" s="121"/>
      <c r="E736" s="129"/>
      <c r="F736" s="129"/>
      <c r="G736" s="129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9"/>
      <c r="S736" s="121"/>
      <c r="T736" s="131"/>
      <c r="U736" s="121"/>
      <c r="V736" s="121"/>
      <c r="W736" s="121"/>
      <c r="X736" s="130"/>
      <c r="Y736" s="121"/>
      <c r="Z736" s="129"/>
      <c r="AA736" s="129"/>
      <c r="AB736" s="129"/>
      <c r="AC736" s="121"/>
      <c r="AD736" s="121"/>
      <c r="AE736" s="121"/>
      <c r="AF736" s="121"/>
      <c r="AG736" s="121"/>
      <c r="AH736" s="121"/>
    </row>
    <row r="737" spans="1:34" ht="12.75">
      <c r="A737" s="121"/>
      <c r="B737" s="121"/>
      <c r="C737" s="129"/>
      <c r="D737" s="121"/>
      <c r="E737" s="129"/>
      <c r="F737" s="129"/>
      <c r="G737" s="129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9"/>
      <c r="S737" s="121"/>
      <c r="T737" s="131"/>
      <c r="U737" s="121"/>
      <c r="V737" s="121"/>
      <c r="W737" s="121"/>
      <c r="X737" s="130"/>
      <c r="Y737" s="121"/>
      <c r="Z737" s="129"/>
      <c r="AA737" s="129"/>
      <c r="AB737" s="129"/>
      <c r="AC737" s="121"/>
      <c r="AD737" s="121"/>
      <c r="AE737" s="121"/>
      <c r="AF737" s="121"/>
      <c r="AG737" s="121"/>
      <c r="AH737" s="121"/>
    </row>
    <row r="738" spans="1:34" ht="12.75">
      <c r="A738" s="121"/>
      <c r="B738" s="121"/>
      <c r="C738" s="129"/>
      <c r="D738" s="121"/>
      <c r="E738" s="129"/>
      <c r="F738" s="129"/>
      <c r="G738" s="129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9"/>
      <c r="S738" s="121"/>
      <c r="T738" s="131"/>
      <c r="U738" s="121"/>
      <c r="V738" s="121"/>
      <c r="W738" s="121"/>
      <c r="X738" s="130"/>
      <c r="Y738" s="121"/>
      <c r="Z738" s="129"/>
      <c r="AA738" s="129"/>
      <c r="AB738" s="129"/>
      <c r="AC738" s="121"/>
      <c r="AD738" s="121"/>
      <c r="AE738" s="121"/>
      <c r="AF738" s="121"/>
      <c r="AG738" s="121"/>
      <c r="AH738" s="121"/>
    </row>
    <row r="739" spans="1:34" ht="12.75">
      <c r="A739" s="121"/>
      <c r="B739" s="121"/>
      <c r="C739" s="129"/>
      <c r="D739" s="121"/>
      <c r="E739" s="129"/>
      <c r="F739" s="129"/>
      <c r="G739" s="129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9"/>
      <c r="S739" s="121"/>
      <c r="T739" s="131"/>
      <c r="U739" s="121"/>
      <c r="V739" s="121"/>
      <c r="W739" s="121"/>
      <c r="X739" s="130"/>
      <c r="Y739" s="121"/>
      <c r="Z739" s="129"/>
      <c r="AA739" s="129"/>
      <c r="AB739" s="129"/>
      <c r="AC739" s="121"/>
      <c r="AD739" s="121"/>
      <c r="AE739" s="121"/>
      <c r="AF739" s="121"/>
      <c r="AG739" s="121"/>
      <c r="AH739" s="121"/>
    </row>
    <row r="740" spans="1:34" ht="12.75">
      <c r="A740" s="121"/>
      <c r="B740" s="121"/>
      <c r="C740" s="129"/>
      <c r="D740" s="121"/>
      <c r="E740" s="129"/>
      <c r="F740" s="129"/>
      <c r="G740" s="129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9"/>
      <c r="S740" s="121"/>
      <c r="T740" s="131"/>
      <c r="U740" s="121"/>
      <c r="V740" s="121"/>
      <c r="W740" s="121"/>
      <c r="X740" s="130"/>
      <c r="Y740" s="121"/>
      <c r="Z740" s="129"/>
      <c r="AA740" s="129"/>
      <c r="AB740" s="129"/>
      <c r="AC740" s="121"/>
      <c r="AD740" s="121"/>
      <c r="AE740" s="121"/>
      <c r="AF740" s="121"/>
      <c r="AG740" s="121"/>
      <c r="AH740" s="121"/>
    </row>
    <row r="741" spans="1:34" ht="12.75">
      <c r="A741" s="121"/>
      <c r="B741" s="121"/>
      <c r="C741" s="129"/>
      <c r="D741" s="121"/>
      <c r="E741" s="129"/>
      <c r="F741" s="129"/>
      <c r="G741" s="129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9"/>
      <c r="S741" s="121"/>
      <c r="T741" s="131"/>
      <c r="U741" s="121"/>
      <c r="V741" s="121"/>
      <c r="W741" s="121"/>
      <c r="X741" s="130"/>
      <c r="Y741" s="121"/>
      <c r="Z741" s="129"/>
      <c r="AA741" s="129"/>
      <c r="AB741" s="129"/>
      <c r="AC741" s="121"/>
      <c r="AD741" s="121"/>
      <c r="AE741" s="121"/>
      <c r="AF741" s="121"/>
      <c r="AG741" s="121"/>
      <c r="AH741" s="121"/>
    </row>
    <row r="742" spans="1:34" ht="12.75">
      <c r="A742" s="121"/>
      <c r="B742" s="121"/>
      <c r="C742" s="129"/>
      <c r="D742" s="121"/>
      <c r="E742" s="129"/>
      <c r="F742" s="129"/>
      <c r="G742" s="129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9"/>
      <c r="S742" s="121"/>
      <c r="T742" s="131"/>
      <c r="U742" s="121"/>
      <c r="V742" s="121"/>
      <c r="W742" s="121"/>
      <c r="X742" s="130"/>
      <c r="Y742" s="121"/>
      <c r="Z742" s="129"/>
      <c r="AA742" s="129"/>
      <c r="AB742" s="129"/>
      <c r="AC742" s="121"/>
      <c r="AD742" s="121"/>
      <c r="AE742" s="121"/>
      <c r="AF742" s="121"/>
      <c r="AG742" s="121"/>
      <c r="AH742" s="121"/>
    </row>
    <row r="743" spans="1:34" ht="12.75">
      <c r="A743" s="121"/>
      <c r="B743" s="121"/>
      <c r="C743" s="129"/>
      <c r="D743" s="121"/>
      <c r="E743" s="129"/>
      <c r="F743" s="129"/>
      <c r="G743" s="129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9"/>
      <c r="S743" s="121"/>
      <c r="T743" s="131"/>
      <c r="U743" s="121"/>
      <c r="V743" s="121"/>
      <c r="W743" s="121"/>
      <c r="X743" s="130"/>
      <c r="Y743" s="121"/>
      <c r="Z743" s="129"/>
      <c r="AA743" s="129"/>
      <c r="AB743" s="129"/>
      <c r="AC743" s="121"/>
      <c r="AD743" s="121"/>
      <c r="AE743" s="121"/>
      <c r="AF743" s="121"/>
      <c r="AG743" s="121"/>
      <c r="AH743" s="121"/>
    </row>
    <row r="744" spans="1:34" ht="12.75">
      <c r="A744" s="121"/>
      <c r="B744" s="121"/>
      <c r="C744" s="129"/>
      <c r="D744" s="121"/>
      <c r="E744" s="129"/>
      <c r="F744" s="129"/>
      <c r="G744" s="129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9"/>
      <c r="S744" s="121"/>
      <c r="T744" s="131"/>
      <c r="U744" s="121"/>
      <c r="V744" s="121"/>
      <c r="W744" s="121"/>
      <c r="X744" s="130"/>
      <c r="Y744" s="121"/>
      <c r="Z744" s="129"/>
      <c r="AA744" s="129"/>
      <c r="AB744" s="129"/>
      <c r="AC744" s="121"/>
      <c r="AD744" s="121"/>
      <c r="AE744" s="121"/>
      <c r="AF744" s="121"/>
      <c r="AG744" s="121"/>
      <c r="AH744" s="121"/>
    </row>
    <row r="745" spans="1:34" ht="12.75">
      <c r="A745" s="121"/>
      <c r="B745" s="121"/>
      <c r="C745" s="129"/>
      <c r="D745" s="121"/>
      <c r="E745" s="129"/>
      <c r="F745" s="129"/>
      <c r="G745" s="129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9"/>
      <c r="S745" s="121"/>
      <c r="T745" s="131"/>
      <c r="U745" s="121"/>
      <c r="V745" s="121"/>
      <c r="W745" s="121"/>
      <c r="X745" s="130"/>
      <c r="Y745" s="121"/>
      <c r="Z745" s="129"/>
      <c r="AA745" s="129"/>
      <c r="AB745" s="129"/>
      <c r="AC745" s="121"/>
      <c r="AD745" s="121"/>
      <c r="AE745" s="121"/>
      <c r="AF745" s="121"/>
      <c r="AG745" s="121"/>
      <c r="AH745" s="121"/>
    </row>
    <row r="746" spans="1:34" ht="12.75">
      <c r="A746" s="121"/>
      <c r="B746" s="121"/>
      <c r="C746" s="129"/>
      <c r="D746" s="121"/>
      <c r="E746" s="129"/>
      <c r="F746" s="129"/>
      <c r="G746" s="129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9"/>
      <c r="S746" s="121"/>
      <c r="T746" s="131"/>
      <c r="U746" s="121"/>
      <c r="V746" s="121"/>
      <c r="W746" s="121"/>
      <c r="X746" s="130"/>
      <c r="Y746" s="121"/>
      <c r="Z746" s="129"/>
      <c r="AA746" s="129"/>
      <c r="AB746" s="129"/>
      <c r="AC746" s="121"/>
      <c r="AD746" s="121"/>
      <c r="AE746" s="121"/>
      <c r="AF746" s="121"/>
      <c r="AG746" s="121"/>
      <c r="AH746" s="121"/>
    </row>
    <row r="747" spans="1:34" ht="12.75">
      <c r="A747" s="121"/>
      <c r="B747" s="121"/>
      <c r="C747" s="129"/>
      <c r="D747" s="121"/>
      <c r="E747" s="129"/>
      <c r="F747" s="129"/>
      <c r="G747" s="129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9"/>
      <c r="S747" s="121"/>
      <c r="T747" s="131"/>
      <c r="U747" s="121"/>
      <c r="V747" s="121"/>
      <c r="W747" s="121"/>
      <c r="X747" s="130"/>
      <c r="Y747" s="121"/>
      <c r="Z747" s="129"/>
      <c r="AA747" s="129"/>
      <c r="AB747" s="129"/>
      <c r="AC747" s="121"/>
      <c r="AD747" s="121"/>
      <c r="AE747" s="121"/>
      <c r="AF747" s="121"/>
      <c r="AG747" s="121"/>
      <c r="AH747" s="121"/>
    </row>
    <row r="748" spans="1:34" ht="12.75">
      <c r="A748" s="121"/>
      <c r="B748" s="121"/>
      <c r="C748" s="129"/>
      <c r="D748" s="121"/>
      <c r="E748" s="129"/>
      <c r="F748" s="129"/>
      <c r="G748" s="129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9"/>
      <c r="S748" s="121"/>
      <c r="T748" s="131"/>
      <c r="U748" s="121"/>
      <c r="V748" s="121"/>
      <c r="W748" s="121"/>
      <c r="X748" s="130"/>
      <c r="Y748" s="121"/>
      <c r="Z748" s="129"/>
      <c r="AA748" s="129"/>
      <c r="AB748" s="129"/>
      <c r="AC748" s="121"/>
      <c r="AD748" s="121"/>
      <c r="AE748" s="121"/>
      <c r="AF748" s="121"/>
      <c r="AG748" s="121"/>
      <c r="AH748" s="121"/>
    </row>
    <row r="749" spans="1:34" ht="12.75">
      <c r="A749" s="121"/>
      <c r="B749" s="121"/>
      <c r="C749" s="129"/>
      <c r="D749" s="121"/>
      <c r="E749" s="129"/>
      <c r="F749" s="129"/>
      <c r="G749" s="129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9"/>
      <c r="S749" s="121"/>
      <c r="T749" s="131"/>
      <c r="U749" s="121"/>
      <c r="V749" s="121"/>
      <c r="W749" s="121"/>
      <c r="X749" s="130"/>
      <c r="Y749" s="121"/>
      <c r="Z749" s="129"/>
      <c r="AA749" s="129"/>
      <c r="AB749" s="129"/>
      <c r="AC749" s="121"/>
      <c r="AD749" s="121"/>
      <c r="AE749" s="121"/>
      <c r="AF749" s="121"/>
      <c r="AG749" s="121"/>
      <c r="AH749" s="121"/>
    </row>
    <row r="750" spans="1:34" ht="12.75">
      <c r="A750" s="121"/>
      <c r="B750" s="121"/>
      <c r="C750" s="129"/>
      <c r="D750" s="121"/>
      <c r="E750" s="129"/>
      <c r="F750" s="129"/>
      <c r="G750" s="129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9"/>
      <c r="S750" s="121"/>
      <c r="T750" s="131"/>
      <c r="U750" s="121"/>
      <c r="V750" s="121"/>
      <c r="W750" s="121"/>
      <c r="X750" s="130"/>
      <c r="Y750" s="121"/>
      <c r="Z750" s="129"/>
      <c r="AA750" s="129"/>
      <c r="AB750" s="129"/>
      <c r="AC750" s="121"/>
      <c r="AD750" s="121"/>
      <c r="AE750" s="121"/>
      <c r="AF750" s="121"/>
      <c r="AG750" s="121"/>
      <c r="AH750" s="121"/>
    </row>
    <row r="751" spans="1:34" ht="12.75">
      <c r="A751" s="121"/>
      <c r="B751" s="121"/>
      <c r="C751" s="129"/>
      <c r="D751" s="121"/>
      <c r="E751" s="129"/>
      <c r="F751" s="129"/>
      <c r="G751" s="129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9"/>
      <c r="S751" s="121"/>
      <c r="T751" s="131"/>
      <c r="U751" s="121"/>
      <c r="V751" s="121"/>
      <c r="W751" s="121"/>
      <c r="X751" s="130"/>
      <c r="Y751" s="121"/>
      <c r="Z751" s="129"/>
      <c r="AA751" s="129"/>
      <c r="AB751" s="129"/>
      <c r="AC751" s="121"/>
      <c r="AD751" s="121"/>
      <c r="AE751" s="121"/>
      <c r="AF751" s="121"/>
      <c r="AG751" s="121"/>
      <c r="AH751" s="121"/>
    </row>
    <row r="752" spans="1:34" ht="12.75">
      <c r="A752" s="121"/>
      <c r="B752" s="121"/>
      <c r="C752" s="129"/>
      <c r="D752" s="121"/>
      <c r="E752" s="129"/>
      <c r="F752" s="129"/>
      <c r="G752" s="129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9"/>
      <c r="S752" s="121"/>
      <c r="T752" s="131"/>
      <c r="U752" s="121"/>
      <c r="V752" s="121"/>
      <c r="W752" s="121"/>
      <c r="X752" s="130"/>
      <c r="Y752" s="121"/>
      <c r="Z752" s="129"/>
      <c r="AA752" s="129"/>
      <c r="AB752" s="129"/>
      <c r="AC752" s="121"/>
      <c r="AD752" s="121"/>
      <c r="AE752" s="121"/>
      <c r="AF752" s="121"/>
      <c r="AG752" s="121"/>
      <c r="AH752" s="121"/>
    </row>
    <row r="753" spans="1:34" ht="12.75">
      <c r="A753" s="121"/>
      <c r="B753" s="121"/>
      <c r="C753" s="129"/>
      <c r="D753" s="121"/>
      <c r="E753" s="129"/>
      <c r="F753" s="129"/>
      <c r="G753" s="129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9"/>
      <c r="S753" s="121"/>
      <c r="T753" s="131"/>
      <c r="U753" s="121"/>
      <c r="V753" s="121"/>
      <c r="W753" s="121"/>
      <c r="X753" s="130"/>
      <c r="Y753" s="121"/>
      <c r="Z753" s="129"/>
      <c r="AA753" s="129"/>
      <c r="AB753" s="129"/>
      <c r="AC753" s="121"/>
      <c r="AD753" s="121"/>
      <c r="AE753" s="121"/>
      <c r="AF753" s="121"/>
      <c r="AG753" s="121"/>
      <c r="AH753" s="121"/>
    </row>
    <row r="754" spans="1:34" ht="12.75">
      <c r="A754" s="121"/>
      <c r="B754" s="121"/>
      <c r="C754" s="129"/>
      <c r="D754" s="121"/>
      <c r="E754" s="129"/>
      <c r="F754" s="129"/>
      <c r="G754" s="129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9"/>
      <c r="S754" s="121"/>
      <c r="T754" s="131"/>
      <c r="U754" s="121"/>
      <c r="V754" s="121"/>
      <c r="W754" s="121"/>
      <c r="X754" s="130"/>
      <c r="Y754" s="121"/>
      <c r="Z754" s="129"/>
      <c r="AA754" s="129"/>
      <c r="AB754" s="129"/>
      <c r="AC754" s="121"/>
      <c r="AD754" s="121"/>
      <c r="AE754" s="121"/>
      <c r="AF754" s="121"/>
      <c r="AG754" s="121"/>
      <c r="AH754" s="121"/>
    </row>
    <row r="755" spans="1:34" ht="12.75">
      <c r="A755" s="121"/>
      <c r="B755" s="121"/>
      <c r="C755" s="129"/>
      <c r="D755" s="121"/>
      <c r="E755" s="129"/>
      <c r="F755" s="129"/>
      <c r="G755" s="129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9"/>
      <c r="S755" s="121"/>
      <c r="T755" s="131"/>
      <c r="U755" s="121"/>
      <c r="V755" s="121"/>
      <c r="W755" s="121"/>
      <c r="X755" s="130"/>
      <c r="Y755" s="121"/>
      <c r="Z755" s="129"/>
      <c r="AA755" s="129"/>
      <c r="AB755" s="129"/>
      <c r="AC755" s="121"/>
      <c r="AD755" s="121"/>
      <c r="AE755" s="121"/>
      <c r="AF755" s="121"/>
      <c r="AG755" s="121"/>
      <c r="AH755" s="121"/>
    </row>
    <row r="756" spans="1:34" ht="12.75">
      <c r="A756" s="121"/>
      <c r="B756" s="121"/>
      <c r="C756" s="129"/>
      <c r="D756" s="121"/>
      <c r="E756" s="129"/>
      <c r="F756" s="129"/>
      <c r="G756" s="129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9"/>
      <c r="S756" s="121"/>
      <c r="T756" s="131"/>
      <c r="U756" s="121"/>
      <c r="V756" s="121"/>
      <c r="W756" s="121"/>
      <c r="X756" s="130"/>
      <c r="Y756" s="121"/>
      <c r="Z756" s="129"/>
      <c r="AA756" s="129"/>
      <c r="AB756" s="129"/>
      <c r="AC756" s="121"/>
      <c r="AD756" s="121"/>
      <c r="AE756" s="121"/>
      <c r="AF756" s="121"/>
      <c r="AG756" s="121"/>
      <c r="AH756" s="121"/>
    </row>
    <row r="757" spans="1:34" ht="12.75">
      <c r="A757" s="121"/>
      <c r="B757" s="121"/>
      <c r="C757" s="129"/>
      <c r="D757" s="121"/>
      <c r="E757" s="129"/>
      <c r="F757" s="129"/>
      <c r="G757" s="129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9"/>
      <c r="S757" s="121"/>
      <c r="T757" s="131"/>
      <c r="U757" s="121"/>
      <c r="V757" s="121"/>
      <c r="W757" s="121"/>
      <c r="X757" s="130"/>
      <c r="Y757" s="121"/>
      <c r="Z757" s="129"/>
      <c r="AA757" s="129"/>
      <c r="AB757" s="129"/>
      <c r="AC757" s="121"/>
      <c r="AD757" s="121"/>
      <c r="AE757" s="121"/>
      <c r="AF757" s="121"/>
      <c r="AG757" s="121"/>
      <c r="AH757" s="121"/>
    </row>
    <row r="758" spans="1:34" ht="12.75">
      <c r="A758" s="121"/>
      <c r="B758" s="121"/>
      <c r="C758" s="129"/>
      <c r="D758" s="121"/>
      <c r="E758" s="129"/>
      <c r="F758" s="129"/>
      <c r="G758" s="129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9"/>
      <c r="S758" s="121"/>
      <c r="T758" s="131"/>
      <c r="U758" s="121"/>
      <c r="V758" s="121"/>
      <c r="W758" s="121"/>
      <c r="X758" s="130"/>
      <c r="Y758" s="121"/>
      <c r="Z758" s="129"/>
      <c r="AA758" s="129"/>
      <c r="AB758" s="129"/>
      <c r="AC758" s="121"/>
      <c r="AD758" s="121"/>
      <c r="AE758" s="121"/>
      <c r="AF758" s="121"/>
      <c r="AG758" s="121"/>
      <c r="AH758" s="121"/>
    </row>
    <row r="759" spans="1:34" ht="12.75">
      <c r="A759" s="121"/>
      <c r="B759" s="121"/>
      <c r="C759" s="129"/>
      <c r="D759" s="121"/>
      <c r="E759" s="129"/>
      <c r="F759" s="129"/>
      <c r="G759" s="129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9"/>
      <c r="S759" s="121"/>
      <c r="T759" s="131"/>
      <c r="U759" s="121"/>
      <c r="V759" s="121"/>
      <c r="W759" s="121"/>
      <c r="X759" s="130"/>
      <c r="Y759" s="121"/>
      <c r="Z759" s="129"/>
      <c r="AA759" s="129"/>
      <c r="AB759" s="129"/>
      <c r="AC759" s="121"/>
      <c r="AD759" s="121"/>
      <c r="AE759" s="121"/>
      <c r="AF759" s="121"/>
      <c r="AG759" s="121"/>
      <c r="AH759" s="121"/>
    </row>
    <row r="760" spans="1:34" ht="12.75">
      <c r="A760" s="121"/>
      <c r="B760" s="121"/>
      <c r="C760" s="129"/>
      <c r="D760" s="121"/>
      <c r="E760" s="129"/>
      <c r="F760" s="129"/>
      <c r="G760" s="129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9"/>
      <c r="S760" s="121"/>
      <c r="T760" s="131"/>
      <c r="U760" s="121"/>
      <c r="V760" s="121"/>
      <c r="W760" s="121"/>
      <c r="X760" s="130"/>
      <c r="Y760" s="121"/>
      <c r="Z760" s="129"/>
      <c r="AA760" s="129"/>
      <c r="AB760" s="129"/>
      <c r="AC760" s="121"/>
      <c r="AD760" s="121"/>
      <c r="AE760" s="121"/>
      <c r="AF760" s="121"/>
      <c r="AG760" s="121"/>
      <c r="AH760" s="121"/>
    </row>
    <row r="761" spans="1:34" ht="12.75">
      <c r="A761" s="121"/>
      <c r="B761" s="121"/>
      <c r="C761" s="129"/>
      <c r="D761" s="121"/>
      <c r="E761" s="129"/>
      <c r="F761" s="129"/>
      <c r="G761" s="129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9"/>
      <c r="S761" s="121"/>
      <c r="T761" s="131"/>
      <c r="U761" s="121"/>
      <c r="V761" s="121"/>
      <c r="W761" s="121"/>
      <c r="X761" s="130"/>
      <c r="Y761" s="121"/>
      <c r="Z761" s="129"/>
      <c r="AA761" s="129"/>
      <c r="AB761" s="129"/>
      <c r="AC761" s="121"/>
      <c r="AD761" s="121"/>
      <c r="AE761" s="121"/>
      <c r="AF761" s="121"/>
      <c r="AG761" s="121"/>
      <c r="AH761" s="121"/>
    </row>
    <row r="762" spans="1:34" ht="12.75">
      <c r="A762" s="121"/>
      <c r="B762" s="121"/>
      <c r="C762" s="129"/>
      <c r="D762" s="121"/>
      <c r="E762" s="129"/>
      <c r="F762" s="129"/>
      <c r="G762" s="129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9"/>
      <c r="S762" s="121"/>
      <c r="T762" s="131"/>
      <c r="U762" s="121"/>
      <c r="V762" s="121"/>
      <c r="W762" s="121"/>
      <c r="X762" s="130"/>
      <c r="Y762" s="121"/>
      <c r="Z762" s="129"/>
      <c r="AA762" s="129"/>
      <c r="AB762" s="129"/>
      <c r="AC762" s="121"/>
      <c r="AD762" s="121"/>
      <c r="AE762" s="121"/>
      <c r="AF762" s="121"/>
      <c r="AG762" s="121"/>
      <c r="AH762" s="121"/>
    </row>
    <row r="763" spans="1:34" ht="12.75">
      <c r="A763" s="121"/>
      <c r="B763" s="121"/>
      <c r="C763" s="129"/>
      <c r="D763" s="121"/>
      <c r="E763" s="129"/>
      <c r="F763" s="129"/>
      <c r="G763" s="129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9"/>
      <c r="S763" s="121"/>
      <c r="T763" s="131"/>
      <c r="U763" s="121"/>
      <c r="V763" s="121"/>
      <c r="W763" s="121"/>
      <c r="X763" s="130"/>
      <c r="Y763" s="121"/>
      <c r="Z763" s="129"/>
      <c r="AA763" s="129"/>
      <c r="AB763" s="129"/>
      <c r="AC763" s="121"/>
      <c r="AD763" s="121"/>
      <c r="AE763" s="121"/>
      <c r="AF763" s="121"/>
      <c r="AG763" s="121"/>
      <c r="AH763" s="121"/>
    </row>
    <row r="764" spans="1:34" ht="12.75">
      <c r="A764" s="121"/>
      <c r="B764" s="121"/>
      <c r="C764" s="129"/>
      <c r="D764" s="121"/>
      <c r="E764" s="129"/>
      <c r="F764" s="129"/>
      <c r="G764" s="129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9"/>
      <c r="S764" s="121"/>
      <c r="T764" s="131"/>
      <c r="U764" s="121"/>
      <c r="V764" s="121"/>
      <c r="W764" s="121"/>
      <c r="X764" s="130"/>
      <c r="Y764" s="121"/>
      <c r="Z764" s="129"/>
      <c r="AA764" s="129"/>
      <c r="AB764" s="129"/>
      <c r="AC764" s="121"/>
      <c r="AD764" s="121"/>
      <c r="AE764" s="121"/>
      <c r="AF764" s="121"/>
      <c r="AG764" s="121"/>
      <c r="AH764" s="121"/>
    </row>
    <row r="765" spans="1:34" ht="12.75">
      <c r="A765" s="121"/>
      <c r="B765" s="121"/>
      <c r="C765" s="129"/>
      <c r="D765" s="121"/>
      <c r="E765" s="129"/>
      <c r="F765" s="129"/>
      <c r="G765" s="129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9"/>
      <c r="S765" s="121"/>
      <c r="T765" s="131"/>
      <c r="U765" s="121"/>
      <c r="V765" s="121"/>
      <c r="W765" s="121"/>
      <c r="X765" s="130"/>
      <c r="Y765" s="121"/>
      <c r="Z765" s="129"/>
      <c r="AA765" s="129"/>
      <c r="AB765" s="129"/>
      <c r="AC765" s="121"/>
      <c r="AD765" s="121"/>
      <c r="AE765" s="121"/>
      <c r="AF765" s="121"/>
      <c r="AG765" s="121"/>
      <c r="AH765" s="121"/>
    </row>
    <row r="766" spans="1:34" ht="12.75">
      <c r="A766" s="121"/>
      <c r="B766" s="121"/>
      <c r="C766" s="129"/>
      <c r="D766" s="121"/>
      <c r="E766" s="129"/>
      <c r="F766" s="129"/>
      <c r="G766" s="129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9"/>
      <c r="S766" s="121"/>
      <c r="T766" s="131"/>
      <c r="U766" s="121"/>
      <c r="V766" s="121"/>
      <c r="W766" s="121"/>
      <c r="X766" s="130"/>
      <c r="Y766" s="121"/>
      <c r="Z766" s="129"/>
      <c r="AA766" s="129"/>
      <c r="AB766" s="129"/>
      <c r="AC766" s="121"/>
      <c r="AD766" s="121"/>
      <c r="AE766" s="121"/>
      <c r="AF766" s="121"/>
      <c r="AG766" s="121"/>
      <c r="AH766" s="121"/>
    </row>
    <row r="767" spans="1:34" ht="12.75">
      <c r="A767" s="121"/>
      <c r="B767" s="121"/>
      <c r="C767" s="129"/>
      <c r="D767" s="121"/>
      <c r="E767" s="129"/>
      <c r="F767" s="129"/>
      <c r="G767" s="129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9"/>
      <c r="S767" s="121"/>
      <c r="T767" s="131"/>
      <c r="U767" s="121"/>
      <c r="V767" s="121"/>
      <c r="W767" s="121"/>
      <c r="X767" s="130"/>
      <c r="Y767" s="121"/>
      <c r="Z767" s="129"/>
      <c r="AA767" s="129"/>
      <c r="AB767" s="129"/>
      <c r="AC767" s="121"/>
      <c r="AD767" s="121"/>
      <c r="AE767" s="121"/>
      <c r="AF767" s="121"/>
      <c r="AG767" s="121"/>
      <c r="AH767" s="121"/>
    </row>
    <row r="768" spans="1:34" ht="12.75">
      <c r="A768" s="121"/>
      <c r="B768" s="121"/>
      <c r="C768" s="129"/>
      <c r="D768" s="121"/>
      <c r="E768" s="129"/>
      <c r="F768" s="129"/>
      <c r="G768" s="129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9"/>
      <c r="S768" s="121"/>
      <c r="T768" s="131"/>
      <c r="U768" s="121"/>
      <c r="V768" s="121"/>
      <c r="W768" s="121"/>
      <c r="X768" s="130"/>
      <c r="Y768" s="121"/>
      <c r="Z768" s="129"/>
      <c r="AA768" s="129"/>
      <c r="AB768" s="129"/>
      <c r="AC768" s="121"/>
      <c r="AD768" s="121"/>
      <c r="AE768" s="121"/>
      <c r="AF768" s="121"/>
      <c r="AG768" s="121"/>
      <c r="AH768" s="121"/>
    </row>
    <row r="769" spans="1:34" ht="12.75">
      <c r="A769" s="121"/>
      <c r="B769" s="121"/>
      <c r="C769" s="129"/>
      <c r="D769" s="121"/>
      <c r="E769" s="129"/>
      <c r="F769" s="129"/>
      <c r="G769" s="129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9"/>
      <c r="S769" s="121"/>
      <c r="T769" s="131"/>
      <c r="U769" s="121"/>
      <c r="V769" s="121"/>
      <c r="W769" s="121"/>
      <c r="X769" s="130"/>
      <c r="Y769" s="121"/>
      <c r="Z769" s="129"/>
      <c r="AA769" s="129"/>
      <c r="AB769" s="129"/>
      <c r="AC769" s="121"/>
      <c r="AD769" s="121"/>
      <c r="AE769" s="121"/>
      <c r="AF769" s="121"/>
      <c r="AG769" s="121"/>
      <c r="AH769" s="121"/>
    </row>
    <row r="770" spans="1:34" ht="12.75">
      <c r="A770" s="121"/>
      <c r="B770" s="121"/>
      <c r="C770" s="129"/>
      <c r="D770" s="121"/>
      <c r="E770" s="129"/>
      <c r="F770" s="129"/>
      <c r="G770" s="129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9"/>
      <c r="S770" s="121"/>
      <c r="T770" s="131"/>
      <c r="U770" s="121"/>
      <c r="V770" s="121"/>
      <c r="W770" s="121"/>
      <c r="X770" s="130"/>
      <c r="Y770" s="121"/>
      <c r="Z770" s="129"/>
      <c r="AA770" s="129"/>
      <c r="AB770" s="129"/>
      <c r="AC770" s="121"/>
      <c r="AD770" s="121"/>
      <c r="AE770" s="121"/>
      <c r="AF770" s="121"/>
      <c r="AG770" s="121"/>
      <c r="AH770" s="121"/>
    </row>
    <row r="771" spans="1:34" ht="12.75">
      <c r="A771" s="121"/>
      <c r="B771" s="121"/>
      <c r="C771" s="129"/>
      <c r="D771" s="121"/>
      <c r="E771" s="129"/>
      <c r="F771" s="129"/>
      <c r="G771" s="129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9"/>
      <c r="S771" s="121"/>
      <c r="T771" s="131"/>
      <c r="U771" s="121"/>
      <c r="V771" s="121"/>
      <c r="W771" s="121"/>
      <c r="X771" s="130"/>
      <c r="Y771" s="121"/>
      <c r="Z771" s="129"/>
      <c r="AA771" s="129"/>
      <c r="AB771" s="129"/>
      <c r="AC771" s="121"/>
      <c r="AD771" s="121"/>
      <c r="AE771" s="121"/>
      <c r="AF771" s="121"/>
      <c r="AG771" s="121"/>
      <c r="AH771" s="121"/>
    </row>
    <row r="772" spans="1:34" ht="12.75">
      <c r="A772" s="121"/>
      <c r="B772" s="121"/>
      <c r="C772" s="129"/>
      <c r="D772" s="121"/>
      <c r="E772" s="129"/>
      <c r="F772" s="129"/>
      <c r="G772" s="129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9"/>
      <c r="S772" s="121"/>
      <c r="T772" s="131"/>
      <c r="U772" s="121"/>
      <c r="V772" s="121"/>
      <c r="W772" s="121"/>
      <c r="X772" s="130"/>
      <c r="Y772" s="121"/>
      <c r="Z772" s="129"/>
      <c r="AA772" s="129"/>
      <c r="AB772" s="129"/>
      <c r="AC772" s="121"/>
      <c r="AD772" s="121"/>
      <c r="AE772" s="121"/>
      <c r="AF772" s="121"/>
      <c r="AG772" s="121"/>
      <c r="AH772" s="121"/>
    </row>
    <row r="773" spans="1:34" ht="12.75">
      <c r="A773" s="121"/>
      <c r="B773" s="121"/>
      <c r="C773" s="129"/>
      <c r="D773" s="121"/>
      <c r="E773" s="129"/>
      <c r="F773" s="129"/>
      <c r="G773" s="129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9"/>
      <c r="S773" s="121"/>
      <c r="T773" s="131"/>
      <c r="U773" s="121"/>
      <c r="V773" s="121"/>
      <c r="W773" s="121"/>
      <c r="X773" s="130"/>
      <c r="Y773" s="121"/>
      <c r="Z773" s="129"/>
      <c r="AA773" s="129"/>
      <c r="AB773" s="129"/>
      <c r="AC773" s="121"/>
      <c r="AD773" s="121"/>
      <c r="AE773" s="121"/>
      <c r="AF773" s="121"/>
      <c r="AG773" s="121"/>
      <c r="AH773" s="121"/>
    </row>
    <row r="774" spans="1:34" ht="12.75">
      <c r="A774" s="121"/>
      <c r="B774" s="121"/>
      <c r="C774" s="129"/>
      <c r="D774" s="121"/>
      <c r="E774" s="129"/>
      <c r="F774" s="129"/>
      <c r="G774" s="129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9"/>
      <c r="S774" s="121"/>
      <c r="T774" s="131"/>
      <c r="U774" s="121"/>
      <c r="V774" s="121"/>
      <c r="W774" s="121"/>
      <c r="X774" s="130"/>
      <c r="Y774" s="121"/>
      <c r="Z774" s="129"/>
      <c r="AA774" s="129"/>
      <c r="AB774" s="129"/>
      <c r="AC774" s="121"/>
      <c r="AD774" s="121"/>
      <c r="AE774" s="121"/>
      <c r="AF774" s="121"/>
      <c r="AG774" s="121"/>
      <c r="AH774" s="121"/>
    </row>
    <row r="775" spans="1:34" ht="12.75">
      <c r="A775" s="121"/>
      <c r="B775" s="121"/>
      <c r="C775" s="129"/>
      <c r="D775" s="121"/>
      <c r="E775" s="129"/>
      <c r="F775" s="129"/>
      <c r="G775" s="129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9"/>
      <c r="S775" s="121"/>
      <c r="T775" s="131"/>
      <c r="U775" s="121"/>
      <c r="V775" s="121"/>
      <c r="W775" s="121"/>
      <c r="X775" s="130"/>
      <c r="Y775" s="121"/>
      <c r="Z775" s="129"/>
      <c r="AA775" s="129"/>
      <c r="AB775" s="129"/>
      <c r="AC775" s="121"/>
      <c r="AD775" s="121"/>
      <c r="AE775" s="121"/>
      <c r="AF775" s="121"/>
      <c r="AG775" s="121"/>
      <c r="AH775" s="121"/>
    </row>
    <row r="776" spans="1:34" ht="12.75">
      <c r="A776" s="121"/>
      <c r="B776" s="121"/>
      <c r="C776" s="129"/>
      <c r="D776" s="121"/>
      <c r="E776" s="129"/>
      <c r="F776" s="129"/>
      <c r="G776" s="129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9"/>
      <c r="S776" s="121"/>
      <c r="T776" s="131"/>
      <c r="U776" s="121"/>
      <c r="V776" s="121"/>
      <c r="W776" s="121"/>
      <c r="X776" s="130"/>
      <c r="Y776" s="121"/>
      <c r="Z776" s="129"/>
      <c r="AA776" s="129"/>
      <c r="AB776" s="129"/>
      <c r="AC776" s="121"/>
      <c r="AD776" s="121"/>
      <c r="AE776" s="121"/>
      <c r="AF776" s="121"/>
      <c r="AG776" s="121"/>
      <c r="AH776" s="121"/>
    </row>
    <row r="777" spans="1:34" ht="12.75">
      <c r="A777" s="121"/>
      <c r="B777" s="121"/>
      <c r="C777" s="129"/>
      <c r="D777" s="121"/>
      <c r="E777" s="129"/>
      <c r="F777" s="129"/>
      <c r="G777" s="129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9"/>
      <c r="S777" s="121"/>
      <c r="T777" s="131"/>
      <c r="U777" s="121"/>
      <c r="V777" s="121"/>
      <c r="W777" s="121"/>
      <c r="X777" s="130"/>
      <c r="Y777" s="121"/>
      <c r="Z777" s="129"/>
      <c r="AA777" s="129"/>
      <c r="AB777" s="129"/>
      <c r="AC777" s="121"/>
      <c r="AD777" s="121"/>
      <c r="AE777" s="121"/>
      <c r="AF777" s="121"/>
      <c r="AG777" s="121"/>
      <c r="AH777" s="121"/>
    </row>
    <row r="778" spans="1:34" ht="12.75">
      <c r="A778" s="121"/>
      <c r="B778" s="121"/>
      <c r="C778" s="129"/>
      <c r="D778" s="121"/>
      <c r="E778" s="129"/>
      <c r="F778" s="129"/>
      <c r="G778" s="129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9"/>
      <c r="S778" s="121"/>
      <c r="T778" s="131"/>
      <c r="U778" s="121"/>
      <c r="V778" s="121"/>
      <c r="W778" s="121"/>
      <c r="X778" s="130"/>
      <c r="Y778" s="121"/>
      <c r="Z778" s="129"/>
      <c r="AA778" s="129"/>
      <c r="AB778" s="129"/>
      <c r="AC778" s="121"/>
      <c r="AD778" s="121"/>
      <c r="AE778" s="121"/>
      <c r="AF778" s="121"/>
      <c r="AG778" s="121"/>
      <c r="AH778" s="121"/>
    </row>
    <row r="779" spans="1:34" ht="12.75">
      <c r="A779" s="121"/>
      <c r="B779" s="121"/>
      <c r="C779" s="129"/>
      <c r="D779" s="121"/>
      <c r="E779" s="129"/>
      <c r="F779" s="129"/>
      <c r="G779" s="129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9"/>
      <c r="S779" s="121"/>
      <c r="T779" s="131"/>
      <c r="U779" s="121"/>
      <c r="V779" s="121"/>
      <c r="W779" s="121"/>
      <c r="X779" s="130"/>
      <c r="Y779" s="121"/>
      <c r="Z779" s="129"/>
      <c r="AA779" s="129"/>
      <c r="AB779" s="129"/>
      <c r="AC779" s="121"/>
      <c r="AD779" s="121"/>
      <c r="AE779" s="121"/>
      <c r="AF779" s="121"/>
      <c r="AG779" s="121"/>
      <c r="AH779" s="121"/>
    </row>
    <row r="780" spans="1:34" ht="12.75">
      <c r="A780" s="121"/>
      <c r="B780" s="121"/>
      <c r="C780" s="129"/>
      <c r="D780" s="121"/>
      <c r="E780" s="129"/>
      <c r="F780" s="129"/>
      <c r="G780" s="129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9"/>
      <c r="S780" s="121"/>
      <c r="T780" s="131"/>
      <c r="U780" s="121"/>
      <c r="V780" s="121"/>
      <c r="W780" s="121"/>
      <c r="X780" s="130"/>
      <c r="Y780" s="121"/>
      <c r="Z780" s="129"/>
      <c r="AA780" s="129"/>
      <c r="AB780" s="129"/>
      <c r="AC780" s="121"/>
      <c r="AD780" s="121"/>
      <c r="AE780" s="121"/>
      <c r="AF780" s="121"/>
      <c r="AG780" s="121"/>
      <c r="AH780" s="121"/>
    </row>
    <row r="781" spans="1:34" ht="12.75">
      <c r="A781" s="121"/>
      <c r="B781" s="121"/>
      <c r="C781" s="129"/>
      <c r="D781" s="121"/>
      <c r="E781" s="129"/>
      <c r="F781" s="129"/>
      <c r="G781" s="129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9"/>
      <c r="S781" s="121"/>
      <c r="T781" s="131"/>
      <c r="U781" s="121"/>
      <c r="V781" s="121"/>
      <c r="W781" s="121"/>
      <c r="X781" s="130"/>
      <c r="Y781" s="121"/>
      <c r="Z781" s="129"/>
      <c r="AA781" s="129"/>
      <c r="AB781" s="129"/>
      <c r="AC781" s="121"/>
      <c r="AD781" s="121"/>
      <c r="AE781" s="121"/>
      <c r="AF781" s="121"/>
      <c r="AG781" s="121"/>
      <c r="AH781" s="121"/>
    </row>
    <row r="782" spans="1:34" ht="12.75">
      <c r="A782" s="121"/>
      <c r="B782" s="121"/>
      <c r="C782" s="129"/>
      <c r="D782" s="121"/>
      <c r="E782" s="129"/>
      <c r="F782" s="129"/>
      <c r="G782" s="129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9"/>
      <c r="S782" s="121"/>
      <c r="T782" s="131"/>
      <c r="U782" s="121"/>
      <c r="V782" s="121"/>
      <c r="W782" s="121"/>
      <c r="X782" s="130"/>
      <c r="Y782" s="121"/>
      <c r="Z782" s="129"/>
      <c r="AA782" s="129"/>
      <c r="AB782" s="129"/>
      <c r="AC782" s="121"/>
      <c r="AD782" s="121"/>
      <c r="AE782" s="121"/>
      <c r="AF782" s="121"/>
      <c r="AG782" s="121"/>
      <c r="AH782" s="121"/>
    </row>
    <row r="783" spans="1:34" ht="12.75">
      <c r="A783" s="121"/>
      <c r="B783" s="121"/>
      <c r="C783" s="129"/>
      <c r="D783" s="121"/>
      <c r="E783" s="129"/>
      <c r="F783" s="129"/>
      <c r="G783" s="129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9"/>
      <c r="S783" s="121"/>
      <c r="T783" s="131"/>
      <c r="U783" s="121"/>
      <c r="V783" s="121"/>
      <c r="W783" s="121"/>
      <c r="X783" s="130"/>
      <c r="Y783" s="121"/>
      <c r="Z783" s="129"/>
      <c r="AA783" s="129"/>
      <c r="AB783" s="129"/>
      <c r="AC783" s="121"/>
      <c r="AD783" s="121"/>
      <c r="AE783" s="121"/>
      <c r="AF783" s="121"/>
      <c r="AG783" s="121"/>
      <c r="AH783" s="121"/>
    </row>
    <row r="784" spans="1:34" ht="12.75">
      <c r="A784" s="121"/>
      <c r="B784" s="121"/>
      <c r="C784" s="129"/>
      <c r="D784" s="121"/>
      <c r="E784" s="129"/>
      <c r="F784" s="129"/>
      <c r="G784" s="129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9"/>
      <c r="S784" s="121"/>
      <c r="T784" s="131"/>
      <c r="U784" s="121"/>
      <c r="V784" s="121"/>
      <c r="W784" s="121"/>
      <c r="X784" s="130"/>
      <c r="Y784" s="121"/>
      <c r="Z784" s="129"/>
      <c r="AA784" s="129"/>
      <c r="AB784" s="129"/>
      <c r="AC784" s="121"/>
      <c r="AD784" s="121"/>
      <c r="AE784" s="121"/>
      <c r="AF784" s="121"/>
      <c r="AG784" s="121"/>
      <c r="AH784" s="121"/>
    </row>
    <row r="785" spans="1:34" ht="12.75">
      <c r="A785" s="121"/>
      <c r="B785" s="121"/>
      <c r="C785" s="129"/>
      <c r="D785" s="121"/>
      <c r="E785" s="129"/>
      <c r="F785" s="129"/>
      <c r="G785" s="129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9"/>
      <c r="S785" s="121"/>
      <c r="T785" s="131"/>
      <c r="U785" s="121"/>
      <c r="V785" s="121"/>
      <c r="W785" s="121"/>
      <c r="X785" s="130"/>
      <c r="Y785" s="121"/>
      <c r="Z785" s="129"/>
      <c r="AA785" s="129"/>
      <c r="AB785" s="129"/>
      <c r="AC785" s="121"/>
      <c r="AD785" s="121"/>
      <c r="AE785" s="121"/>
      <c r="AF785" s="121"/>
      <c r="AG785" s="121"/>
      <c r="AH785" s="121"/>
    </row>
    <row r="786" spans="1:34" ht="12.75">
      <c r="A786" s="121"/>
      <c r="B786" s="121"/>
      <c r="C786" s="129"/>
      <c r="D786" s="121"/>
      <c r="E786" s="129"/>
      <c r="F786" s="129"/>
      <c r="G786" s="129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9"/>
      <c r="S786" s="121"/>
      <c r="T786" s="131"/>
      <c r="U786" s="121"/>
      <c r="V786" s="121"/>
      <c r="W786" s="121"/>
      <c r="X786" s="130"/>
      <c r="Y786" s="121"/>
      <c r="Z786" s="129"/>
      <c r="AA786" s="129"/>
      <c r="AB786" s="129"/>
      <c r="AC786" s="121"/>
      <c r="AD786" s="121"/>
      <c r="AE786" s="121"/>
      <c r="AF786" s="121"/>
      <c r="AG786" s="121"/>
      <c r="AH786" s="121"/>
    </row>
    <row r="787" spans="1:34" ht="12.75">
      <c r="A787" s="121"/>
      <c r="B787" s="121"/>
      <c r="C787" s="129"/>
      <c r="D787" s="121"/>
      <c r="E787" s="129"/>
      <c r="F787" s="129"/>
      <c r="G787" s="129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9"/>
      <c r="S787" s="121"/>
      <c r="T787" s="131"/>
      <c r="U787" s="121"/>
      <c r="V787" s="121"/>
      <c r="W787" s="121"/>
      <c r="X787" s="130"/>
      <c r="Y787" s="121"/>
      <c r="Z787" s="129"/>
      <c r="AA787" s="129"/>
      <c r="AB787" s="129"/>
      <c r="AC787" s="121"/>
      <c r="AD787" s="121"/>
      <c r="AE787" s="121"/>
      <c r="AF787" s="121"/>
      <c r="AG787" s="121"/>
      <c r="AH787" s="121"/>
    </row>
    <row r="788" spans="1:34" ht="12.75">
      <c r="A788" s="121"/>
      <c r="B788" s="121"/>
      <c r="C788" s="129"/>
      <c r="D788" s="121"/>
      <c r="E788" s="129"/>
      <c r="F788" s="129"/>
      <c r="G788" s="129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9"/>
      <c r="S788" s="121"/>
      <c r="T788" s="131"/>
      <c r="U788" s="121"/>
      <c r="V788" s="121"/>
      <c r="W788" s="121"/>
      <c r="X788" s="130"/>
      <c r="Y788" s="121"/>
      <c r="Z788" s="129"/>
      <c r="AA788" s="129"/>
      <c r="AB788" s="129"/>
      <c r="AC788" s="121"/>
      <c r="AD788" s="121"/>
      <c r="AE788" s="121"/>
      <c r="AF788" s="121"/>
      <c r="AG788" s="121"/>
      <c r="AH788" s="121"/>
    </row>
    <row r="789" spans="1:34" ht="12.75">
      <c r="A789" s="121"/>
      <c r="B789" s="121"/>
      <c r="C789" s="129"/>
      <c r="D789" s="121"/>
      <c r="E789" s="129"/>
      <c r="F789" s="129"/>
      <c r="G789" s="129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9"/>
      <c r="S789" s="121"/>
      <c r="T789" s="131"/>
      <c r="U789" s="121"/>
      <c r="V789" s="121"/>
      <c r="W789" s="121"/>
      <c r="X789" s="130"/>
      <c r="Y789" s="121"/>
      <c r="Z789" s="129"/>
      <c r="AA789" s="129"/>
      <c r="AB789" s="129"/>
      <c r="AC789" s="121"/>
      <c r="AD789" s="121"/>
      <c r="AE789" s="121"/>
      <c r="AF789" s="121"/>
      <c r="AG789" s="121"/>
      <c r="AH789" s="121"/>
    </row>
    <row r="790" spans="1:34" ht="12.75">
      <c r="A790" s="121"/>
      <c r="B790" s="121"/>
      <c r="C790" s="129"/>
      <c r="D790" s="121"/>
      <c r="E790" s="129"/>
      <c r="F790" s="129"/>
      <c r="G790" s="129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9"/>
      <c r="S790" s="121"/>
      <c r="T790" s="131"/>
      <c r="U790" s="121"/>
      <c r="V790" s="121"/>
      <c r="W790" s="121"/>
      <c r="X790" s="130"/>
      <c r="Y790" s="121"/>
      <c r="Z790" s="129"/>
      <c r="AA790" s="129"/>
      <c r="AB790" s="129"/>
      <c r="AC790" s="121"/>
      <c r="AD790" s="121"/>
      <c r="AE790" s="121"/>
      <c r="AF790" s="121"/>
      <c r="AG790" s="121"/>
      <c r="AH790" s="121"/>
    </row>
    <row r="791" spans="1:34" ht="12.75">
      <c r="A791" s="121"/>
      <c r="B791" s="121"/>
      <c r="C791" s="129"/>
      <c r="D791" s="121"/>
      <c r="E791" s="129"/>
      <c r="F791" s="129"/>
      <c r="G791" s="129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9"/>
      <c r="S791" s="121"/>
      <c r="T791" s="131"/>
      <c r="U791" s="121"/>
      <c r="V791" s="121"/>
      <c r="W791" s="121"/>
      <c r="X791" s="130"/>
      <c r="Y791" s="121"/>
      <c r="Z791" s="129"/>
      <c r="AA791" s="129"/>
      <c r="AB791" s="129"/>
      <c r="AC791" s="121"/>
      <c r="AD791" s="121"/>
      <c r="AE791" s="121"/>
      <c r="AF791" s="121"/>
      <c r="AG791" s="121"/>
      <c r="AH791" s="121"/>
    </row>
    <row r="792" spans="1:34" ht="12.75">
      <c r="A792" s="121"/>
      <c r="B792" s="121"/>
      <c r="C792" s="129"/>
      <c r="D792" s="121"/>
      <c r="E792" s="129"/>
      <c r="F792" s="129"/>
      <c r="G792" s="129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9"/>
      <c r="S792" s="121"/>
      <c r="T792" s="131"/>
      <c r="U792" s="121"/>
      <c r="V792" s="121"/>
      <c r="W792" s="121"/>
      <c r="X792" s="130"/>
      <c r="Y792" s="121"/>
      <c r="Z792" s="129"/>
      <c r="AA792" s="129"/>
      <c r="AB792" s="129"/>
      <c r="AC792" s="121"/>
      <c r="AD792" s="121"/>
      <c r="AE792" s="121"/>
      <c r="AF792" s="121"/>
      <c r="AG792" s="121"/>
      <c r="AH792" s="121"/>
    </row>
    <row r="793" spans="1:34" ht="12.75">
      <c r="A793" s="121"/>
      <c r="B793" s="121"/>
      <c r="C793" s="129"/>
      <c r="D793" s="121"/>
      <c r="E793" s="129"/>
      <c r="F793" s="129"/>
      <c r="G793" s="129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9"/>
      <c r="S793" s="121"/>
      <c r="T793" s="131"/>
      <c r="U793" s="121"/>
      <c r="V793" s="121"/>
      <c r="W793" s="121"/>
      <c r="X793" s="130"/>
      <c r="Y793" s="121"/>
      <c r="Z793" s="129"/>
      <c r="AA793" s="129"/>
      <c r="AB793" s="129"/>
      <c r="AC793" s="121"/>
      <c r="AD793" s="121"/>
      <c r="AE793" s="121"/>
      <c r="AF793" s="121"/>
      <c r="AG793" s="121"/>
      <c r="AH793" s="121"/>
    </row>
    <row r="794" spans="1:34" ht="12.75">
      <c r="A794" s="121"/>
      <c r="B794" s="121"/>
      <c r="C794" s="129"/>
      <c r="D794" s="121"/>
      <c r="E794" s="129"/>
      <c r="F794" s="129"/>
      <c r="G794" s="129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9"/>
      <c r="S794" s="121"/>
      <c r="T794" s="131"/>
      <c r="U794" s="121"/>
      <c r="V794" s="121"/>
      <c r="W794" s="121"/>
      <c r="X794" s="130"/>
      <c r="Y794" s="121"/>
      <c r="Z794" s="129"/>
      <c r="AA794" s="129"/>
      <c r="AB794" s="129"/>
      <c r="AC794" s="121"/>
      <c r="AD794" s="121"/>
      <c r="AE794" s="121"/>
      <c r="AF794" s="121"/>
      <c r="AG794" s="121"/>
      <c r="AH794" s="121"/>
    </row>
    <row r="795" spans="1:34" ht="12.75">
      <c r="A795" s="121"/>
      <c r="B795" s="121"/>
      <c r="C795" s="129"/>
      <c r="D795" s="121"/>
      <c r="E795" s="129"/>
      <c r="F795" s="129"/>
      <c r="G795" s="129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9"/>
      <c r="S795" s="121"/>
      <c r="T795" s="131"/>
      <c r="U795" s="121"/>
      <c r="V795" s="121"/>
      <c r="W795" s="121"/>
      <c r="X795" s="130"/>
      <c r="Y795" s="121"/>
      <c r="Z795" s="129"/>
      <c r="AA795" s="129"/>
      <c r="AB795" s="129"/>
      <c r="AC795" s="121"/>
      <c r="AD795" s="121"/>
      <c r="AE795" s="121"/>
      <c r="AF795" s="121"/>
      <c r="AG795" s="121"/>
      <c r="AH795" s="121"/>
    </row>
    <row r="796" spans="1:34" ht="12.75">
      <c r="A796" s="121"/>
      <c r="B796" s="121"/>
      <c r="C796" s="129"/>
      <c r="D796" s="121"/>
      <c r="E796" s="129"/>
      <c r="F796" s="129"/>
      <c r="G796" s="129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9"/>
      <c r="S796" s="121"/>
      <c r="T796" s="131"/>
      <c r="U796" s="121"/>
      <c r="V796" s="121"/>
      <c r="W796" s="121"/>
      <c r="X796" s="130"/>
      <c r="Y796" s="121"/>
      <c r="Z796" s="129"/>
      <c r="AA796" s="129"/>
      <c r="AB796" s="129"/>
      <c r="AC796" s="121"/>
      <c r="AD796" s="121"/>
      <c r="AE796" s="121"/>
      <c r="AF796" s="121"/>
      <c r="AG796" s="121"/>
      <c r="AH796" s="121"/>
    </row>
    <row r="797" spans="1:34" ht="12.75">
      <c r="A797" s="121"/>
      <c r="B797" s="121"/>
      <c r="C797" s="129"/>
      <c r="D797" s="121"/>
      <c r="E797" s="129"/>
      <c r="F797" s="129"/>
      <c r="G797" s="129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9"/>
      <c r="S797" s="121"/>
      <c r="T797" s="131"/>
      <c r="U797" s="121"/>
      <c r="V797" s="121"/>
      <c r="W797" s="121"/>
      <c r="X797" s="130"/>
      <c r="Y797" s="121"/>
      <c r="Z797" s="129"/>
      <c r="AA797" s="129"/>
      <c r="AB797" s="129"/>
      <c r="AC797" s="121"/>
      <c r="AD797" s="121"/>
      <c r="AE797" s="121"/>
      <c r="AF797" s="121"/>
      <c r="AG797" s="121"/>
      <c r="AH797" s="121"/>
    </row>
    <row r="798" spans="1:34" ht="12.75">
      <c r="A798" s="121"/>
      <c r="B798" s="121"/>
      <c r="C798" s="129"/>
      <c r="D798" s="121"/>
      <c r="E798" s="129"/>
      <c r="F798" s="129"/>
      <c r="G798" s="129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9"/>
      <c r="S798" s="121"/>
      <c r="T798" s="131"/>
      <c r="U798" s="121"/>
      <c r="V798" s="121"/>
      <c r="W798" s="121"/>
      <c r="X798" s="130"/>
      <c r="Y798" s="121"/>
      <c r="Z798" s="129"/>
      <c r="AA798" s="129"/>
      <c r="AB798" s="129"/>
      <c r="AC798" s="121"/>
      <c r="AD798" s="121"/>
      <c r="AE798" s="121"/>
      <c r="AF798" s="121"/>
      <c r="AG798" s="121"/>
      <c r="AH798" s="121"/>
    </row>
    <row r="799" spans="1:34" ht="12.75">
      <c r="A799" s="121"/>
      <c r="B799" s="121"/>
      <c r="C799" s="129"/>
      <c r="D799" s="121"/>
      <c r="E799" s="129"/>
      <c r="F799" s="129"/>
      <c r="G799" s="129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9"/>
      <c r="S799" s="121"/>
      <c r="T799" s="131"/>
      <c r="U799" s="121"/>
      <c r="V799" s="121"/>
      <c r="W799" s="121"/>
      <c r="X799" s="130"/>
      <c r="Y799" s="121"/>
      <c r="Z799" s="129"/>
      <c r="AA799" s="129"/>
      <c r="AB799" s="129"/>
      <c r="AC799" s="121"/>
      <c r="AD799" s="121"/>
      <c r="AE799" s="121"/>
      <c r="AF799" s="121"/>
      <c r="AG799" s="121"/>
      <c r="AH799" s="121"/>
    </row>
    <row r="800" spans="1:34" ht="12.75">
      <c r="A800" s="121"/>
      <c r="B800" s="121"/>
      <c r="C800" s="129"/>
      <c r="D800" s="121"/>
      <c r="E800" s="129"/>
      <c r="F800" s="129"/>
      <c r="G800" s="129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9"/>
      <c r="S800" s="121"/>
      <c r="T800" s="131"/>
      <c r="U800" s="121"/>
      <c r="V800" s="121"/>
      <c r="W800" s="121"/>
      <c r="X800" s="130"/>
      <c r="Y800" s="121"/>
      <c r="Z800" s="129"/>
      <c r="AA800" s="129"/>
      <c r="AB800" s="129"/>
      <c r="AC800" s="121"/>
      <c r="AD800" s="121"/>
      <c r="AE800" s="121"/>
      <c r="AF800" s="121"/>
      <c r="AG800" s="121"/>
      <c r="AH800" s="121"/>
    </row>
    <row r="801" spans="1:34" ht="12.75">
      <c r="A801" s="121"/>
      <c r="B801" s="121"/>
      <c r="C801" s="129"/>
      <c r="D801" s="121"/>
      <c r="E801" s="129"/>
      <c r="F801" s="129"/>
      <c r="G801" s="129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9"/>
      <c r="S801" s="121"/>
      <c r="T801" s="131"/>
      <c r="U801" s="121"/>
      <c r="V801" s="121"/>
      <c r="W801" s="121"/>
      <c r="X801" s="130"/>
      <c r="Y801" s="121"/>
      <c r="Z801" s="129"/>
      <c r="AA801" s="129"/>
      <c r="AB801" s="129"/>
      <c r="AC801" s="121"/>
      <c r="AD801" s="121"/>
      <c r="AE801" s="121"/>
      <c r="AF801" s="121"/>
      <c r="AG801" s="121"/>
      <c r="AH801" s="121"/>
    </row>
    <row r="802" spans="1:34" ht="12.75">
      <c r="A802" s="121"/>
      <c r="B802" s="121"/>
      <c r="C802" s="129"/>
      <c r="D802" s="121"/>
      <c r="E802" s="129"/>
      <c r="F802" s="129"/>
      <c r="G802" s="129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9"/>
      <c r="S802" s="121"/>
      <c r="T802" s="131"/>
      <c r="U802" s="121"/>
      <c r="V802" s="121"/>
      <c r="W802" s="121"/>
      <c r="X802" s="130"/>
      <c r="Y802" s="121"/>
      <c r="Z802" s="129"/>
      <c r="AA802" s="129"/>
      <c r="AB802" s="129"/>
      <c r="AC802" s="121"/>
      <c r="AD802" s="121"/>
      <c r="AE802" s="121"/>
      <c r="AF802" s="121"/>
      <c r="AG802" s="121"/>
      <c r="AH802" s="121"/>
    </row>
    <row r="803" spans="1:34" ht="12.75">
      <c r="A803" s="121"/>
      <c r="B803" s="121"/>
      <c r="C803" s="129"/>
      <c r="D803" s="121"/>
      <c r="E803" s="129"/>
      <c r="F803" s="129"/>
      <c r="G803" s="129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9"/>
      <c r="S803" s="121"/>
      <c r="T803" s="131"/>
      <c r="U803" s="121"/>
      <c r="V803" s="121"/>
      <c r="W803" s="121"/>
      <c r="X803" s="130"/>
      <c r="Y803" s="121"/>
      <c r="Z803" s="129"/>
      <c r="AA803" s="129"/>
      <c r="AB803" s="129"/>
      <c r="AC803" s="121"/>
      <c r="AD803" s="121"/>
      <c r="AE803" s="121"/>
      <c r="AF803" s="121"/>
      <c r="AG803" s="121"/>
      <c r="AH803" s="121"/>
    </row>
    <row r="804" spans="1:34" ht="12.75">
      <c r="A804" s="121"/>
      <c r="B804" s="121"/>
      <c r="C804" s="129"/>
      <c r="D804" s="121"/>
      <c r="E804" s="129"/>
      <c r="F804" s="129"/>
      <c r="G804" s="129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9"/>
      <c r="S804" s="121"/>
      <c r="T804" s="131"/>
      <c r="U804" s="121"/>
      <c r="V804" s="121"/>
      <c r="W804" s="121"/>
      <c r="X804" s="130"/>
      <c r="Y804" s="121"/>
      <c r="Z804" s="129"/>
      <c r="AA804" s="129"/>
      <c r="AB804" s="129"/>
      <c r="AC804" s="121"/>
      <c r="AD804" s="121"/>
      <c r="AE804" s="121"/>
      <c r="AF804" s="121"/>
      <c r="AG804" s="121"/>
      <c r="AH804" s="121"/>
    </row>
    <row r="805" spans="1:34" ht="12.75">
      <c r="A805" s="121"/>
      <c r="B805" s="121"/>
      <c r="C805" s="129"/>
      <c r="D805" s="121"/>
      <c r="E805" s="129"/>
      <c r="F805" s="129"/>
      <c r="G805" s="129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9"/>
      <c r="S805" s="121"/>
      <c r="T805" s="131"/>
      <c r="U805" s="121"/>
      <c r="V805" s="121"/>
      <c r="W805" s="121"/>
      <c r="X805" s="130"/>
      <c r="Y805" s="121"/>
      <c r="Z805" s="129"/>
      <c r="AA805" s="129"/>
      <c r="AB805" s="129"/>
      <c r="AC805" s="121"/>
      <c r="AD805" s="121"/>
      <c r="AE805" s="121"/>
      <c r="AF805" s="121"/>
      <c r="AG805" s="121"/>
      <c r="AH805" s="121"/>
    </row>
    <row r="806" spans="1:34" ht="12.75">
      <c r="A806" s="121"/>
      <c r="B806" s="121"/>
      <c r="C806" s="129"/>
      <c r="D806" s="121"/>
      <c r="E806" s="129"/>
      <c r="F806" s="129"/>
      <c r="G806" s="129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9"/>
      <c r="S806" s="121"/>
      <c r="T806" s="131"/>
      <c r="U806" s="121"/>
      <c r="V806" s="121"/>
      <c r="W806" s="121"/>
      <c r="X806" s="130"/>
      <c r="Y806" s="121"/>
      <c r="Z806" s="129"/>
      <c r="AA806" s="129"/>
      <c r="AB806" s="129"/>
      <c r="AC806" s="121"/>
      <c r="AD806" s="121"/>
      <c r="AE806" s="121"/>
      <c r="AF806" s="121"/>
      <c r="AG806" s="121"/>
      <c r="AH806" s="121"/>
    </row>
    <row r="807" spans="1:34" ht="12.75">
      <c r="A807" s="121"/>
      <c r="B807" s="121"/>
      <c r="C807" s="129"/>
      <c r="D807" s="121"/>
      <c r="E807" s="129"/>
      <c r="F807" s="129"/>
      <c r="G807" s="129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9"/>
      <c r="S807" s="121"/>
      <c r="T807" s="131"/>
      <c r="U807" s="121"/>
      <c r="V807" s="121"/>
      <c r="W807" s="121"/>
      <c r="X807" s="130"/>
      <c r="Y807" s="121"/>
      <c r="Z807" s="129"/>
      <c r="AA807" s="129"/>
      <c r="AB807" s="129"/>
      <c r="AC807" s="121"/>
      <c r="AD807" s="121"/>
      <c r="AE807" s="121"/>
      <c r="AF807" s="121"/>
      <c r="AG807" s="121"/>
      <c r="AH807" s="121"/>
    </row>
    <row r="808" spans="1:34" ht="12.75">
      <c r="A808" s="121"/>
      <c r="B808" s="121"/>
      <c r="C808" s="129"/>
      <c r="D808" s="121"/>
      <c r="E808" s="129"/>
      <c r="F808" s="129"/>
      <c r="G808" s="129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9"/>
      <c r="S808" s="121"/>
      <c r="T808" s="131"/>
      <c r="U808" s="121"/>
      <c r="V808" s="121"/>
      <c r="W808" s="121"/>
      <c r="X808" s="130"/>
      <c r="Y808" s="121"/>
      <c r="Z808" s="129"/>
      <c r="AA808" s="129"/>
      <c r="AB808" s="129"/>
      <c r="AC808" s="121"/>
      <c r="AD808" s="121"/>
      <c r="AE808" s="121"/>
      <c r="AF808" s="121"/>
      <c r="AG808" s="121"/>
      <c r="AH808" s="121"/>
    </row>
    <row r="809" spans="1:34" ht="12.75">
      <c r="A809" s="121"/>
      <c r="B809" s="121"/>
      <c r="C809" s="129"/>
      <c r="D809" s="121"/>
      <c r="E809" s="129"/>
      <c r="F809" s="129"/>
      <c r="G809" s="129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9"/>
      <c r="S809" s="121"/>
      <c r="T809" s="131"/>
      <c r="U809" s="121"/>
      <c r="V809" s="121"/>
      <c r="W809" s="121"/>
      <c r="X809" s="130"/>
      <c r="Y809" s="121"/>
      <c r="Z809" s="129"/>
      <c r="AA809" s="129"/>
      <c r="AB809" s="129"/>
      <c r="AC809" s="121"/>
      <c r="AD809" s="121"/>
      <c r="AE809" s="121"/>
      <c r="AF809" s="121"/>
      <c r="AG809" s="121"/>
      <c r="AH809" s="121"/>
    </row>
    <row r="810" spans="1:34" ht="12.75">
      <c r="A810" s="121"/>
      <c r="B810" s="121"/>
      <c r="C810" s="129"/>
      <c r="D810" s="121"/>
      <c r="E810" s="129"/>
      <c r="F810" s="129"/>
      <c r="G810" s="129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9"/>
      <c r="S810" s="121"/>
      <c r="T810" s="131"/>
      <c r="U810" s="121"/>
      <c r="V810" s="121"/>
      <c r="W810" s="121"/>
      <c r="X810" s="130"/>
      <c r="Y810" s="121"/>
      <c r="Z810" s="129"/>
      <c r="AA810" s="129"/>
      <c r="AB810" s="129"/>
      <c r="AC810" s="121"/>
      <c r="AD810" s="121"/>
      <c r="AE810" s="121"/>
      <c r="AF810" s="121"/>
      <c r="AG810" s="121"/>
      <c r="AH810" s="121"/>
    </row>
    <row r="811" spans="1:34" ht="12.75">
      <c r="A811" s="121"/>
      <c r="B811" s="121"/>
      <c r="C811" s="129"/>
      <c r="D811" s="121"/>
      <c r="E811" s="129"/>
      <c r="F811" s="129"/>
      <c r="G811" s="129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9"/>
      <c r="S811" s="121"/>
      <c r="T811" s="131"/>
      <c r="U811" s="121"/>
      <c r="V811" s="121"/>
      <c r="W811" s="121"/>
      <c r="X811" s="130"/>
      <c r="Y811" s="121"/>
      <c r="Z811" s="129"/>
      <c r="AA811" s="129"/>
      <c r="AB811" s="129"/>
      <c r="AC811" s="121"/>
      <c r="AD811" s="121"/>
      <c r="AE811" s="121"/>
      <c r="AF811" s="121"/>
      <c r="AG811" s="121"/>
      <c r="AH811" s="121"/>
    </row>
    <row r="812" spans="1:34" ht="12.75">
      <c r="A812" s="121"/>
      <c r="B812" s="121"/>
      <c r="C812" s="129"/>
      <c r="D812" s="121"/>
      <c r="E812" s="129"/>
      <c r="F812" s="129"/>
      <c r="G812" s="129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9"/>
      <c r="S812" s="121"/>
      <c r="T812" s="131"/>
      <c r="U812" s="121"/>
      <c r="V812" s="121"/>
      <c r="W812" s="121"/>
      <c r="X812" s="130"/>
      <c r="Y812" s="121"/>
      <c r="Z812" s="129"/>
      <c r="AA812" s="129"/>
      <c r="AB812" s="129"/>
      <c r="AC812" s="121"/>
      <c r="AD812" s="121"/>
      <c r="AE812" s="121"/>
      <c r="AF812" s="121"/>
      <c r="AG812" s="121"/>
      <c r="AH812" s="121"/>
    </row>
    <row r="813" spans="1:34" ht="12.75">
      <c r="A813" s="121"/>
      <c r="B813" s="121"/>
      <c r="C813" s="129"/>
      <c r="D813" s="121"/>
      <c r="E813" s="129"/>
      <c r="F813" s="129"/>
      <c r="G813" s="129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9"/>
      <c r="S813" s="121"/>
      <c r="T813" s="131"/>
      <c r="U813" s="121"/>
      <c r="V813" s="121"/>
      <c r="W813" s="121"/>
      <c r="X813" s="130"/>
      <c r="Y813" s="121"/>
      <c r="Z813" s="129"/>
      <c r="AA813" s="129"/>
      <c r="AB813" s="129"/>
      <c r="AC813" s="121"/>
      <c r="AD813" s="121"/>
      <c r="AE813" s="121"/>
      <c r="AF813" s="121"/>
      <c r="AG813" s="121"/>
      <c r="AH813" s="121"/>
    </row>
    <row r="814" spans="1:34" ht="12.75">
      <c r="A814" s="121"/>
      <c r="B814" s="121"/>
      <c r="C814" s="129"/>
      <c r="D814" s="121"/>
      <c r="E814" s="129"/>
      <c r="F814" s="129"/>
      <c r="G814" s="129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9"/>
      <c r="S814" s="121"/>
      <c r="T814" s="131"/>
      <c r="U814" s="121"/>
      <c r="V814" s="121"/>
      <c r="W814" s="121"/>
      <c r="X814" s="130"/>
      <c r="Y814" s="121"/>
      <c r="Z814" s="129"/>
      <c r="AA814" s="129"/>
      <c r="AB814" s="129"/>
      <c r="AC814" s="121"/>
      <c r="AD814" s="121"/>
      <c r="AE814" s="121"/>
      <c r="AF814" s="121"/>
      <c r="AG814" s="121"/>
      <c r="AH814" s="121"/>
    </row>
    <row r="815" spans="1:34" ht="12.75">
      <c r="A815" s="121"/>
      <c r="B815" s="121"/>
      <c r="C815" s="129"/>
      <c r="D815" s="121"/>
      <c r="E815" s="129"/>
      <c r="F815" s="129"/>
      <c r="G815" s="129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9"/>
      <c r="S815" s="121"/>
      <c r="T815" s="131"/>
      <c r="U815" s="121"/>
      <c r="V815" s="121"/>
      <c r="W815" s="121"/>
      <c r="X815" s="130"/>
      <c r="Y815" s="121"/>
      <c r="Z815" s="129"/>
      <c r="AA815" s="129"/>
      <c r="AB815" s="129"/>
      <c r="AC815" s="121"/>
      <c r="AD815" s="121"/>
      <c r="AE815" s="121"/>
      <c r="AF815" s="121"/>
      <c r="AG815" s="121"/>
      <c r="AH815" s="121"/>
    </row>
    <row r="816" spans="1:34" ht="12.75">
      <c r="A816" s="121"/>
      <c r="B816" s="121"/>
      <c r="C816" s="129"/>
      <c r="D816" s="121"/>
      <c r="E816" s="129"/>
      <c r="F816" s="129"/>
      <c r="G816" s="129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9"/>
      <c r="S816" s="121"/>
      <c r="T816" s="131"/>
      <c r="U816" s="121"/>
      <c r="V816" s="121"/>
      <c r="W816" s="121"/>
      <c r="X816" s="130"/>
      <c r="Y816" s="121"/>
      <c r="Z816" s="129"/>
      <c r="AA816" s="129"/>
      <c r="AB816" s="129"/>
      <c r="AC816" s="121"/>
      <c r="AD816" s="121"/>
      <c r="AE816" s="121"/>
      <c r="AF816" s="121"/>
      <c r="AG816" s="121"/>
      <c r="AH816" s="121"/>
    </row>
    <row r="817" spans="1:34" ht="12.75">
      <c r="A817" s="121"/>
      <c r="B817" s="121"/>
      <c r="C817" s="129"/>
      <c r="D817" s="121"/>
      <c r="E817" s="129"/>
      <c r="F817" s="129"/>
      <c r="G817" s="129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9"/>
      <c r="S817" s="121"/>
      <c r="T817" s="131"/>
      <c r="U817" s="121"/>
      <c r="V817" s="121"/>
      <c r="W817" s="121"/>
      <c r="X817" s="130"/>
      <c r="Y817" s="121"/>
      <c r="Z817" s="129"/>
      <c r="AA817" s="129"/>
      <c r="AB817" s="129"/>
      <c r="AC817" s="121"/>
      <c r="AD817" s="121"/>
      <c r="AE817" s="121"/>
      <c r="AF817" s="121"/>
      <c r="AG817" s="121"/>
      <c r="AH817" s="121"/>
    </row>
    <row r="818" spans="1:34" ht="12.75">
      <c r="A818" s="121"/>
      <c r="B818" s="121"/>
      <c r="C818" s="129"/>
      <c r="D818" s="121"/>
      <c r="E818" s="129"/>
      <c r="F818" s="129"/>
      <c r="G818" s="129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9"/>
      <c r="S818" s="121"/>
      <c r="T818" s="131"/>
      <c r="U818" s="121"/>
      <c r="V818" s="121"/>
      <c r="W818" s="121"/>
      <c r="X818" s="130"/>
      <c r="Y818" s="121"/>
      <c r="Z818" s="129"/>
      <c r="AA818" s="129"/>
      <c r="AB818" s="129"/>
      <c r="AC818" s="121"/>
      <c r="AD818" s="121"/>
      <c r="AE818" s="121"/>
      <c r="AF818" s="121"/>
      <c r="AG818" s="121"/>
      <c r="AH818" s="121"/>
    </row>
    <row r="819" spans="1:34" ht="12.75">
      <c r="A819" s="121"/>
      <c r="B819" s="121"/>
      <c r="C819" s="129"/>
      <c r="D819" s="121"/>
      <c r="E819" s="129"/>
      <c r="F819" s="129"/>
      <c r="G819" s="129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9"/>
      <c r="S819" s="121"/>
      <c r="T819" s="131"/>
      <c r="U819" s="121"/>
      <c r="V819" s="121"/>
      <c r="W819" s="121"/>
      <c r="X819" s="130"/>
      <c r="Y819" s="121"/>
      <c r="Z819" s="129"/>
      <c r="AA819" s="129"/>
      <c r="AB819" s="129"/>
      <c r="AC819" s="121"/>
      <c r="AD819" s="121"/>
      <c r="AE819" s="121"/>
      <c r="AF819" s="121"/>
      <c r="AG819" s="121"/>
      <c r="AH819" s="121"/>
    </row>
    <row r="820" spans="1:34" ht="12.75">
      <c r="A820" s="121"/>
      <c r="B820" s="121"/>
      <c r="C820" s="129"/>
      <c r="D820" s="121"/>
      <c r="E820" s="129"/>
      <c r="F820" s="129"/>
      <c r="G820" s="129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9"/>
      <c r="S820" s="121"/>
      <c r="T820" s="131"/>
      <c r="U820" s="121"/>
      <c r="V820" s="121"/>
      <c r="W820" s="121"/>
      <c r="X820" s="130"/>
      <c r="Y820" s="121"/>
      <c r="Z820" s="129"/>
      <c r="AA820" s="129"/>
      <c r="AB820" s="129"/>
      <c r="AC820" s="121"/>
      <c r="AD820" s="121"/>
      <c r="AE820" s="121"/>
      <c r="AF820" s="121"/>
      <c r="AG820" s="121"/>
      <c r="AH820" s="121"/>
    </row>
    <row r="821" spans="1:34" ht="12.75">
      <c r="A821" s="121"/>
      <c r="B821" s="121"/>
      <c r="C821" s="129"/>
      <c r="D821" s="121"/>
      <c r="E821" s="129"/>
      <c r="F821" s="129"/>
      <c r="G821" s="129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9"/>
      <c r="S821" s="121"/>
      <c r="T821" s="131"/>
      <c r="U821" s="121"/>
      <c r="V821" s="121"/>
      <c r="W821" s="121"/>
      <c r="X821" s="130"/>
      <c r="Y821" s="121"/>
      <c r="Z821" s="129"/>
      <c r="AA821" s="129"/>
      <c r="AB821" s="129"/>
      <c r="AC821" s="121"/>
      <c r="AD821" s="121"/>
      <c r="AE821" s="121"/>
      <c r="AF821" s="121"/>
      <c r="AG821" s="121"/>
      <c r="AH821" s="121"/>
    </row>
    <row r="822" spans="1:34" ht="12.75">
      <c r="A822" s="121"/>
      <c r="B822" s="121"/>
      <c r="C822" s="129"/>
      <c r="D822" s="121"/>
      <c r="E822" s="129"/>
      <c r="F822" s="129"/>
      <c r="G822" s="129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9"/>
      <c r="S822" s="121"/>
      <c r="T822" s="131"/>
      <c r="U822" s="121"/>
      <c r="V822" s="121"/>
      <c r="W822" s="121"/>
      <c r="X822" s="130"/>
      <c r="Y822" s="121"/>
      <c r="Z822" s="129"/>
      <c r="AA822" s="129"/>
      <c r="AB822" s="129"/>
      <c r="AC822" s="121"/>
      <c r="AD822" s="121"/>
      <c r="AE822" s="121"/>
      <c r="AF822" s="121"/>
      <c r="AG822" s="121"/>
      <c r="AH822" s="121"/>
    </row>
    <row r="823" spans="1:34" ht="12.75">
      <c r="A823" s="121"/>
      <c r="B823" s="121"/>
      <c r="C823" s="129"/>
      <c r="D823" s="121"/>
      <c r="E823" s="129"/>
      <c r="F823" s="129"/>
      <c r="G823" s="129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9"/>
      <c r="S823" s="121"/>
      <c r="T823" s="131"/>
      <c r="U823" s="121"/>
      <c r="V823" s="121"/>
      <c r="W823" s="121"/>
      <c r="X823" s="130"/>
      <c r="Y823" s="121"/>
      <c r="Z823" s="129"/>
      <c r="AA823" s="129"/>
      <c r="AB823" s="129"/>
      <c r="AC823" s="121"/>
      <c r="AD823" s="121"/>
      <c r="AE823" s="121"/>
      <c r="AF823" s="121"/>
      <c r="AG823" s="121"/>
      <c r="AH823" s="121"/>
    </row>
    <row r="824" spans="1:34" ht="12.75">
      <c r="A824" s="121"/>
      <c r="B824" s="121"/>
      <c r="C824" s="129"/>
      <c r="D824" s="121"/>
      <c r="E824" s="129"/>
      <c r="F824" s="129"/>
      <c r="G824" s="129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9"/>
      <c r="S824" s="121"/>
      <c r="T824" s="131"/>
      <c r="U824" s="121"/>
      <c r="V824" s="121"/>
      <c r="W824" s="121"/>
      <c r="X824" s="130"/>
      <c r="Y824" s="121"/>
      <c r="Z824" s="129"/>
      <c r="AA824" s="129"/>
      <c r="AB824" s="129"/>
      <c r="AC824" s="121"/>
      <c r="AD824" s="121"/>
      <c r="AE824" s="121"/>
      <c r="AF824" s="121"/>
      <c r="AG824" s="121"/>
      <c r="AH824" s="121"/>
    </row>
    <row r="825" spans="1:34" ht="12.75">
      <c r="A825" s="121"/>
      <c r="B825" s="121"/>
      <c r="C825" s="129"/>
      <c r="D825" s="121"/>
      <c r="E825" s="129"/>
      <c r="F825" s="129"/>
      <c r="G825" s="129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9"/>
      <c r="S825" s="121"/>
      <c r="T825" s="131"/>
      <c r="U825" s="121"/>
      <c r="V825" s="121"/>
      <c r="W825" s="121"/>
      <c r="X825" s="130"/>
      <c r="Y825" s="121"/>
      <c r="Z825" s="129"/>
      <c r="AA825" s="129"/>
      <c r="AB825" s="129"/>
      <c r="AC825" s="121"/>
      <c r="AD825" s="121"/>
      <c r="AE825" s="121"/>
      <c r="AF825" s="121"/>
      <c r="AG825" s="121"/>
      <c r="AH825" s="121"/>
    </row>
    <row r="826" spans="1:34" ht="12.75">
      <c r="A826" s="121"/>
      <c r="B826" s="121"/>
      <c r="C826" s="129"/>
      <c r="D826" s="121"/>
      <c r="E826" s="129"/>
      <c r="F826" s="129"/>
      <c r="G826" s="129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9"/>
      <c r="S826" s="121"/>
      <c r="T826" s="131"/>
      <c r="U826" s="121"/>
      <c r="V826" s="121"/>
      <c r="W826" s="121"/>
      <c r="X826" s="130"/>
      <c r="Y826" s="121"/>
      <c r="Z826" s="129"/>
      <c r="AA826" s="129"/>
      <c r="AB826" s="129"/>
      <c r="AC826" s="121"/>
      <c r="AD826" s="121"/>
      <c r="AE826" s="121"/>
      <c r="AF826" s="121"/>
      <c r="AG826" s="121"/>
      <c r="AH826" s="121"/>
    </row>
    <row r="827" spans="1:34" ht="12.75">
      <c r="A827" s="121"/>
      <c r="B827" s="121"/>
      <c r="C827" s="129"/>
      <c r="D827" s="121"/>
      <c r="E827" s="129"/>
      <c r="F827" s="129"/>
      <c r="G827" s="129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9"/>
      <c r="S827" s="121"/>
      <c r="T827" s="131"/>
      <c r="U827" s="121"/>
      <c r="V827" s="121"/>
      <c r="W827" s="121"/>
      <c r="X827" s="130"/>
      <c r="Y827" s="121"/>
      <c r="Z827" s="129"/>
      <c r="AA827" s="129"/>
      <c r="AB827" s="129"/>
      <c r="AC827" s="121"/>
      <c r="AD827" s="121"/>
      <c r="AE827" s="121"/>
      <c r="AF827" s="121"/>
      <c r="AG827" s="121"/>
      <c r="AH827" s="121"/>
    </row>
    <row r="828" spans="1:34" ht="12.75">
      <c r="A828" s="121"/>
      <c r="B828" s="121"/>
      <c r="C828" s="129"/>
      <c r="D828" s="121"/>
      <c r="E828" s="129"/>
      <c r="F828" s="129"/>
      <c r="G828" s="129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9"/>
      <c r="S828" s="121"/>
      <c r="T828" s="131"/>
      <c r="U828" s="121"/>
      <c r="V828" s="121"/>
      <c r="W828" s="121"/>
      <c r="X828" s="130"/>
      <c r="Y828" s="121"/>
      <c r="Z828" s="129"/>
      <c r="AA828" s="129"/>
      <c r="AB828" s="129"/>
      <c r="AC828" s="121"/>
      <c r="AD828" s="121"/>
      <c r="AE828" s="121"/>
      <c r="AF828" s="121"/>
      <c r="AG828" s="121"/>
      <c r="AH828" s="121"/>
    </row>
    <row r="829" spans="1:34" ht="12.75">
      <c r="A829" s="121"/>
      <c r="B829" s="121"/>
      <c r="C829" s="129"/>
      <c r="D829" s="121"/>
      <c r="E829" s="129"/>
      <c r="F829" s="129"/>
      <c r="G829" s="129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9"/>
      <c r="S829" s="121"/>
      <c r="T829" s="131"/>
      <c r="U829" s="121"/>
      <c r="V829" s="121"/>
      <c r="W829" s="121"/>
      <c r="X829" s="130"/>
      <c r="Y829" s="121"/>
      <c r="Z829" s="129"/>
      <c r="AA829" s="129"/>
      <c r="AB829" s="129"/>
      <c r="AC829" s="121"/>
      <c r="AD829" s="121"/>
      <c r="AE829" s="121"/>
      <c r="AF829" s="121"/>
      <c r="AG829" s="121"/>
      <c r="AH829" s="121"/>
    </row>
    <row r="830" spans="1:34" ht="12.75">
      <c r="A830" s="121"/>
      <c r="B830" s="121"/>
      <c r="C830" s="129"/>
      <c r="D830" s="121"/>
      <c r="E830" s="129"/>
      <c r="F830" s="129"/>
      <c r="G830" s="129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9"/>
      <c r="S830" s="121"/>
      <c r="T830" s="131"/>
      <c r="U830" s="121"/>
      <c r="V830" s="121"/>
      <c r="W830" s="121"/>
      <c r="X830" s="130"/>
      <c r="Y830" s="121"/>
      <c r="Z830" s="129"/>
      <c r="AA830" s="129"/>
      <c r="AB830" s="129"/>
      <c r="AC830" s="121"/>
      <c r="AD830" s="121"/>
      <c r="AE830" s="121"/>
      <c r="AF830" s="121"/>
      <c r="AG830" s="121"/>
      <c r="AH830" s="121"/>
    </row>
    <row r="831" spans="1:34" ht="12.75">
      <c r="A831" s="121"/>
      <c r="B831" s="121"/>
      <c r="C831" s="129"/>
      <c r="D831" s="121"/>
      <c r="E831" s="129"/>
      <c r="F831" s="129"/>
      <c r="G831" s="129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9"/>
      <c r="S831" s="121"/>
      <c r="T831" s="131"/>
      <c r="U831" s="121"/>
      <c r="V831" s="121"/>
      <c r="W831" s="121"/>
      <c r="X831" s="130"/>
      <c r="Y831" s="121"/>
      <c r="Z831" s="129"/>
      <c r="AA831" s="129"/>
      <c r="AB831" s="129"/>
      <c r="AC831" s="121"/>
      <c r="AD831" s="121"/>
      <c r="AE831" s="121"/>
      <c r="AF831" s="121"/>
      <c r="AG831" s="121"/>
      <c r="AH831" s="121"/>
    </row>
    <row r="832" spans="1:34" ht="12.75">
      <c r="A832" s="121"/>
      <c r="B832" s="121"/>
      <c r="C832" s="129"/>
      <c r="D832" s="121"/>
      <c r="E832" s="129"/>
      <c r="F832" s="129"/>
      <c r="G832" s="129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9"/>
      <c r="S832" s="121"/>
      <c r="T832" s="131"/>
      <c r="U832" s="121"/>
      <c r="V832" s="121"/>
      <c r="W832" s="121"/>
      <c r="X832" s="130"/>
      <c r="Y832" s="121"/>
      <c r="Z832" s="129"/>
      <c r="AA832" s="129"/>
      <c r="AB832" s="129"/>
      <c r="AC832" s="121"/>
      <c r="AD832" s="121"/>
      <c r="AE832" s="121"/>
      <c r="AF832" s="121"/>
      <c r="AG832" s="121"/>
      <c r="AH832" s="121"/>
    </row>
    <row r="833" spans="1:34" ht="12.75">
      <c r="A833" s="121"/>
      <c r="B833" s="121"/>
      <c r="C833" s="129"/>
      <c r="D833" s="121"/>
      <c r="E833" s="129"/>
      <c r="F833" s="129"/>
      <c r="G833" s="129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9"/>
      <c r="S833" s="121"/>
      <c r="T833" s="131"/>
      <c r="U833" s="121"/>
      <c r="V833" s="121"/>
      <c r="W833" s="121"/>
      <c r="X833" s="130"/>
      <c r="Y833" s="121"/>
      <c r="Z833" s="129"/>
      <c r="AA833" s="129"/>
      <c r="AB833" s="129"/>
      <c r="AC833" s="121"/>
      <c r="AD833" s="121"/>
      <c r="AE833" s="121"/>
      <c r="AF833" s="121"/>
      <c r="AG833" s="121"/>
      <c r="AH833" s="121"/>
    </row>
    <row r="834" spans="1:34" ht="12.75">
      <c r="A834" s="121"/>
      <c r="B834" s="121"/>
      <c r="C834" s="129"/>
      <c r="D834" s="121"/>
      <c r="E834" s="129"/>
      <c r="F834" s="129"/>
      <c r="G834" s="129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9"/>
      <c r="S834" s="121"/>
      <c r="T834" s="131"/>
      <c r="U834" s="121"/>
      <c r="V834" s="121"/>
      <c r="W834" s="121"/>
      <c r="X834" s="130"/>
      <c r="Y834" s="121"/>
      <c r="Z834" s="129"/>
      <c r="AA834" s="129"/>
      <c r="AB834" s="129"/>
      <c r="AC834" s="121"/>
      <c r="AD834" s="121"/>
      <c r="AE834" s="121"/>
      <c r="AF834" s="121"/>
      <c r="AG834" s="121"/>
      <c r="AH834" s="121"/>
    </row>
    <row r="835" spans="1:34" ht="12.75">
      <c r="A835" s="121"/>
      <c r="B835" s="121"/>
      <c r="C835" s="129"/>
      <c r="D835" s="121"/>
      <c r="E835" s="129"/>
      <c r="F835" s="129"/>
      <c r="G835" s="129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9"/>
      <c r="S835" s="121"/>
      <c r="T835" s="131"/>
      <c r="U835" s="121"/>
      <c r="V835" s="121"/>
      <c r="W835" s="121"/>
      <c r="X835" s="130"/>
      <c r="Y835" s="121"/>
      <c r="Z835" s="129"/>
      <c r="AA835" s="129"/>
      <c r="AB835" s="129"/>
      <c r="AC835" s="121"/>
      <c r="AD835" s="121"/>
      <c r="AE835" s="121"/>
      <c r="AF835" s="121"/>
      <c r="AG835" s="121"/>
      <c r="AH835" s="121"/>
    </row>
    <row r="836" spans="1:34" ht="12.75">
      <c r="A836" s="121"/>
      <c r="B836" s="121"/>
      <c r="C836" s="129"/>
      <c r="D836" s="121"/>
      <c r="E836" s="129"/>
      <c r="F836" s="129"/>
      <c r="G836" s="129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9"/>
      <c r="S836" s="121"/>
      <c r="T836" s="131"/>
      <c r="U836" s="121"/>
      <c r="V836" s="121"/>
      <c r="W836" s="121"/>
      <c r="X836" s="130"/>
      <c r="Y836" s="121"/>
      <c r="Z836" s="129"/>
      <c r="AA836" s="129"/>
      <c r="AB836" s="129"/>
      <c r="AC836" s="121"/>
      <c r="AD836" s="121"/>
      <c r="AE836" s="121"/>
      <c r="AF836" s="121"/>
      <c r="AG836" s="121"/>
      <c r="AH836" s="121"/>
    </row>
    <row r="837" spans="1:34" ht="12.75">
      <c r="A837" s="121"/>
      <c r="B837" s="121"/>
      <c r="C837" s="129"/>
      <c r="D837" s="121"/>
      <c r="E837" s="129"/>
      <c r="F837" s="129"/>
      <c r="G837" s="129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9"/>
      <c r="S837" s="121"/>
      <c r="T837" s="131"/>
      <c r="U837" s="121"/>
      <c r="V837" s="121"/>
      <c r="W837" s="121"/>
      <c r="X837" s="130"/>
      <c r="Y837" s="121"/>
      <c r="Z837" s="129"/>
      <c r="AA837" s="129"/>
      <c r="AB837" s="129"/>
      <c r="AC837" s="121"/>
      <c r="AD837" s="121"/>
      <c r="AE837" s="121"/>
      <c r="AF837" s="121"/>
      <c r="AG837" s="121"/>
      <c r="AH837" s="121"/>
    </row>
    <row r="838" spans="1:34" ht="12.75">
      <c r="A838" s="121"/>
      <c r="B838" s="121"/>
      <c r="C838" s="129"/>
      <c r="D838" s="121"/>
      <c r="E838" s="129"/>
      <c r="F838" s="129"/>
      <c r="G838" s="129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9"/>
      <c r="S838" s="121"/>
      <c r="T838" s="131"/>
      <c r="U838" s="121"/>
      <c r="V838" s="121"/>
      <c r="W838" s="121"/>
      <c r="X838" s="130"/>
      <c r="Y838" s="121"/>
      <c r="Z838" s="129"/>
      <c r="AA838" s="129"/>
      <c r="AB838" s="129"/>
      <c r="AC838" s="121"/>
      <c r="AD838" s="121"/>
      <c r="AE838" s="121"/>
      <c r="AF838" s="121"/>
      <c r="AG838" s="121"/>
      <c r="AH838" s="121"/>
    </row>
    <row r="839" spans="1:34" ht="12.75">
      <c r="A839" s="121"/>
      <c r="B839" s="121"/>
      <c r="C839" s="129"/>
      <c r="D839" s="121"/>
      <c r="E839" s="129"/>
      <c r="F839" s="129"/>
      <c r="G839" s="129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9"/>
      <c r="S839" s="121"/>
      <c r="T839" s="131"/>
      <c r="U839" s="121"/>
      <c r="V839" s="121"/>
      <c r="W839" s="121"/>
      <c r="X839" s="130"/>
      <c r="Y839" s="121"/>
      <c r="Z839" s="129"/>
      <c r="AA839" s="129"/>
      <c r="AB839" s="129"/>
      <c r="AC839" s="121"/>
      <c r="AD839" s="121"/>
      <c r="AE839" s="121"/>
      <c r="AF839" s="121"/>
      <c r="AG839" s="121"/>
      <c r="AH839" s="121"/>
    </row>
    <row r="840" spans="1:34" ht="12.75">
      <c r="A840" s="121"/>
      <c r="B840" s="121"/>
      <c r="C840" s="129"/>
      <c r="D840" s="121"/>
      <c r="E840" s="129"/>
      <c r="F840" s="129"/>
      <c r="G840" s="129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9"/>
      <c r="S840" s="121"/>
      <c r="T840" s="131"/>
      <c r="U840" s="121"/>
      <c r="V840" s="121"/>
      <c r="W840" s="121"/>
      <c r="X840" s="130"/>
      <c r="Y840" s="121"/>
      <c r="Z840" s="129"/>
      <c r="AA840" s="129"/>
      <c r="AB840" s="129"/>
      <c r="AC840" s="121"/>
      <c r="AD840" s="121"/>
      <c r="AE840" s="121"/>
      <c r="AF840" s="121"/>
      <c r="AG840" s="121"/>
      <c r="AH840" s="121"/>
    </row>
    <row r="841" spans="1:34" ht="12.75">
      <c r="A841" s="121"/>
      <c r="B841" s="121"/>
      <c r="C841" s="129"/>
      <c r="D841" s="121"/>
      <c r="E841" s="129"/>
      <c r="F841" s="129"/>
      <c r="G841" s="129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9"/>
      <c r="S841" s="121"/>
      <c r="T841" s="131"/>
      <c r="U841" s="121"/>
      <c r="V841" s="121"/>
      <c r="W841" s="121"/>
      <c r="X841" s="130"/>
      <c r="Y841" s="121"/>
      <c r="Z841" s="129"/>
      <c r="AA841" s="129"/>
      <c r="AB841" s="129"/>
      <c r="AC841" s="121"/>
      <c r="AD841" s="121"/>
      <c r="AE841" s="121"/>
      <c r="AF841" s="121"/>
      <c r="AG841" s="121"/>
      <c r="AH841" s="121"/>
    </row>
    <row r="842" spans="1:34" ht="12.75">
      <c r="A842" s="121"/>
      <c r="B842" s="121"/>
      <c r="C842" s="129"/>
      <c r="D842" s="121"/>
      <c r="E842" s="129"/>
      <c r="F842" s="129"/>
      <c r="G842" s="129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9"/>
      <c r="S842" s="121"/>
      <c r="T842" s="131"/>
      <c r="U842" s="121"/>
      <c r="V842" s="121"/>
      <c r="W842" s="121"/>
      <c r="X842" s="130"/>
      <c r="Y842" s="121"/>
      <c r="Z842" s="129"/>
      <c r="AA842" s="129"/>
      <c r="AB842" s="129"/>
      <c r="AC842" s="121"/>
      <c r="AD842" s="121"/>
      <c r="AE842" s="121"/>
      <c r="AF842" s="121"/>
      <c r="AG842" s="121"/>
      <c r="AH842" s="121"/>
    </row>
    <row r="843" spans="1:34" ht="12.75">
      <c r="A843" s="121"/>
      <c r="B843" s="121"/>
      <c r="C843" s="129"/>
      <c r="D843" s="121"/>
      <c r="E843" s="129"/>
      <c r="F843" s="129"/>
      <c r="G843" s="129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9"/>
      <c r="S843" s="121"/>
      <c r="T843" s="131"/>
      <c r="U843" s="121"/>
      <c r="V843" s="121"/>
      <c r="W843" s="121"/>
      <c r="X843" s="130"/>
      <c r="Y843" s="121"/>
      <c r="Z843" s="129"/>
      <c r="AA843" s="129"/>
      <c r="AB843" s="129"/>
      <c r="AC843" s="121"/>
      <c r="AD843" s="121"/>
      <c r="AE843" s="121"/>
      <c r="AF843" s="121"/>
      <c r="AG843" s="121"/>
      <c r="AH843" s="121"/>
    </row>
    <row r="844" spans="1:34" ht="12.75">
      <c r="A844" s="121"/>
      <c r="B844" s="121"/>
      <c r="C844" s="129"/>
      <c r="D844" s="121"/>
      <c r="E844" s="129"/>
      <c r="F844" s="129"/>
      <c r="G844" s="129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9"/>
      <c r="S844" s="121"/>
      <c r="T844" s="131"/>
      <c r="U844" s="121"/>
      <c r="V844" s="121"/>
      <c r="W844" s="121"/>
      <c r="X844" s="130"/>
      <c r="Y844" s="121"/>
      <c r="Z844" s="129"/>
      <c r="AA844" s="129"/>
      <c r="AB844" s="129"/>
      <c r="AC844" s="121"/>
      <c r="AD844" s="121"/>
      <c r="AE844" s="121"/>
      <c r="AF844" s="121"/>
      <c r="AG844" s="121"/>
      <c r="AH844" s="121"/>
    </row>
    <row r="845" spans="1:34" ht="12.75">
      <c r="A845" s="121"/>
      <c r="B845" s="121"/>
      <c r="C845" s="129"/>
      <c r="D845" s="121"/>
      <c r="E845" s="129"/>
      <c r="F845" s="129"/>
      <c r="G845" s="129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9"/>
      <c r="S845" s="121"/>
      <c r="T845" s="131"/>
      <c r="U845" s="121"/>
      <c r="V845" s="121"/>
      <c r="W845" s="121"/>
      <c r="X845" s="130"/>
      <c r="Y845" s="121"/>
      <c r="Z845" s="129"/>
      <c r="AA845" s="129"/>
      <c r="AB845" s="129"/>
      <c r="AC845" s="121"/>
      <c r="AD845" s="121"/>
      <c r="AE845" s="121"/>
      <c r="AF845" s="121"/>
      <c r="AG845" s="121"/>
      <c r="AH845" s="121"/>
    </row>
    <row r="846" spans="1:34" ht="12.75">
      <c r="A846" s="121"/>
      <c r="B846" s="121"/>
      <c r="C846" s="129"/>
      <c r="D846" s="121"/>
      <c r="E846" s="129"/>
      <c r="F846" s="129"/>
      <c r="G846" s="129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9"/>
      <c r="S846" s="121"/>
      <c r="T846" s="131"/>
      <c r="U846" s="121"/>
      <c r="V846" s="121"/>
      <c r="W846" s="121"/>
      <c r="X846" s="130"/>
      <c r="Y846" s="121"/>
      <c r="Z846" s="129"/>
      <c r="AA846" s="129"/>
      <c r="AB846" s="129"/>
      <c r="AC846" s="121"/>
      <c r="AD846" s="121"/>
      <c r="AE846" s="121"/>
      <c r="AF846" s="121"/>
      <c r="AG846" s="121"/>
      <c r="AH846" s="121"/>
    </row>
    <row r="847" spans="1:34" ht="12.75">
      <c r="A847" s="121"/>
      <c r="B847" s="121"/>
      <c r="C847" s="129"/>
      <c r="D847" s="121"/>
      <c r="E847" s="129"/>
      <c r="F847" s="129"/>
      <c r="G847" s="129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9"/>
      <c r="S847" s="121"/>
      <c r="T847" s="131"/>
      <c r="U847" s="121"/>
      <c r="V847" s="121"/>
      <c r="W847" s="121"/>
      <c r="X847" s="130"/>
      <c r="Y847" s="121"/>
      <c r="Z847" s="129"/>
      <c r="AA847" s="129"/>
      <c r="AB847" s="129"/>
      <c r="AC847" s="121"/>
      <c r="AD847" s="121"/>
      <c r="AE847" s="121"/>
      <c r="AF847" s="121"/>
      <c r="AG847" s="121"/>
      <c r="AH847" s="121"/>
    </row>
    <row r="848" spans="1:34" ht="12.75">
      <c r="A848" s="121"/>
      <c r="B848" s="121"/>
      <c r="C848" s="129"/>
      <c r="D848" s="121"/>
      <c r="E848" s="129"/>
      <c r="F848" s="129"/>
      <c r="G848" s="129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9"/>
      <c r="S848" s="121"/>
      <c r="T848" s="131"/>
      <c r="U848" s="121"/>
      <c r="V848" s="121"/>
      <c r="W848" s="121"/>
      <c r="X848" s="130"/>
      <c r="Y848" s="121"/>
      <c r="Z848" s="129"/>
      <c r="AA848" s="129"/>
      <c r="AB848" s="129"/>
      <c r="AC848" s="121"/>
      <c r="AD848" s="121"/>
      <c r="AE848" s="121"/>
      <c r="AF848" s="121"/>
      <c r="AG848" s="121"/>
      <c r="AH848" s="121"/>
    </row>
    <row r="849" spans="1:34" ht="12.75">
      <c r="A849" s="121"/>
      <c r="B849" s="121"/>
      <c r="C849" s="129"/>
      <c r="D849" s="121"/>
      <c r="E849" s="129"/>
      <c r="F849" s="129"/>
      <c r="G849" s="129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9"/>
      <c r="S849" s="121"/>
      <c r="T849" s="131"/>
      <c r="U849" s="121"/>
      <c r="V849" s="121"/>
      <c r="W849" s="121"/>
      <c r="X849" s="130"/>
      <c r="Y849" s="121"/>
      <c r="Z849" s="129"/>
      <c r="AA849" s="129"/>
      <c r="AB849" s="129"/>
      <c r="AC849" s="121"/>
      <c r="AD849" s="121"/>
      <c r="AE849" s="121"/>
      <c r="AF849" s="121"/>
      <c r="AG849" s="121"/>
      <c r="AH849" s="121"/>
    </row>
    <row r="850" spans="1:34" ht="12.75">
      <c r="A850" s="121"/>
      <c r="B850" s="121"/>
      <c r="C850" s="129"/>
      <c r="D850" s="121"/>
      <c r="E850" s="129"/>
      <c r="F850" s="129"/>
      <c r="G850" s="129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9"/>
      <c r="S850" s="121"/>
      <c r="T850" s="131"/>
      <c r="U850" s="121"/>
      <c r="V850" s="121"/>
      <c r="W850" s="121"/>
      <c r="X850" s="130"/>
      <c r="Y850" s="121"/>
      <c r="Z850" s="129"/>
      <c r="AA850" s="129"/>
      <c r="AB850" s="129"/>
      <c r="AC850" s="121"/>
      <c r="AD850" s="121"/>
      <c r="AE850" s="121"/>
      <c r="AF850" s="121"/>
      <c r="AG850" s="121"/>
      <c r="AH850" s="121"/>
    </row>
    <row r="851" spans="1:34" ht="12.75">
      <c r="A851" s="121"/>
      <c r="B851" s="121"/>
      <c r="C851" s="129"/>
      <c r="D851" s="121"/>
      <c r="E851" s="129"/>
      <c r="F851" s="129"/>
      <c r="G851" s="129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9"/>
      <c r="S851" s="121"/>
      <c r="T851" s="131"/>
      <c r="U851" s="121"/>
      <c r="V851" s="121"/>
      <c r="W851" s="121"/>
      <c r="X851" s="130"/>
      <c r="Y851" s="121"/>
      <c r="Z851" s="129"/>
      <c r="AA851" s="129"/>
      <c r="AB851" s="129"/>
      <c r="AC851" s="121"/>
      <c r="AD851" s="121"/>
      <c r="AE851" s="121"/>
      <c r="AF851" s="121"/>
      <c r="AG851" s="121"/>
      <c r="AH851" s="121"/>
    </row>
    <row r="852" spans="1:34" ht="12.75">
      <c r="A852" s="121"/>
      <c r="B852" s="121"/>
      <c r="C852" s="129"/>
      <c r="D852" s="121"/>
      <c r="E852" s="129"/>
      <c r="F852" s="129"/>
      <c r="G852" s="129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9"/>
      <c r="S852" s="121"/>
      <c r="T852" s="131"/>
      <c r="U852" s="121"/>
      <c r="V852" s="121"/>
      <c r="W852" s="121"/>
      <c r="X852" s="130"/>
      <c r="Y852" s="121"/>
      <c r="Z852" s="129"/>
      <c r="AA852" s="129"/>
      <c r="AB852" s="129"/>
      <c r="AC852" s="121"/>
      <c r="AD852" s="121"/>
      <c r="AE852" s="121"/>
      <c r="AF852" s="121"/>
      <c r="AG852" s="121"/>
      <c r="AH852" s="121"/>
    </row>
    <row r="853" spans="1:34" ht="12.75">
      <c r="A853" s="121"/>
      <c r="B853" s="121"/>
      <c r="C853" s="129"/>
      <c r="D853" s="121"/>
      <c r="E853" s="129"/>
      <c r="F853" s="129"/>
      <c r="G853" s="129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9"/>
      <c r="S853" s="121"/>
      <c r="T853" s="131"/>
      <c r="U853" s="121"/>
      <c r="V853" s="121"/>
      <c r="W853" s="121"/>
      <c r="X853" s="130"/>
      <c r="Y853" s="121"/>
      <c r="Z853" s="129"/>
      <c r="AA853" s="129"/>
      <c r="AB853" s="129"/>
      <c r="AC853" s="121"/>
      <c r="AD853" s="121"/>
      <c r="AE853" s="121"/>
      <c r="AF853" s="121"/>
      <c r="AG853" s="121"/>
      <c r="AH853" s="121"/>
    </row>
    <row r="854" spans="1:34" ht="12.75">
      <c r="A854" s="121"/>
      <c r="B854" s="121"/>
      <c r="C854" s="129"/>
      <c r="D854" s="121"/>
      <c r="E854" s="129"/>
      <c r="F854" s="129"/>
      <c r="G854" s="129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9"/>
      <c r="S854" s="121"/>
      <c r="T854" s="131"/>
      <c r="U854" s="121"/>
      <c r="V854" s="121"/>
      <c r="W854" s="121"/>
      <c r="X854" s="130"/>
      <c r="Y854" s="121"/>
      <c r="Z854" s="129"/>
      <c r="AA854" s="129"/>
      <c r="AB854" s="129"/>
      <c r="AC854" s="121"/>
      <c r="AD854" s="121"/>
      <c r="AE854" s="121"/>
      <c r="AF854" s="121"/>
      <c r="AG854" s="121"/>
      <c r="AH854" s="121"/>
    </row>
    <row r="855" spans="1:34" ht="12.75">
      <c r="A855" s="121"/>
      <c r="B855" s="121"/>
      <c r="C855" s="129"/>
      <c r="D855" s="121"/>
      <c r="E855" s="129"/>
      <c r="F855" s="129"/>
      <c r="G855" s="129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9"/>
      <c r="S855" s="121"/>
      <c r="T855" s="131"/>
      <c r="U855" s="121"/>
      <c r="V855" s="121"/>
      <c r="W855" s="121"/>
      <c r="X855" s="130"/>
      <c r="Y855" s="121"/>
      <c r="Z855" s="129"/>
      <c r="AA855" s="129"/>
      <c r="AB855" s="129"/>
      <c r="AC855" s="121"/>
      <c r="AD855" s="121"/>
      <c r="AE855" s="121"/>
      <c r="AF855" s="121"/>
      <c r="AG855" s="121"/>
      <c r="AH855" s="121"/>
    </row>
    <row r="856" spans="1:34" ht="12.75">
      <c r="A856" s="121"/>
      <c r="B856" s="121"/>
      <c r="C856" s="129"/>
      <c r="D856" s="121"/>
      <c r="E856" s="129"/>
      <c r="F856" s="129"/>
      <c r="G856" s="129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9"/>
      <c r="S856" s="121"/>
      <c r="T856" s="131"/>
      <c r="U856" s="121"/>
      <c r="V856" s="121"/>
      <c r="W856" s="121"/>
      <c r="X856" s="130"/>
      <c r="Y856" s="121"/>
      <c r="Z856" s="129"/>
      <c r="AA856" s="129"/>
      <c r="AB856" s="129"/>
      <c r="AC856" s="121"/>
      <c r="AD856" s="121"/>
      <c r="AE856" s="121"/>
      <c r="AF856" s="121"/>
      <c r="AG856" s="121"/>
      <c r="AH856" s="121"/>
    </row>
    <row r="857" spans="1:34" ht="12.75">
      <c r="A857" s="121"/>
      <c r="B857" s="121"/>
      <c r="C857" s="129"/>
      <c r="D857" s="121"/>
      <c r="E857" s="129"/>
      <c r="F857" s="129"/>
      <c r="G857" s="129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9"/>
      <c r="S857" s="121"/>
      <c r="T857" s="131"/>
      <c r="U857" s="121"/>
      <c r="V857" s="121"/>
      <c r="W857" s="121"/>
      <c r="X857" s="130"/>
      <c r="Y857" s="121"/>
      <c r="Z857" s="129"/>
      <c r="AA857" s="129"/>
      <c r="AB857" s="129"/>
      <c r="AC857" s="121"/>
      <c r="AD857" s="121"/>
      <c r="AE857" s="121"/>
      <c r="AF857" s="121"/>
      <c r="AG857" s="121"/>
      <c r="AH857" s="121"/>
    </row>
    <row r="858" spans="1:34" ht="12.75">
      <c r="A858" s="121"/>
      <c r="B858" s="121"/>
      <c r="C858" s="129"/>
      <c r="D858" s="121"/>
      <c r="E858" s="129"/>
      <c r="F858" s="129"/>
      <c r="G858" s="129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9"/>
      <c r="S858" s="121"/>
      <c r="T858" s="131"/>
      <c r="U858" s="121"/>
      <c r="V858" s="121"/>
      <c r="W858" s="121"/>
      <c r="X858" s="130"/>
      <c r="Y858" s="121"/>
      <c r="Z858" s="129"/>
      <c r="AA858" s="129"/>
      <c r="AB858" s="129"/>
      <c r="AC858" s="121"/>
      <c r="AD858" s="121"/>
      <c r="AE858" s="121"/>
      <c r="AF858" s="121"/>
      <c r="AG858" s="121"/>
      <c r="AH858" s="121"/>
    </row>
    <row r="859" spans="1:34" ht="12.75">
      <c r="A859" s="121"/>
      <c r="B859" s="121"/>
      <c r="C859" s="129"/>
      <c r="D859" s="121"/>
      <c r="E859" s="129"/>
      <c r="F859" s="129"/>
      <c r="G859" s="129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9"/>
      <c r="S859" s="121"/>
      <c r="T859" s="131"/>
      <c r="U859" s="121"/>
      <c r="V859" s="121"/>
      <c r="W859" s="121"/>
      <c r="X859" s="130"/>
      <c r="Y859" s="121"/>
      <c r="Z859" s="129"/>
      <c r="AA859" s="129"/>
      <c r="AB859" s="129"/>
      <c r="AC859" s="121"/>
      <c r="AD859" s="121"/>
      <c r="AE859" s="121"/>
      <c r="AF859" s="121"/>
      <c r="AG859" s="121"/>
      <c r="AH859" s="121"/>
    </row>
    <row r="860" spans="1:34" ht="12.75">
      <c r="A860" s="121"/>
      <c r="B860" s="121"/>
      <c r="C860" s="129"/>
      <c r="D860" s="121"/>
      <c r="E860" s="129"/>
      <c r="F860" s="129"/>
      <c r="G860" s="129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9"/>
      <c r="S860" s="121"/>
      <c r="T860" s="131"/>
      <c r="U860" s="121"/>
      <c r="V860" s="121"/>
      <c r="W860" s="121"/>
      <c r="X860" s="130"/>
      <c r="Y860" s="121"/>
      <c r="Z860" s="129"/>
      <c r="AA860" s="129"/>
      <c r="AB860" s="129"/>
      <c r="AC860" s="121"/>
      <c r="AD860" s="121"/>
      <c r="AE860" s="121"/>
      <c r="AF860" s="121"/>
      <c r="AG860" s="121"/>
      <c r="AH860" s="121"/>
    </row>
    <row r="861" spans="1:34" ht="12.75">
      <c r="A861" s="121"/>
      <c r="B861" s="121"/>
      <c r="C861" s="129"/>
      <c r="D861" s="121"/>
      <c r="E861" s="129"/>
      <c r="F861" s="129"/>
      <c r="G861" s="129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9"/>
      <c r="S861" s="121"/>
      <c r="T861" s="131"/>
      <c r="U861" s="121"/>
      <c r="V861" s="121"/>
      <c r="W861" s="121"/>
      <c r="X861" s="130"/>
      <c r="Y861" s="121"/>
      <c r="Z861" s="129"/>
      <c r="AA861" s="129"/>
      <c r="AB861" s="129"/>
      <c r="AC861" s="121"/>
      <c r="AD861" s="121"/>
      <c r="AE861" s="121"/>
      <c r="AF861" s="121"/>
      <c r="AG861" s="121"/>
      <c r="AH861" s="121"/>
    </row>
    <row r="862" spans="1:34" ht="12.75">
      <c r="A862" s="121"/>
      <c r="B862" s="121"/>
      <c r="C862" s="129"/>
      <c r="D862" s="121"/>
      <c r="E862" s="129"/>
      <c r="F862" s="129"/>
      <c r="G862" s="129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9"/>
      <c r="S862" s="121"/>
      <c r="T862" s="131"/>
      <c r="U862" s="121"/>
      <c r="V862" s="121"/>
      <c r="W862" s="121"/>
      <c r="X862" s="130"/>
      <c r="Y862" s="121"/>
      <c r="Z862" s="129"/>
      <c r="AA862" s="129"/>
      <c r="AB862" s="129"/>
      <c r="AC862" s="121"/>
      <c r="AD862" s="121"/>
      <c r="AE862" s="121"/>
      <c r="AF862" s="121"/>
      <c r="AG862" s="121"/>
      <c r="AH862" s="121"/>
    </row>
    <row r="863" spans="1:34" ht="12.75">
      <c r="A863" s="121"/>
      <c r="B863" s="121"/>
      <c r="C863" s="129"/>
      <c r="D863" s="121"/>
      <c r="E863" s="129"/>
      <c r="F863" s="129"/>
      <c r="G863" s="129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9"/>
      <c r="S863" s="121"/>
      <c r="T863" s="131"/>
      <c r="U863" s="121"/>
      <c r="V863" s="121"/>
      <c r="W863" s="121"/>
      <c r="X863" s="130"/>
      <c r="Y863" s="121"/>
      <c r="Z863" s="129"/>
      <c r="AA863" s="129"/>
      <c r="AB863" s="129"/>
      <c r="AC863" s="121"/>
      <c r="AD863" s="121"/>
      <c r="AE863" s="121"/>
      <c r="AF863" s="121"/>
      <c r="AG863" s="121"/>
      <c r="AH863" s="121"/>
    </row>
    <row r="864" spans="1:34" ht="12.75">
      <c r="A864" s="121"/>
      <c r="B864" s="121"/>
      <c r="C864" s="129"/>
      <c r="D864" s="121"/>
      <c r="E864" s="129"/>
      <c r="F864" s="129"/>
      <c r="G864" s="129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9"/>
      <c r="S864" s="121"/>
      <c r="T864" s="131"/>
      <c r="U864" s="121"/>
      <c r="V864" s="121"/>
      <c r="W864" s="121"/>
      <c r="X864" s="130"/>
      <c r="Y864" s="121"/>
      <c r="Z864" s="129"/>
      <c r="AA864" s="129"/>
      <c r="AB864" s="129"/>
      <c r="AC864" s="121"/>
      <c r="AD864" s="121"/>
      <c r="AE864" s="121"/>
      <c r="AF864" s="121"/>
      <c r="AG864" s="121"/>
      <c r="AH864" s="121"/>
    </row>
    <row r="865" spans="1:34" ht="12.75">
      <c r="A865" s="121"/>
      <c r="B865" s="121"/>
      <c r="C865" s="129"/>
      <c r="D865" s="121"/>
      <c r="E865" s="129"/>
      <c r="F865" s="129"/>
      <c r="G865" s="129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9"/>
      <c r="S865" s="121"/>
      <c r="T865" s="131"/>
      <c r="U865" s="121"/>
      <c r="V865" s="121"/>
      <c r="W865" s="121"/>
      <c r="X865" s="130"/>
      <c r="Y865" s="121"/>
      <c r="Z865" s="129"/>
      <c r="AA865" s="129"/>
      <c r="AB865" s="129"/>
      <c r="AC865" s="121"/>
      <c r="AD865" s="121"/>
      <c r="AE865" s="121"/>
      <c r="AF865" s="121"/>
      <c r="AG865" s="121"/>
      <c r="AH865" s="121"/>
    </row>
    <row r="866" spans="1:34" ht="12.75">
      <c r="A866" s="121"/>
      <c r="B866" s="121"/>
      <c r="C866" s="129"/>
      <c r="D866" s="121"/>
      <c r="E866" s="129"/>
      <c r="F866" s="129"/>
      <c r="G866" s="129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9"/>
      <c r="S866" s="121"/>
      <c r="T866" s="131"/>
      <c r="U866" s="121"/>
      <c r="V866" s="121"/>
      <c r="W866" s="121"/>
      <c r="X866" s="130"/>
      <c r="Y866" s="121"/>
      <c r="Z866" s="129"/>
      <c r="AA866" s="129"/>
      <c r="AB866" s="129"/>
      <c r="AC866" s="121"/>
      <c r="AD866" s="121"/>
      <c r="AE866" s="121"/>
      <c r="AF866" s="121"/>
      <c r="AG866" s="121"/>
      <c r="AH866" s="121"/>
    </row>
    <row r="867" spans="1:34" ht="12.75">
      <c r="A867" s="121"/>
      <c r="B867" s="121"/>
      <c r="C867" s="129"/>
      <c r="D867" s="121"/>
      <c r="E867" s="129"/>
      <c r="F867" s="129"/>
      <c r="G867" s="129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9"/>
      <c r="S867" s="121"/>
      <c r="T867" s="131"/>
      <c r="U867" s="121"/>
      <c r="V867" s="121"/>
      <c r="W867" s="121"/>
      <c r="X867" s="130"/>
      <c r="Y867" s="121"/>
      <c r="Z867" s="129"/>
      <c r="AA867" s="129"/>
      <c r="AB867" s="129"/>
      <c r="AC867" s="121"/>
      <c r="AD867" s="121"/>
      <c r="AE867" s="121"/>
      <c r="AF867" s="121"/>
      <c r="AG867" s="121"/>
      <c r="AH867" s="121"/>
    </row>
    <row r="868" spans="1:34" ht="12.75">
      <c r="A868" s="121"/>
      <c r="B868" s="121"/>
      <c r="C868" s="129"/>
      <c r="D868" s="121"/>
      <c r="E868" s="129"/>
      <c r="F868" s="129"/>
      <c r="G868" s="129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9"/>
      <c r="S868" s="121"/>
      <c r="T868" s="131"/>
      <c r="U868" s="121"/>
      <c r="V868" s="121"/>
      <c r="W868" s="121"/>
      <c r="X868" s="130"/>
      <c r="Y868" s="121"/>
      <c r="Z868" s="129"/>
      <c r="AA868" s="129"/>
      <c r="AB868" s="129"/>
      <c r="AC868" s="121"/>
      <c r="AD868" s="121"/>
      <c r="AE868" s="121"/>
      <c r="AF868" s="121"/>
      <c r="AG868" s="121"/>
      <c r="AH868" s="121"/>
    </row>
    <row r="869" spans="1:34" ht="12.75">
      <c r="A869" s="121"/>
      <c r="B869" s="121"/>
      <c r="C869" s="129"/>
      <c r="D869" s="121"/>
      <c r="E869" s="129"/>
      <c r="F869" s="129"/>
      <c r="G869" s="129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9"/>
      <c r="S869" s="121"/>
      <c r="T869" s="131"/>
      <c r="U869" s="121"/>
      <c r="V869" s="121"/>
      <c r="W869" s="121"/>
      <c r="X869" s="130"/>
      <c r="Y869" s="121"/>
      <c r="Z869" s="129"/>
      <c r="AA869" s="129"/>
      <c r="AB869" s="129"/>
      <c r="AC869" s="121"/>
      <c r="AD869" s="121"/>
      <c r="AE869" s="121"/>
      <c r="AF869" s="121"/>
      <c r="AG869" s="121"/>
      <c r="AH869" s="121"/>
    </row>
    <row r="870" spans="1:34" ht="12.75">
      <c r="A870" s="121"/>
      <c r="B870" s="121"/>
      <c r="C870" s="129"/>
      <c r="D870" s="121"/>
      <c r="E870" s="129"/>
      <c r="F870" s="129"/>
      <c r="G870" s="129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9"/>
      <c r="S870" s="121"/>
      <c r="T870" s="131"/>
      <c r="U870" s="121"/>
      <c r="V870" s="121"/>
      <c r="W870" s="121"/>
      <c r="X870" s="130"/>
      <c r="Y870" s="121"/>
      <c r="Z870" s="129"/>
      <c r="AA870" s="129"/>
      <c r="AB870" s="129"/>
      <c r="AC870" s="121"/>
      <c r="AD870" s="121"/>
      <c r="AE870" s="121"/>
      <c r="AF870" s="121"/>
      <c r="AG870" s="121"/>
      <c r="AH870" s="121"/>
    </row>
    <row r="871" spans="1:34" ht="12.75">
      <c r="A871" s="121"/>
      <c r="B871" s="121"/>
      <c r="C871" s="129"/>
      <c r="D871" s="121"/>
      <c r="E871" s="129"/>
      <c r="F871" s="129"/>
      <c r="G871" s="129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9"/>
      <c r="S871" s="121"/>
      <c r="T871" s="131"/>
      <c r="U871" s="121"/>
      <c r="V871" s="121"/>
      <c r="W871" s="121"/>
      <c r="X871" s="130"/>
      <c r="Y871" s="121"/>
      <c r="Z871" s="129"/>
      <c r="AA871" s="129"/>
      <c r="AB871" s="129"/>
      <c r="AC871" s="121"/>
      <c r="AD871" s="121"/>
      <c r="AE871" s="121"/>
      <c r="AF871" s="121"/>
      <c r="AG871" s="121"/>
      <c r="AH871" s="121"/>
    </row>
    <row r="872" spans="1:34" ht="12.75">
      <c r="A872" s="121"/>
      <c r="B872" s="121"/>
      <c r="C872" s="129"/>
      <c r="D872" s="121"/>
      <c r="E872" s="129"/>
      <c r="F872" s="129"/>
      <c r="G872" s="129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9"/>
      <c r="S872" s="121"/>
      <c r="T872" s="131"/>
      <c r="U872" s="121"/>
      <c r="V872" s="121"/>
      <c r="W872" s="121"/>
      <c r="X872" s="130"/>
      <c r="Y872" s="121"/>
      <c r="Z872" s="129"/>
      <c r="AA872" s="129"/>
      <c r="AB872" s="129"/>
      <c r="AC872" s="121"/>
      <c r="AD872" s="121"/>
      <c r="AE872" s="121"/>
      <c r="AF872" s="121"/>
      <c r="AG872" s="121"/>
      <c r="AH872" s="121"/>
    </row>
    <row r="873" spans="1:34" ht="12.75">
      <c r="A873" s="121"/>
      <c r="B873" s="121"/>
      <c r="C873" s="129"/>
      <c r="D873" s="121"/>
      <c r="E873" s="129"/>
      <c r="F873" s="129"/>
      <c r="G873" s="129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9"/>
      <c r="S873" s="121"/>
      <c r="T873" s="131"/>
      <c r="U873" s="121"/>
      <c r="V873" s="121"/>
      <c r="W873" s="121"/>
      <c r="X873" s="130"/>
      <c r="Y873" s="121"/>
      <c r="Z873" s="129"/>
      <c r="AA873" s="129"/>
      <c r="AB873" s="129"/>
      <c r="AC873" s="121"/>
      <c r="AD873" s="121"/>
      <c r="AE873" s="121"/>
      <c r="AF873" s="121"/>
      <c r="AG873" s="121"/>
      <c r="AH873" s="121"/>
    </row>
    <row r="874" spans="1:34" ht="12.75">
      <c r="A874" s="121"/>
      <c r="B874" s="121"/>
      <c r="C874" s="129"/>
      <c r="D874" s="121"/>
      <c r="E874" s="129"/>
      <c r="F874" s="129"/>
      <c r="G874" s="129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9"/>
      <c r="S874" s="121"/>
      <c r="T874" s="131"/>
      <c r="U874" s="121"/>
      <c r="V874" s="121"/>
      <c r="W874" s="121"/>
      <c r="X874" s="130"/>
      <c r="Y874" s="121"/>
      <c r="Z874" s="129"/>
      <c r="AA874" s="129"/>
      <c r="AB874" s="129"/>
      <c r="AC874" s="121"/>
      <c r="AD874" s="121"/>
      <c r="AE874" s="121"/>
      <c r="AF874" s="121"/>
      <c r="AG874" s="121"/>
      <c r="AH874" s="121"/>
    </row>
    <row r="875" spans="1:34" ht="12.75">
      <c r="A875" s="121"/>
      <c r="B875" s="121"/>
      <c r="C875" s="129"/>
      <c r="D875" s="121"/>
      <c r="E875" s="129"/>
      <c r="F875" s="129"/>
      <c r="G875" s="129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9"/>
      <c r="S875" s="121"/>
      <c r="T875" s="131"/>
      <c r="U875" s="121"/>
      <c r="V875" s="121"/>
      <c r="W875" s="121"/>
      <c r="X875" s="130"/>
      <c r="Y875" s="121"/>
      <c r="Z875" s="129"/>
      <c r="AA875" s="129"/>
      <c r="AB875" s="129"/>
      <c r="AC875" s="121"/>
      <c r="AD875" s="121"/>
      <c r="AE875" s="121"/>
      <c r="AF875" s="121"/>
      <c r="AG875" s="121"/>
      <c r="AH875" s="121"/>
    </row>
    <row r="876" spans="1:34" ht="12.75">
      <c r="A876" s="121"/>
      <c r="B876" s="121"/>
      <c r="C876" s="129"/>
      <c r="D876" s="121"/>
      <c r="E876" s="129"/>
      <c r="F876" s="129"/>
      <c r="G876" s="129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9"/>
      <c r="S876" s="121"/>
      <c r="T876" s="131"/>
      <c r="U876" s="121"/>
      <c r="V876" s="121"/>
      <c r="W876" s="121"/>
      <c r="X876" s="130"/>
      <c r="Y876" s="121"/>
      <c r="Z876" s="129"/>
      <c r="AA876" s="129"/>
      <c r="AB876" s="129"/>
      <c r="AC876" s="121"/>
      <c r="AD876" s="121"/>
      <c r="AE876" s="121"/>
      <c r="AF876" s="121"/>
      <c r="AG876" s="121"/>
      <c r="AH876" s="121"/>
    </row>
    <row r="877" spans="1:34" ht="12.75">
      <c r="A877" s="121"/>
      <c r="B877" s="121"/>
      <c r="C877" s="129"/>
      <c r="D877" s="121"/>
      <c r="E877" s="129"/>
      <c r="F877" s="129"/>
      <c r="G877" s="129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9"/>
      <c r="S877" s="121"/>
      <c r="T877" s="131"/>
      <c r="U877" s="121"/>
      <c r="V877" s="121"/>
      <c r="W877" s="121"/>
      <c r="X877" s="130"/>
      <c r="Y877" s="121"/>
      <c r="Z877" s="129"/>
      <c r="AA877" s="129"/>
      <c r="AB877" s="129"/>
      <c r="AC877" s="121"/>
      <c r="AD877" s="121"/>
      <c r="AE877" s="121"/>
      <c r="AF877" s="121"/>
      <c r="AG877" s="121"/>
      <c r="AH877" s="121"/>
    </row>
    <row r="878" spans="1:34" ht="12.75">
      <c r="A878" s="121"/>
      <c r="B878" s="121"/>
      <c r="C878" s="129"/>
      <c r="D878" s="121"/>
      <c r="E878" s="129"/>
      <c r="F878" s="129"/>
      <c r="G878" s="129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9"/>
      <c r="S878" s="121"/>
      <c r="T878" s="131"/>
      <c r="U878" s="121"/>
      <c r="V878" s="121"/>
      <c r="W878" s="121"/>
      <c r="X878" s="130"/>
      <c r="Y878" s="121"/>
      <c r="Z878" s="129"/>
      <c r="AA878" s="129"/>
      <c r="AB878" s="129"/>
      <c r="AC878" s="121"/>
      <c r="AD878" s="121"/>
      <c r="AE878" s="121"/>
      <c r="AF878" s="121"/>
      <c r="AG878" s="121"/>
      <c r="AH878" s="121"/>
    </row>
    <row r="879" spans="1:34" ht="12.75">
      <c r="A879" s="121"/>
      <c r="B879" s="121"/>
      <c r="C879" s="129"/>
      <c r="D879" s="121"/>
      <c r="E879" s="129"/>
      <c r="F879" s="129"/>
      <c r="G879" s="129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9"/>
      <c r="S879" s="121"/>
      <c r="T879" s="131"/>
      <c r="U879" s="121"/>
      <c r="V879" s="121"/>
      <c r="W879" s="121"/>
      <c r="X879" s="130"/>
      <c r="Y879" s="121"/>
      <c r="Z879" s="129"/>
      <c r="AA879" s="129"/>
      <c r="AB879" s="129"/>
      <c r="AC879" s="121"/>
      <c r="AD879" s="121"/>
      <c r="AE879" s="121"/>
      <c r="AF879" s="121"/>
      <c r="AG879" s="121"/>
      <c r="AH879" s="121"/>
    </row>
    <row r="880" spans="1:34" ht="12.75">
      <c r="A880" s="121"/>
      <c r="B880" s="121"/>
      <c r="C880" s="129"/>
      <c r="D880" s="121"/>
      <c r="E880" s="129"/>
      <c r="F880" s="129"/>
      <c r="G880" s="129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9"/>
      <c r="S880" s="121"/>
      <c r="T880" s="131"/>
      <c r="U880" s="121"/>
      <c r="V880" s="121"/>
      <c r="W880" s="121"/>
      <c r="X880" s="130"/>
      <c r="Y880" s="121"/>
      <c r="Z880" s="129"/>
      <c r="AA880" s="129"/>
      <c r="AB880" s="129"/>
      <c r="AC880" s="121"/>
      <c r="AD880" s="121"/>
      <c r="AE880" s="121"/>
      <c r="AF880" s="121"/>
      <c r="AG880" s="121"/>
      <c r="AH880" s="121"/>
    </row>
    <row r="881" spans="1:34" ht="12.75">
      <c r="A881" s="121"/>
      <c r="B881" s="121"/>
      <c r="C881" s="129"/>
      <c r="D881" s="121"/>
      <c r="E881" s="129"/>
      <c r="F881" s="129"/>
      <c r="G881" s="129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9"/>
      <c r="S881" s="121"/>
      <c r="T881" s="131"/>
      <c r="U881" s="121"/>
      <c r="V881" s="121"/>
      <c r="W881" s="121"/>
      <c r="X881" s="130"/>
      <c r="Y881" s="121"/>
      <c r="Z881" s="129"/>
      <c r="AA881" s="129"/>
      <c r="AB881" s="129"/>
      <c r="AC881" s="121"/>
      <c r="AD881" s="121"/>
      <c r="AE881" s="121"/>
      <c r="AF881" s="121"/>
      <c r="AG881" s="121"/>
      <c r="AH881" s="121"/>
    </row>
    <row r="882" spans="1:34" ht="12.75">
      <c r="A882" s="121"/>
      <c r="B882" s="121"/>
      <c r="C882" s="129"/>
      <c r="D882" s="121"/>
      <c r="E882" s="129"/>
      <c r="F882" s="129"/>
      <c r="G882" s="129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9"/>
      <c r="S882" s="121"/>
      <c r="T882" s="131"/>
      <c r="U882" s="121"/>
      <c r="V882" s="121"/>
      <c r="W882" s="121"/>
      <c r="X882" s="130"/>
      <c r="Y882" s="121"/>
      <c r="Z882" s="129"/>
      <c r="AA882" s="129"/>
      <c r="AB882" s="129"/>
      <c r="AC882" s="121"/>
      <c r="AD882" s="121"/>
      <c r="AE882" s="121"/>
      <c r="AF882" s="121"/>
      <c r="AG882" s="121"/>
      <c r="AH882" s="121"/>
    </row>
    <row r="883" spans="1:34" ht="12.75">
      <c r="A883" s="121"/>
      <c r="B883" s="121"/>
      <c r="C883" s="129"/>
      <c r="D883" s="121"/>
      <c r="E883" s="129"/>
      <c r="F883" s="129"/>
      <c r="G883" s="129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9"/>
      <c r="S883" s="121"/>
      <c r="T883" s="131"/>
      <c r="U883" s="121"/>
      <c r="V883" s="121"/>
      <c r="W883" s="121"/>
      <c r="X883" s="130"/>
      <c r="Y883" s="121"/>
      <c r="Z883" s="129"/>
      <c r="AA883" s="129"/>
      <c r="AB883" s="129"/>
      <c r="AC883" s="121"/>
      <c r="AD883" s="121"/>
      <c r="AE883" s="121"/>
      <c r="AF883" s="121"/>
      <c r="AG883" s="121"/>
      <c r="AH883" s="121"/>
    </row>
    <row r="884" spans="1:34" ht="12.75">
      <c r="A884" s="121"/>
      <c r="B884" s="121"/>
      <c r="C884" s="129"/>
      <c r="D884" s="121"/>
      <c r="E884" s="129"/>
      <c r="F884" s="129"/>
      <c r="G884" s="129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9"/>
      <c r="S884" s="121"/>
      <c r="T884" s="131"/>
      <c r="U884" s="121"/>
      <c r="V884" s="121"/>
      <c r="W884" s="121"/>
      <c r="X884" s="130"/>
      <c r="Y884" s="121"/>
      <c r="Z884" s="129"/>
      <c r="AA884" s="129"/>
      <c r="AB884" s="129"/>
      <c r="AC884" s="121"/>
      <c r="AD884" s="121"/>
      <c r="AE884" s="121"/>
      <c r="AF884" s="121"/>
      <c r="AG884" s="121"/>
      <c r="AH884" s="121"/>
    </row>
    <row r="885" spans="1:34" ht="12.75">
      <c r="A885" s="121"/>
      <c r="B885" s="121"/>
      <c r="C885" s="129"/>
      <c r="D885" s="121"/>
      <c r="E885" s="129"/>
      <c r="F885" s="129"/>
      <c r="G885" s="129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9"/>
      <c r="S885" s="121"/>
      <c r="T885" s="131"/>
      <c r="U885" s="121"/>
      <c r="V885" s="121"/>
      <c r="W885" s="121"/>
      <c r="X885" s="130"/>
      <c r="Y885" s="121"/>
      <c r="Z885" s="129"/>
      <c r="AA885" s="129"/>
      <c r="AB885" s="129"/>
      <c r="AC885" s="121"/>
      <c r="AD885" s="121"/>
      <c r="AE885" s="121"/>
      <c r="AF885" s="121"/>
      <c r="AG885" s="121"/>
      <c r="AH885" s="121"/>
    </row>
    <row r="886" spans="1:34" ht="12.75">
      <c r="A886" s="121"/>
      <c r="B886" s="121"/>
      <c r="C886" s="129"/>
      <c r="D886" s="121"/>
      <c r="E886" s="129"/>
      <c r="F886" s="129"/>
      <c r="G886" s="129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9"/>
      <c r="S886" s="121"/>
      <c r="T886" s="131"/>
      <c r="U886" s="121"/>
      <c r="V886" s="121"/>
      <c r="W886" s="121"/>
      <c r="X886" s="130"/>
      <c r="Y886" s="121"/>
      <c r="Z886" s="129"/>
      <c r="AA886" s="129"/>
      <c r="AB886" s="129"/>
      <c r="AC886" s="121"/>
      <c r="AD886" s="121"/>
      <c r="AE886" s="121"/>
      <c r="AF886" s="121"/>
      <c r="AG886" s="121"/>
      <c r="AH886" s="121"/>
    </row>
    <row r="887" spans="1:34" ht="12.75">
      <c r="A887" s="121"/>
      <c r="B887" s="121"/>
      <c r="C887" s="129"/>
      <c r="D887" s="121"/>
      <c r="E887" s="129"/>
      <c r="F887" s="129"/>
      <c r="G887" s="129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9"/>
      <c r="S887" s="121"/>
      <c r="T887" s="131"/>
      <c r="U887" s="121"/>
      <c r="V887" s="121"/>
      <c r="W887" s="121"/>
      <c r="X887" s="130"/>
      <c r="Y887" s="121"/>
      <c r="Z887" s="129"/>
      <c r="AA887" s="129"/>
      <c r="AB887" s="129"/>
      <c r="AC887" s="121"/>
      <c r="AD887" s="121"/>
      <c r="AE887" s="121"/>
      <c r="AF887" s="121"/>
      <c r="AG887" s="121"/>
      <c r="AH887" s="121"/>
    </row>
    <row r="888" spans="1:34" ht="12.75">
      <c r="A888" s="121"/>
      <c r="B888" s="121"/>
      <c r="C888" s="129"/>
      <c r="D888" s="121"/>
      <c r="E888" s="129"/>
      <c r="F888" s="129"/>
      <c r="G888" s="129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9"/>
      <c r="S888" s="121"/>
      <c r="T888" s="131"/>
      <c r="U888" s="121"/>
      <c r="V888" s="121"/>
      <c r="W888" s="121"/>
      <c r="X888" s="130"/>
      <c r="Y888" s="121"/>
      <c r="Z888" s="129"/>
      <c r="AA888" s="129"/>
      <c r="AB888" s="129"/>
      <c r="AC888" s="121"/>
      <c r="AD888" s="121"/>
      <c r="AE888" s="121"/>
      <c r="AF888" s="121"/>
      <c r="AG888" s="121"/>
      <c r="AH888" s="121"/>
    </row>
    <row r="889" spans="1:34" ht="12.75">
      <c r="A889" s="121"/>
      <c r="B889" s="121"/>
      <c r="C889" s="129"/>
      <c r="D889" s="121"/>
      <c r="E889" s="129"/>
      <c r="F889" s="129"/>
      <c r="G889" s="129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9"/>
      <c r="S889" s="121"/>
      <c r="T889" s="131"/>
      <c r="U889" s="121"/>
      <c r="V889" s="121"/>
      <c r="W889" s="121"/>
      <c r="X889" s="130"/>
      <c r="Y889" s="121"/>
      <c r="Z889" s="129"/>
      <c r="AA889" s="129"/>
      <c r="AB889" s="129"/>
      <c r="AC889" s="121"/>
      <c r="AD889" s="121"/>
      <c r="AE889" s="121"/>
      <c r="AF889" s="121"/>
      <c r="AG889" s="121"/>
      <c r="AH889" s="121"/>
    </row>
    <row r="890" spans="1:34" ht="12.75">
      <c r="A890" s="121"/>
      <c r="B890" s="121"/>
      <c r="C890" s="129"/>
      <c r="D890" s="121"/>
      <c r="E890" s="129"/>
      <c r="F890" s="129"/>
      <c r="G890" s="129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9"/>
      <c r="S890" s="121"/>
      <c r="T890" s="131"/>
      <c r="U890" s="121"/>
      <c r="V890" s="121"/>
      <c r="W890" s="121"/>
      <c r="X890" s="130"/>
      <c r="Y890" s="121"/>
      <c r="Z890" s="129"/>
      <c r="AA890" s="129"/>
      <c r="AB890" s="129"/>
      <c r="AC890" s="121"/>
      <c r="AD890" s="121"/>
      <c r="AE890" s="121"/>
      <c r="AF890" s="121"/>
      <c r="AG890" s="121"/>
      <c r="AH890" s="121"/>
    </row>
    <row r="891" spans="1:34" ht="12.75">
      <c r="A891" s="121"/>
      <c r="B891" s="121"/>
      <c r="C891" s="129"/>
      <c r="D891" s="121"/>
      <c r="E891" s="129"/>
      <c r="F891" s="129"/>
      <c r="G891" s="129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9"/>
      <c r="S891" s="121"/>
      <c r="T891" s="131"/>
      <c r="U891" s="121"/>
      <c r="V891" s="121"/>
      <c r="W891" s="121"/>
      <c r="X891" s="130"/>
      <c r="Y891" s="121"/>
      <c r="Z891" s="129"/>
      <c r="AA891" s="129"/>
      <c r="AB891" s="129"/>
      <c r="AC891" s="121"/>
      <c r="AD891" s="121"/>
      <c r="AE891" s="121"/>
      <c r="AF891" s="121"/>
      <c r="AG891" s="121"/>
      <c r="AH891" s="121"/>
    </row>
    <row r="892" spans="1:34" ht="12.75">
      <c r="A892" s="121"/>
      <c r="B892" s="121"/>
      <c r="C892" s="129"/>
      <c r="D892" s="121"/>
      <c r="E892" s="129"/>
      <c r="F892" s="129"/>
      <c r="G892" s="129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9"/>
      <c r="S892" s="121"/>
      <c r="T892" s="131"/>
      <c r="U892" s="121"/>
      <c r="V892" s="121"/>
      <c r="W892" s="121"/>
      <c r="X892" s="130"/>
      <c r="Y892" s="121"/>
      <c r="Z892" s="129"/>
      <c r="AA892" s="129"/>
      <c r="AB892" s="129"/>
      <c r="AC892" s="121"/>
      <c r="AD892" s="121"/>
      <c r="AE892" s="121"/>
      <c r="AF892" s="121"/>
      <c r="AG892" s="121"/>
      <c r="AH892" s="121"/>
    </row>
    <row r="893" spans="1:34" ht="12.75">
      <c r="A893" s="121"/>
      <c r="B893" s="121"/>
      <c r="C893" s="129"/>
      <c r="D893" s="121"/>
      <c r="E893" s="129"/>
      <c r="F893" s="129"/>
      <c r="G893" s="129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9"/>
      <c r="S893" s="121"/>
      <c r="T893" s="131"/>
      <c r="U893" s="121"/>
      <c r="V893" s="121"/>
      <c r="W893" s="121"/>
      <c r="X893" s="130"/>
      <c r="Y893" s="121"/>
      <c r="Z893" s="129"/>
      <c r="AA893" s="129"/>
      <c r="AB893" s="129"/>
      <c r="AC893" s="121"/>
      <c r="AD893" s="121"/>
      <c r="AE893" s="121"/>
      <c r="AF893" s="121"/>
      <c r="AG893" s="121"/>
      <c r="AH893" s="121"/>
    </row>
    <row r="894" spans="1:34" ht="12.75">
      <c r="A894" s="121"/>
      <c r="B894" s="121"/>
      <c r="C894" s="129"/>
      <c r="D894" s="121"/>
      <c r="E894" s="129"/>
      <c r="F894" s="129"/>
      <c r="G894" s="129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9"/>
      <c r="S894" s="121"/>
      <c r="T894" s="131"/>
      <c r="U894" s="121"/>
      <c r="V894" s="121"/>
      <c r="W894" s="121"/>
      <c r="X894" s="130"/>
      <c r="Y894" s="121"/>
      <c r="Z894" s="129"/>
      <c r="AA894" s="129"/>
      <c r="AB894" s="129"/>
      <c r="AC894" s="121"/>
      <c r="AD894" s="121"/>
      <c r="AE894" s="121"/>
      <c r="AF894" s="121"/>
      <c r="AG894" s="121"/>
      <c r="AH894" s="121"/>
    </row>
    <row r="895" spans="1:34" ht="12.75">
      <c r="A895" s="121"/>
      <c r="B895" s="121"/>
      <c r="C895" s="129"/>
      <c r="D895" s="121"/>
      <c r="E895" s="129"/>
      <c r="F895" s="129"/>
      <c r="G895" s="129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9"/>
      <c r="S895" s="121"/>
      <c r="T895" s="131"/>
      <c r="U895" s="121"/>
      <c r="V895" s="121"/>
      <c r="W895" s="121"/>
      <c r="X895" s="130"/>
      <c r="Y895" s="121"/>
      <c r="Z895" s="129"/>
      <c r="AA895" s="129"/>
      <c r="AB895" s="129"/>
      <c r="AC895" s="121"/>
      <c r="AD895" s="121"/>
      <c r="AE895" s="121"/>
      <c r="AF895" s="121"/>
      <c r="AG895" s="121"/>
      <c r="AH895" s="121"/>
    </row>
    <row r="896" spans="1:34" ht="12.75">
      <c r="A896" s="121"/>
      <c r="B896" s="121"/>
      <c r="C896" s="129"/>
      <c r="D896" s="121"/>
      <c r="E896" s="129"/>
      <c r="F896" s="129"/>
      <c r="G896" s="129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9"/>
      <c r="S896" s="121"/>
      <c r="T896" s="131"/>
      <c r="U896" s="121"/>
      <c r="V896" s="121"/>
      <c r="W896" s="121"/>
      <c r="X896" s="130"/>
      <c r="Y896" s="121"/>
      <c r="Z896" s="129"/>
      <c r="AA896" s="129"/>
      <c r="AB896" s="129"/>
      <c r="AC896" s="121"/>
      <c r="AD896" s="121"/>
      <c r="AE896" s="121"/>
      <c r="AF896" s="121"/>
      <c r="AG896" s="121"/>
      <c r="AH896" s="121"/>
    </row>
    <row r="897" spans="1:34" ht="12.75">
      <c r="A897" s="121"/>
      <c r="B897" s="121"/>
      <c r="C897" s="129"/>
      <c r="D897" s="121"/>
      <c r="E897" s="129"/>
      <c r="F897" s="129"/>
      <c r="G897" s="129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9"/>
      <c r="S897" s="121"/>
      <c r="T897" s="131"/>
      <c r="U897" s="121"/>
      <c r="V897" s="121"/>
      <c r="W897" s="121"/>
      <c r="X897" s="130"/>
      <c r="Y897" s="121"/>
      <c r="Z897" s="129"/>
      <c r="AA897" s="129"/>
      <c r="AB897" s="129"/>
      <c r="AC897" s="121"/>
      <c r="AD897" s="121"/>
      <c r="AE897" s="121"/>
      <c r="AF897" s="121"/>
      <c r="AG897" s="121"/>
      <c r="AH897" s="121"/>
    </row>
    <row r="898" spans="1:34" ht="12.75">
      <c r="A898" s="121"/>
      <c r="B898" s="121"/>
      <c r="C898" s="129"/>
      <c r="D898" s="121"/>
      <c r="E898" s="129"/>
      <c r="F898" s="129"/>
      <c r="G898" s="129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9"/>
      <c r="S898" s="121"/>
      <c r="T898" s="131"/>
      <c r="U898" s="121"/>
      <c r="V898" s="121"/>
      <c r="W898" s="121"/>
      <c r="X898" s="130"/>
      <c r="Y898" s="121"/>
      <c r="Z898" s="129"/>
      <c r="AA898" s="129"/>
      <c r="AB898" s="129"/>
      <c r="AC898" s="121"/>
      <c r="AD898" s="121"/>
      <c r="AE898" s="121"/>
      <c r="AF898" s="121"/>
      <c r="AG898" s="121"/>
      <c r="AH898" s="121"/>
    </row>
    <row r="899" spans="1:34" ht="12.75">
      <c r="A899" s="121"/>
      <c r="B899" s="121"/>
      <c r="C899" s="129"/>
      <c r="D899" s="121"/>
      <c r="E899" s="129"/>
      <c r="F899" s="129"/>
      <c r="G899" s="129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9"/>
      <c r="S899" s="121"/>
      <c r="T899" s="131"/>
      <c r="U899" s="121"/>
      <c r="V899" s="121"/>
      <c r="W899" s="121"/>
      <c r="X899" s="130"/>
      <c r="Y899" s="121"/>
      <c r="Z899" s="129"/>
      <c r="AA899" s="129"/>
      <c r="AB899" s="129"/>
      <c r="AC899" s="121"/>
      <c r="AD899" s="121"/>
      <c r="AE899" s="121"/>
      <c r="AF899" s="121"/>
      <c r="AG899" s="121"/>
      <c r="AH899" s="121"/>
    </row>
    <row r="900" spans="1:34" ht="12.75">
      <c r="A900" s="121"/>
      <c r="B900" s="121"/>
      <c r="C900" s="129"/>
      <c r="D900" s="121"/>
      <c r="E900" s="129"/>
      <c r="F900" s="129"/>
      <c r="G900" s="129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9"/>
      <c r="S900" s="121"/>
      <c r="T900" s="131"/>
      <c r="U900" s="121"/>
      <c r="V900" s="121"/>
      <c r="W900" s="121"/>
      <c r="X900" s="130"/>
      <c r="Y900" s="121"/>
      <c r="Z900" s="129"/>
      <c r="AA900" s="129"/>
      <c r="AB900" s="129"/>
      <c r="AC900" s="121"/>
      <c r="AD900" s="121"/>
      <c r="AE900" s="121"/>
      <c r="AF900" s="121"/>
      <c r="AG900" s="121"/>
      <c r="AH900" s="121"/>
    </row>
    <row r="901" spans="1:34" ht="12.75">
      <c r="A901" s="121"/>
      <c r="B901" s="121"/>
      <c r="C901" s="129"/>
      <c r="D901" s="121"/>
      <c r="E901" s="129"/>
      <c r="F901" s="129"/>
      <c r="G901" s="129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9"/>
      <c r="S901" s="121"/>
      <c r="T901" s="131"/>
      <c r="U901" s="121"/>
      <c r="V901" s="121"/>
      <c r="W901" s="121"/>
      <c r="X901" s="130"/>
      <c r="Y901" s="121"/>
      <c r="Z901" s="129"/>
      <c r="AA901" s="129"/>
      <c r="AB901" s="129"/>
      <c r="AC901" s="121"/>
      <c r="AD901" s="121"/>
      <c r="AE901" s="121"/>
      <c r="AF901" s="121"/>
      <c r="AG901" s="121"/>
      <c r="AH901" s="121"/>
    </row>
    <row r="902" spans="1:34" ht="12.75">
      <c r="A902" s="121"/>
      <c r="B902" s="121"/>
      <c r="C902" s="129"/>
      <c r="D902" s="121"/>
      <c r="E902" s="129"/>
      <c r="F902" s="129"/>
      <c r="G902" s="129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9"/>
      <c r="S902" s="121"/>
      <c r="T902" s="131"/>
      <c r="U902" s="121"/>
      <c r="V902" s="121"/>
      <c r="W902" s="121"/>
      <c r="X902" s="130"/>
      <c r="Y902" s="121"/>
      <c r="Z902" s="129"/>
      <c r="AA902" s="129"/>
      <c r="AB902" s="129"/>
      <c r="AC902" s="121"/>
      <c r="AD902" s="121"/>
      <c r="AE902" s="121"/>
      <c r="AF902" s="121"/>
      <c r="AG902" s="121"/>
      <c r="AH902" s="121"/>
    </row>
    <row r="903" spans="1:34" ht="12.75">
      <c r="A903" s="121"/>
      <c r="B903" s="121"/>
      <c r="C903" s="129"/>
      <c r="D903" s="121"/>
      <c r="E903" s="129"/>
      <c r="F903" s="129"/>
      <c r="G903" s="129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9"/>
      <c r="S903" s="121"/>
      <c r="T903" s="131"/>
      <c r="U903" s="121"/>
      <c r="V903" s="121"/>
      <c r="W903" s="121"/>
      <c r="X903" s="130"/>
      <c r="Y903" s="121"/>
      <c r="Z903" s="129"/>
      <c r="AA903" s="129"/>
      <c r="AB903" s="129"/>
      <c r="AC903" s="121"/>
      <c r="AD903" s="121"/>
      <c r="AE903" s="121"/>
      <c r="AF903" s="121"/>
      <c r="AG903" s="121"/>
      <c r="AH903" s="121"/>
    </row>
    <row r="904" spans="1:34" ht="12.75">
      <c r="A904" s="121"/>
      <c r="B904" s="121"/>
      <c r="C904" s="129"/>
      <c r="D904" s="121"/>
      <c r="E904" s="129"/>
      <c r="F904" s="129"/>
      <c r="G904" s="129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9"/>
      <c r="S904" s="121"/>
      <c r="T904" s="131"/>
      <c r="U904" s="121"/>
      <c r="V904" s="121"/>
      <c r="W904" s="121"/>
      <c r="X904" s="130"/>
      <c r="Y904" s="121"/>
      <c r="Z904" s="129"/>
      <c r="AA904" s="129"/>
      <c r="AB904" s="129"/>
      <c r="AC904" s="121"/>
      <c r="AD904" s="121"/>
      <c r="AE904" s="121"/>
      <c r="AF904" s="121"/>
      <c r="AG904" s="121"/>
      <c r="AH904" s="121"/>
    </row>
    <row r="905" spans="1:34" ht="12.75">
      <c r="A905" s="121"/>
      <c r="B905" s="121"/>
      <c r="C905" s="129"/>
      <c r="D905" s="121"/>
      <c r="E905" s="129"/>
      <c r="F905" s="129"/>
      <c r="G905" s="129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9"/>
      <c r="S905" s="121"/>
      <c r="T905" s="131"/>
      <c r="U905" s="121"/>
      <c r="V905" s="121"/>
      <c r="W905" s="121"/>
      <c r="X905" s="130"/>
      <c r="Y905" s="121"/>
      <c r="Z905" s="129"/>
      <c r="AA905" s="129"/>
      <c r="AB905" s="129"/>
      <c r="AC905" s="121"/>
      <c r="AD905" s="121"/>
      <c r="AE905" s="121"/>
      <c r="AF905" s="121"/>
      <c r="AG905" s="121"/>
      <c r="AH905" s="121"/>
    </row>
    <row r="906" spans="1:34" ht="12.75">
      <c r="A906" s="121"/>
      <c r="B906" s="121"/>
      <c r="C906" s="129"/>
      <c r="D906" s="121"/>
      <c r="E906" s="129"/>
      <c r="F906" s="129"/>
      <c r="G906" s="129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9"/>
      <c r="S906" s="121"/>
      <c r="T906" s="131"/>
      <c r="U906" s="121"/>
      <c r="V906" s="121"/>
      <c r="W906" s="121"/>
      <c r="X906" s="130"/>
      <c r="Y906" s="121"/>
      <c r="Z906" s="129"/>
      <c r="AA906" s="129"/>
      <c r="AB906" s="129"/>
      <c r="AC906" s="121"/>
      <c r="AD906" s="121"/>
      <c r="AE906" s="121"/>
      <c r="AF906" s="121"/>
      <c r="AG906" s="121"/>
      <c r="AH906" s="121"/>
    </row>
    <row r="907" spans="1:34" ht="12.75">
      <c r="A907" s="121"/>
      <c r="B907" s="121"/>
      <c r="C907" s="129"/>
      <c r="D907" s="121"/>
      <c r="E907" s="129"/>
      <c r="F907" s="129"/>
      <c r="G907" s="129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9"/>
      <c r="S907" s="121"/>
      <c r="T907" s="131"/>
      <c r="U907" s="121"/>
      <c r="V907" s="121"/>
      <c r="W907" s="121"/>
      <c r="X907" s="130"/>
      <c r="Y907" s="121"/>
      <c r="Z907" s="129"/>
      <c r="AA907" s="129"/>
      <c r="AB907" s="129"/>
      <c r="AC907" s="121"/>
      <c r="AD907" s="121"/>
      <c r="AE907" s="121"/>
      <c r="AF907" s="121"/>
      <c r="AG907" s="121"/>
      <c r="AH907" s="121"/>
    </row>
    <row r="908" spans="1:34" ht="12.75">
      <c r="A908" s="121"/>
      <c r="B908" s="121"/>
      <c r="C908" s="129"/>
      <c r="D908" s="121"/>
      <c r="E908" s="129"/>
      <c r="F908" s="129"/>
      <c r="G908" s="129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9"/>
      <c r="S908" s="121"/>
      <c r="T908" s="131"/>
      <c r="U908" s="121"/>
      <c r="V908" s="121"/>
      <c r="W908" s="121"/>
      <c r="X908" s="130"/>
      <c r="Y908" s="121"/>
      <c r="Z908" s="129"/>
      <c r="AA908" s="129"/>
      <c r="AB908" s="129"/>
      <c r="AC908" s="121"/>
      <c r="AD908" s="121"/>
      <c r="AE908" s="121"/>
      <c r="AF908" s="121"/>
      <c r="AG908" s="121"/>
      <c r="AH908" s="121"/>
    </row>
    <row r="909" spans="1:34" ht="12.75">
      <c r="A909" s="121"/>
      <c r="B909" s="121"/>
      <c r="C909" s="129"/>
      <c r="D909" s="121"/>
      <c r="E909" s="129"/>
      <c r="F909" s="129"/>
      <c r="G909" s="129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9"/>
      <c r="S909" s="121"/>
      <c r="T909" s="131"/>
      <c r="U909" s="121"/>
      <c r="V909" s="121"/>
      <c r="W909" s="121"/>
      <c r="X909" s="130"/>
      <c r="Y909" s="121"/>
      <c r="Z909" s="129"/>
      <c r="AA909" s="129"/>
      <c r="AB909" s="129"/>
      <c r="AC909" s="121"/>
      <c r="AD909" s="121"/>
      <c r="AE909" s="121"/>
      <c r="AF909" s="121"/>
      <c r="AG909" s="121"/>
      <c r="AH909" s="121"/>
    </row>
    <row r="910" spans="1:34" ht="12.75">
      <c r="A910" s="121"/>
      <c r="B910" s="121"/>
      <c r="C910" s="129"/>
      <c r="D910" s="121"/>
      <c r="E910" s="129"/>
      <c r="F910" s="129"/>
      <c r="G910" s="129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9"/>
      <c r="S910" s="121"/>
      <c r="T910" s="131"/>
      <c r="U910" s="121"/>
      <c r="V910" s="121"/>
      <c r="W910" s="121"/>
      <c r="X910" s="130"/>
      <c r="Y910" s="121"/>
      <c r="Z910" s="129"/>
      <c r="AA910" s="129"/>
      <c r="AB910" s="129"/>
      <c r="AC910" s="121"/>
      <c r="AD910" s="121"/>
      <c r="AE910" s="121"/>
      <c r="AF910" s="121"/>
      <c r="AG910" s="121"/>
      <c r="AH910" s="121"/>
    </row>
    <row r="911" spans="1:34" ht="12.75">
      <c r="A911" s="121"/>
      <c r="B911" s="121"/>
      <c r="C911" s="129"/>
      <c r="D911" s="121"/>
      <c r="E911" s="129"/>
      <c r="F911" s="129"/>
      <c r="G911" s="129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9"/>
      <c r="S911" s="121"/>
      <c r="T911" s="131"/>
      <c r="U911" s="121"/>
      <c r="V911" s="121"/>
      <c r="W911" s="121"/>
      <c r="X911" s="130"/>
      <c r="Y911" s="121"/>
      <c r="Z911" s="129"/>
      <c r="AA911" s="129"/>
      <c r="AB911" s="129"/>
      <c r="AC911" s="121"/>
      <c r="AD911" s="121"/>
      <c r="AE911" s="121"/>
      <c r="AF911" s="121"/>
      <c r="AG911" s="121"/>
      <c r="AH911" s="121"/>
    </row>
    <row r="912" spans="1:34" ht="12.75">
      <c r="A912" s="121"/>
      <c r="B912" s="121"/>
      <c r="C912" s="129"/>
      <c r="D912" s="121"/>
      <c r="E912" s="129"/>
      <c r="F912" s="129"/>
      <c r="G912" s="129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9"/>
      <c r="S912" s="121"/>
      <c r="T912" s="131"/>
      <c r="U912" s="121"/>
      <c r="V912" s="121"/>
      <c r="W912" s="121"/>
      <c r="X912" s="130"/>
      <c r="Y912" s="121"/>
      <c r="Z912" s="129"/>
      <c r="AA912" s="129"/>
      <c r="AB912" s="129"/>
      <c r="AC912" s="121"/>
      <c r="AD912" s="121"/>
      <c r="AE912" s="121"/>
      <c r="AF912" s="121"/>
      <c r="AG912" s="121"/>
      <c r="AH912" s="121"/>
    </row>
    <row r="913" spans="1:34" ht="12.75">
      <c r="A913" s="121"/>
      <c r="B913" s="121"/>
      <c r="C913" s="129"/>
      <c r="D913" s="121"/>
      <c r="E913" s="129"/>
      <c r="F913" s="129"/>
      <c r="G913" s="129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9"/>
      <c r="S913" s="121"/>
      <c r="T913" s="131"/>
      <c r="U913" s="121"/>
      <c r="V913" s="121"/>
      <c r="W913" s="121"/>
      <c r="X913" s="130"/>
      <c r="Y913" s="121"/>
      <c r="Z913" s="129"/>
      <c r="AA913" s="129"/>
      <c r="AB913" s="129"/>
      <c r="AC913" s="121"/>
      <c r="AD913" s="121"/>
      <c r="AE913" s="121"/>
      <c r="AF913" s="121"/>
      <c r="AG913" s="121"/>
      <c r="AH913" s="121"/>
    </row>
    <row r="914" spans="1:34" ht="12.75">
      <c r="A914" s="121"/>
      <c r="B914" s="121"/>
      <c r="C914" s="129"/>
      <c r="D914" s="121"/>
      <c r="E914" s="129"/>
      <c r="F914" s="129"/>
      <c r="G914" s="129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9"/>
      <c r="S914" s="121"/>
      <c r="T914" s="131"/>
      <c r="U914" s="121"/>
      <c r="V914" s="121"/>
      <c r="W914" s="121"/>
      <c r="X914" s="130"/>
      <c r="Y914" s="121"/>
      <c r="Z914" s="129"/>
      <c r="AA914" s="129"/>
      <c r="AB914" s="129"/>
      <c r="AC914" s="121"/>
      <c r="AD914" s="121"/>
      <c r="AE914" s="121"/>
      <c r="AF914" s="121"/>
      <c r="AG914" s="121"/>
      <c r="AH914" s="121"/>
    </row>
    <row r="915" spans="1:34" ht="12.75">
      <c r="A915" s="121"/>
      <c r="B915" s="121"/>
      <c r="C915" s="129"/>
      <c r="D915" s="121"/>
      <c r="E915" s="129"/>
      <c r="F915" s="129"/>
      <c r="G915" s="129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9"/>
      <c r="S915" s="121"/>
      <c r="T915" s="131"/>
      <c r="U915" s="121"/>
      <c r="V915" s="121"/>
      <c r="W915" s="121"/>
      <c r="X915" s="130"/>
      <c r="Y915" s="121"/>
      <c r="Z915" s="129"/>
      <c r="AA915" s="129"/>
      <c r="AB915" s="129"/>
      <c r="AC915" s="121"/>
      <c r="AD915" s="121"/>
      <c r="AE915" s="121"/>
      <c r="AF915" s="121"/>
      <c r="AG915" s="121"/>
      <c r="AH915" s="121"/>
    </row>
    <row r="916" spans="1:34" ht="12.75">
      <c r="A916" s="121"/>
      <c r="B916" s="121"/>
      <c r="C916" s="129"/>
      <c r="D916" s="121"/>
      <c r="E916" s="129"/>
      <c r="F916" s="129"/>
      <c r="G916" s="129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9"/>
      <c r="S916" s="121"/>
      <c r="T916" s="131"/>
      <c r="U916" s="121"/>
      <c r="V916" s="121"/>
      <c r="W916" s="121"/>
      <c r="X916" s="130"/>
      <c r="Y916" s="121"/>
      <c r="Z916" s="129"/>
      <c r="AA916" s="129"/>
      <c r="AB916" s="129"/>
      <c r="AC916" s="121"/>
      <c r="AD916" s="121"/>
      <c r="AE916" s="121"/>
      <c r="AF916" s="121"/>
      <c r="AG916" s="121"/>
      <c r="AH916" s="121"/>
    </row>
    <row r="917" spans="1:34" ht="12.75">
      <c r="A917" s="121"/>
      <c r="B917" s="121"/>
      <c r="C917" s="129"/>
      <c r="D917" s="121"/>
      <c r="E917" s="129"/>
      <c r="F917" s="129"/>
      <c r="G917" s="129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9"/>
      <c r="S917" s="121"/>
      <c r="T917" s="131"/>
      <c r="U917" s="121"/>
      <c r="V917" s="121"/>
      <c r="W917" s="121"/>
      <c r="X917" s="130"/>
      <c r="Y917" s="121"/>
      <c r="Z917" s="129"/>
      <c r="AA917" s="129"/>
      <c r="AB917" s="129"/>
      <c r="AC917" s="121"/>
      <c r="AD917" s="121"/>
      <c r="AE917" s="121"/>
      <c r="AF917" s="121"/>
      <c r="AG917" s="121"/>
      <c r="AH917" s="121"/>
    </row>
    <row r="918" spans="1:34" ht="12.75">
      <c r="A918" s="121"/>
      <c r="B918" s="121"/>
      <c r="C918" s="129"/>
      <c r="D918" s="121"/>
      <c r="E918" s="129"/>
      <c r="F918" s="129"/>
      <c r="G918" s="129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9"/>
      <c r="S918" s="121"/>
      <c r="T918" s="131"/>
      <c r="U918" s="121"/>
      <c r="V918" s="121"/>
      <c r="W918" s="121"/>
      <c r="X918" s="130"/>
      <c r="Y918" s="121"/>
      <c r="Z918" s="129"/>
      <c r="AA918" s="129"/>
      <c r="AB918" s="129"/>
      <c r="AC918" s="121"/>
      <c r="AD918" s="121"/>
      <c r="AE918" s="121"/>
      <c r="AF918" s="121"/>
      <c r="AG918" s="121"/>
      <c r="AH918" s="121"/>
    </row>
    <row r="919" spans="1:34" ht="12.75">
      <c r="A919" s="121"/>
      <c r="B919" s="121"/>
      <c r="C919" s="129"/>
      <c r="D919" s="121"/>
      <c r="E919" s="129"/>
      <c r="F919" s="129"/>
      <c r="G919" s="129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9"/>
      <c r="S919" s="121"/>
      <c r="T919" s="131"/>
      <c r="U919" s="121"/>
      <c r="V919" s="121"/>
      <c r="W919" s="121"/>
      <c r="X919" s="130"/>
      <c r="Y919" s="121"/>
      <c r="Z919" s="129"/>
      <c r="AA919" s="129"/>
      <c r="AB919" s="129"/>
      <c r="AC919" s="121"/>
      <c r="AD919" s="121"/>
      <c r="AE919" s="121"/>
      <c r="AF919" s="121"/>
      <c r="AG919" s="121"/>
      <c r="AH919" s="121"/>
    </row>
    <row r="920" spans="1:34" ht="12.75">
      <c r="A920" s="121"/>
      <c r="B920" s="121"/>
      <c r="C920" s="129"/>
      <c r="D920" s="121"/>
      <c r="E920" s="129"/>
      <c r="F920" s="129"/>
      <c r="G920" s="129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9"/>
      <c r="S920" s="121"/>
      <c r="T920" s="131"/>
      <c r="U920" s="121"/>
      <c r="V920" s="121"/>
      <c r="W920" s="121"/>
      <c r="X920" s="130"/>
      <c r="Y920" s="121"/>
      <c r="Z920" s="129"/>
      <c r="AA920" s="129"/>
      <c r="AB920" s="129"/>
      <c r="AC920" s="121"/>
      <c r="AD920" s="121"/>
      <c r="AE920" s="121"/>
      <c r="AF920" s="121"/>
      <c r="AG920" s="121"/>
      <c r="AH920" s="121"/>
    </row>
    <row r="921" spans="1:34" ht="12.75">
      <c r="A921" s="121"/>
      <c r="B921" s="121"/>
      <c r="C921" s="129"/>
      <c r="D921" s="121"/>
      <c r="E921" s="129"/>
      <c r="F921" s="129"/>
      <c r="G921" s="129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9"/>
      <c r="S921" s="121"/>
      <c r="T921" s="131"/>
      <c r="U921" s="121"/>
      <c r="V921" s="121"/>
      <c r="W921" s="121"/>
      <c r="X921" s="130"/>
      <c r="Y921" s="121"/>
      <c r="Z921" s="129"/>
      <c r="AA921" s="129"/>
      <c r="AB921" s="129"/>
      <c r="AC921" s="121"/>
      <c r="AD921" s="121"/>
      <c r="AE921" s="121"/>
      <c r="AF921" s="121"/>
      <c r="AG921" s="121"/>
      <c r="AH921" s="121"/>
    </row>
    <row r="922" spans="1:34" ht="12.75">
      <c r="A922" s="121"/>
      <c r="B922" s="121"/>
      <c r="C922" s="129"/>
      <c r="D922" s="121"/>
      <c r="E922" s="129"/>
      <c r="F922" s="129"/>
      <c r="G922" s="129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9"/>
      <c r="S922" s="121"/>
      <c r="T922" s="131"/>
      <c r="U922" s="121"/>
      <c r="V922" s="121"/>
      <c r="W922" s="121"/>
      <c r="X922" s="130"/>
      <c r="Y922" s="121"/>
      <c r="Z922" s="129"/>
      <c r="AA922" s="129"/>
      <c r="AB922" s="129"/>
      <c r="AC922" s="121"/>
      <c r="AD922" s="121"/>
      <c r="AE922" s="121"/>
      <c r="AF922" s="121"/>
      <c r="AG922" s="121"/>
      <c r="AH922" s="121"/>
    </row>
    <row r="923" spans="1:34" ht="12.75">
      <c r="A923" s="121"/>
      <c r="B923" s="121"/>
      <c r="C923" s="129"/>
      <c r="D923" s="121"/>
      <c r="E923" s="129"/>
      <c r="F923" s="129"/>
      <c r="G923" s="129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9"/>
      <c r="S923" s="121"/>
      <c r="T923" s="131"/>
      <c r="U923" s="121"/>
      <c r="V923" s="121"/>
      <c r="W923" s="121"/>
      <c r="X923" s="130"/>
      <c r="Y923" s="121"/>
      <c r="Z923" s="129"/>
      <c r="AA923" s="129"/>
      <c r="AB923" s="129"/>
      <c r="AC923" s="121"/>
      <c r="AD923" s="121"/>
      <c r="AE923" s="121"/>
      <c r="AF923" s="121"/>
      <c r="AG923" s="121"/>
      <c r="AH923" s="121"/>
    </row>
    <row r="924" spans="1:34" ht="12.75">
      <c r="A924" s="121"/>
      <c r="B924" s="121"/>
      <c r="C924" s="129"/>
      <c r="D924" s="121"/>
      <c r="E924" s="129"/>
      <c r="F924" s="129"/>
      <c r="G924" s="129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9"/>
      <c r="S924" s="121"/>
      <c r="T924" s="131"/>
      <c r="U924" s="121"/>
      <c r="V924" s="121"/>
      <c r="W924" s="121"/>
      <c r="X924" s="130"/>
      <c r="Y924" s="121"/>
      <c r="Z924" s="129"/>
      <c r="AA924" s="129"/>
      <c r="AB924" s="129"/>
      <c r="AC924" s="121"/>
      <c r="AD924" s="121"/>
      <c r="AE924" s="121"/>
      <c r="AF924" s="121"/>
      <c r="AG924" s="121"/>
      <c r="AH924" s="121"/>
    </row>
    <row r="925" spans="1:34" ht="12.75">
      <c r="A925" s="121"/>
      <c r="B925" s="121"/>
      <c r="C925" s="129"/>
      <c r="D925" s="121"/>
      <c r="E925" s="129"/>
      <c r="F925" s="129"/>
      <c r="G925" s="129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9"/>
      <c r="S925" s="121"/>
      <c r="T925" s="131"/>
      <c r="U925" s="121"/>
      <c r="V925" s="121"/>
      <c r="W925" s="121"/>
      <c r="X925" s="130"/>
      <c r="Y925" s="121"/>
      <c r="Z925" s="129"/>
      <c r="AA925" s="129"/>
      <c r="AB925" s="129"/>
      <c r="AC925" s="121"/>
      <c r="AD925" s="121"/>
      <c r="AE925" s="121"/>
      <c r="AF925" s="121"/>
      <c r="AG925" s="121"/>
      <c r="AH925" s="121"/>
    </row>
    <row r="926" spans="1:34" ht="12.75">
      <c r="A926" s="121"/>
      <c r="B926" s="121"/>
      <c r="C926" s="129"/>
      <c r="D926" s="121"/>
      <c r="E926" s="129"/>
      <c r="F926" s="129"/>
      <c r="G926" s="129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9"/>
      <c r="S926" s="121"/>
      <c r="T926" s="131"/>
      <c r="U926" s="121"/>
      <c r="V926" s="121"/>
      <c r="W926" s="121"/>
      <c r="X926" s="130"/>
      <c r="Y926" s="121"/>
      <c r="Z926" s="129"/>
      <c r="AA926" s="129"/>
      <c r="AB926" s="129"/>
      <c r="AC926" s="121"/>
      <c r="AD926" s="121"/>
      <c r="AE926" s="121"/>
      <c r="AF926" s="121"/>
      <c r="AG926" s="121"/>
      <c r="AH926" s="121"/>
    </row>
    <row r="927" spans="1:34" ht="12.75">
      <c r="A927" s="121"/>
      <c r="B927" s="121"/>
      <c r="C927" s="129"/>
      <c r="D927" s="121"/>
      <c r="E927" s="129"/>
      <c r="F927" s="129"/>
      <c r="G927" s="129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9"/>
      <c r="S927" s="121"/>
      <c r="T927" s="131"/>
      <c r="U927" s="121"/>
      <c r="V927" s="121"/>
      <c r="W927" s="121"/>
      <c r="X927" s="130"/>
      <c r="Y927" s="121"/>
      <c r="Z927" s="129"/>
      <c r="AA927" s="129"/>
      <c r="AB927" s="129"/>
      <c r="AC927" s="121"/>
      <c r="AD927" s="121"/>
      <c r="AE927" s="121"/>
      <c r="AF927" s="121"/>
      <c r="AG927" s="121"/>
      <c r="AH927" s="121"/>
    </row>
    <row r="928" spans="1:34" ht="12.75">
      <c r="A928" s="121"/>
      <c r="B928" s="121"/>
      <c r="C928" s="129"/>
      <c r="D928" s="121"/>
      <c r="E928" s="129"/>
      <c r="F928" s="129"/>
      <c r="G928" s="129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9"/>
      <c r="S928" s="121"/>
      <c r="T928" s="131"/>
      <c r="U928" s="121"/>
      <c r="V928" s="121"/>
      <c r="W928" s="121"/>
      <c r="X928" s="130"/>
      <c r="Y928" s="121"/>
      <c r="Z928" s="129"/>
      <c r="AA928" s="129"/>
      <c r="AB928" s="129"/>
      <c r="AC928" s="121"/>
      <c r="AD928" s="121"/>
      <c r="AE928" s="121"/>
      <c r="AF928" s="121"/>
      <c r="AG928" s="121"/>
      <c r="AH928" s="121"/>
    </row>
    <row r="929" spans="1:34" ht="12.75">
      <c r="A929" s="121"/>
      <c r="B929" s="121"/>
      <c r="C929" s="129"/>
      <c r="D929" s="121"/>
      <c r="E929" s="129"/>
      <c r="F929" s="129"/>
      <c r="G929" s="129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9"/>
      <c r="S929" s="121"/>
      <c r="T929" s="131"/>
      <c r="U929" s="121"/>
      <c r="V929" s="121"/>
      <c r="W929" s="121"/>
      <c r="X929" s="130"/>
      <c r="Y929" s="121"/>
      <c r="Z929" s="129"/>
      <c r="AA929" s="129"/>
      <c r="AB929" s="129"/>
      <c r="AC929" s="121"/>
      <c r="AD929" s="121"/>
      <c r="AE929" s="121"/>
      <c r="AF929" s="121"/>
      <c r="AG929" s="121"/>
      <c r="AH929" s="121"/>
    </row>
    <row r="930" spans="1:34" ht="12.75">
      <c r="A930" s="121"/>
      <c r="B930" s="121"/>
      <c r="C930" s="129"/>
      <c r="D930" s="121"/>
      <c r="E930" s="129"/>
      <c r="F930" s="129"/>
      <c r="G930" s="129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9"/>
      <c r="S930" s="121"/>
      <c r="T930" s="131"/>
      <c r="U930" s="121"/>
      <c r="V930" s="121"/>
      <c r="W930" s="121"/>
      <c r="X930" s="130"/>
      <c r="Y930" s="121"/>
      <c r="Z930" s="129"/>
      <c r="AA930" s="129"/>
      <c r="AB930" s="129"/>
      <c r="AC930" s="121"/>
      <c r="AD930" s="121"/>
      <c r="AE930" s="121"/>
      <c r="AF930" s="121"/>
      <c r="AG930" s="121"/>
      <c r="AH930" s="121"/>
    </row>
    <row r="931" spans="1:34" ht="12.75">
      <c r="A931" s="121"/>
      <c r="B931" s="121"/>
      <c r="C931" s="129"/>
      <c r="D931" s="121"/>
      <c r="E931" s="129"/>
      <c r="F931" s="129"/>
      <c r="G931" s="129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9"/>
      <c r="S931" s="121"/>
      <c r="T931" s="131"/>
      <c r="U931" s="121"/>
      <c r="V931" s="121"/>
      <c r="W931" s="121"/>
      <c r="X931" s="130"/>
      <c r="Y931" s="121"/>
      <c r="Z931" s="129"/>
      <c r="AA931" s="129"/>
      <c r="AB931" s="129"/>
      <c r="AC931" s="121"/>
      <c r="AD931" s="121"/>
      <c r="AE931" s="121"/>
      <c r="AF931" s="121"/>
      <c r="AG931" s="121"/>
      <c r="AH931" s="121"/>
    </row>
    <row r="932" spans="1:34" ht="12.75">
      <c r="A932" s="121"/>
      <c r="B932" s="121"/>
      <c r="C932" s="129"/>
      <c r="D932" s="121"/>
      <c r="E932" s="129"/>
      <c r="F932" s="129"/>
      <c r="G932" s="129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9"/>
      <c r="S932" s="121"/>
      <c r="T932" s="131"/>
      <c r="U932" s="121"/>
      <c r="V932" s="121"/>
      <c r="W932" s="121"/>
      <c r="X932" s="130"/>
      <c r="Y932" s="121"/>
      <c r="Z932" s="129"/>
      <c r="AA932" s="129"/>
      <c r="AB932" s="129"/>
      <c r="AC932" s="121"/>
      <c r="AD932" s="121"/>
      <c r="AE932" s="121"/>
      <c r="AF932" s="121"/>
      <c r="AG932" s="121"/>
      <c r="AH932" s="121"/>
    </row>
    <row r="933" spans="1:34" ht="12.75">
      <c r="A933" s="121"/>
      <c r="B933" s="121"/>
      <c r="C933" s="129"/>
      <c r="D933" s="121"/>
      <c r="E933" s="129"/>
      <c r="F933" s="129"/>
      <c r="G933" s="129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9"/>
      <c r="S933" s="121"/>
      <c r="T933" s="131"/>
      <c r="U933" s="121"/>
      <c r="V933" s="121"/>
      <c r="W933" s="121"/>
      <c r="X933" s="130"/>
      <c r="Y933" s="121"/>
      <c r="Z933" s="129"/>
      <c r="AA933" s="129"/>
      <c r="AB933" s="129"/>
      <c r="AC933" s="121"/>
      <c r="AD933" s="121"/>
      <c r="AE933" s="121"/>
      <c r="AF933" s="121"/>
      <c r="AG933" s="121"/>
      <c r="AH933" s="121"/>
    </row>
    <row r="934" spans="1:34" ht="12.75">
      <c r="A934" s="121"/>
      <c r="B934" s="121"/>
      <c r="C934" s="129"/>
      <c r="D934" s="121"/>
      <c r="E934" s="129"/>
      <c r="F934" s="129"/>
      <c r="G934" s="129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9"/>
      <c r="S934" s="121"/>
      <c r="T934" s="131"/>
      <c r="U934" s="121"/>
      <c r="V934" s="121"/>
      <c r="W934" s="121"/>
      <c r="X934" s="130"/>
      <c r="Y934" s="121"/>
      <c r="Z934" s="129"/>
      <c r="AA934" s="129"/>
      <c r="AB934" s="129"/>
      <c r="AC934" s="121"/>
      <c r="AD934" s="121"/>
      <c r="AE934" s="121"/>
      <c r="AF934" s="121"/>
      <c r="AG934" s="121"/>
      <c r="AH934" s="121"/>
    </row>
    <row r="935" spans="1:34" ht="12.75">
      <c r="A935" s="121"/>
      <c r="B935" s="121"/>
      <c r="C935" s="129"/>
      <c r="D935" s="121"/>
      <c r="E935" s="129"/>
      <c r="F935" s="129"/>
      <c r="G935" s="129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9"/>
      <c r="S935" s="121"/>
      <c r="T935" s="131"/>
      <c r="U935" s="121"/>
      <c r="V935" s="121"/>
      <c r="W935" s="121"/>
      <c r="X935" s="130"/>
      <c r="Y935" s="121"/>
      <c r="Z935" s="129"/>
      <c r="AA935" s="129"/>
      <c r="AB935" s="129"/>
      <c r="AC935" s="121"/>
      <c r="AD935" s="121"/>
      <c r="AE935" s="121"/>
      <c r="AF935" s="121"/>
      <c r="AG935" s="121"/>
      <c r="AH935" s="121"/>
    </row>
    <row r="936" spans="1:34" ht="12.75">
      <c r="A936" s="121"/>
      <c r="B936" s="121"/>
      <c r="C936" s="129"/>
      <c r="D936" s="121"/>
      <c r="E936" s="129"/>
      <c r="F936" s="129"/>
      <c r="G936" s="129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9"/>
      <c r="S936" s="121"/>
      <c r="T936" s="131"/>
      <c r="U936" s="121"/>
      <c r="V936" s="121"/>
      <c r="W936" s="121"/>
      <c r="X936" s="130"/>
      <c r="Y936" s="121"/>
      <c r="Z936" s="129"/>
      <c r="AA936" s="129"/>
      <c r="AB936" s="129"/>
      <c r="AC936" s="121"/>
      <c r="AD936" s="121"/>
      <c r="AE936" s="121"/>
      <c r="AF936" s="121"/>
      <c r="AG936" s="121"/>
      <c r="AH936" s="121"/>
    </row>
    <row r="937" spans="1:34" ht="12.75">
      <c r="A937" s="121"/>
      <c r="B937" s="121"/>
      <c r="C937" s="129"/>
      <c r="D937" s="121"/>
      <c r="E937" s="129"/>
      <c r="F937" s="129"/>
      <c r="G937" s="129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9"/>
      <c r="S937" s="121"/>
      <c r="T937" s="131"/>
      <c r="U937" s="121"/>
      <c r="V937" s="121"/>
      <c r="W937" s="121"/>
      <c r="X937" s="130"/>
      <c r="Y937" s="121"/>
      <c r="Z937" s="129"/>
      <c r="AA937" s="129"/>
      <c r="AB937" s="129"/>
      <c r="AC937" s="121"/>
      <c r="AD937" s="121"/>
      <c r="AE937" s="121"/>
      <c r="AF937" s="121"/>
      <c r="AG937" s="121"/>
      <c r="AH937" s="121"/>
    </row>
    <row r="938" spans="1:34" ht="12.75">
      <c r="A938" s="121"/>
      <c r="B938" s="121"/>
      <c r="C938" s="129"/>
      <c r="D938" s="121"/>
      <c r="E938" s="129"/>
      <c r="F938" s="129"/>
      <c r="G938" s="129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9"/>
      <c r="S938" s="121"/>
      <c r="T938" s="131"/>
      <c r="U938" s="121"/>
      <c r="V938" s="121"/>
      <c r="W938" s="121"/>
      <c r="X938" s="130"/>
      <c r="Y938" s="121"/>
      <c r="Z938" s="129"/>
      <c r="AA938" s="129"/>
      <c r="AB938" s="129"/>
      <c r="AC938" s="121"/>
      <c r="AD938" s="121"/>
      <c r="AE938" s="121"/>
      <c r="AF938" s="121"/>
      <c r="AG938" s="121"/>
      <c r="AH938" s="121"/>
    </row>
    <row r="939" spans="1:34" ht="12.75">
      <c r="A939" s="121"/>
      <c r="B939" s="121"/>
      <c r="C939" s="129"/>
      <c r="D939" s="121"/>
      <c r="E939" s="129"/>
      <c r="F939" s="129"/>
      <c r="G939" s="129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9"/>
      <c r="S939" s="121"/>
      <c r="T939" s="131"/>
      <c r="U939" s="121"/>
      <c r="V939" s="121"/>
      <c r="W939" s="121"/>
      <c r="X939" s="130"/>
      <c r="Y939" s="121"/>
      <c r="Z939" s="129"/>
      <c r="AA939" s="129"/>
      <c r="AB939" s="129"/>
      <c r="AC939" s="121"/>
      <c r="AD939" s="121"/>
      <c r="AE939" s="121"/>
      <c r="AF939" s="121"/>
      <c r="AG939" s="121"/>
      <c r="AH939" s="121"/>
    </row>
    <row r="940" spans="1:34" ht="12.75">
      <c r="A940" s="121"/>
      <c r="B940" s="121"/>
      <c r="C940" s="129"/>
      <c r="D940" s="121"/>
      <c r="E940" s="129"/>
      <c r="F940" s="129"/>
      <c r="G940" s="129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9"/>
      <c r="S940" s="121"/>
      <c r="T940" s="131"/>
      <c r="U940" s="121"/>
      <c r="V940" s="121"/>
      <c r="W940" s="121"/>
      <c r="X940" s="130"/>
      <c r="Y940" s="121"/>
      <c r="Z940" s="129"/>
      <c r="AA940" s="129"/>
      <c r="AB940" s="129"/>
      <c r="AC940" s="121"/>
      <c r="AD940" s="121"/>
      <c r="AE940" s="121"/>
      <c r="AF940" s="121"/>
      <c r="AG940" s="121"/>
      <c r="AH940" s="121"/>
    </row>
    <row r="941" spans="1:34" ht="12.75">
      <c r="A941" s="121"/>
      <c r="B941" s="121"/>
      <c r="C941" s="129"/>
      <c r="D941" s="121"/>
      <c r="E941" s="129"/>
      <c r="F941" s="129"/>
      <c r="G941" s="129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9"/>
      <c r="S941" s="121"/>
      <c r="T941" s="131"/>
      <c r="U941" s="121"/>
      <c r="V941" s="121"/>
      <c r="W941" s="121"/>
      <c r="X941" s="130"/>
      <c r="Y941" s="121"/>
      <c r="Z941" s="129"/>
      <c r="AA941" s="129"/>
      <c r="AB941" s="129"/>
      <c r="AC941" s="121"/>
      <c r="AD941" s="121"/>
      <c r="AE941" s="121"/>
      <c r="AF941" s="121"/>
      <c r="AG941" s="121"/>
      <c r="AH941" s="121"/>
    </row>
    <row r="942" spans="1:34" ht="12.75">
      <c r="A942" s="121"/>
      <c r="B942" s="121"/>
      <c r="C942" s="129"/>
      <c r="D942" s="121"/>
      <c r="E942" s="129"/>
      <c r="F942" s="129"/>
      <c r="G942" s="129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9"/>
      <c r="S942" s="121"/>
      <c r="T942" s="131"/>
      <c r="U942" s="121"/>
      <c r="V942" s="121"/>
      <c r="W942" s="121"/>
      <c r="X942" s="130"/>
      <c r="Y942" s="121"/>
      <c r="Z942" s="129"/>
      <c r="AA942" s="129"/>
      <c r="AB942" s="129"/>
      <c r="AC942" s="121"/>
      <c r="AD942" s="121"/>
      <c r="AE942" s="121"/>
      <c r="AF942" s="121"/>
      <c r="AG942" s="121"/>
      <c r="AH942" s="121"/>
    </row>
    <row r="943" spans="1:34" ht="12.75">
      <c r="A943" s="121"/>
      <c r="B943" s="121"/>
      <c r="C943" s="129"/>
      <c r="D943" s="121"/>
      <c r="E943" s="129"/>
      <c r="F943" s="129"/>
      <c r="G943" s="129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9"/>
      <c r="S943" s="121"/>
      <c r="T943" s="131"/>
      <c r="U943" s="121"/>
      <c r="V943" s="121"/>
      <c r="W943" s="121"/>
      <c r="X943" s="130"/>
      <c r="Y943" s="121"/>
      <c r="Z943" s="129"/>
      <c r="AA943" s="129"/>
      <c r="AB943" s="129"/>
      <c r="AC943" s="121"/>
      <c r="AD943" s="121"/>
      <c r="AE943" s="121"/>
      <c r="AF943" s="121"/>
      <c r="AG943" s="121"/>
      <c r="AH943" s="121"/>
    </row>
    <row r="944" spans="1:34" ht="12.75">
      <c r="A944" s="121"/>
      <c r="B944" s="121"/>
      <c r="C944" s="129"/>
      <c r="D944" s="121"/>
      <c r="E944" s="129"/>
      <c r="F944" s="129"/>
      <c r="G944" s="129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9"/>
      <c r="S944" s="121"/>
      <c r="T944" s="131"/>
      <c r="U944" s="121"/>
      <c r="V944" s="121"/>
      <c r="W944" s="121"/>
      <c r="X944" s="130"/>
      <c r="Y944" s="121"/>
      <c r="Z944" s="129"/>
      <c r="AA944" s="129"/>
      <c r="AB944" s="129"/>
      <c r="AC944" s="121"/>
      <c r="AD944" s="121"/>
      <c r="AE944" s="121"/>
      <c r="AF944" s="121"/>
      <c r="AG944" s="121"/>
      <c r="AH944" s="121"/>
    </row>
    <row r="945" spans="1:34" ht="12.75">
      <c r="A945" s="121"/>
      <c r="B945" s="121"/>
      <c r="C945" s="129"/>
      <c r="D945" s="121"/>
      <c r="E945" s="129"/>
      <c r="F945" s="129"/>
      <c r="G945" s="129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9"/>
      <c r="S945" s="121"/>
      <c r="T945" s="131"/>
      <c r="U945" s="121"/>
      <c r="V945" s="121"/>
      <c r="W945" s="121"/>
      <c r="X945" s="130"/>
      <c r="Y945" s="121"/>
      <c r="Z945" s="129"/>
      <c r="AA945" s="129"/>
      <c r="AB945" s="129"/>
      <c r="AC945" s="121"/>
      <c r="AD945" s="121"/>
      <c r="AE945" s="121"/>
      <c r="AF945" s="121"/>
      <c r="AG945" s="121"/>
      <c r="AH945" s="121"/>
    </row>
    <row r="946" spans="1:34" ht="12.75">
      <c r="A946" s="121"/>
      <c r="B946" s="121"/>
      <c r="C946" s="129"/>
      <c r="D946" s="121"/>
      <c r="E946" s="129"/>
      <c r="F946" s="129"/>
      <c r="G946" s="129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9"/>
      <c r="S946" s="121"/>
      <c r="T946" s="131"/>
      <c r="U946" s="121"/>
      <c r="V946" s="121"/>
      <c r="W946" s="121"/>
      <c r="X946" s="130"/>
      <c r="Y946" s="121"/>
      <c r="Z946" s="129"/>
      <c r="AA946" s="129"/>
      <c r="AB946" s="129"/>
      <c r="AC946" s="121"/>
      <c r="AD946" s="121"/>
      <c r="AE946" s="121"/>
      <c r="AF946" s="121"/>
      <c r="AG946" s="121"/>
      <c r="AH946" s="121"/>
    </row>
    <row r="947" spans="1:34" ht="12.75">
      <c r="A947" s="121"/>
      <c r="B947" s="121"/>
      <c r="C947" s="129"/>
      <c r="D947" s="121"/>
      <c r="E947" s="129"/>
      <c r="F947" s="129"/>
      <c r="G947" s="129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9"/>
      <c r="S947" s="121"/>
      <c r="T947" s="131"/>
      <c r="U947" s="121"/>
      <c r="V947" s="121"/>
      <c r="W947" s="121"/>
      <c r="X947" s="130"/>
      <c r="Y947" s="121"/>
      <c r="Z947" s="129"/>
      <c r="AA947" s="129"/>
      <c r="AB947" s="129"/>
      <c r="AC947" s="121"/>
      <c r="AD947" s="121"/>
      <c r="AE947" s="121"/>
      <c r="AF947" s="121"/>
      <c r="AG947" s="121"/>
      <c r="AH947" s="121"/>
    </row>
    <row r="948" spans="1:34" ht="12.75">
      <c r="A948" s="121"/>
      <c r="B948" s="121"/>
      <c r="C948" s="129"/>
      <c r="D948" s="121"/>
      <c r="E948" s="129"/>
      <c r="F948" s="129"/>
      <c r="G948" s="129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9"/>
      <c r="S948" s="121"/>
      <c r="T948" s="131"/>
      <c r="U948" s="121"/>
      <c r="V948" s="121"/>
      <c r="W948" s="121"/>
      <c r="X948" s="130"/>
      <c r="Y948" s="121"/>
      <c r="Z948" s="129"/>
      <c r="AA948" s="129"/>
      <c r="AB948" s="129"/>
      <c r="AC948" s="121"/>
      <c r="AD948" s="121"/>
      <c r="AE948" s="121"/>
      <c r="AF948" s="121"/>
      <c r="AG948" s="121"/>
      <c r="AH948" s="121"/>
    </row>
    <row r="949" spans="1:34" ht="12.75">
      <c r="A949" s="121"/>
      <c r="B949" s="121"/>
      <c r="C949" s="129"/>
      <c r="D949" s="121"/>
      <c r="E949" s="129"/>
      <c r="F949" s="129"/>
      <c r="G949" s="129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9"/>
      <c r="S949" s="121"/>
      <c r="T949" s="131"/>
      <c r="U949" s="121"/>
      <c r="V949" s="121"/>
      <c r="W949" s="121"/>
      <c r="X949" s="130"/>
      <c r="Y949" s="121"/>
      <c r="Z949" s="129"/>
      <c r="AA949" s="129"/>
      <c r="AB949" s="129"/>
      <c r="AC949" s="121"/>
      <c r="AD949" s="121"/>
      <c r="AE949" s="121"/>
      <c r="AF949" s="121"/>
      <c r="AG949" s="121"/>
      <c r="AH949" s="121"/>
    </row>
    <row r="950" spans="1:34" ht="12.75">
      <c r="A950" s="121"/>
      <c r="B950" s="121"/>
      <c r="C950" s="129"/>
      <c r="D950" s="121"/>
      <c r="E950" s="129"/>
      <c r="F950" s="129"/>
      <c r="G950" s="129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9"/>
      <c r="S950" s="121"/>
      <c r="T950" s="131"/>
      <c r="U950" s="121"/>
      <c r="V950" s="121"/>
      <c r="W950" s="121"/>
      <c r="X950" s="130"/>
      <c r="Y950" s="121"/>
      <c r="Z950" s="129"/>
      <c r="AA950" s="129"/>
      <c r="AB950" s="129"/>
      <c r="AC950" s="121"/>
      <c r="AD950" s="121"/>
      <c r="AE950" s="121"/>
      <c r="AF950" s="121"/>
      <c r="AG950" s="121"/>
      <c r="AH950" s="121"/>
    </row>
    <row r="951" spans="1:34" ht="12.75">
      <c r="A951" s="121"/>
      <c r="B951" s="121"/>
      <c r="C951" s="129"/>
      <c r="D951" s="121"/>
      <c r="E951" s="129"/>
      <c r="F951" s="129"/>
      <c r="G951" s="129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9"/>
      <c r="S951" s="121"/>
      <c r="T951" s="131"/>
      <c r="U951" s="121"/>
      <c r="V951" s="121"/>
      <c r="W951" s="121"/>
      <c r="X951" s="130"/>
      <c r="Y951" s="121"/>
      <c r="Z951" s="129"/>
      <c r="AA951" s="129"/>
      <c r="AB951" s="129"/>
      <c r="AC951" s="121"/>
      <c r="AD951" s="121"/>
      <c r="AE951" s="121"/>
      <c r="AF951" s="121"/>
      <c r="AG951" s="121"/>
      <c r="AH951" s="121"/>
    </row>
    <row r="952" spans="1:34" ht="12.75">
      <c r="A952" s="121"/>
      <c r="B952" s="121"/>
      <c r="C952" s="129"/>
      <c r="D952" s="121"/>
      <c r="E952" s="129"/>
      <c r="F952" s="129"/>
      <c r="G952" s="129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9"/>
      <c r="S952" s="121"/>
      <c r="T952" s="131"/>
      <c r="U952" s="121"/>
      <c r="V952" s="121"/>
      <c r="W952" s="121"/>
      <c r="X952" s="130"/>
      <c r="Y952" s="121"/>
      <c r="Z952" s="129"/>
      <c r="AA952" s="129"/>
      <c r="AB952" s="129"/>
      <c r="AC952" s="121"/>
      <c r="AD952" s="121"/>
      <c r="AE952" s="121"/>
      <c r="AF952" s="121"/>
      <c r="AG952" s="121"/>
      <c r="AH952" s="121"/>
    </row>
    <row r="953" spans="1:34" ht="12.75">
      <c r="A953" s="121"/>
      <c r="B953" s="121"/>
      <c r="C953" s="129"/>
      <c r="D953" s="121"/>
      <c r="E953" s="129"/>
      <c r="F953" s="129"/>
      <c r="G953" s="129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9"/>
      <c r="S953" s="121"/>
      <c r="T953" s="131"/>
      <c r="U953" s="121"/>
      <c r="V953" s="121"/>
      <c r="W953" s="121"/>
      <c r="X953" s="130"/>
      <c r="Y953" s="121"/>
      <c r="Z953" s="129"/>
      <c r="AA953" s="129"/>
      <c r="AB953" s="129"/>
      <c r="AC953" s="121"/>
      <c r="AD953" s="121"/>
      <c r="AE953" s="121"/>
      <c r="AF953" s="121"/>
      <c r="AG953" s="121"/>
      <c r="AH953" s="121"/>
    </row>
    <row r="954" spans="1:34" ht="12.75">
      <c r="A954" s="121"/>
      <c r="B954" s="121"/>
      <c r="C954" s="129"/>
      <c r="D954" s="121"/>
      <c r="E954" s="129"/>
      <c r="F954" s="129"/>
      <c r="G954" s="129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9"/>
      <c r="S954" s="121"/>
      <c r="T954" s="131"/>
      <c r="U954" s="121"/>
      <c r="V954" s="121"/>
      <c r="W954" s="121"/>
      <c r="X954" s="130"/>
      <c r="Y954" s="121"/>
      <c r="Z954" s="129"/>
      <c r="AA954" s="129"/>
      <c r="AB954" s="129"/>
      <c r="AC954" s="121"/>
      <c r="AD954" s="121"/>
      <c r="AE954" s="121"/>
      <c r="AF954" s="121"/>
      <c r="AG954" s="121"/>
      <c r="AH954" s="121"/>
    </row>
    <row r="955" spans="1:34" ht="12.75">
      <c r="A955" s="121"/>
      <c r="B955" s="121"/>
      <c r="C955" s="129"/>
      <c r="D955" s="121"/>
      <c r="E955" s="129"/>
      <c r="F955" s="129"/>
      <c r="G955" s="129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9"/>
      <c r="S955" s="121"/>
      <c r="T955" s="131"/>
      <c r="U955" s="121"/>
      <c r="V955" s="121"/>
      <c r="W955" s="121"/>
      <c r="X955" s="130"/>
      <c r="Y955" s="121"/>
      <c r="Z955" s="129"/>
      <c r="AA955" s="129"/>
      <c r="AB955" s="129"/>
      <c r="AC955" s="121"/>
      <c r="AD955" s="121"/>
      <c r="AE955" s="121"/>
      <c r="AF955" s="121"/>
      <c r="AG955" s="121"/>
      <c r="AH955" s="121"/>
    </row>
    <row r="956" spans="1:34" ht="12.75">
      <c r="A956" s="121"/>
      <c r="B956" s="121"/>
      <c r="C956" s="129"/>
      <c r="D956" s="121"/>
      <c r="E956" s="129"/>
      <c r="F956" s="129"/>
      <c r="G956" s="129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9"/>
      <c r="S956" s="121"/>
      <c r="T956" s="131"/>
      <c r="U956" s="121"/>
      <c r="V956" s="121"/>
      <c r="W956" s="121"/>
      <c r="X956" s="130"/>
      <c r="Y956" s="121"/>
      <c r="Z956" s="129"/>
      <c r="AA956" s="129"/>
      <c r="AB956" s="129"/>
      <c r="AC956" s="121"/>
      <c r="AD956" s="121"/>
      <c r="AE956" s="121"/>
      <c r="AF956" s="121"/>
      <c r="AG956" s="121"/>
      <c r="AH956" s="121"/>
    </row>
    <row r="957" spans="1:34" ht="12.75">
      <c r="A957" s="121"/>
      <c r="B957" s="121"/>
      <c r="C957" s="129"/>
      <c r="D957" s="121"/>
      <c r="E957" s="129"/>
      <c r="F957" s="129"/>
      <c r="G957" s="129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9"/>
      <c r="S957" s="121"/>
      <c r="T957" s="131"/>
      <c r="U957" s="121"/>
      <c r="V957" s="121"/>
      <c r="W957" s="121"/>
      <c r="X957" s="130"/>
      <c r="Y957" s="121"/>
      <c r="Z957" s="129"/>
      <c r="AA957" s="129"/>
      <c r="AB957" s="129"/>
      <c r="AC957" s="121"/>
      <c r="AD957" s="121"/>
      <c r="AE957" s="121"/>
      <c r="AF957" s="121"/>
      <c r="AG957" s="121"/>
      <c r="AH957" s="121"/>
    </row>
    <row r="958" spans="1:34" ht="12.75">
      <c r="A958" s="121"/>
      <c r="B958" s="121"/>
      <c r="C958" s="129"/>
      <c r="D958" s="121"/>
      <c r="E958" s="129"/>
      <c r="F958" s="129"/>
      <c r="G958" s="129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9"/>
      <c r="S958" s="121"/>
      <c r="T958" s="131"/>
      <c r="U958" s="121"/>
      <c r="V958" s="121"/>
      <c r="W958" s="121"/>
      <c r="X958" s="130"/>
      <c r="Y958" s="121"/>
      <c r="Z958" s="129"/>
      <c r="AA958" s="129"/>
      <c r="AB958" s="129"/>
      <c r="AC958" s="121"/>
      <c r="AD958" s="121"/>
      <c r="AE958" s="121"/>
      <c r="AF958" s="121"/>
      <c r="AG958" s="121"/>
      <c r="AH958" s="121"/>
    </row>
    <row r="959" spans="1:34" ht="12.75">
      <c r="A959" s="121"/>
      <c r="B959" s="121"/>
      <c r="C959" s="129"/>
      <c r="D959" s="121"/>
      <c r="E959" s="129"/>
      <c r="F959" s="129"/>
      <c r="G959" s="129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9"/>
      <c r="S959" s="121"/>
      <c r="T959" s="131"/>
      <c r="U959" s="121"/>
      <c r="V959" s="121"/>
      <c r="W959" s="121"/>
      <c r="X959" s="130"/>
      <c r="Y959" s="121"/>
      <c r="Z959" s="129"/>
      <c r="AA959" s="129"/>
      <c r="AB959" s="129"/>
      <c r="AC959" s="121"/>
      <c r="AD959" s="121"/>
      <c r="AE959" s="121"/>
      <c r="AF959" s="121"/>
      <c r="AG959" s="121"/>
      <c r="AH959" s="121"/>
    </row>
    <row r="960" spans="1:34" ht="12.75">
      <c r="A960" s="121"/>
      <c r="B960" s="121"/>
      <c r="C960" s="129"/>
      <c r="D960" s="121"/>
      <c r="E960" s="129"/>
      <c r="F960" s="129"/>
      <c r="G960" s="129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9"/>
      <c r="S960" s="121"/>
      <c r="T960" s="131"/>
      <c r="U960" s="121"/>
      <c r="V960" s="121"/>
      <c r="W960" s="121"/>
      <c r="X960" s="130"/>
      <c r="Y960" s="121"/>
      <c r="Z960" s="129"/>
      <c r="AA960" s="129"/>
      <c r="AB960" s="129"/>
      <c r="AC960" s="121"/>
      <c r="AD960" s="121"/>
      <c r="AE960" s="121"/>
      <c r="AF960" s="121"/>
      <c r="AG960" s="121"/>
      <c r="AH960" s="121"/>
    </row>
    <row r="961" spans="1:34" ht="12.75">
      <c r="A961" s="121"/>
      <c r="B961" s="121"/>
      <c r="C961" s="129"/>
      <c r="D961" s="121"/>
      <c r="E961" s="129"/>
      <c r="F961" s="129"/>
      <c r="G961" s="129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9"/>
      <c r="S961" s="121"/>
      <c r="T961" s="131"/>
      <c r="U961" s="121"/>
      <c r="V961" s="121"/>
      <c r="W961" s="121"/>
      <c r="X961" s="130"/>
      <c r="Y961" s="121"/>
      <c r="Z961" s="129"/>
      <c r="AA961" s="129"/>
      <c r="AB961" s="129"/>
      <c r="AC961" s="121"/>
      <c r="AD961" s="121"/>
      <c r="AE961" s="121"/>
      <c r="AF961" s="121"/>
      <c r="AG961" s="121"/>
      <c r="AH961" s="121"/>
    </row>
    <row r="962" spans="1:34" ht="12.75">
      <c r="A962" s="121"/>
      <c r="B962" s="121"/>
      <c r="C962" s="129"/>
      <c r="D962" s="121"/>
      <c r="E962" s="129"/>
      <c r="F962" s="129"/>
      <c r="G962" s="129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9"/>
      <c r="S962" s="121"/>
      <c r="T962" s="131"/>
      <c r="U962" s="121"/>
      <c r="V962" s="121"/>
      <c r="W962" s="121"/>
      <c r="X962" s="130"/>
      <c r="Y962" s="121"/>
      <c r="Z962" s="129"/>
      <c r="AA962" s="129"/>
      <c r="AB962" s="129"/>
      <c r="AC962" s="121"/>
      <c r="AD962" s="121"/>
      <c r="AE962" s="121"/>
      <c r="AF962" s="121"/>
      <c r="AG962" s="121"/>
      <c r="AH962" s="121"/>
    </row>
    <row r="963" spans="1:34" ht="12.75">
      <c r="A963" s="121"/>
      <c r="B963" s="121"/>
      <c r="C963" s="129"/>
      <c r="D963" s="121"/>
      <c r="E963" s="129"/>
      <c r="F963" s="129"/>
      <c r="G963" s="129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9"/>
      <c r="S963" s="121"/>
      <c r="T963" s="131"/>
      <c r="U963" s="121"/>
      <c r="V963" s="121"/>
      <c r="W963" s="121"/>
      <c r="X963" s="130"/>
      <c r="Y963" s="121"/>
      <c r="Z963" s="129"/>
      <c r="AA963" s="129"/>
      <c r="AB963" s="129"/>
      <c r="AC963" s="121"/>
      <c r="AD963" s="121"/>
      <c r="AE963" s="121"/>
      <c r="AF963" s="121"/>
      <c r="AG963" s="121"/>
      <c r="AH963" s="121"/>
    </row>
    <row r="964" spans="1:34" ht="12.75">
      <c r="A964" s="121"/>
      <c r="B964" s="121"/>
      <c r="C964" s="129"/>
      <c r="D964" s="121"/>
      <c r="E964" s="129"/>
      <c r="F964" s="129"/>
      <c r="G964" s="129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9"/>
      <c r="S964" s="121"/>
      <c r="T964" s="131"/>
      <c r="U964" s="121"/>
      <c r="V964" s="121"/>
      <c r="W964" s="121"/>
      <c r="X964" s="130"/>
      <c r="Y964" s="121"/>
      <c r="Z964" s="129"/>
      <c r="AA964" s="129"/>
      <c r="AB964" s="129"/>
      <c r="AC964" s="121"/>
      <c r="AD964" s="121"/>
      <c r="AE964" s="121"/>
      <c r="AF964" s="121"/>
      <c r="AG964" s="121"/>
      <c r="AH964" s="121"/>
    </row>
    <row r="965" spans="1:34" ht="12.75">
      <c r="A965" s="121"/>
      <c r="B965" s="121"/>
      <c r="C965" s="129"/>
      <c r="D965" s="121"/>
      <c r="E965" s="129"/>
      <c r="F965" s="129"/>
      <c r="G965" s="129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9"/>
      <c r="S965" s="121"/>
      <c r="T965" s="131"/>
      <c r="U965" s="121"/>
      <c r="V965" s="121"/>
      <c r="W965" s="121"/>
      <c r="X965" s="130"/>
      <c r="Y965" s="121"/>
      <c r="Z965" s="129"/>
      <c r="AA965" s="129"/>
      <c r="AB965" s="129"/>
      <c r="AC965" s="121"/>
      <c r="AD965" s="121"/>
      <c r="AE965" s="121"/>
      <c r="AF965" s="121"/>
      <c r="AG965" s="121"/>
      <c r="AH965" s="121"/>
    </row>
    <row r="966" spans="1:34" ht="12.75">
      <c r="A966" s="121"/>
      <c r="B966" s="121"/>
      <c r="C966" s="129"/>
      <c r="D966" s="121"/>
      <c r="E966" s="129"/>
      <c r="F966" s="129"/>
      <c r="G966" s="129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9"/>
      <c r="S966" s="121"/>
      <c r="T966" s="131"/>
      <c r="U966" s="121"/>
      <c r="V966" s="121"/>
      <c r="W966" s="121"/>
      <c r="X966" s="130"/>
      <c r="Y966" s="121"/>
      <c r="Z966" s="129"/>
      <c r="AA966" s="129"/>
      <c r="AB966" s="129"/>
      <c r="AC966" s="121"/>
      <c r="AD966" s="121"/>
      <c r="AE966" s="121"/>
      <c r="AF966" s="121"/>
      <c r="AG966" s="121"/>
      <c r="AH966" s="121"/>
    </row>
    <row r="967" spans="1:34" ht="12.75">
      <c r="A967" s="121"/>
      <c r="B967" s="121"/>
      <c r="C967" s="129"/>
      <c r="D967" s="121"/>
      <c r="E967" s="129"/>
      <c r="F967" s="129"/>
      <c r="G967" s="129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9"/>
      <c r="S967" s="121"/>
      <c r="T967" s="131"/>
      <c r="U967" s="121"/>
      <c r="V967" s="121"/>
      <c r="W967" s="121"/>
      <c r="X967" s="130"/>
      <c r="Y967" s="121"/>
      <c r="Z967" s="129"/>
      <c r="AA967" s="129"/>
      <c r="AB967" s="129"/>
      <c r="AC967" s="121"/>
      <c r="AD967" s="121"/>
      <c r="AE967" s="121"/>
      <c r="AF967" s="121"/>
      <c r="AG967" s="121"/>
      <c r="AH967" s="121"/>
    </row>
    <row r="968" spans="1:34" ht="12.75">
      <c r="A968" s="121"/>
      <c r="B968" s="121"/>
      <c r="C968" s="129"/>
      <c r="D968" s="121"/>
      <c r="E968" s="129"/>
      <c r="F968" s="129"/>
      <c r="G968" s="129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9"/>
      <c r="S968" s="121"/>
      <c r="T968" s="131"/>
      <c r="U968" s="121"/>
      <c r="V968" s="121"/>
      <c r="W968" s="121"/>
      <c r="X968" s="130"/>
      <c r="Y968" s="121"/>
      <c r="Z968" s="129"/>
      <c r="AA968" s="129"/>
      <c r="AB968" s="129"/>
      <c r="AC968" s="121"/>
      <c r="AD968" s="121"/>
      <c r="AE968" s="121"/>
      <c r="AF968" s="121"/>
      <c r="AG968" s="121"/>
      <c r="AH968" s="121"/>
    </row>
    <row r="969" spans="1:34" ht="12.75">
      <c r="A969" s="121"/>
      <c r="B969" s="121"/>
      <c r="C969" s="129"/>
      <c r="D969" s="121"/>
      <c r="E969" s="129"/>
      <c r="F969" s="129"/>
      <c r="G969" s="129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9"/>
      <c r="S969" s="121"/>
      <c r="T969" s="131"/>
      <c r="U969" s="121"/>
      <c r="V969" s="121"/>
      <c r="W969" s="121"/>
      <c r="X969" s="130"/>
      <c r="Y969" s="121"/>
      <c r="Z969" s="129"/>
      <c r="AA969" s="129"/>
      <c r="AB969" s="129"/>
      <c r="AC969" s="121"/>
      <c r="AD969" s="121"/>
      <c r="AE969" s="121"/>
      <c r="AF969" s="121"/>
      <c r="AG969" s="121"/>
      <c r="AH969" s="121"/>
    </row>
    <row r="970" spans="1:34" ht="12.75">
      <c r="A970" s="121"/>
      <c r="B970" s="121"/>
      <c r="C970" s="129"/>
      <c r="D970" s="121"/>
      <c r="E970" s="129"/>
      <c r="F970" s="129"/>
      <c r="G970" s="129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9"/>
      <c r="S970" s="121"/>
      <c r="T970" s="131"/>
      <c r="U970" s="121"/>
      <c r="V970" s="121"/>
      <c r="W970" s="121"/>
      <c r="X970" s="130"/>
      <c r="Y970" s="121"/>
      <c r="Z970" s="129"/>
      <c r="AA970" s="129"/>
      <c r="AB970" s="129"/>
      <c r="AC970" s="121"/>
      <c r="AD970" s="121"/>
      <c r="AE970" s="121"/>
      <c r="AF970" s="121"/>
      <c r="AG970" s="121"/>
      <c r="AH970" s="121"/>
    </row>
    <row r="971" spans="1:34" ht="12.75">
      <c r="A971" s="121"/>
      <c r="B971" s="121"/>
      <c r="C971" s="129"/>
      <c r="D971" s="121"/>
      <c r="E971" s="129"/>
      <c r="F971" s="129"/>
      <c r="G971" s="129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9"/>
      <c r="S971" s="121"/>
      <c r="T971" s="131"/>
      <c r="U971" s="121"/>
      <c r="V971" s="121"/>
      <c r="W971" s="121"/>
      <c r="X971" s="130"/>
      <c r="Y971" s="121"/>
      <c r="Z971" s="129"/>
      <c r="AA971" s="129"/>
      <c r="AB971" s="129"/>
      <c r="AC971" s="121"/>
      <c r="AD971" s="121"/>
      <c r="AE971" s="121"/>
      <c r="AF971" s="121"/>
      <c r="AG971" s="121"/>
      <c r="AH971" s="121"/>
    </row>
    <row r="972" spans="1:34" ht="12.75">
      <c r="A972" s="121"/>
      <c r="B972" s="121"/>
      <c r="C972" s="129"/>
      <c r="D972" s="121"/>
      <c r="E972" s="129"/>
      <c r="F972" s="129"/>
      <c r="G972" s="129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9"/>
      <c r="S972" s="121"/>
      <c r="T972" s="131"/>
      <c r="U972" s="121"/>
      <c r="V972" s="121"/>
      <c r="W972" s="121"/>
      <c r="X972" s="130"/>
      <c r="Y972" s="121"/>
      <c r="Z972" s="129"/>
      <c r="AA972" s="129"/>
      <c r="AB972" s="129"/>
      <c r="AC972" s="121"/>
      <c r="AD972" s="121"/>
      <c r="AE972" s="121"/>
      <c r="AF972" s="121"/>
      <c r="AG972" s="121"/>
      <c r="AH972" s="121"/>
    </row>
    <row r="973" spans="1:34" ht="12.75">
      <c r="A973" s="121"/>
      <c r="B973" s="121"/>
      <c r="C973" s="129"/>
      <c r="D973" s="121"/>
      <c r="E973" s="129"/>
      <c r="F973" s="129"/>
      <c r="G973" s="129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9"/>
      <c r="S973" s="121"/>
      <c r="T973" s="131"/>
      <c r="U973" s="121"/>
      <c r="V973" s="121"/>
      <c r="W973" s="121"/>
      <c r="X973" s="130"/>
      <c r="Y973" s="121"/>
      <c r="Z973" s="129"/>
      <c r="AA973" s="129"/>
      <c r="AB973" s="129"/>
      <c r="AC973" s="121"/>
      <c r="AD973" s="121"/>
      <c r="AE973" s="121"/>
      <c r="AF973" s="121"/>
      <c r="AG973" s="121"/>
      <c r="AH973" s="121"/>
    </row>
    <row r="974" spans="1:34" ht="12.75">
      <c r="A974" s="121"/>
      <c r="B974" s="121"/>
      <c r="C974" s="129"/>
      <c r="D974" s="121"/>
      <c r="E974" s="129"/>
      <c r="F974" s="129"/>
      <c r="G974" s="129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9"/>
      <c r="S974" s="121"/>
      <c r="T974" s="131"/>
      <c r="U974" s="121"/>
      <c r="V974" s="121"/>
      <c r="W974" s="121"/>
      <c r="X974" s="130"/>
      <c r="Y974" s="121"/>
      <c r="Z974" s="129"/>
      <c r="AA974" s="129"/>
      <c r="AB974" s="129"/>
      <c r="AC974" s="121"/>
      <c r="AD974" s="121"/>
      <c r="AE974" s="121"/>
      <c r="AF974" s="121"/>
      <c r="AG974" s="121"/>
      <c r="AH974" s="121"/>
    </row>
    <row r="975" spans="1:34" ht="12.75">
      <c r="A975" s="121"/>
      <c r="B975" s="121"/>
      <c r="C975" s="129"/>
      <c r="D975" s="121"/>
      <c r="E975" s="129"/>
      <c r="F975" s="129"/>
      <c r="G975" s="129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9"/>
      <c r="S975" s="121"/>
      <c r="T975" s="131"/>
      <c r="U975" s="121"/>
      <c r="V975" s="121"/>
      <c r="W975" s="121"/>
      <c r="X975" s="130"/>
      <c r="Y975" s="121"/>
      <c r="Z975" s="129"/>
      <c r="AA975" s="129"/>
      <c r="AB975" s="129"/>
      <c r="AC975" s="121"/>
      <c r="AD975" s="121"/>
      <c r="AE975" s="121"/>
      <c r="AF975" s="121"/>
      <c r="AG975" s="121"/>
      <c r="AH975" s="121"/>
    </row>
    <row r="976" spans="1:34" ht="12.75">
      <c r="A976" s="121"/>
      <c r="B976" s="121"/>
      <c r="C976" s="129"/>
      <c r="D976" s="121"/>
      <c r="E976" s="129"/>
      <c r="F976" s="129"/>
      <c r="G976" s="129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9"/>
      <c r="S976" s="121"/>
      <c r="T976" s="131"/>
      <c r="U976" s="121"/>
      <c r="V976" s="121"/>
      <c r="W976" s="121"/>
      <c r="X976" s="130"/>
      <c r="Y976" s="121"/>
      <c r="Z976" s="129"/>
      <c r="AA976" s="129"/>
      <c r="AB976" s="129"/>
      <c r="AC976" s="121"/>
      <c r="AD976" s="121"/>
      <c r="AE976" s="121"/>
      <c r="AF976" s="121"/>
      <c r="AG976" s="121"/>
      <c r="AH976" s="121"/>
    </row>
    <row r="977" spans="1:34" ht="12.75">
      <c r="A977" s="121"/>
      <c r="B977" s="121"/>
      <c r="C977" s="129"/>
      <c r="D977" s="121"/>
      <c r="E977" s="129"/>
      <c r="F977" s="129"/>
      <c r="G977" s="129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9"/>
      <c r="S977" s="121"/>
      <c r="T977" s="131"/>
      <c r="U977" s="121"/>
      <c r="V977" s="121"/>
      <c r="W977" s="121"/>
      <c r="X977" s="130"/>
      <c r="Y977" s="121"/>
      <c r="Z977" s="129"/>
      <c r="AA977" s="129"/>
      <c r="AB977" s="129"/>
      <c r="AC977" s="121"/>
      <c r="AD977" s="121"/>
      <c r="AE977" s="121"/>
      <c r="AF977" s="121"/>
      <c r="AG977" s="121"/>
      <c r="AH977" s="121"/>
    </row>
    <row r="978" spans="1:34" ht="12.75">
      <c r="A978" s="121"/>
      <c r="B978" s="121"/>
      <c r="C978" s="129"/>
      <c r="D978" s="121"/>
      <c r="E978" s="129"/>
      <c r="F978" s="129"/>
      <c r="G978" s="129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9"/>
      <c r="S978" s="121"/>
      <c r="T978" s="131"/>
      <c r="U978" s="121"/>
      <c r="V978" s="121"/>
      <c r="W978" s="121"/>
      <c r="X978" s="130"/>
      <c r="Y978" s="121"/>
      <c r="Z978" s="129"/>
      <c r="AA978" s="129"/>
      <c r="AB978" s="129"/>
      <c r="AC978" s="121"/>
      <c r="AD978" s="121"/>
      <c r="AE978" s="121"/>
      <c r="AF978" s="121"/>
      <c r="AG978" s="121"/>
      <c r="AH978" s="121"/>
    </row>
    <row r="979" spans="1:34" ht="12.75">
      <c r="A979" s="121"/>
      <c r="B979" s="121"/>
      <c r="C979" s="129"/>
      <c r="D979" s="121"/>
      <c r="E979" s="129"/>
      <c r="F979" s="129"/>
      <c r="G979" s="129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9"/>
      <c r="S979" s="121"/>
      <c r="T979" s="131"/>
      <c r="U979" s="121"/>
      <c r="V979" s="121"/>
      <c r="W979" s="121"/>
      <c r="X979" s="130"/>
      <c r="Y979" s="121"/>
      <c r="Z979" s="129"/>
      <c r="AA979" s="129"/>
      <c r="AB979" s="129"/>
      <c r="AC979" s="121"/>
      <c r="AD979" s="121"/>
      <c r="AE979" s="121"/>
      <c r="AF979" s="121"/>
      <c r="AG979" s="121"/>
      <c r="AH979" s="121"/>
    </row>
    <row r="980" spans="1:34" ht="12.75">
      <c r="A980" s="121"/>
      <c r="B980" s="121"/>
      <c r="C980" s="129"/>
      <c r="D980" s="121"/>
      <c r="E980" s="129"/>
      <c r="F980" s="129"/>
      <c r="G980" s="129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9"/>
      <c r="S980" s="121"/>
      <c r="T980" s="131"/>
      <c r="U980" s="121"/>
      <c r="V980" s="121"/>
      <c r="W980" s="121"/>
      <c r="X980" s="130"/>
      <c r="Y980" s="121"/>
      <c r="Z980" s="129"/>
      <c r="AA980" s="129"/>
      <c r="AB980" s="129"/>
      <c r="AC980" s="121"/>
      <c r="AD980" s="121"/>
      <c r="AE980" s="121"/>
      <c r="AF980" s="121"/>
      <c r="AG980" s="121"/>
      <c r="AH980" s="121"/>
    </row>
    <row r="981" spans="1:34" ht="12.75">
      <c r="A981" s="121"/>
      <c r="B981" s="121"/>
      <c r="C981" s="129"/>
      <c r="D981" s="121"/>
      <c r="E981" s="129"/>
      <c r="F981" s="129"/>
      <c r="G981" s="129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9"/>
      <c r="S981" s="121"/>
      <c r="T981" s="131"/>
      <c r="U981" s="121"/>
      <c r="V981" s="121"/>
      <c r="W981" s="121"/>
      <c r="X981" s="130"/>
      <c r="Y981" s="121"/>
      <c r="Z981" s="129"/>
      <c r="AA981" s="129"/>
      <c r="AB981" s="129"/>
      <c r="AC981" s="121"/>
      <c r="AD981" s="121"/>
      <c r="AE981" s="121"/>
      <c r="AF981" s="121"/>
      <c r="AG981" s="121"/>
      <c r="AH981" s="121"/>
    </row>
    <row r="982" spans="1:34" ht="12.75">
      <c r="A982" s="121"/>
      <c r="B982" s="121"/>
      <c r="C982" s="129"/>
      <c r="D982" s="121"/>
      <c r="E982" s="129"/>
      <c r="F982" s="129"/>
      <c r="G982" s="129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9"/>
      <c r="S982" s="121"/>
      <c r="T982" s="131"/>
      <c r="U982" s="121"/>
      <c r="V982" s="121"/>
      <c r="W982" s="121"/>
      <c r="X982" s="130"/>
      <c r="Y982" s="121"/>
      <c r="Z982" s="129"/>
      <c r="AA982" s="129"/>
      <c r="AB982" s="129"/>
      <c r="AC982" s="121"/>
      <c r="AD982" s="121"/>
      <c r="AE982" s="121"/>
      <c r="AF982" s="121"/>
      <c r="AG982" s="121"/>
      <c r="AH982" s="121"/>
    </row>
    <row r="983" spans="1:34" ht="12.75">
      <c r="A983" s="121"/>
      <c r="B983" s="121"/>
      <c r="C983" s="129"/>
      <c r="D983" s="121"/>
      <c r="E983" s="129"/>
      <c r="F983" s="129"/>
      <c r="G983" s="129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9"/>
      <c r="S983" s="121"/>
      <c r="T983" s="131"/>
      <c r="U983" s="121"/>
      <c r="V983" s="121"/>
      <c r="W983" s="121"/>
      <c r="X983" s="130"/>
      <c r="Y983" s="121"/>
      <c r="Z983" s="129"/>
      <c r="AA983" s="129"/>
      <c r="AB983" s="129"/>
      <c r="AC983" s="121"/>
      <c r="AD983" s="121"/>
      <c r="AE983" s="121"/>
      <c r="AF983" s="121"/>
      <c r="AG983" s="121"/>
      <c r="AH983" s="121"/>
    </row>
    <row r="984" spans="1:34" ht="12.75">
      <c r="A984" s="121"/>
      <c r="B984" s="121"/>
      <c r="C984" s="129"/>
      <c r="D984" s="121"/>
      <c r="E984" s="129"/>
      <c r="F984" s="129"/>
      <c r="G984" s="129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9"/>
      <c r="S984" s="121"/>
      <c r="T984" s="131"/>
      <c r="U984" s="121"/>
      <c r="V984" s="121"/>
      <c r="W984" s="121"/>
      <c r="X984" s="130"/>
      <c r="Y984" s="121"/>
      <c r="Z984" s="129"/>
      <c r="AA984" s="129"/>
      <c r="AB984" s="129"/>
      <c r="AC984" s="121"/>
      <c r="AD984" s="121"/>
      <c r="AE984" s="121"/>
      <c r="AF984" s="121"/>
      <c r="AG984" s="121"/>
      <c r="AH984" s="121"/>
    </row>
    <row r="985" spans="1:34" ht="12.75">
      <c r="A985" s="121"/>
      <c r="B985" s="121"/>
      <c r="C985" s="129"/>
      <c r="D985" s="121"/>
      <c r="E985" s="129"/>
      <c r="F985" s="129"/>
      <c r="G985" s="129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9"/>
      <c r="S985" s="121"/>
      <c r="T985" s="131"/>
      <c r="U985" s="121"/>
      <c r="V985" s="121"/>
      <c r="W985" s="121"/>
      <c r="X985" s="130"/>
      <c r="Y985" s="121"/>
      <c r="Z985" s="129"/>
      <c r="AA985" s="129"/>
      <c r="AB985" s="129"/>
      <c r="AC985" s="121"/>
      <c r="AD985" s="121"/>
      <c r="AE985" s="121"/>
      <c r="AF985" s="121"/>
      <c r="AG985" s="121"/>
      <c r="AH985" s="121"/>
    </row>
    <row r="986" spans="1:34" ht="12.75">
      <c r="A986" s="121"/>
      <c r="B986" s="121"/>
      <c r="C986" s="129"/>
      <c r="D986" s="121"/>
      <c r="E986" s="129"/>
      <c r="F986" s="129"/>
      <c r="G986" s="129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9"/>
      <c r="S986" s="121"/>
      <c r="T986" s="131"/>
      <c r="U986" s="121"/>
      <c r="V986" s="121"/>
      <c r="W986" s="121"/>
      <c r="X986" s="130"/>
      <c r="Y986" s="121"/>
      <c r="Z986" s="129"/>
      <c r="AA986" s="129"/>
      <c r="AB986" s="129"/>
      <c r="AC986" s="121"/>
      <c r="AD986" s="121"/>
      <c r="AE986" s="121"/>
      <c r="AF986" s="121"/>
      <c r="AG986" s="121"/>
      <c r="AH986" s="121"/>
    </row>
    <row r="987" spans="1:34" ht="12.75">
      <c r="A987" s="121"/>
      <c r="B987" s="121"/>
      <c r="C987" s="129"/>
      <c r="D987" s="121"/>
      <c r="E987" s="129"/>
      <c r="F987" s="129"/>
      <c r="G987" s="129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9"/>
      <c r="S987" s="121"/>
      <c r="T987" s="131"/>
      <c r="U987" s="121"/>
      <c r="V987" s="121"/>
      <c r="W987" s="121"/>
      <c r="X987" s="130"/>
      <c r="Y987" s="121"/>
      <c r="Z987" s="129"/>
      <c r="AA987" s="129"/>
      <c r="AB987" s="129"/>
      <c r="AC987" s="121"/>
      <c r="AD987" s="121"/>
      <c r="AE987" s="121"/>
      <c r="AF987" s="121"/>
      <c r="AG987" s="121"/>
      <c r="AH987" s="121"/>
    </row>
    <row r="988" spans="1:34" ht="12.75">
      <c r="A988" s="121"/>
      <c r="B988" s="121"/>
      <c r="C988" s="129"/>
      <c r="D988" s="121"/>
      <c r="E988" s="129"/>
      <c r="F988" s="129"/>
      <c r="G988" s="129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9"/>
      <c r="S988" s="121"/>
      <c r="T988" s="131"/>
      <c r="U988" s="121"/>
      <c r="V988" s="121"/>
      <c r="W988" s="121"/>
      <c r="X988" s="130"/>
      <c r="Y988" s="121"/>
      <c r="Z988" s="129"/>
      <c r="AA988" s="129"/>
      <c r="AB988" s="129"/>
      <c r="AC988" s="121"/>
      <c r="AD988" s="121"/>
      <c r="AE988" s="121"/>
      <c r="AF988" s="121"/>
      <c r="AG988" s="121"/>
      <c r="AH988" s="121"/>
    </row>
    <row r="989" spans="1:34" ht="12.75">
      <c r="A989" s="121"/>
      <c r="B989" s="121"/>
      <c r="C989" s="129"/>
      <c r="D989" s="121"/>
      <c r="E989" s="129"/>
      <c r="F989" s="129"/>
      <c r="G989" s="129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9"/>
      <c r="S989" s="121"/>
      <c r="T989" s="131"/>
      <c r="U989" s="121"/>
      <c r="V989" s="121"/>
      <c r="W989" s="121"/>
      <c r="X989" s="130"/>
      <c r="Y989" s="121"/>
      <c r="Z989" s="129"/>
      <c r="AA989" s="129"/>
      <c r="AB989" s="129"/>
      <c r="AC989" s="121"/>
      <c r="AD989" s="121"/>
      <c r="AE989" s="121"/>
      <c r="AF989" s="121"/>
      <c r="AG989" s="121"/>
      <c r="AH989" s="121"/>
    </row>
    <row r="990" spans="1:34" ht="12.75">
      <c r="A990" s="121"/>
      <c r="B990" s="121"/>
      <c r="C990" s="129"/>
      <c r="D990" s="121"/>
      <c r="E990" s="129"/>
      <c r="F990" s="129"/>
      <c r="G990" s="129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9"/>
      <c r="S990" s="121"/>
      <c r="T990" s="131"/>
      <c r="U990" s="121"/>
      <c r="V990" s="121"/>
      <c r="W990" s="121"/>
      <c r="X990" s="130"/>
      <c r="Y990" s="121"/>
      <c r="Z990" s="129"/>
      <c r="AA990" s="129"/>
      <c r="AB990" s="129"/>
      <c r="AC990" s="121"/>
      <c r="AD990" s="121"/>
      <c r="AE990" s="121"/>
      <c r="AF990" s="121"/>
      <c r="AG990" s="121"/>
      <c r="AH990" s="121"/>
    </row>
    <row r="991" spans="1:34" ht="12.75">
      <c r="A991" s="121"/>
      <c r="B991" s="121"/>
      <c r="C991" s="129"/>
      <c r="D991" s="121"/>
      <c r="E991" s="129"/>
      <c r="F991" s="129"/>
      <c r="G991" s="129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9"/>
      <c r="S991" s="121"/>
      <c r="T991" s="131"/>
      <c r="U991" s="121"/>
      <c r="V991" s="121"/>
      <c r="W991" s="121"/>
      <c r="X991" s="130"/>
      <c r="Y991" s="121"/>
      <c r="Z991" s="129"/>
      <c r="AA991" s="129"/>
      <c r="AB991" s="129"/>
      <c r="AC991" s="121"/>
      <c r="AD991" s="121"/>
      <c r="AE991" s="121"/>
      <c r="AF991" s="121"/>
      <c r="AG991" s="121"/>
      <c r="AH991" s="121"/>
    </row>
    <row r="992" spans="1:34" ht="12.75">
      <c r="A992" s="121"/>
      <c r="B992" s="121"/>
      <c r="C992" s="129"/>
      <c r="D992" s="121"/>
      <c r="E992" s="129"/>
      <c r="F992" s="129"/>
      <c r="G992" s="129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9"/>
      <c r="S992" s="121"/>
      <c r="T992" s="131"/>
      <c r="U992" s="121"/>
      <c r="V992" s="121"/>
      <c r="W992" s="121"/>
      <c r="X992" s="130"/>
      <c r="Y992" s="121"/>
      <c r="Z992" s="129"/>
      <c r="AA992" s="129"/>
      <c r="AB992" s="129"/>
      <c r="AC992" s="121"/>
      <c r="AD992" s="121"/>
      <c r="AE992" s="121"/>
      <c r="AF992" s="121"/>
      <c r="AG992" s="121"/>
      <c r="AH992" s="121"/>
    </row>
    <row r="993" spans="1:34" ht="12.75">
      <c r="A993" s="121"/>
      <c r="B993" s="121"/>
      <c r="C993" s="129"/>
      <c r="D993" s="121"/>
      <c r="E993" s="129"/>
      <c r="F993" s="129"/>
      <c r="G993" s="129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9"/>
      <c r="S993" s="121"/>
      <c r="T993" s="131"/>
      <c r="U993" s="121"/>
      <c r="V993" s="121"/>
      <c r="W993" s="121"/>
      <c r="X993" s="168"/>
      <c r="Y993" s="121"/>
      <c r="Z993" s="129"/>
      <c r="AA993" s="129"/>
      <c r="AB993" s="129"/>
      <c r="AC993" s="121"/>
      <c r="AD993" s="121"/>
      <c r="AE993" s="121"/>
      <c r="AF993" s="121"/>
      <c r="AG993" s="121"/>
      <c r="AH993" s="121"/>
    </row>
    <row r="994" spans="1:34" ht="12.75">
      <c r="A994" s="121"/>
      <c r="B994" s="121"/>
      <c r="C994" s="129"/>
      <c r="D994" s="121"/>
      <c r="E994" s="129"/>
      <c r="F994" s="129"/>
      <c r="G994" s="129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9"/>
      <c r="S994" s="121"/>
      <c r="T994" s="131"/>
      <c r="U994" s="121"/>
      <c r="V994" s="121"/>
      <c r="W994" s="121"/>
      <c r="X994" s="168"/>
      <c r="Y994" s="121"/>
      <c r="Z994" s="129"/>
      <c r="AA994" s="129"/>
      <c r="AB994" s="129"/>
      <c r="AC994" s="121"/>
      <c r="AD994" s="121"/>
      <c r="AE994" s="121"/>
      <c r="AF994" s="121"/>
      <c r="AG994" s="121"/>
      <c r="AH994" s="121"/>
    </row>
    <row r="995" spans="1:34" ht="12.75">
      <c r="A995" s="121"/>
      <c r="B995" s="121"/>
      <c r="C995" s="129"/>
      <c r="D995" s="121"/>
      <c r="E995" s="129"/>
      <c r="F995" s="129"/>
      <c r="G995" s="129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9"/>
      <c r="S995" s="121"/>
      <c r="T995" s="131"/>
      <c r="U995" s="121"/>
      <c r="V995" s="121"/>
      <c r="W995" s="121"/>
      <c r="X995" s="168"/>
      <c r="Y995" s="121"/>
      <c r="Z995" s="129"/>
      <c r="AA995" s="129"/>
      <c r="AB995" s="129"/>
      <c r="AC995" s="121"/>
      <c r="AD995" s="121"/>
      <c r="AE995" s="121"/>
      <c r="AF995" s="121"/>
      <c r="AG995" s="121"/>
      <c r="AH995" s="121"/>
    </row>
    <row r="996" spans="1:34" ht="12.75">
      <c r="A996" s="121"/>
      <c r="B996" s="121"/>
      <c r="C996" s="129"/>
      <c r="D996" s="121"/>
      <c r="E996" s="129"/>
      <c r="F996" s="129"/>
      <c r="G996" s="129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9"/>
      <c r="S996" s="121"/>
      <c r="T996" s="131"/>
      <c r="U996" s="121"/>
      <c r="V996" s="121"/>
      <c r="W996" s="121"/>
      <c r="X996" s="168"/>
      <c r="Y996" s="121"/>
      <c r="Z996" s="129"/>
      <c r="AA996" s="129"/>
      <c r="AB996" s="129"/>
      <c r="AC996" s="121"/>
      <c r="AD996" s="121"/>
      <c r="AE996" s="121"/>
      <c r="AF996" s="121"/>
      <c r="AG996" s="121"/>
      <c r="AH996" s="121"/>
    </row>
    <row r="997" spans="1:34" ht="12.75">
      <c r="A997" s="121"/>
      <c r="B997" s="121"/>
      <c r="C997" s="129"/>
      <c r="D997" s="121"/>
      <c r="E997" s="129"/>
      <c r="F997" s="129"/>
      <c r="G997" s="129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9"/>
      <c r="S997" s="121"/>
      <c r="T997" s="131"/>
      <c r="U997" s="121"/>
      <c r="V997" s="121"/>
      <c r="W997" s="121"/>
      <c r="X997" s="168"/>
      <c r="Y997" s="121"/>
      <c r="Z997" s="129"/>
      <c r="AA997" s="129"/>
      <c r="AB997" s="129"/>
      <c r="AC997" s="121"/>
      <c r="AD997" s="121"/>
      <c r="AE997" s="121"/>
      <c r="AF997" s="121"/>
      <c r="AG997" s="121"/>
      <c r="AH997" s="121"/>
    </row>
    <row r="998" spans="1:34" ht="12.75">
      <c r="A998" s="121"/>
      <c r="B998" s="121"/>
      <c r="C998" s="129"/>
      <c r="D998" s="121"/>
      <c r="E998" s="129"/>
      <c r="F998" s="129"/>
      <c r="G998" s="129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9"/>
      <c r="S998" s="121"/>
      <c r="T998" s="131"/>
      <c r="U998" s="121"/>
      <c r="V998" s="121"/>
      <c r="W998" s="121"/>
      <c r="X998" s="168"/>
      <c r="Y998" s="121"/>
      <c r="Z998" s="129"/>
      <c r="AA998" s="129"/>
      <c r="AB998" s="129"/>
      <c r="AC998" s="121"/>
      <c r="AD998" s="121"/>
      <c r="AE998" s="121"/>
      <c r="AF998" s="121"/>
      <c r="AG998" s="121"/>
      <c r="AH998" s="121"/>
    </row>
    <row r="999" spans="1:34" ht="12.75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31"/>
      <c r="U999" s="121"/>
      <c r="V999" s="121"/>
      <c r="W999" s="121"/>
      <c r="X999" s="168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</row>
  </sheetData>
  <autoFilter ref="A1:AD999" xr:uid="{00000000-0009-0000-0000-000009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25"/>
  <sheetViews>
    <sheetView workbookViewId="0"/>
  </sheetViews>
  <sheetFormatPr defaultColWidth="12.5703125" defaultRowHeight="15" customHeight="1"/>
  <cols>
    <col min="1" max="1" width="17.140625" customWidth="1"/>
    <col min="2" max="2" width="14.28515625" customWidth="1"/>
  </cols>
  <sheetData>
    <row r="1" spans="1:2">
      <c r="A1" s="79" t="s">
        <v>2233</v>
      </c>
      <c r="B1" s="79" t="s">
        <v>2077</v>
      </c>
    </row>
    <row r="2" spans="1:2">
      <c r="A2" s="79" t="s">
        <v>1458</v>
      </c>
      <c r="B2" s="123">
        <v>11950735770</v>
      </c>
    </row>
    <row r="3" spans="1:2">
      <c r="A3" s="79" t="s">
        <v>1472</v>
      </c>
      <c r="B3" s="79" t="s">
        <v>1</v>
      </c>
    </row>
    <row r="4" spans="1:2">
      <c r="A4" s="79" t="s">
        <v>1478</v>
      </c>
      <c r="B4" s="123" t="s">
        <v>666</v>
      </c>
    </row>
    <row r="5" spans="1:2">
      <c r="A5" s="79" t="s">
        <v>1479</v>
      </c>
      <c r="B5" s="79" t="s">
        <v>683</v>
      </c>
    </row>
    <row r="6" spans="1:2">
      <c r="A6" s="79" t="s">
        <v>1482</v>
      </c>
      <c r="B6" s="123" t="s">
        <v>18</v>
      </c>
    </row>
    <row r="7" spans="1:2">
      <c r="A7" s="79" t="s">
        <v>1489</v>
      </c>
      <c r="B7" s="79" t="s">
        <v>18</v>
      </c>
    </row>
    <row r="8" spans="1:2">
      <c r="A8" s="79" t="s">
        <v>1420</v>
      </c>
      <c r="B8" s="123" t="s">
        <v>226</v>
      </c>
    </row>
    <row r="9" spans="1:2">
      <c r="A9" s="79" t="s">
        <v>1502</v>
      </c>
      <c r="B9" s="79" t="s">
        <v>739</v>
      </c>
    </row>
    <row r="10" spans="1:2">
      <c r="A10" s="79" t="s">
        <v>1508</v>
      </c>
      <c r="B10" s="123" t="s">
        <v>747</v>
      </c>
    </row>
    <row r="11" spans="1:2">
      <c r="A11" s="79" t="s">
        <v>1514</v>
      </c>
      <c r="B11" s="79" t="s">
        <v>747</v>
      </c>
    </row>
    <row r="12" spans="1:2">
      <c r="A12" s="79" t="s">
        <v>1521</v>
      </c>
      <c r="B12" s="123" t="s">
        <v>747</v>
      </c>
    </row>
    <row r="13" spans="1:2">
      <c r="A13" s="79" t="s">
        <v>1527</v>
      </c>
      <c r="B13" s="79" t="s">
        <v>747</v>
      </c>
    </row>
    <row r="14" spans="1:2">
      <c r="A14" s="79" t="s">
        <v>1532</v>
      </c>
      <c r="B14" s="123" t="s">
        <v>538</v>
      </c>
    </row>
    <row r="15" spans="1:2">
      <c r="A15" s="79" t="s">
        <v>1537</v>
      </c>
      <c r="B15" s="79" t="s">
        <v>790</v>
      </c>
    </row>
    <row r="16" spans="1:2">
      <c r="A16" s="79" t="s">
        <v>1413</v>
      </c>
      <c r="B16" s="123" t="s">
        <v>808</v>
      </c>
    </row>
    <row r="17" spans="1:2">
      <c r="A17" s="79" t="s">
        <v>1543</v>
      </c>
      <c r="B17" s="79" t="s">
        <v>817</v>
      </c>
    </row>
    <row r="18" spans="1:2">
      <c r="A18" s="79" t="s">
        <v>1544</v>
      </c>
      <c r="B18" s="123" t="s">
        <v>817</v>
      </c>
    </row>
    <row r="19" spans="1:2">
      <c r="A19" s="79" t="s">
        <v>1546</v>
      </c>
      <c r="B19" s="79" t="s">
        <v>826</v>
      </c>
    </row>
    <row r="20" spans="1:2">
      <c r="A20" s="79" t="s">
        <v>1547</v>
      </c>
      <c r="B20" s="123" t="s">
        <v>826</v>
      </c>
    </row>
    <row r="21" spans="1:2">
      <c r="A21" s="79" t="s">
        <v>1548</v>
      </c>
      <c r="B21" s="79" t="s">
        <v>826</v>
      </c>
    </row>
    <row r="22" spans="1:2">
      <c r="A22" s="79" t="s">
        <v>1550</v>
      </c>
      <c r="B22" s="123" t="s">
        <v>833</v>
      </c>
    </row>
    <row r="23" spans="1:2">
      <c r="A23" s="79" t="s">
        <v>1551</v>
      </c>
      <c r="B23" s="79" t="s">
        <v>846</v>
      </c>
    </row>
    <row r="24" spans="1:2">
      <c r="A24" s="79" t="s">
        <v>1552</v>
      </c>
      <c r="B24" s="123" t="s">
        <v>856</v>
      </c>
    </row>
    <row r="25" spans="1:2">
      <c r="A25" s="79" t="s">
        <v>1553</v>
      </c>
      <c r="B25" s="79" t="s">
        <v>856</v>
      </c>
    </row>
    <row r="26" spans="1:2">
      <c r="A26" s="79" t="s">
        <v>1554</v>
      </c>
      <c r="B26" s="123" t="s">
        <v>856</v>
      </c>
    </row>
    <row r="27" spans="1:2">
      <c r="A27" s="79" t="s">
        <v>1556</v>
      </c>
      <c r="B27" s="79" t="s">
        <v>856</v>
      </c>
    </row>
    <row r="28" spans="1:2">
      <c r="A28" s="79" t="s">
        <v>1557</v>
      </c>
      <c r="B28" s="123" t="s">
        <v>856</v>
      </c>
    </row>
    <row r="29" spans="1:2">
      <c r="A29" s="79" t="s">
        <v>1558</v>
      </c>
      <c r="B29" s="79" t="s">
        <v>861</v>
      </c>
    </row>
    <row r="30" spans="1:2">
      <c r="A30" s="79" t="s">
        <v>1559</v>
      </c>
      <c r="B30" s="123" t="s">
        <v>861</v>
      </c>
    </row>
    <row r="31" spans="1:2">
      <c r="A31" s="79" t="s">
        <v>1560</v>
      </c>
      <c r="B31" s="79" t="s">
        <v>876</v>
      </c>
    </row>
    <row r="32" spans="1:2">
      <c r="A32" s="79" t="s">
        <v>1561</v>
      </c>
      <c r="B32" s="123" t="s">
        <v>882</v>
      </c>
    </row>
    <row r="33" spans="1:2">
      <c r="A33" s="79" t="s">
        <v>1562</v>
      </c>
      <c r="B33" s="79" t="s">
        <v>882</v>
      </c>
    </row>
    <row r="34" spans="1:2">
      <c r="A34" s="79" t="s">
        <v>1564</v>
      </c>
      <c r="B34" s="123" t="s">
        <v>889</v>
      </c>
    </row>
    <row r="35" spans="1:2">
      <c r="A35" s="79" t="s">
        <v>1608</v>
      </c>
      <c r="B35" s="79" t="s">
        <v>895</v>
      </c>
    </row>
    <row r="36" spans="1:2">
      <c r="A36" s="79" t="s">
        <v>1665</v>
      </c>
      <c r="B36" s="123" t="s">
        <v>45</v>
      </c>
    </row>
    <row r="37" spans="1:2">
      <c r="A37" s="79" t="s">
        <v>1713</v>
      </c>
      <c r="B37" s="79" t="s">
        <v>264</v>
      </c>
    </row>
    <row r="38" spans="1:2">
      <c r="A38" s="79" t="s">
        <v>1790</v>
      </c>
      <c r="B38" s="123" t="s">
        <v>908</v>
      </c>
    </row>
    <row r="39" spans="1:2">
      <c r="A39" s="79" t="s">
        <v>1863</v>
      </c>
      <c r="B39" s="79" t="s">
        <v>57</v>
      </c>
    </row>
    <row r="40" spans="1:2">
      <c r="A40" s="79" t="s">
        <v>1945</v>
      </c>
      <c r="B40" s="123" t="s">
        <v>57</v>
      </c>
    </row>
    <row r="41" spans="1:2">
      <c r="A41" s="79" t="s">
        <v>1980</v>
      </c>
      <c r="B41" s="79" t="s">
        <v>271</v>
      </c>
    </row>
    <row r="42" spans="1:2">
      <c r="A42" s="79" t="s">
        <v>1981</v>
      </c>
      <c r="B42" s="123" t="s">
        <v>271</v>
      </c>
    </row>
    <row r="43" spans="1:2">
      <c r="A43" s="79" t="s">
        <v>1982</v>
      </c>
      <c r="B43" s="79" t="s">
        <v>271</v>
      </c>
    </row>
    <row r="44" spans="1:2">
      <c r="A44" s="79" t="s">
        <v>1983</v>
      </c>
      <c r="B44" s="123" t="s">
        <v>357</v>
      </c>
    </row>
    <row r="45" spans="1:2">
      <c r="A45" s="79" t="s">
        <v>1984</v>
      </c>
      <c r="B45" s="79" t="s">
        <v>357</v>
      </c>
    </row>
    <row r="46" spans="1:2">
      <c r="A46" s="79" t="s">
        <v>1985</v>
      </c>
      <c r="B46" s="123" t="s">
        <v>474</v>
      </c>
    </row>
    <row r="47" spans="1:2">
      <c r="A47" s="79" t="s">
        <v>1986</v>
      </c>
      <c r="B47" s="79" t="s">
        <v>961</v>
      </c>
    </row>
    <row r="48" spans="1:2">
      <c r="A48" s="79" t="s">
        <v>1989</v>
      </c>
      <c r="B48" s="123" t="s">
        <v>961</v>
      </c>
    </row>
    <row r="49" spans="1:2">
      <c r="A49" s="79" t="s">
        <v>1990</v>
      </c>
      <c r="B49" s="79" t="s">
        <v>976</v>
      </c>
    </row>
    <row r="50" spans="1:2">
      <c r="A50" s="79" t="s">
        <v>1991</v>
      </c>
      <c r="B50" s="123" t="s">
        <v>976</v>
      </c>
    </row>
    <row r="51" spans="1:2">
      <c r="A51" s="79" t="s">
        <v>1992</v>
      </c>
      <c r="B51" s="79" t="s">
        <v>976</v>
      </c>
    </row>
    <row r="52" spans="1:2">
      <c r="A52" s="79" t="s">
        <v>1994</v>
      </c>
      <c r="B52" s="123" t="s">
        <v>976</v>
      </c>
    </row>
    <row r="53" spans="1:2">
      <c r="A53" s="79" t="s">
        <v>1995</v>
      </c>
      <c r="B53" s="79" t="s">
        <v>281</v>
      </c>
    </row>
    <row r="54" spans="1:2">
      <c r="A54" s="79" t="s">
        <v>1997</v>
      </c>
      <c r="B54" s="123" t="s">
        <v>281</v>
      </c>
    </row>
    <row r="55" spans="1:2">
      <c r="A55" s="79" t="s">
        <v>1998</v>
      </c>
      <c r="B55" s="79" t="s">
        <v>281</v>
      </c>
    </row>
    <row r="56" spans="1:2">
      <c r="A56" s="79" t="s">
        <v>2000</v>
      </c>
      <c r="B56" s="123" t="s">
        <v>998</v>
      </c>
    </row>
    <row r="57" spans="1:2">
      <c r="A57" s="79" t="s">
        <v>2003</v>
      </c>
      <c r="B57" s="79" t="s">
        <v>998</v>
      </c>
    </row>
    <row r="58" spans="1:2">
      <c r="A58" s="79" t="s">
        <v>2004</v>
      </c>
      <c r="B58" s="123" t="s">
        <v>91</v>
      </c>
    </row>
    <row r="59" spans="1:2">
      <c r="A59" s="79" t="s">
        <v>2005</v>
      </c>
      <c r="B59" s="79" t="s">
        <v>1026</v>
      </c>
    </row>
    <row r="60" spans="1:2">
      <c r="A60" s="79" t="s">
        <v>2006</v>
      </c>
      <c r="B60" s="123" t="s">
        <v>100</v>
      </c>
    </row>
    <row r="61" spans="1:2">
      <c r="A61" s="79" t="s">
        <v>2007</v>
      </c>
      <c r="B61" s="79" t="s">
        <v>1040</v>
      </c>
    </row>
    <row r="62" spans="1:2">
      <c r="A62" s="79" t="s">
        <v>2008</v>
      </c>
      <c r="B62" s="123" t="s">
        <v>605</v>
      </c>
    </row>
    <row r="63" spans="1:2">
      <c r="A63" s="79" t="s">
        <v>2010</v>
      </c>
      <c r="B63" s="79" t="s">
        <v>110</v>
      </c>
    </row>
    <row r="64" spans="1:2">
      <c r="A64" s="79" t="s">
        <v>2011</v>
      </c>
      <c r="B64" s="123" t="s">
        <v>1067</v>
      </c>
    </row>
    <row r="65" spans="1:2">
      <c r="A65" s="79" t="s">
        <v>2012</v>
      </c>
      <c r="B65" s="79" t="s">
        <v>1072</v>
      </c>
    </row>
    <row r="66" spans="1:2">
      <c r="A66" s="79" t="s">
        <v>2013</v>
      </c>
      <c r="B66" s="123" t="s">
        <v>1072</v>
      </c>
    </row>
    <row r="67" spans="1:2">
      <c r="A67" s="79" t="s">
        <v>2014</v>
      </c>
      <c r="B67" s="79" t="s">
        <v>1072</v>
      </c>
    </row>
    <row r="68" spans="1:2">
      <c r="A68" s="79" t="s">
        <v>2016</v>
      </c>
      <c r="B68" s="123" t="s">
        <v>1080</v>
      </c>
    </row>
    <row r="69" spans="1:2">
      <c r="A69" s="79" t="s">
        <v>2017</v>
      </c>
      <c r="B69" s="79" t="s">
        <v>1106</v>
      </c>
    </row>
    <row r="70" spans="1:2">
      <c r="A70" s="79" t="s">
        <v>2018</v>
      </c>
      <c r="B70" s="123" t="s">
        <v>1112</v>
      </c>
    </row>
    <row r="71" spans="1:2">
      <c r="A71" s="79" t="s">
        <v>2019</v>
      </c>
      <c r="B71" s="79" t="s">
        <v>1133</v>
      </c>
    </row>
    <row r="72" spans="1:2">
      <c r="A72" s="79" t="s">
        <v>2020</v>
      </c>
      <c r="B72" s="123" t="s">
        <v>1133</v>
      </c>
    </row>
    <row r="73" spans="1:2">
      <c r="A73" s="79" t="s">
        <v>2025</v>
      </c>
      <c r="B73" s="79" t="s">
        <v>1154</v>
      </c>
    </row>
    <row r="74" spans="1:2">
      <c r="A74" s="79" t="s">
        <v>2027</v>
      </c>
      <c r="B74" s="123" t="s">
        <v>1154</v>
      </c>
    </row>
    <row r="75" spans="1:2">
      <c r="A75" s="79" t="s">
        <v>2029</v>
      </c>
      <c r="B75" s="79" t="s">
        <v>1154</v>
      </c>
    </row>
    <row r="76" spans="1:2">
      <c r="A76" s="79" t="s">
        <v>2033</v>
      </c>
      <c r="B76" s="123" t="s">
        <v>130</v>
      </c>
    </row>
    <row r="77" spans="1:2">
      <c r="A77" s="79" t="s">
        <v>2038</v>
      </c>
      <c r="B77" s="79" t="s">
        <v>130</v>
      </c>
    </row>
    <row r="78" spans="1:2">
      <c r="A78" s="79" t="s">
        <v>2040</v>
      </c>
      <c r="B78" s="123" t="s">
        <v>130</v>
      </c>
    </row>
    <row r="79" spans="1:2">
      <c r="A79" s="79" t="s">
        <v>2042</v>
      </c>
      <c r="B79" s="79" t="s">
        <v>1172</v>
      </c>
    </row>
    <row r="80" spans="1:2">
      <c r="A80" s="79" t="s">
        <v>2045</v>
      </c>
      <c r="B80" s="123" t="s">
        <v>1180</v>
      </c>
    </row>
    <row r="81" spans="1:2">
      <c r="A81" s="79" t="s">
        <v>2026</v>
      </c>
      <c r="B81" s="79" t="s">
        <v>1195</v>
      </c>
    </row>
    <row r="82" spans="1:2">
      <c r="A82" s="79" t="s">
        <v>2048</v>
      </c>
      <c r="B82" s="123" t="s">
        <v>1195</v>
      </c>
    </row>
    <row r="83" spans="1:2">
      <c r="A83" s="79" t="s">
        <v>2054</v>
      </c>
      <c r="B83" s="79" t="s">
        <v>1202</v>
      </c>
    </row>
    <row r="84" spans="1:2">
      <c r="A84" s="79" t="s">
        <v>2053</v>
      </c>
      <c r="B84" s="123" t="s">
        <v>1208</v>
      </c>
    </row>
    <row r="85" spans="1:2">
      <c r="A85" s="79" t="s">
        <v>2041</v>
      </c>
      <c r="B85" s="79" t="s">
        <v>1222</v>
      </c>
    </row>
    <row r="86" spans="1:2">
      <c r="A86" s="79" t="s">
        <v>1877</v>
      </c>
      <c r="B86" s="123" t="s">
        <v>1229</v>
      </c>
    </row>
    <row r="87" spans="1:2">
      <c r="A87" s="79" t="s">
        <v>2064</v>
      </c>
      <c r="B87" s="79" t="s">
        <v>1237</v>
      </c>
    </row>
    <row r="88" spans="1:2">
      <c r="A88" s="79" t="s">
        <v>2065</v>
      </c>
      <c r="B88" s="123" t="s">
        <v>1243</v>
      </c>
    </row>
    <row r="89" spans="1:2">
      <c r="A89" s="79" t="s">
        <v>2062</v>
      </c>
      <c r="B89" s="79" t="s">
        <v>1250</v>
      </c>
    </row>
    <row r="90" spans="1:2">
      <c r="A90" s="79" t="s">
        <v>2034</v>
      </c>
      <c r="B90" s="123" t="s">
        <v>138</v>
      </c>
    </row>
    <row r="91" spans="1:2">
      <c r="A91" s="79" t="s">
        <v>2031</v>
      </c>
      <c r="B91" s="79" t="s">
        <v>1258</v>
      </c>
    </row>
    <row r="92" spans="1:2">
      <c r="A92" s="79" t="s">
        <v>2056</v>
      </c>
      <c r="B92" s="123" t="s">
        <v>1266</v>
      </c>
    </row>
    <row r="93" spans="1:2">
      <c r="A93" s="79" t="s">
        <v>2061</v>
      </c>
      <c r="B93" s="79" t="s">
        <v>1266</v>
      </c>
    </row>
    <row r="94" spans="1:2">
      <c r="A94" s="79" t="s">
        <v>2060</v>
      </c>
      <c r="B94" s="123" t="s">
        <v>1277</v>
      </c>
    </row>
    <row r="95" spans="1:2">
      <c r="A95" s="79" t="s">
        <v>2032</v>
      </c>
      <c r="B95" s="79" t="s">
        <v>1277</v>
      </c>
    </row>
    <row r="96" spans="1:2">
      <c r="A96" s="79" t="s">
        <v>1742</v>
      </c>
      <c r="B96" s="123" t="s">
        <v>1282</v>
      </c>
    </row>
    <row r="97" spans="1:2">
      <c r="A97" s="79" t="s">
        <v>2057</v>
      </c>
      <c r="B97" s="79" t="s">
        <v>168</v>
      </c>
    </row>
    <row r="98" spans="1:2">
      <c r="A98" s="79" t="s">
        <v>2103</v>
      </c>
      <c r="B98" s="123" t="s">
        <v>168</v>
      </c>
    </row>
    <row r="99" spans="1:2">
      <c r="A99" s="79" t="s">
        <v>2035</v>
      </c>
      <c r="B99" s="79" t="s">
        <v>168</v>
      </c>
    </row>
    <row r="100" spans="1:2">
      <c r="A100" s="79" t="s">
        <v>2036</v>
      </c>
      <c r="B100" s="123" t="s">
        <v>168</v>
      </c>
    </row>
    <row r="101" spans="1:2">
      <c r="A101" s="79" t="s">
        <v>2037</v>
      </c>
      <c r="B101" s="79" t="s">
        <v>168</v>
      </c>
    </row>
    <row r="102" spans="1:2">
      <c r="A102" s="79" t="s">
        <v>2043</v>
      </c>
      <c r="B102" s="123" t="s">
        <v>168</v>
      </c>
    </row>
    <row r="103" spans="1:2">
      <c r="A103" s="79" t="s">
        <v>2044</v>
      </c>
      <c r="B103" s="79" t="s">
        <v>177</v>
      </c>
    </row>
    <row r="104" spans="1:2">
      <c r="A104" s="79" t="s">
        <v>2024</v>
      </c>
      <c r="B104" s="123" t="s">
        <v>185</v>
      </c>
    </row>
    <row r="105" spans="1:2">
      <c r="A105" s="79" t="s">
        <v>2067</v>
      </c>
      <c r="B105" s="79" t="s">
        <v>1299</v>
      </c>
    </row>
    <row r="106" spans="1:2">
      <c r="A106" s="79" t="s">
        <v>2144</v>
      </c>
      <c r="B106" s="123" t="s">
        <v>328</v>
      </c>
    </row>
    <row r="107" spans="1:2">
      <c r="A107" s="79" t="s">
        <v>2119</v>
      </c>
      <c r="B107" s="79" t="s">
        <v>1313</v>
      </c>
    </row>
    <row r="108" spans="1:2">
      <c r="A108" s="79" t="s">
        <v>2030</v>
      </c>
      <c r="B108" s="123" t="s">
        <v>1318</v>
      </c>
    </row>
    <row r="109" spans="1:2">
      <c r="A109" s="79" t="s">
        <v>2070</v>
      </c>
      <c r="B109" s="79" t="s">
        <v>1318</v>
      </c>
    </row>
    <row r="110" spans="1:2">
      <c r="A110" s="79" t="s">
        <v>2039</v>
      </c>
      <c r="B110" s="123" t="s">
        <v>1325</v>
      </c>
    </row>
    <row r="111" spans="1:2">
      <c r="A111" s="79" t="s">
        <v>2028</v>
      </c>
      <c r="B111" s="79" t="s">
        <v>1329</v>
      </c>
    </row>
    <row r="112" spans="1:2">
      <c r="A112" s="79" t="s">
        <v>2023</v>
      </c>
      <c r="B112" s="123" t="s">
        <v>1329</v>
      </c>
    </row>
    <row r="113" spans="1:2">
      <c r="A113" s="79" t="s">
        <v>2047</v>
      </c>
      <c r="B113" s="79" t="s">
        <v>1329</v>
      </c>
    </row>
    <row r="114" spans="1:2">
      <c r="A114" s="79" t="s">
        <v>2049</v>
      </c>
      <c r="B114" s="123" t="s">
        <v>1329</v>
      </c>
    </row>
    <row r="115" spans="1:2">
      <c r="A115" s="79" t="s">
        <v>2081</v>
      </c>
      <c r="B115" s="79" t="s">
        <v>1329</v>
      </c>
    </row>
    <row r="116" spans="1:2">
      <c r="A116" s="79" t="s">
        <v>2094</v>
      </c>
      <c r="B116" s="123" t="s">
        <v>1329</v>
      </c>
    </row>
    <row r="117" spans="1:2">
      <c r="A117" s="79" t="s">
        <v>2099</v>
      </c>
      <c r="B117" s="79" t="s">
        <v>1329</v>
      </c>
    </row>
    <row r="118" spans="1:2">
      <c r="A118" s="79" t="s">
        <v>2134</v>
      </c>
      <c r="B118" s="123" t="s">
        <v>1329</v>
      </c>
    </row>
    <row r="119" spans="1:2">
      <c r="A119" s="79" t="s">
        <v>2066</v>
      </c>
      <c r="B119" s="79" t="s">
        <v>1343</v>
      </c>
    </row>
    <row r="120" spans="1:2">
      <c r="A120" s="79" t="s">
        <v>2046</v>
      </c>
      <c r="B120" s="123" t="s">
        <v>1343</v>
      </c>
    </row>
    <row r="121" spans="1:2">
      <c r="A121" s="79" t="s">
        <v>2050</v>
      </c>
      <c r="B121" s="79" t="s">
        <v>1343</v>
      </c>
    </row>
    <row r="122" spans="1:2">
      <c r="A122" s="79" t="s">
        <v>2059</v>
      </c>
      <c r="B122" s="123" t="s">
        <v>1343</v>
      </c>
    </row>
    <row r="123" spans="1:2">
      <c r="A123" s="79" t="s">
        <v>2055</v>
      </c>
      <c r="B123" s="79" t="s">
        <v>1352</v>
      </c>
    </row>
    <row r="124" spans="1:2">
      <c r="A124" s="79" t="s">
        <v>2124</v>
      </c>
      <c r="B124" s="123" t="s">
        <v>1368</v>
      </c>
    </row>
    <row r="125" spans="1:2">
      <c r="A125" s="79" t="s">
        <v>2058</v>
      </c>
      <c r="B125" s="79" t="s">
        <v>1368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CQ80"/>
  <sheetViews>
    <sheetView workbookViewId="0">
      <pane xSplit="11" ySplit="35" topLeftCell="L36" activePane="bottomRight" state="frozen"/>
      <selection pane="topRight" activeCell="L1" sqref="L1"/>
      <selection pane="bottomLeft" activeCell="A36" sqref="A36"/>
      <selection pane="bottomRight" activeCell="L36" sqref="L36"/>
    </sheetView>
  </sheetViews>
  <sheetFormatPr defaultColWidth="12.5703125" defaultRowHeight="15" customHeight="1" outlineLevelRow="2" outlineLevelCol="1"/>
  <cols>
    <col min="1" max="1" width="14" hidden="1" customWidth="1" collapsed="1"/>
    <col min="2" max="2" width="6.42578125" hidden="1" customWidth="1" outlineLevel="1"/>
    <col min="3" max="3" width="20.42578125" hidden="1" customWidth="1" outlineLevel="1"/>
    <col min="4" max="7" width="7.5703125" hidden="1" customWidth="1" outlineLevel="1"/>
    <col min="8" max="8" width="9.42578125" hidden="1" customWidth="1" collapsed="1"/>
    <col min="9" max="10" width="5.140625" hidden="1" customWidth="1" outlineLevel="1"/>
    <col min="11" max="11" width="36.42578125" customWidth="1"/>
    <col min="12" max="12" width="29.7109375" hidden="1" customWidth="1" outlineLevel="1"/>
    <col min="13" max="13" width="15.42578125" hidden="1" customWidth="1" outlineLevel="1"/>
    <col min="14" max="15" width="5.140625" hidden="1" customWidth="1" outlineLevel="1"/>
    <col min="16" max="16" width="16.5703125" hidden="1" customWidth="1" outlineLevel="1"/>
    <col min="17" max="17" width="12.7109375" hidden="1" customWidth="1" outlineLevel="1"/>
    <col min="18" max="18" width="46.28515625" customWidth="1"/>
    <col min="19" max="19" width="11.28515625" hidden="1" customWidth="1"/>
    <col min="20" max="20" width="6" hidden="1" customWidth="1" outlineLevel="1"/>
    <col min="21" max="21" width="6.42578125" hidden="1" customWidth="1" outlineLevel="1"/>
    <col min="22" max="22" width="6" hidden="1" customWidth="1" outlineLevel="1"/>
    <col min="23" max="23" width="6.42578125" hidden="1" customWidth="1" outlineLevel="1"/>
    <col min="24" max="24" width="6" hidden="1" customWidth="1" outlineLevel="1"/>
    <col min="25" max="25" width="6.42578125" hidden="1" customWidth="1" outlineLevel="1"/>
    <col min="26" max="26" width="6" hidden="1" customWidth="1" outlineLevel="1"/>
    <col min="27" max="27" width="6.42578125" hidden="1" customWidth="1" outlineLevel="1"/>
    <col min="28" max="28" width="6" hidden="1" customWidth="1" outlineLevel="1"/>
    <col min="29" max="29" width="6.42578125" hidden="1" customWidth="1" outlineLevel="1"/>
    <col min="30" max="30" width="6" hidden="1" customWidth="1" outlineLevel="1"/>
    <col min="31" max="31" width="6.42578125" hidden="1" customWidth="1" outlineLevel="1"/>
    <col min="32" max="32" width="6" hidden="1" customWidth="1" outlineLevel="1"/>
    <col min="33" max="33" width="6.42578125" hidden="1" customWidth="1" outlineLevel="1"/>
    <col min="34" max="34" width="8.85546875" hidden="1" customWidth="1"/>
    <col min="35" max="35" width="8.85546875" hidden="1" customWidth="1" collapsed="1"/>
    <col min="36" max="42" width="7.5703125" hidden="1" customWidth="1" outlineLevel="1"/>
    <col min="43" max="43" width="9.5703125" hidden="1" customWidth="1" outlineLevel="1"/>
    <col min="44" max="46" width="7.5703125" hidden="1" customWidth="1" outlineLevel="1"/>
    <col min="47" max="47" width="2.28515625" hidden="1" customWidth="1" outlineLevel="1"/>
    <col min="48" max="48" width="8.85546875" hidden="1" customWidth="1" collapsed="1"/>
    <col min="49" max="59" width="7.5703125" hidden="1" customWidth="1" outlineLevel="1"/>
    <col min="60" max="60" width="60.140625" hidden="1" customWidth="1" outlineLevel="1"/>
    <col min="61" max="61" width="7.85546875" customWidth="1"/>
    <col min="62" max="62" width="7" customWidth="1"/>
    <col min="63" max="63" width="7.28515625" customWidth="1"/>
    <col min="64" max="64" width="7.42578125" customWidth="1"/>
    <col min="65" max="65" width="7.28515625" customWidth="1"/>
    <col min="66" max="66" width="7.28515625" customWidth="1" collapsed="1"/>
    <col min="67" max="67" width="7.140625" customWidth="1" outlineLevel="1"/>
    <col min="68" max="70" width="7.42578125" customWidth="1" outlineLevel="1"/>
    <col min="71" max="95" width="7.5703125" customWidth="1" outlineLevel="1"/>
  </cols>
  <sheetData>
    <row r="1" spans="1:95" ht="26.25" hidden="1" customHeight="1">
      <c r="A1" s="3" t="str">
        <f>IF(C1="ENCAR",CONCATENATE(B1," - ",C1),IF(C1="ZELAD",CONCATENATE(B1," - ",C1),CONCATENATE(B1," - ",(CONCATENATE(MID(C1,1,1),MID(D1,1,1),MID(E1,1,1),MID(F1,1,1),"/",MID(G1,1,1))))))</f>
        <v xml:space="preserve"> - /</v>
      </c>
      <c r="B1" s="3"/>
      <c r="C1" s="5"/>
      <c r="D1" s="5"/>
      <c r="E1" s="5"/>
      <c r="F1" s="5"/>
      <c r="G1" s="5"/>
      <c r="H1" s="7" t="str">
        <f>IF(I1=0,"-",IF(J1=0,CONCATENATE("R",I1),CONCATENATE("R",I1,"/",J1)))</f>
        <v>-</v>
      </c>
      <c r="I1" s="8"/>
      <c r="J1" s="5"/>
      <c r="K1" s="3" t="e">
        <f>VLOOKUP(B1,#REF!,2,FALSE())</f>
        <v>#REF!</v>
      </c>
      <c r="L1" s="5" t="e">
        <f>VLOOKUP(B1,#REF!,7,FALSE())</f>
        <v>#REF!</v>
      </c>
      <c r="M1" s="10"/>
      <c r="N1" s="11"/>
      <c r="O1" s="7"/>
      <c r="P1" s="10"/>
      <c r="Q1" s="12" t="e">
        <f>VLOOKUP(B1,#REF!,10,FALSE())</f>
        <v>#REF!</v>
      </c>
      <c r="R1" s="13"/>
      <c r="S1" s="14"/>
      <c r="T1" s="15"/>
      <c r="U1" s="16"/>
      <c r="V1" s="15"/>
      <c r="W1" s="16"/>
      <c r="X1" s="15"/>
      <c r="Y1" s="16"/>
      <c r="Z1" s="15"/>
      <c r="AA1" s="16"/>
      <c r="AB1" s="15"/>
      <c r="AC1" s="16"/>
      <c r="AD1" s="15"/>
      <c r="AE1" s="16"/>
      <c r="AF1" s="17"/>
      <c r="AG1" s="18"/>
      <c r="AH1" s="19"/>
      <c r="AI1" s="20"/>
      <c r="AJ1" s="19"/>
      <c r="AK1" s="19"/>
      <c r="AL1" s="19"/>
      <c r="AM1" s="19"/>
      <c r="AN1" s="19"/>
      <c r="AO1" s="19"/>
      <c r="AP1" s="19"/>
      <c r="AQ1" s="21"/>
      <c r="AR1" s="19"/>
      <c r="AS1" s="19"/>
      <c r="AT1" s="19"/>
      <c r="AU1" s="22"/>
      <c r="AV1" s="20"/>
      <c r="AW1" s="19"/>
      <c r="AX1" s="19"/>
      <c r="AY1" s="19"/>
      <c r="AZ1" s="19"/>
      <c r="BA1" s="19"/>
      <c r="BB1" s="19"/>
      <c r="BC1" s="19"/>
      <c r="BD1" s="21"/>
      <c r="BE1" s="19"/>
      <c r="BF1" s="19"/>
      <c r="BG1" s="19"/>
      <c r="BH1" s="22"/>
      <c r="BI1" s="20"/>
      <c r="BJ1" s="20"/>
      <c r="BK1" s="20"/>
      <c r="BL1" s="20"/>
      <c r="BM1" s="20"/>
      <c r="BN1" s="20"/>
      <c r="BO1" s="19"/>
      <c r="BP1" s="19"/>
      <c r="BQ1" s="19"/>
      <c r="BR1" s="19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</row>
    <row r="2" spans="1:95" ht="22.5" hidden="1" customHeight="1">
      <c r="A2" s="41"/>
      <c r="B2" s="41"/>
      <c r="C2" s="42"/>
      <c r="D2" s="42"/>
      <c r="E2" s="42"/>
      <c r="F2" s="42"/>
      <c r="G2" s="42"/>
      <c r="H2" s="42"/>
      <c r="I2" s="43"/>
      <c r="J2" s="42"/>
      <c r="K2" s="41"/>
      <c r="L2" s="42"/>
      <c r="M2" s="44"/>
      <c r="N2" s="45"/>
      <c r="O2" s="42"/>
      <c r="P2" s="44"/>
      <c r="Q2" s="41"/>
      <c r="R2" s="46"/>
      <c r="S2" s="47"/>
      <c r="T2" s="48"/>
      <c r="U2" s="49"/>
      <c r="V2" s="48"/>
      <c r="W2" s="49"/>
      <c r="X2" s="48"/>
      <c r="Y2" s="49"/>
      <c r="Z2" s="48"/>
      <c r="AA2" s="49"/>
      <c r="AB2" s="48"/>
      <c r="AC2" s="49"/>
      <c r="AD2" s="48"/>
      <c r="AE2" s="49"/>
      <c r="AF2" s="48"/>
      <c r="AG2" s="18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51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51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</row>
    <row r="3" spans="1:95" ht="22.5" customHeight="1" collapsed="1">
      <c r="A3" s="41"/>
      <c r="B3" s="42" t="s">
        <v>562</v>
      </c>
      <c r="C3" s="42" t="s">
        <v>564</v>
      </c>
      <c r="D3" s="42" t="s">
        <v>565</v>
      </c>
      <c r="E3" s="42" t="s">
        <v>566</v>
      </c>
      <c r="F3" s="42" t="s">
        <v>567</v>
      </c>
      <c r="G3" s="42" t="s">
        <v>568</v>
      </c>
      <c r="H3" s="42" t="s">
        <v>570</v>
      </c>
      <c r="I3" s="43"/>
      <c r="J3" s="42"/>
      <c r="K3" s="42" t="s">
        <v>571</v>
      </c>
      <c r="L3" s="42" t="s">
        <v>572</v>
      </c>
      <c r="M3" s="42" t="s">
        <v>573</v>
      </c>
      <c r="N3" s="45" t="s">
        <v>574</v>
      </c>
      <c r="O3" s="42" t="s">
        <v>575</v>
      </c>
      <c r="P3" s="42" t="s">
        <v>576</v>
      </c>
      <c r="Q3" s="42" t="s">
        <v>577</v>
      </c>
      <c r="R3" s="44" t="s">
        <v>578</v>
      </c>
      <c r="S3" s="41" t="s">
        <v>579</v>
      </c>
      <c r="T3" s="48" t="s">
        <v>580</v>
      </c>
      <c r="U3" s="69"/>
      <c r="V3" s="48" t="s">
        <v>581</v>
      </c>
      <c r="W3" s="69"/>
      <c r="X3" s="48" t="s">
        <v>582</v>
      </c>
      <c r="Y3" s="69"/>
      <c r="Z3" s="48" t="s">
        <v>583</v>
      </c>
      <c r="AA3" s="69"/>
      <c r="AB3" s="48" t="s">
        <v>584</v>
      </c>
      <c r="AC3" s="69"/>
      <c r="AD3" s="48" t="s">
        <v>585</v>
      </c>
      <c r="AE3" s="69"/>
      <c r="AF3" s="48" t="s">
        <v>586</v>
      </c>
      <c r="AG3" s="18"/>
      <c r="AH3" s="42" t="s">
        <v>587</v>
      </c>
      <c r="AI3" s="42" t="s">
        <v>588</v>
      </c>
      <c r="AJ3" s="42" t="s">
        <v>589</v>
      </c>
      <c r="AK3" s="42" t="s">
        <v>590</v>
      </c>
      <c r="AL3" s="42" t="s">
        <v>591</v>
      </c>
      <c r="AM3" s="42" t="s">
        <v>592</v>
      </c>
      <c r="AN3" s="42" t="s">
        <v>593</v>
      </c>
      <c r="AO3" s="42" t="s">
        <v>594</v>
      </c>
      <c r="AP3" s="42" t="s">
        <v>595</v>
      </c>
      <c r="AQ3" s="42" t="s">
        <v>596</v>
      </c>
      <c r="AR3" s="42" t="s">
        <v>597</v>
      </c>
      <c r="AS3" s="42" t="s">
        <v>598</v>
      </c>
      <c r="AT3" s="42" t="s">
        <v>599</v>
      </c>
      <c r="AU3" s="51"/>
      <c r="AV3" s="42" t="s">
        <v>588</v>
      </c>
      <c r="AW3" s="42" t="s">
        <v>589</v>
      </c>
      <c r="AX3" s="42" t="s">
        <v>590</v>
      </c>
      <c r="AY3" s="42" t="s">
        <v>591</v>
      </c>
      <c r="AZ3" s="42" t="s">
        <v>592</v>
      </c>
      <c r="BA3" s="42" t="s">
        <v>593</v>
      </c>
      <c r="BB3" s="42" t="s">
        <v>594</v>
      </c>
      <c r="BC3" s="42" t="s">
        <v>595</v>
      </c>
      <c r="BD3" s="42" t="s">
        <v>596</v>
      </c>
      <c r="BE3" s="42" t="s">
        <v>597</v>
      </c>
      <c r="BF3" s="42" t="s">
        <v>598</v>
      </c>
      <c r="BG3" s="42" t="s">
        <v>599</v>
      </c>
      <c r="BH3" s="51"/>
      <c r="BI3" s="42" t="s">
        <v>2273</v>
      </c>
      <c r="BJ3" s="42" t="s">
        <v>2274</v>
      </c>
      <c r="BK3" s="42" t="s">
        <v>2275</v>
      </c>
      <c r="BL3" s="42" t="s">
        <v>2276</v>
      </c>
      <c r="BM3" s="42" t="s">
        <v>2277</v>
      </c>
      <c r="BN3" s="42" t="s">
        <v>2278</v>
      </c>
      <c r="BO3" s="42" t="s">
        <v>2279</v>
      </c>
      <c r="BP3" s="42" t="s">
        <v>163</v>
      </c>
      <c r="BQ3" s="42" t="s">
        <v>2280</v>
      </c>
      <c r="BR3" s="42" t="s">
        <v>2281</v>
      </c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</row>
    <row r="4" spans="1:95" ht="26.25" hidden="1" customHeight="1" outlineLevel="1">
      <c r="A4" s="41"/>
      <c r="B4" s="3" t="s">
        <v>75</v>
      </c>
      <c r="C4" s="5"/>
      <c r="D4" s="5"/>
      <c r="E4" s="5"/>
      <c r="F4" s="5"/>
      <c r="G4" s="5"/>
      <c r="H4" s="7" t="str">
        <f t="shared" ref="H4:H34" si="0">IF(I4=0,"-",IF(J4=0,CONCATENATE("R",I4),CONCATENATE("R",I4,"/",J4)))</f>
        <v>-</v>
      </c>
      <c r="I4" s="8"/>
      <c r="J4" s="5"/>
      <c r="K4" s="3" t="s">
        <v>76</v>
      </c>
      <c r="L4" s="5"/>
      <c r="M4" s="10"/>
      <c r="N4" s="11"/>
      <c r="O4" s="7"/>
      <c r="P4" s="10"/>
      <c r="Q4" s="5" t="e">
        <f>VLOOKUP(B4,#REF!,14,FALSE())</f>
        <v>#REF!</v>
      </c>
      <c r="R4" s="52"/>
      <c r="S4" s="21"/>
      <c r="T4" s="17"/>
      <c r="U4" s="18"/>
      <c r="V4" s="17"/>
      <c r="W4" s="18"/>
      <c r="X4" s="17"/>
      <c r="Y4" s="18"/>
      <c r="Z4" s="17"/>
      <c r="AA4" s="18"/>
      <c r="AB4" s="17"/>
      <c r="AC4" s="18"/>
      <c r="AD4" s="17"/>
      <c r="AE4" s="18"/>
      <c r="AF4" s="17"/>
      <c r="AG4" s="18"/>
      <c r="AH4" s="17"/>
      <c r="AI4" s="17"/>
      <c r="AJ4" s="17"/>
      <c r="AK4" s="17"/>
      <c r="AL4" s="17"/>
      <c r="AM4" s="17"/>
      <c r="AN4" s="17"/>
      <c r="AO4" s="17"/>
      <c r="AP4" s="17"/>
      <c r="AQ4" s="21"/>
      <c r="AR4" s="17"/>
      <c r="AS4" s="17"/>
      <c r="AT4" s="17"/>
      <c r="AU4" s="40"/>
      <c r="AV4" s="17"/>
      <c r="AW4" s="17"/>
      <c r="AX4" s="17"/>
      <c r="AY4" s="17"/>
      <c r="AZ4" s="17"/>
      <c r="BA4" s="17"/>
      <c r="BB4" s="17"/>
      <c r="BC4" s="17"/>
      <c r="BD4" s="21"/>
      <c r="BE4" s="17"/>
      <c r="BF4" s="17"/>
      <c r="BG4" s="17"/>
      <c r="BH4" s="40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</row>
    <row r="5" spans="1:95" ht="26.25" hidden="1" customHeight="1" outlineLevel="1">
      <c r="A5" s="41"/>
      <c r="B5" s="3" t="s">
        <v>75</v>
      </c>
      <c r="C5" s="5"/>
      <c r="D5" s="5"/>
      <c r="E5" s="5"/>
      <c r="F5" s="5"/>
      <c r="G5" s="5"/>
      <c r="H5" s="7" t="str">
        <f t="shared" si="0"/>
        <v>-</v>
      </c>
      <c r="I5" s="8"/>
      <c r="J5" s="5"/>
      <c r="K5" s="3" t="s">
        <v>106</v>
      </c>
      <c r="L5" s="5"/>
      <c r="M5" s="10"/>
      <c r="N5" s="11"/>
      <c r="O5" s="7"/>
      <c r="P5" s="10"/>
      <c r="Q5" s="5" t="e">
        <f>VLOOKUP(B5,#REF!,14,FALSE())</f>
        <v>#REF!</v>
      </c>
      <c r="R5" s="52"/>
      <c r="S5" s="21"/>
      <c r="T5" s="17"/>
      <c r="U5" s="18"/>
      <c r="V5" s="17"/>
      <c r="W5" s="18"/>
      <c r="X5" s="17"/>
      <c r="Y5" s="18"/>
      <c r="Z5" s="17"/>
      <c r="AA5" s="18"/>
      <c r="AB5" s="17"/>
      <c r="AC5" s="18"/>
      <c r="AD5" s="17"/>
      <c r="AE5" s="18"/>
      <c r="AF5" s="17"/>
      <c r="AG5" s="18"/>
      <c r="AH5" s="17"/>
      <c r="AI5" s="17"/>
      <c r="AJ5" s="17"/>
      <c r="AK5" s="17"/>
      <c r="AL5" s="17"/>
      <c r="AM5" s="17"/>
      <c r="AN5" s="17"/>
      <c r="AO5" s="17"/>
      <c r="AP5" s="17"/>
      <c r="AQ5" s="28"/>
      <c r="AR5" s="17"/>
      <c r="AS5" s="17"/>
      <c r="AT5" s="17"/>
      <c r="AU5" s="40"/>
      <c r="AV5" s="17"/>
      <c r="AW5" s="17"/>
      <c r="AX5" s="17"/>
      <c r="AY5" s="17"/>
      <c r="AZ5" s="17"/>
      <c r="BA5" s="17"/>
      <c r="BB5" s="17"/>
      <c r="BC5" s="17"/>
      <c r="BD5" s="28"/>
      <c r="BE5" s="17"/>
      <c r="BF5" s="17"/>
      <c r="BG5" s="17"/>
      <c r="BH5" s="40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</row>
    <row r="6" spans="1:95" ht="26.25" hidden="1" customHeight="1" outlineLevel="1">
      <c r="A6" s="41"/>
      <c r="B6" s="3" t="s">
        <v>75</v>
      </c>
      <c r="C6" s="5"/>
      <c r="D6" s="5"/>
      <c r="E6" s="5"/>
      <c r="F6" s="5"/>
      <c r="G6" s="5"/>
      <c r="H6" s="7" t="str">
        <f t="shared" si="0"/>
        <v>-</v>
      </c>
      <c r="I6" s="8"/>
      <c r="J6" s="5"/>
      <c r="K6" s="3" t="s">
        <v>114</v>
      </c>
      <c r="L6" s="5"/>
      <c r="M6" s="10"/>
      <c r="N6" s="11"/>
      <c r="O6" s="7"/>
      <c r="P6" s="10"/>
      <c r="Q6" s="5" t="e">
        <f>VLOOKUP(B6,#REF!,14,FALSE())</f>
        <v>#REF!</v>
      </c>
      <c r="R6" s="52"/>
      <c r="S6" s="21"/>
      <c r="T6" s="17"/>
      <c r="U6" s="18"/>
      <c r="V6" s="17"/>
      <c r="W6" s="18"/>
      <c r="X6" s="17"/>
      <c r="Y6" s="18"/>
      <c r="Z6" s="17"/>
      <c r="AA6" s="18"/>
      <c r="AB6" s="17"/>
      <c r="AC6" s="18"/>
      <c r="AD6" s="17"/>
      <c r="AE6" s="18"/>
      <c r="AF6" s="17"/>
      <c r="AG6" s="18"/>
      <c r="AH6" s="17"/>
      <c r="AI6" s="17"/>
      <c r="AJ6" s="17"/>
      <c r="AK6" s="17"/>
      <c r="AL6" s="17"/>
      <c r="AM6" s="17"/>
      <c r="AN6" s="17"/>
      <c r="AO6" s="17"/>
      <c r="AP6" s="17"/>
      <c r="AQ6" s="28"/>
      <c r="AR6" s="17"/>
      <c r="AS6" s="17"/>
      <c r="AT6" s="17"/>
      <c r="AU6" s="40"/>
      <c r="AV6" s="17"/>
      <c r="AW6" s="17"/>
      <c r="AX6" s="17"/>
      <c r="AY6" s="17"/>
      <c r="AZ6" s="17"/>
      <c r="BA6" s="17"/>
      <c r="BB6" s="17"/>
      <c r="BC6" s="17"/>
      <c r="BD6" s="28"/>
      <c r="BE6" s="17"/>
      <c r="BF6" s="17"/>
      <c r="BG6" s="17"/>
      <c r="BH6" s="40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</row>
    <row r="7" spans="1:95" ht="26.25" hidden="1" customHeight="1" outlineLevel="1">
      <c r="A7" s="41"/>
      <c r="B7" s="3" t="s">
        <v>75</v>
      </c>
      <c r="C7" s="5"/>
      <c r="D7" s="5"/>
      <c r="E7" s="5"/>
      <c r="F7" s="5"/>
      <c r="G7" s="5"/>
      <c r="H7" s="7" t="str">
        <f t="shared" si="0"/>
        <v>-</v>
      </c>
      <c r="I7" s="8"/>
      <c r="J7" s="5"/>
      <c r="K7" s="3" t="s">
        <v>180</v>
      </c>
      <c r="L7" s="5"/>
      <c r="M7" s="10"/>
      <c r="N7" s="11"/>
      <c r="O7" s="7"/>
      <c r="P7" s="10"/>
      <c r="Q7" s="5" t="e">
        <f>VLOOKUP(B7,#REF!,14,FALSE())</f>
        <v>#REF!</v>
      </c>
      <c r="R7" s="52"/>
      <c r="S7" s="21"/>
      <c r="T7" s="17"/>
      <c r="U7" s="18"/>
      <c r="V7" s="17"/>
      <c r="W7" s="18"/>
      <c r="X7" s="17"/>
      <c r="Y7" s="18"/>
      <c r="Z7" s="17"/>
      <c r="AA7" s="18"/>
      <c r="AB7" s="17"/>
      <c r="AC7" s="18"/>
      <c r="AD7" s="17"/>
      <c r="AE7" s="18"/>
      <c r="AF7" s="17"/>
      <c r="AG7" s="18"/>
      <c r="AH7" s="17"/>
      <c r="AI7" s="17"/>
      <c r="AJ7" s="17"/>
      <c r="AK7" s="17"/>
      <c r="AL7" s="17"/>
      <c r="AM7" s="17"/>
      <c r="AN7" s="17"/>
      <c r="AO7" s="17"/>
      <c r="AP7" s="17"/>
      <c r="AQ7" s="28"/>
      <c r="AR7" s="17"/>
      <c r="AS7" s="17"/>
      <c r="AT7" s="17"/>
      <c r="AU7" s="40"/>
      <c r="AV7" s="17"/>
      <c r="AW7" s="17"/>
      <c r="AX7" s="17"/>
      <c r="AY7" s="17"/>
      <c r="AZ7" s="17"/>
      <c r="BA7" s="17"/>
      <c r="BB7" s="17"/>
      <c r="BC7" s="17"/>
      <c r="BD7" s="28"/>
      <c r="BE7" s="17"/>
      <c r="BF7" s="17"/>
      <c r="BG7" s="17"/>
      <c r="BH7" s="40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</row>
    <row r="8" spans="1:95" ht="26.25" hidden="1" customHeight="1" outlineLevel="1">
      <c r="A8" s="41"/>
      <c r="B8" s="3" t="s">
        <v>75</v>
      </c>
      <c r="C8" s="5"/>
      <c r="D8" s="5"/>
      <c r="E8" s="5"/>
      <c r="F8" s="5"/>
      <c r="G8" s="5"/>
      <c r="H8" s="7" t="str">
        <f t="shared" si="0"/>
        <v>-</v>
      </c>
      <c r="I8" s="8"/>
      <c r="J8" s="5"/>
      <c r="K8" s="3"/>
      <c r="L8" s="5"/>
      <c r="M8" s="10"/>
      <c r="N8" s="11"/>
      <c r="O8" s="7"/>
      <c r="P8" s="10"/>
      <c r="Q8" s="5" t="e">
        <f>VLOOKUP(B8,#REF!,14,FALSE())</f>
        <v>#REF!</v>
      </c>
      <c r="R8" s="52"/>
      <c r="S8" s="21"/>
      <c r="T8" s="17"/>
      <c r="U8" s="18"/>
      <c r="V8" s="17"/>
      <c r="W8" s="18"/>
      <c r="X8" s="17"/>
      <c r="Y8" s="18"/>
      <c r="Z8" s="17"/>
      <c r="AA8" s="18"/>
      <c r="AB8" s="17"/>
      <c r="AC8" s="18"/>
      <c r="AD8" s="17"/>
      <c r="AE8" s="18"/>
      <c r="AF8" s="17"/>
      <c r="AG8" s="18"/>
      <c r="AH8" s="17"/>
      <c r="AI8" s="17"/>
      <c r="AJ8" s="17"/>
      <c r="AK8" s="17"/>
      <c r="AL8" s="17"/>
      <c r="AM8" s="17"/>
      <c r="AN8" s="17"/>
      <c r="AO8" s="17"/>
      <c r="AP8" s="17"/>
      <c r="AQ8" s="21"/>
      <c r="AR8" s="17"/>
      <c r="AS8" s="17"/>
      <c r="AT8" s="17"/>
      <c r="AU8" s="40"/>
      <c r="AV8" s="17"/>
      <c r="AW8" s="17"/>
      <c r="AX8" s="17"/>
      <c r="AY8" s="17"/>
      <c r="AZ8" s="17"/>
      <c r="BA8" s="17"/>
      <c r="BB8" s="17"/>
      <c r="BC8" s="17"/>
      <c r="BD8" s="21"/>
      <c r="BE8" s="17"/>
      <c r="BF8" s="17"/>
      <c r="BG8" s="17"/>
      <c r="BH8" s="40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</row>
    <row r="9" spans="1:95" ht="26.25" hidden="1" customHeight="1" outlineLevel="1">
      <c r="A9" s="41"/>
      <c r="B9" s="3" t="s">
        <v>196</v>
      </c>
      <c r="C9" s="5"/>
      <c r="D9" s="5"/>
      <c r="E9" s="5"/>
      <c r="F9" s="5"/>
      <c r="G9" s="5"/>
      <c r="H9" s="7" t="str">
        <f t="shared" si="0"/>
        <v>R.01</v>
      </c>
      <c r="I9" s="8" t="s">
        <v>197</v>
      </c>
      <c r="J9" s="5"/>
      <c r="K9" s="3"/>
      <c r="L9" s="5" t="str">
        <f ca="1">VLOOKUP(B9,ROTEIRO!$B$1:$AH$201,4,FALSE())</f>
        <v>#N/A</v>
      </c>
      <c r="M9" s="10"/>
      <c r="N9" s="11"/>
      <c r="O9" s="7"/>
      <c r="P9" s="10"/>
      <c r="Q9" s="5" t="e">
        <f>VLOOKUP(B9,#REF!,14,FALSE())</f>
        <v>#REF!</v>
      </c>
      <c r="R9" s="52"/>
      <c r="S9" s="21"/>
      <c r="T9" s="17"/>
      <c r="U9" s="18"/>
      <c r="V9" s="17"/>
      <c r="W9" s="18"/>
      <c r="X9" s="17"/>
      <c r="Y9" s="18"/>
      <c r="Z9" s="17"/>
      <c r="AA9" s="18"/>
      <c r="AB9" s="17"/>
      <c r="AC9" s="18"/>
      <c r="AD9" s="17"/>
      <c r="AE9" s="18"/>
      <c r="AF9" s="17"/>
      <c r="AG9" s="18"/>
      <c r="AH9" s="17"/>
      <c r="AI9" s="17"/>
      <c r="AJ9" s="17"/>
      <c r="AK9" s="17"/>
      <c r="AL9" s="17"/>
      <c r="AM9" s="17"/>
      <c r="AN9" s="17"/>
      <c r="AO9" s="17"/>
      <c r="AP9" s="17"/>
      <c r="AQ9" s="21"/>
      <c r="AR9" s="17"/>
      <c r="AS9" s="17"/>
      <c r="AT9" s="17"/>
      <c r="AU9" s="40"/>
      <c r="AV9" s="17"/>
      <c r="AW9" s="17"/>
      <c r="AX9" s="17"/>
      <c r="AY9" s="17"/>
      <c r="AZ9" s="17"/>
      <c r="BA9" s="17"/>
      <c r="BB9" s="17"/>
      <c r="BC9" s="17"/>
      <c r="BD9" s="21"/>
      <c r="BE9" s="17"/>
      <c r="BF9" s="17"/>
      <c r="BG9" s="17"/>
      <c r="BH9" s="40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</row>
    <row r="10" spans="1:95" ht="26.25" hidden="1" customHeight="1" outlineLevel="1">
      <c r="A10" s="41"/>
      <c r="B10" s="3" t="s">
        <v>207</v>
      </c>
      <c r="C10" s="5"/>
      <c r="D10" s="5"/>
      <c r="E10" s="5"/>
      <c r="F10" s="5"/>
      <c r="G10" s="5"/>
      <c r="H10" s="7" t="str">
        <f t="shared" si="0"/>
        <v>R.02</v>
      </c>
      <c r="I10" s="8" t="s">
        <v>208</v>
      </c>
      <c r="J10" s="5"/>
      <c r="K10" s="3"/>
      <c r="L10" s="5" t="str">
        <f ca="1">VLOOKUP(B10,ROTEIRO!$B$2:$AH$201,4,FALSE())</f>
        <v>#N/A</v>
      </c>
      <c r="M10" s="10"/>
      <c r="N10" s="11"/>
      <c r="O10" s="7"/>
      <c r="P10" s="10"/>
      <c r="Q10" s="5" t="e">
        <f>VLOOKUP(B10,#REF!,14,FALSE())</f>
        <v>#REF!</v>
      </c>
      <c r="R10" s="52"/>
      <c r="S10" s="21"/>
      <c r="T10" s="17"/>
      <c r="U10" s="18"/>
      <c r="V10" s="17"/>
      <c r="W10" s="18"/>
      <c r="X10" s="17"/>
      <c r="Y10" s="18"/>
      <c r="Z10" s="17"/>
      <c r="AA10" s="18"/>
      <c r="AB10" s="17"/>
      <c r="AC10" s="18"/>
      <c r="AD10" s="17"/>
      <c r="AE10" s="18"/>
      <c r="AF10" s="17"/>
      <c r="AG10" s="18"/>
      <c r="AH10" s="17"/>
      <c r="AI10" s="17"/>
      <c r="AJ10" s="17"/>
      <c r="AK10" s="17"/>
      <c r="AL10" s="17"/>
      <c r="AM10" s="17"/>
      <c r="AN10" s="17"/>
      <c r="AO10" s="17"/>
      <c r="AP10" s="17"/>
      <c r="AQ10" s="21"/>
      <c r="AR10" s="17"/>
      <c r="AS10" s="17"/>
      <c r="AT10" s="17"/>
      <c r="AU10" s="40"/>
      <c r="AV10" s="17"/>
      <c r="AW10" s="17"/>
      <c r="AX10" s="17"/>
      <c r="AY10" s="17"/>
      <c r="AZ10" s="17"/>
      <c r="BA10" s="17"/>
      <c r="BB10" s="17"/>
      <c r="BC10" s="17"/>
      <c r="BD10" s="21"/>
      <c r="BE10" s="17"/>
      <c r="BF10" s="17"/>
      <c r="BG10" s="17"/>
      <c r="BH10" s="40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</row>
    <row r="11" spans="1:95" ht="26.25" hidden="1" customHeight="1" outlineLevel="1">
      <c r="A11" s="41"/>
      <c r="B11" s="3" t="s">
        <v>219</v>
      </c>
      <c r="C11" s="5"/>
      <c r="D11" s="5"/>
      <c r="E11" s="5"/>
      <c r="F11" s="5"/>
      <c r="G11" s="5"/>
      <c r="H11" s="7" t="str">
        <f t="shared" si="0"/>
        <v>R.03</v>
      </c>
      <c r="I11" s="8" t="s">
        <v>220</v>
      </c>
      <c r="J11" s="5"/>
      <c r="K11" s="3"/>
      <c r="L11" s="5" t="str">
        <f>VLOOKUP(B11,ROTEIRO!$B$2:$AH$201,4,FALSE())</f>
        <v>R03/1</v>
      </c>
      <c r="M11" s="10"/>
      <c r="N11" s="11"/>
      <c r="O11" s="7"/>
      <c r="P11" s="10"/>
      <c r="Q11" s="5" t="e">
        <f>VLOOKUP(B11,#REF!,14,FALSE())</f>
        <v>#REF!</v>
      </c>
      <c r="R11" s="52"/>
      <c r="S11" s="21"/>
      <c r="T11" s="17"/>
      <c r="U11" s="18"/>
      <c r="V11" s="17"/>
      <c r="W11" s="18"/>
      <c r="X11" s="17"/>
      <c r="Y11" s="18"/>
      <c r="Z11" s="17"/>
      <c r="AA11" s="18"/>
      <c r="AB11" s="17"/>
      <c r="AC11" s="18"/>
      <c r="AD11" s="17"/>
      <c r="AE11" s="18"/>
      <c r="AF11" s="17"/>
      <c r="AG11" s="18"/>
      <c r="AH11" s="17"/>
      <c r="AI11" s="17"/>
      <c r="AJ11" s="17"/>
      <c r="AK11" s="17"/>
      <c r="AL11" s="17"/>
      <c r="AM11" s="17"/>
      <c r="AN11" s="17"/>
      <c r="AO11" s="17"/>
      <c r="AP11" s="17"/>
      <c r="AQ11" s="21"/>
      <c r="AR11" s="17"/>
      <c r="AS11" s="17"/>
      <c r="AT11" s="17"/>
      <c r="AU11" s="40"/>
      <c r="AV11" s="17"/>
      <c r="AW11" s="17"/>
      <c r="AX11" s="17"/>
      <c r="AY11" s="17"/>
      <c r="AZ11" s="17"/>
      <c r="BA11" s="17"/>
      <c r="BB11" s="17"/>
      <c r="BC11" s="17"/>
      <c r="BD11" s="21"/>
      <c r="BE11" s="17"/>
      <c r="BF11" s="17"/>
      <c r="BG11" s="17"/>
      <c r="BH11" s="40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</row>
    <row r="12" spans="1:95" ht="26.25" hidden="1" customHeight="1" outlineLevel="1">
      <c r="A12" s="41"/>
      <c r="B12" s="3" t="s">
        <v>232</v>
      </c>
      <c r="C12" s="5"/>
      <c r="D12" s="5"/>
      <c r="E12" s="5"/>
      <c r="F12" s="5"/>
      <c r="G12" s="5"/>
      <c r="H12" s="7" t="str">
        <f t="shared" si="0"/>
        <v>R.04</v>
      </c>
      <c r="I12" s="8" t="s">
        <v>234</v>
      </c>
      <c r="J12" s="5"/>
      <c r="K12" s="3"/>
      <c r="L12" s="5" t="str">
        <f>VLOOKUP(B12,ROTEIRO!$B$2:$AH$201,4,FALSE())</f>
        <v>R04/1</v>
      </c>
      <c r="M12" s="10"/>
      <c r="N12" s="11"/>
      <c r="O12" s="7"/>
      <c r="P12" s="10"/>
      <c r="Q12" s="5" t="e">
        <f>VLOOKUP(B12,#REF!,14,FALSE())</f>
        <v>#REF!</v>
      </c>
      <c r="R12" s="52"/>
      <c r="S12" s="21"/>
      <c r="T12" s="17"/>
      <c r="U12" s="18"/>
      <c r="V12" s="17"/>
      <c r="W12" s="18"/>
      <c r="X12" s="17"/>
      <c r="Y12" s="18"/>
      <c r="Z12" s="17"/>
      <c r="AA12" s="18"/>
      <c r="AB12" s="17"/>
      <c r="AC12" s="18"/>
      <c r="AD12" s="17"/>
      <c r="AE12" s="18"/>
      <c r="AF12" s="17"/>
      <c r="AG12" s="18"/>
      <c r="AH12" s="17"/>
      <c r="AI12" s="17"/>
      <c r="AJ12" s="17"/>
      <c r="AK12" s="17"/>
      <c r="AL12" s="17"/>
      <c r="AM12" s="17"/>
      <c r="AN12" s="17"/>
      <c r="AO12" s="17"/>
      <c r="AP12" s="17"/>
      <c r="AQ12" s="21"/>
      <c r="AR12" s="17"/>
      <c r="AS12" s="17"/>
      <c r="AT12" s="17"/>
      <c r="AU12" s="40"/>
      <c r="AV12" s="17"/>
      <c r="AW12" s="17"/>
      <c r="AX12" s="17"/>
      <c r="AY12" s="17"/>
      <c r="AZ12" s="17"/>
      <c r="BA12" s="17"/>
      <c r="BB12" s="17"/>
      <c r="BC12" s="17"/>
      <c r="BD12" s="21"/>
      <c r="BE12" s="17"/>
      <c r="BF12" s="17"/>
      <c r="BG12" s="17"/>
      <c r="BH12" s="40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</row>
    <row r="13" spans="1:95" ht="26.25" hidden="1" customHeight="1" outlineLevel="1">
      <c r="A13" s="41"/>
      <c r="B13" s="2" t="s">
        <v>244</v>
      </c>
      <c r="C13" s="53" t="s">
        <v>9</v>
      </c>
      <c r="D13" s="53" t="s">
        <v>10</v>
      </c>
      <c r="E13" s="53" t="s">
        <v>49</v>
      </c>
      <c r="F13" s="53" t="s">
        <v>30</v>
      </c>
      <c r="G13" s="53" t="s">
        <v>13</v>
      </c>
      <c r="H13" s="54" t="str">
        <f t="shared" si="0"/>
        <v>-</v>
      </c>
      <c r="I13" s="55"/>
      <c r="J13" s="53"/>
      <c r="K13" s="2" t="e">
        <f>VLOOKUP(B13,#REF!,2,FALSE())</f>
        <v>#REF!</v>
      </c>
      <c r="L13" s="53" t="e">
        <f>VLOOKUP(B13,#REF!,7,FALSE())</f>
        <v>#REF!</v>
      </c>
      <c r="M13" s="56" t="s">
        <v>21</v>
      </c>
      <c r="N13" s="57" t="s">
        <v>7</v>
      </c>
      <c r="O13" s="54" t="s">
        <v>7</v>
      </c>
      <c r="P13" s="56" t="s">
        <v>60</v>
      </c>
      <c r="Q13" s="58" t="e">
        <f>VLOOKUP(B13,#REF!,10,FALSE())</f>
        <v>#REF!</v>
      </c>
      <c r="R13" s="27" t="s">
        <v>251</v>
      </c>
      <c r="S13" s="59">
        <f>U13+W13+Y13+AA13+AC13+AE13+AG13+AH13</f>
        <v>1.8333333333333333</v>
      </c>
      <c r="T13" s="61" t="s">
        <v>255</v>
      </c>
      <c r="U13" s="62">
        <v>0.375</v>
      </c>
      <c r="V13" s="61" t="s">
        <v>255</v>
      </c>
      <c r="W13" s="62">
        <v>0.375</v>
      </c>
      <c r="X13" s="61" t="s">
        <v>255</v>
      </c>
      <c r="Y13" s="62">
        <v>0.375</v>
      </c>
      <c r="Z13" s="61" t="s">
        <v>255</v>
      </c>
      <c r="AA13" s="62">
        <v>0.375</v>
      </c>
      <c r="AB13" s="61" t="s">
        <v>256</v>
      </c>
      <c r="AC13" s="62">
        <v>0.33333333333333331</v>
      </c>
      <c r="AD13" s="17" t="s">
        <v>125</v>
      </c>
      <c r="AE13" s="62"/>
      <c r="AF13" s="17" t="s">
        <v>37</v>
      </c>
      <c r="AG13" s="60"/>
      <c r="AH13" s="17"/>
      <c r="AI13" s="17"/>
      <c r="AJ13" s="17"/>
      <c r="AK13" s="17"/>
      <c r="AL13" s="17"/>
      <c r="AM13" s="17"/>
      <c r="AN13" s="17"/>
      <c r="AO13" s="17"/>
      <c r="AP13" s="17"/>
      <c r="AQ13" s="30"/>
      <c r="AR13" s="30"/>
      <c r="AS13" s="30"/>
      <c r="AT13" s="30"/>
      <c r="AU13" s="40"/>
      <c r="AV13" s="17"/>
      <c r="AW13" s="17"/>
      <c r="AX13" s="17"/>
      <c r="AY13" s="17"/>
      <c r="AZ13" s="17"/>
      <c r="BA13" s="17"/>
      <c r="BB13" s="17"/>
      <c r="BC13" s="17"/>
      <c r="BD13" s="31"/>
      <c r="BE13" s="17"/>
      <c r="BF13" s="17"/>
      <c r="BG13" s="17"/>
      <c r="BH13" s="40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</row>
    <row r="14" spans="1:95" ht="26.25" hidden="1" customHeight="1" outlineLevel="2">
      <c r="A14" s="41"/>
      <c r="B14" s="3" t="s">
        <v>257</v>
      </c>
      <c r="C14" s="5"/>
      <c r="D14" s="5"/>
      <c r="E14" s="5"/>
      <c r="F14" s="5"/>
      <c r="G14" s="5"/>
      <c r="H14" s="7" t="str">
        <f t="shared" si="0"/>
        <v>R.05</v>
      </c>
      <c r="I14" s="8" t="s">
        <v>258</v>
      </c>
      <c r="J14" s="5"/>
      <c r="K14" s="3"/>
      <c r="L14" s="5" t="str">
        <f>VLOOKUP(B14,ROTEIRO!$B$2:$AH$201,4,FALSE())</f>
        <v>R05/1</v>
      </c>
      <c r="M14" s="10"/>
      <c r="N14" s="11"/>
      <c r="O14" s="7"/>
      <c r="P14" s="10"/>
      <c r="Q14" s="5" t="e">
        <f>VLOOKUP(B14,#REF!,14,FALSE())</f>
        <v>#REF!</v>
      </c>
      <c r="R14" s="52"/>
      <c r="S14" s="21"/>
      <c r="T14" s="17"/>
      <c r="U14" s="18"/>
      <c r="V14" s="17"/>
      <c r="W14" s="18"/>
      <c r="X14" s="17"/>
      <c r="Y14" s="18"/>
      <c r="Z14" s="17"/>
      <c r="AA14" s="18"/>
      <c r="AB14" s="17"/>
      <c r="AC14" s="18"/>
      <c r="AD14" s="17"/>
      <c r="AE14" s="18"/>
      <c r="AF14" s="17"/>
      <c r="AG14" s="18"/>
      <c r="AH14" s="17"/>
      <c r="AI14" s="17"/>
      <c r="AJ14" s="17"/>
      <c r="AK14" s="17"/>
      <c r="AL14" s="17"/>
      <c r="AM14" s="17"/>
      <c r="AN14" s="17"/>
      <c r="AO14" s="17"/>
      <c r="AP14" s="17"/>
      <c r="AQ14" s="21"/>
      <c r="AR14" s="17"/>
      <c r="AS14" s="17"/>
      <c r="AT14" s="17"/>
      <c r="AU14" s="40"/>
      <c r="AV14" s="17"/>
      <c r="AW14" s="17"/>
      <c r="AX14" s="17"/>
      <c r="AY14" s="17"/>
      <c r="AZ14" s="17"/>
      <c r="BA14" s="17"/>
      <c r="BB14" s="17"/>
      <c r="BC14" s="17"/>
      <c r="BD14" s="21"/>
      <c r="BE14" s="17"/>
      <c r="BF14" s="17"/>
      <c r="BG14" s="17"/>
      <c r="BH14" s="40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</row>
    <row r="15" spans="1:95" ht="26.25" hidden="1" customHeight="1" outlineLevel="2">
      <c r="A15" s="41"/>
      <c r="B15" s="3" t="s">
        <v>266</v>
      </c>
      <c r="C15" s="5"/>
      <c r="D15" s="5"/>
      <c r="E15" s="5"/>
      <c r="F15" s="5"/>
      <c r="G15" s="5"/>
      <c r="H15" s="7" t="str">
        <f t="shared" si="0"/>
        <v>R.06</v>
      </c>
      <c r="I15" s="8" t="s">
        <v>55</v>
      </c>
      <c r="J15" s="5"/>
      <c r="K15" s="3"/>
      <c r="L15" s="5" t="str">
        <f>VLOOKUP(B15,ROTEIRO!$B$2:$AH$201,4,FALSE())</f>
        <v>R06/1</v>
      </c>
      <c r="M15" s="10"/>
      <c r="N15" s="11"/>
      <c r="O15" s="7"/>
      <c r="P15" s="10"/>
      <c r="Q15" s="5" t="e">
        <f>VLOOKUP(B15,#REF!,14,FALSE())</f>
        <v>#REF!</v>
      </c>
      <c r="R15" s="52"/>
      <c r="S15" s="21"/>
      <c r="T15" s="17"/>
      <c r="U15" s="18"/>
      <c r="V15" s="17"/>
      <c r="W15" s="18"/>
      <c r="X15" s="17"/>
      <c r="Y15" s="18"/>
      <c r="Z15" s="17"/>
      <c r="AA15" s="18"/>
      <c r="AB15" s="17"/>
      <c r="AC15" s="18"/>
      <c r="AD15" s="17"/>
      <c r="AE15" s="18"/>
      <c r="AF15" s="17"/>
      <c r="AG15" s="18"/>
      <c r="AH15" s="17"/>
      <c r="AI15" s="17"/>
      <c r="AJ15" s="17"/>
      <c r="AK15" s="17"/>
      <c r="AL15" s="17"/>
      <c r="AM15" s="17"/>
      <c r="AN15" s="17"/>
      <c r="AO15" s="17"/>
      <c r="AP15" s="17"/>
      <c r="AQ15" s="21"/>
      <c r="AR15" s="17"/>
      <c r="AS15" s="17"/>
      <c r="AT15" s="17"/>
      <c r="AU15" s="40"/>
      <c r="AV15" s="17"/>
      <c r="AW15" s="17"/>
      <c r="AX15" s="17"/>
      <c r="AY15" s="17"/>
      <c r="AZ15" s="17"/>
      <c r="BA15" s="17"/>
      <c r="BB15" s="17"/>
      <c r="BC15" s="17"/>
      <c r="BD15" s="21"/>
      <c r="BE15" s="17"/>
      <c r="BF15" s="17"/>
      <c r="BG15" s="17"/>
      <c r="BH15" s="40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</row>
    <row r="16" spans="1:95" ht="26.25" hidden="1" customHeight="1" outlineLevel="2">
      <c r="A16" s="41"/>
      <c r="B16" s="3" t="s">
        <v>277</v>
      </c>
      <c r="C16" s="5"/>
      <c r="D16" s="5"/>
      <c r="E16" s="5"/>
      <c r="F16" s="5"/>
      <c r="G16" s="5"/>
      <c r="H16" s="7" t="str">
        <f t="shared" si="0"/>
        <v>R.07</v>
      </c>
      <c r="I16" s="8" t="s">
        <v>280</v>
      </c>
      <c r="J16" s="5"/>
      <c r="K16" s="3"/>
      <c r="L16" s="5" t="str">
        <f>VLOOKUP(B16,ROTEIRO!$B$2:$AH$201,4,FALSE())</f>
        <v>R07/1</v>
      </c>
      <c r="M16" s="10"/>
      <c r="N16" s="11"/>
      <c r="O16" s="7"/>
      <c r="P16" s="10"/>
      <c r="Q16" s="5" t="e">
        <f>VLOOKUP(B16,#REF!,14,FALSE())</f>
        <v>#REF!</v>
      </c>
      <c r="R16" s="52"/>
      <c r="S16" s="21"/>
      <c r="T16" s="17"/>
      <c r="U16" s="18"/>
      <c r="V16" s="17"/>
      <c r="W16" s="18"/>
      <c r="X16" s="17"/>
      <c r="Y16" s="18"/>
      <c r="Z16" s="17"/>
      <c r="AA16" s="18"/>
      <c r="AB16" s="17"/>
      <c r="AC16" s="18"/>
      <c r="AD16" s="17"/>
      <c r="AE16" s="18"/>
      <c r="AF16" s="17"/>
      <c r="AG16" s="18"/>
      <c r="AH16" s="17"/>
      <c r="AI16" s="17"/>
      <c r="AJ16" s="17"/>
      <c r="AK16" s="17"/>
      <c r="AL16" s="17"/>
      <c r="AM16" s="17"/>
      <c r="AN16" s="17"/>
      <c r="AO16" s="17"/>
      <c r="AP16" s="17"/>
      <c r="AQ16" s="21"/>
      <c r="AR16" s="17"/>
      <c r="AS16" s="17"/>
      <c r="AT16" s="17"/>
      <c r="AU16" s="40"/>
      <c r="AV16" s="17"/>
      <c r="AW16" s="17"/>
      <c r="AX16" s="17"/>
      <c r="AY16" s="17"/>
      <c r="AZ16" s="17"/>
      <c r="BA16" s="17"/>
      <c r="BB16" s="17"/>
      <c r="BC16" s="17"/>
      <c r="BD16" s="21"/>
      <c r="BE16" s="17"/>
      <c r="BF16" s="17"/>
      <c r="BG16" s="17"/>
      <c r="BH16" s="40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</row>
    <row r="17" spans="1:95" ht="26.25" hidden="1" customHeight="1" outlineLevel="1">
      <c r="A17" s="41"/>
      <c r="B17" s="2" t="s">
        <v>286</v>
      </c>
      <c r="C17" s="53" t="s">
        <v>28</v>
      </c>
      <c r="D17" s="53" t="s">
        <v>10</v>
      </c>
      <c r="E17" s="53" t="s">
        <v>49</v>
      </c>
      <c r="F17" s="53" t="s">
        <v>30</v>
      </c>
      <c r="G17" s="53" t="s">
        <v>13</v>
      </c>
      <c r="H17" s="54" t="str">
        <f t="shared" si="0"/>
        <v>-</v>
      </c>
      <c r="I17" s="55"/>
      <c r="J17" s="53"/>
      <c r="K17" s="2" t="e">
        <f>VLOOKUP(B17,#REF!,2,FALSE())</f>
        <v>#REF!</v>
      </c>
      <c r="L17" s="53" t="e">
        <f>VLOOKUP(B17,#REF!,7,FALSE())</f>
        <v>#REF!</v>
      </c>
      <c r="M17" s="56" t="s">
        <v>21</v>
      </c>
      <c r="N17" s="57" t="s">
        <v>7</v>
      </c>
      <c r="O17" s="54" t="s">
        <v>7</v>
      </c>
      <c r="P17" s="56" t="s">
        <v>60</v>
      </c>
      <c r="Q17" s="58" t="e">
        <f>VLOOKUP(B17,#REF!,10,FALSE())</f>
        <v>#REF!</v>
      </c>
      <c r="R17" s="27" t="s">
        <v>292</v>
      </c>
      <c r="S17" s="59">
        <f>U17+W17+Y17+AA17+AC17+AE17+AG17+AH17</f>
        <v>1.8333333333333333</v>
      </c>
      <c r="T17" s="61" t="s">
        <v>293</v>
      </c>
      <c r="U17" s="62">
        <v>0.31944444444444442</v>
      </c>
      <c r="V17" s="61" t="s">
        <v>293</v>
      </c>
      <c r="W17" s="62">
        <v>0.31944444444444442</v>
      </c>
      <c r="X17" s="61" t="s">
        <v>293</v>
      </c>
      <c r="Y17" s="62">
        <v>0.31944444444444442</v>
      </c>
      <c r="Z17" s="61" t="s">
        <v>293</v>
      </c>
      <c r="AA17" s="62">
        <v>0.31944444444444442</v>
      </c>
      <c r="AB17" s="61" t="s">
        <v>293</v>
      </c>
      <c r="AC17" s="62">
        <v>0.31944444444444442</v>
      </c>
      <c r="AD17" s="17" t="s">
        <v>294</v>
      </c>
      <c r="AE17" s="62">
        <v>0.2361111111111111</v>
      </c>
      <c r="AF17" s="17" t="s">
        <v>125</v>
      </c>
      <c r="AG17" s="60"/>
      <c r="AH17" s="17"/>
      <c r="AI17" s="17"/>
      <c r="AJ17" s="17"/>
      <c r="AK17" s="17"/>
      <c r="AL17" s="17"/>
      <c r="AM17" s="17"/>
      <c r="AN17" s="17"/>
      <c r="AO17" s="17"/>
      <c r="AP17" s="17"/>
      <c r="AQ17" s="30"/>
      <c r="AR17" s="30"/>
      <c r="AS17" s="30"/>
      <c r="AT17" s="30"/>
      <c r="AU17" s="40"/>
      <c r="AV17" s="17"/>
      <c r="AW17" s="17"/>
      <c r="AX17" s="17"/>
      <c r="AY17" s="17"/>
      <c r="AZ17" s="17"/>
      <c r="BA17" s="17"/>
      <c r="BB17" s="17"/>
      <c r="BC17" s="17"/>
      <c r="BD17" s="31"/>
      <c r="BE17" s="17"/>
      <c r="BF17" s="17"/>
      <c r="BG17" s="17"/>
      <c r="BH17" s="40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</row>
    <row r="18" spans="1:95" ht="26.25" hidden="1" customHeight="1" outlineLevel="2">
      <c r="A18" s="41"/>
      <c r="B18" s="3" t="s">
        <v>302</v>
      </c>
      <c r="C18" s="5"/>
      <c r="D18" s="5"/>
      <c r="E18" s="5"/>
      <c r="F18" s="5"/>
      <c r="G18" s="5"/>
      <c r="H18" s="7" t="str">
        <f t="shared" si="0"/>
        <v>R.08</v>
      </c>
      <c r="I18" s="8" t="s">
        <v>303</v>
      </c>
      <c r="J18" s="5"/>
      <c r="K18" s="3"/>
      <c r="L18" s="5" t="str">
        <f>VLOOKUP(B18,ROTEIRO!$B$2:$AH$201,4,FALSE())</f>
        <v>R08/1</v>
      </c>
      <c r="M18" s="10"/>
      <c r="N18" s="11"/>
      <c r="O18" s="7"/>
      <c r="P18" s="10"/>
      <c r="Q18" s="5" t="e">
        <f>VLOOKUP(B18,#REF!,14,FALSE())</f>
        <v>#REF!</v>
      </c>
      <c r="R18" s="52"/>
      <c r="S18" s="21"/>
      <c r="T18" s="17"/>
      <c r="U18" s="18"/>
      <c r="V18" s="17"/>
      <c r="W18" s="18"/>
      <c r="X18" s="17"/>
      <c r="Y18" s="18"/>
      <c r="Z18" s="17"/>
      <c r="AA18" s="18"/>
      <c r="AB18" s="17"/>
      <c r="AC18" s="18"/>
      <c r="AD18" s="17"/>
      <c r="AE18" s="18"/>
      <c r="AF18" s="17"/>
      <c r="AG18" s="18"/>
      <c r="AH18" s="17"/>
      <c r="AI18" s="17"/>
      <c r="AJ18" s="17"/>
      <c r="AK18" s="17"/>
      <c r="AL18" s="17"/>
      <c r="AM18" s="17"/>
      <c r="AN18" s="17"/>
      <c r="AO18" s="17"/>
      <c r="AP18" s="17"/>
      <c r="AQ18" s="21"/>
      <c r="AR18" s="17"/>
      <c r="AS18" s="17"/>
      <c r="AT18" s="17"/>
      <c r="AU18" s="40"/>
      <c r="AV18" s="17"/>
      <c r="AW18" s="17"/>
      <c r="AX18" s="17"/>
      <c r="AY18" s="17"/>
      <c r="AZ18" s="17"/>
      <c r="BA18" s="17"/>
      <c r="BB18" s="17"/>
      <c r="BC18" s="17"/>
      <c r="BD18" s="21"/>
      <c r="BE18" s="17"/>
      <c r="BF18" s="17"/>
      <c r="BG18" s="17"/>
      <c r="BH18" s="40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</row>
    <row r="19" spans="1:95" ht="26.25" hidden="1" customHeight="1" outlineLevel="2">
      <c r="A19" s="41"/>
      <c r="B19" s="3" t="s">
        <v>310</v>
      </c>
      <c r="C19" s="5"/>
      <c r="D19" s="5"/>
      <c r="E19" s="5"/>
      <c r="F19" s="5"/>
      <c r="G19" s="5"/>
      <c r="H19" s="7" t="str">
        <f t="shared" si="0"/>
        <v>R.09</v>
      </c>
      <c r="I19" s="8" t="s">
        <v>311</v>
      </c>
      <c r="J19" s="5"/>
      <c r="K19" s="3"/>
      <c r="L19" s="5" t="str">
        <f>VLOOKUP(B19,ROTEIRO!$B$2:$AH$201,4,FALSE())</f>
        <v>R09/1</v>
      </c>
      <c r="M19" s="10"/>
      <c r="N19" s="11"/>
      <c r="O19" s="7"/>
      <c r="P19" s="10"/>
      <c r="Q19" s="5" t="e">
        <f>VLOOKUP(B19,#REF!,14,FALSE())</f>
        <v>#REF!</v>
      </c>
      <c r="R19" s="52"/>
      <c r="S19" s="21"/>
      <c r="T19" s="17"/>
      <c r="U19" s="18"/>
      <c r="V19" s="17"/>
      <c r="W19" s="18"/>
      <c r="X19" s="17"/>
      <c r="Y19" s="18"/>
      <c r="Z19" s="17"/>
      <c r="AA19" s="18"/>
      <c r="AB19" s="17"/>
      <c r="AC19" s="18"/>
      <c r="AD19" s="17"/>
      <c r="AE19" s="18"/>
      <c r="AF19" s="17"/>
      <c r="AG19" s="18"/>
      <c r="AH19" s="17"/>
      <c r="AI19" s="17"/>
      <c r="AJ19" s="17"/>
      <c r="AK19" s="17"/>
      <c r="AL19" s="17"/>
      <c r="AM19" s="17"/>
      <c r="AN19" s="17"/>
      <c r="AO19" s="17"/>
      <c r="AP19" s="17"/>
      <c r="AQ19" s="21"/>
      <c r="AR19" s="17"/>
      <c r="AS19" s="17"/>
      <c r="AT19" s="17"/>
      <c r="AU19" s="40"/>
      <c r="AV19" s="17"/>
      <c r="AW19" s="17"/>
      <c r="AX19" s="17"/>
      <c r="AY19" s="17"/>
      <c r="AZ19" s="17"/>
      <c r="BA19" s="17"/>
      <c r="BB19" s="17"/>
      <c r="BC19" s="17"/>
      <c r="BD19" s="21"/>
      <c r="BE19" s="17"/>
      <c r="BF19" s="17"/>
      <c r="BG19" s="17"/>
      <c r="BH19" s="40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</row>
    <row r="20" spans="1:95" ht="26.25" hidden="1" customHeight="1" outlineLevel="2">
      <c r="A20" s="41"/>
      <c r="B20" s="3" t="s">
        <v>321</v>
      </c>
      <c r="C20" s="5"/>
      <c r="D20" s="5"/>
      <c r="E20" s="5"/>
      <c r="F20" s="5"/>
      <c r="G20" s="5"/>
      <c r="H20" s="7" t="str">
        <f t="shared" si="0"/>
        <v>R.10</v>
      </c>
      <c r="I20" s="8" t="s">
        <v>323</v>
      </c>
      <c r="J20" s="5"/>
      <c r="K20" s="3"/>
      <c r="L20" s="5" t="str">
        <f>VLOOKUP(B20,ROTEIRO!$B$2:$AH$201,4,FALSE())</f>
        <v>R10/1</v>
      </c>
      <c r="M20" s="10"/>
      <c r="N20" s="11"/>
      <c r="O20" s="7"/>
      <c r="P20" s="10"/>
      <c r="Q20" s="5" t="e">
        <f>VLOOKUP(B20,#REF!,14,FALSE())</f>
        <v>#REF!</v>
      </c>
      <c r="R20" s="52"/>
      <c r="S20" s="21"/>
      <c r="T20" s="17"/>
      <c r="U20" s="18"/>
      <c r="V20" s="17"/>
      <c r="W20" s="18"/>
      <c r="X20" s="17"/>
      <c r="Y20" s="18"/>
      <c r="Z20" s="17"/>
      <c r="AA20" s="18"/>
      <c r="AB20" s="17"/>
      <c r="AC20" s="18"/>
      <c r="AD20" s="17"/>
      <c r="AE20" s="18"/>
      <c r="AF20" s="17"/>
      <c r="AG20" s="18"/>
      <c r="AH20" s="17"/>
      <c r="AI20" s="17"/>
      <c r="AJ20" s="17"/>
      <c r="AK20" s="17"/>
      <c r="AL20" s="17"/>
      <c r="AM20" s="17"/>
      <c r="AN20" s="17"/>
      <c r="AO20" s="17"/>
      <c r="AP20" s="17"/>
      <c r="AQ20" s="21"/>
      <c r="AR20" s="17"/>
      <c r="AS20" s="17"/>
      <c r="AT20" s="17"/>
      <c r="AU20" s="40"/>
      <c r="AV20" s="17"/>
      <c r="AW20" s="17"/>
      <c r="AX20" s="17"/>
      <c r="AY20" s="17"/>
      <c r="AZ20" s="17"/>
      <c r="BA20" s="17"/>
      <c r="BB20" s="17"/>
      <c r="BC20" s="17"/>
      <c r="BD20" s="21"/>
      <c r="BE20" s="17"/>
      <c r="BF20" s="17"/>
      <c r="BG20" s="17"/>
      <c r="BH20" s="40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</row>
    <row r="21" spans="1:95" ht="26.25" hidden="1" customHeight="1" outlineLevel="1">
      <c r="A21" s="41"/>
      <c r="B21" s="2" t="s">
        <v>2364</v>
      </c>
      <c r="C21" s="53" t="s">
        <v>1470</v>
      </c>
      <c r="D21" s="53"/>
      <c r="E21" s="53"/>
      <c r="F21" s="53"/>
      <c r="G21" s="53"/>
      <c r="H21" s="54" t="str">
        <f t="shared" si="0"/>
        <v>-</v>
      </c>
      <c r="I21" s="55"/>
      <c r="J21" s="53"/>
      <c r="K21" s="2" t="e">
        <f>VLOOKUP(B21,#REF!,2,FALSE())</f>
        <v>#REF!</v>
      </c>
      <c r="L21" s="53" t="e">
        <f>VLOOKUP(B21,#REF!,7,FALSE())</f>
        <v>#REF!</v>
      </c>
      <c r="M21" s="56" t="s">
        <v>21</v>
      </c>
      <c r="N21" s="57" t="s">
        <v>7</v>
      </c>
      <c r="O21" s="54" t="s">
        <v>7</v>
      </c>
      <c r="P21" s="56" t="s">
        <v>2367</v>
      </c>
      <c r="Q21" s="58" t="e">
        <f>VLOOKUP(B21,#REF!,10,FALSE())</f>
        <v>#REF!</v>
      </c>
      <c r="R21" s="27" t="s">
        <v>1987</v>
      </c>
      <c r="S21" s="63">
        <v>1.8333333333333333</v>
      </c>
      <c r="T21" s="61" t="s">
        <v>1052</v>
      </c>
      <c r="U21" s="62">
        <v>0.30555555555555558</v>
      </c>
      <c r="V21" s="61" t="s">
        <v>1052</v>
      </c>
      <c r="W21" s="62">
        <v>0.30555555555555558</v>
      </c>
      <c r="X21" s="61" t="s">
        <v>1052</v>
      </c>
      <c r="Y21" s="62">
        <v>0.30555555555555558</v>
      </c>
      <c r="Z21" s="61" t="s">
        <v>1052</v>
      </c>
      <c r="AA21" s="62">
        <v>0.30555555555555558</v>
      </c>
      <c r="AB21" s="61" t="s">
        <v>125</v>
      </c>
      <c r="AC21" s="62"/>
      <c r="AD21" s="17" t="s">
        <v>1052</v>
      </c>
      <c r="AE21" s="62">
        <v>0.30555555555555558</v>
      </c>
      <c r="AF21" s="17" t="s">
        <v>1052</v>
      </c>
      <c r="AG21" s="60">
        <v>0.30555555555555558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63"/>
      <c r="AR21" s="17"/>
      <c r="AS21" s="17"/>
      <c r="AT21" s="17"/>
      <c r="AU21" s="40"/>
      <c r="AV21" s="17"/>
      <c r="AW21" s="17"/>
      <c r="AX21" s="17"/>
      <c r="AY21" s="17"/>
      <c r="AZ21" s="17"/>
      <c r="BA21" s="17"/>
      <c r="BB21" s="17"/>
      <c r="BC21" s="17"/>
      <c r="BD21" s="31"/>
      <c r="BE21" s="17"/>
      <c r="BF21" s="17"/>
      <c r="BG21" s="17"/>
      <c r="BH21" s="40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</row>
    <row r="22" spans="1:95" ht="26.25" hidden="1" customHeight="1" outlineLevel="2">
      <c r="A22" s="41"/>
      <c r="B22" s="3" t="s">
        <v>329</v>
      </c>
      <c r="C22" s="5"/>
      <c r="D22" s="5"/>
      <c r="E22" s="5"/>
      <c r="F22" s="5"/>
      <c r="G22" s="5"/>
      <c r="H22" s="7" t="str">
        <f t="shared" si="0"/>
        <v>R.11</v>
      </c>
      <c r="I22" s="8" t="s">
        <v>332</v>
      </c>
      <c r="J22" s="5"/>
      <c r="K22" s="3"/>
      <c r="L22" s="5" t="str">
        <f>VLOOKUP(B22,ROTEIRO!$B$2:$AH$201,4,FALSE())</f>
        <v>R11/1</v>
      </c>
      <c r="M22" s="10"/>
      <c r="N22" s="11"/>
      <c r="O22" s="7"/>
      <c r="P22" s="10"/>
      <c r="Q22" s="5" t="e">
        <f>VLOOKUP(B22,#REF!,14,FALSE())</f>
        <v>#REF!</v>
      </c>
      <c r="R22" s="52"/>
      <c r="S22" s="21"/>
      <c r="T22" s="17"/>
      <c r="U22" s="18"/>
      <c r="V22" s="17"/>
      <c r="W22" s="18"/>
      <c r="X22" s="17"/>
      <c r="Y22" s="18"/>
      <c r="Z22" s="17"/>
      <c r="AA22" s="18"/>
      <c r="AB22" s="17"/>
      <c r="AC22" s="18"/>
      <c r="AD22" s="17"/>
      <c r="AE22" s="18"/>
      <c r="AF22" s="17"/>
      <c r="AG22" s="18"/>
      <c r="AH22" s="17"/>
      <c r="AI22" s="17"/>
      <c r="AJ22" s="17"/>
      <c r="AK22" s="17"/>
      <c r="AL22" s="17"/>
      <c r="AM22" s="17"/>
      <c r="AN22" s="17"/>
      <c r="AO22" s="17"/>
      <c r="AP22" s="17"/>
      <c r="AQ22" s="21"/>
      <c r="AR22" s="17"/>
      <c r="AS22" s="17"/>
      <c r="AT22" s="17"/>
      <c r="AU22" s="40"/>
      <c r="AV22" s="17"/>
      <c r="AW22" s="17"/>
      <c r="AX22" s="17"/>
      <c r="AY22" s="17"/>
      <c r="AZ22" s="17"/>
      <c r="BA22" s="17"/>
      <c r="BB22" s="17"/>
      <c r="BC22" s="17"/>
      <c r="BD22" s="21"/>
      <c r="BE22" s="17"/>
      <c r="BF22" s="17"/>
      <c r="BG22" s="17"/>
      <c r="BH22" s="40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</row>
    <row r="23" spans="1:95" ht="26.25" hidden="1" customHeight="1" outlineLevel="2">
      <c r="A23" s="41"/>
      <c r="B23" s="3" t="s">
        <v>340</v>
      </c>
      <c r="C23" s="5"/>
      <c r="D23" s="5"/>
      <c r="E23" s="5"/>
      <c r="F23" s="5"/>
      <c r="G23" s="5"/>
      <c r="H23" s="7" t="str">
        <f t="shared" si="0"/>
        <v>R.12</v>
      </c>
      <c r="I23" s="8" t="s">
        <v>341</v>
      </c>
      <c r="J23" s="5"/>
      <c r="K23" s="3"/>
      <c r="L23" s="5" t="str">
        <f>VLOOKUP(B23,ROTEIRO!$B$2:$AH$201,4,FALSE())</f>
        <v>R12/1</v>
      </c>
      <c r="M23" s="10"/>
      <c r="N23" s="11"/>
      <c r="O23" s="7"/>
      <c r="P23" s="10"/>
      <c r="Q23" s="5" t="e">
        <f>VLOOKUP(B23,#REF!,14,FALSE())</f>
        <v>#REF!</v>
      </c>
      <c r="R23" s="52"/>
      <c r="S23" s="21"/>
      <c r="T23" s="17"/>
      <c r="U23" s="18"/>
      <c r="V23" s="17"/>
      <c r="W23" s="18"/>
      <c r="X23" s="17"/>
      <c r="Y23" s="18"/>
      <c r="Z23" s="17"/>
      <c r="AA23" s="18"/>
      <c r="AB23" s="17"/>
      <c r="AC23" s="18"/>
      <c r="AD23" s="17"/>
      <c r="AE23" s="18"/>
      <c r="AF23" s="17"/>
      <c r="AG23" s="18"/>
      <c r="AH23" s="17"/>
      <c r="AI23" s="17"/>
      <c r="AJ23" s="17"/>
      <c r="AK23" s="17"/>
      <c r="AL23" s="17"/>
      <c r="AM23" s="17"/>
      <c r="AN23" s="17"/>
      <c r="AO23" s="17"/>
      <c r="AP23" s="17"/>
      <c r="AQ23" s="21"/>
      <c r="AR23" s="17"/>
      <c r="AS23" s="17"/>
      <c r="AT23" s="17"/>
      <c r="AU23" s="40"/>
      <c r="AV23" s="17"/>
      <c r="AW23" s="17"/>
      <c r="AX23" s="17"/>
      <c r="AY23" s="17"/>
      <c r="AZ23" s="17"/>
      <c r="BA23" s="17"/>
      <c r="BB23" s="17"/>
      <c r="BC23" s="17"/>
      <c r="BD23" s="21"/>
      <c r="BE23" s="17"/>
      <c r="BF23" s="17"/>
      <c r="BG23" s="17"/>
      <c r="BH23" s="40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</row>
    <row r="24" spans="1:95" ht="26.25" hidden="1" customHeight="1" outlineLevel="1">
      <c r="A24" s="41"/>
      <c r="B24" s="2" t="s">
        <v>349</v>
      </c>
      <c r="C24" s="53" t="s">
        <v>28</v>
      </c>
      <c r="D24" s="53" t="s">
        <v>10</v>
      </c>
      <c r="E24" s="53" t="s">
        <v>49</v>
      </c>
      <c r="F24" s="53" t="s">
        <v>30</v>
      </c>
      <c r="G24" s="53" t="s">
        <v>13</v>
      </c>
      <c r="H24" s="54" t="str">
        <f t="shared" si="0"/>
        <v>-</v>
      </c>
      <c r="I24" s="55"/>
      <c r="J24" s="53"/>
      <c r="K24" s="2" t="e">
        <f>VLOOKUP(B24,#REF!,2,FALSE())</f>
        <v>#REF!</v>
      </c>
      <c r="L24" s="53" t="e">
        <f>VLOOKUP(B24,#REF!,7,FALSE())</f>
        <v>#REF!</v>
      </c>
      <c r="M24" s="56" t="s">
        <v>21</v>
      </c>
      <c r="N24" s="57" t="s">
        <v>7</v>
      </c>
      <c r="O24" s="54" t="s">
        <v>7</v>
      </c>
      <c r="P24" s="56" t="s">
        <v>60</v>
      </c>
      <c r="Q24" s="58" t="e">
        <f>VLOOKUP(B24,#REF!,10,FALSE())</f>
        <v>#REF!</v>
      </c>
      <c r="R24" s="27" t="s">
        <v>354</v>
      </c>
      <c r="S24" s="59">
        <v>1.8333333333333333</v>
      </c>
      <c r="T24" s="17" t="s">
        <v>356</v>
      </c>
      <c r="U24" s="60">
        <v>0.32500000000000001</v>
      </c>
      <c r="V24" s="17" t="s">
        <v>356</v>
      </c>
      <c r="W24" s="60">
        <v>0.32500000000000001</v>
      </c>
      <c r="X24" s="17" t="s">
        <v>356</v>
      </c>
      <c r="Y24" s="60">
        <v>0.32500000000000001</v>
      </c>
      <c r="Z24" s="17" t="s">
        <v>356</v>
      </c>
      <c r="AA24" s="60">
        <v>0.32500000000000001</v>
      </c>
      <c r="AB24" s="17" t="s">
        <v>356</v>
      </c>
      <c r="AC24" s="60">
        <v>0.32500000000000001</v>
      </c>
      <c r="AD24" s="17" t="s">
        <v>37</v>
      </c>
      <c r="AE24" s="60"/>
      <c r="AF24" s="17" t="s">
        <v>37</v>
      </c>
      <c r="AG24" s="60"/>
      <c r="AH24" s="17"/>
      <c r="AI24" s="17"/>
      <c r="AJ24" s="17"/>
      <c r="AK24" s="17"/>
      <c r="AL24" s="17"/>
      <c r="AM24" s="17"/>
      <c r="AN24" s="17"/>
      <c r="AO24" s="17"/>
      <c r="AP24" s="17"/>
      <c r="AQ24" s="63"/>
      <c r="AR24" s="17"/>
      <c r="AS24" s="17"/>
      <c r="AT24" s="17"/>
      <c r="AU24" s="40"/>
      <c r="AV24" s="17"/>
      <c r="AW24" s="17"/>
      <c r="AX24" s="17"/>
      <c r="AY24" s="17"/>
      <c r="AZ24" s="17"/>
      <c r="BA24" s="17"/>
      <c r="BB24" s="17"/>
      <c r="BC24" s="17"/>
      <c r="BD24" s="31"/>
      <c r="BE24" s="17"/>
      <c r="BF24" s="17"/>
      <c r="BG24" s="17"/>
      <c r="BH24" s="40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</row>
    <row r="25" spans="1:95" ht="26.25" hidden="1" customHeight="1" outlineLevel="1">
      <c r="A25" s="41"/>
      <c r="B25" s="2" t="s">
        <v>361</v>
      </c>
      <c r="C25" s="53" t="s">
        <v>28</v>
      </c>
      <c r="D25" s="53" t="s">
        <v>10</v>
      </c>
      <c r="E25" s="53" t="s">
        <v>49</v>
      </c>
      <c r="F25" s="53" t="s">
        <v>30</v>
      </c>
      <c r="G25" s="53" t="s">
        <v>13</v>
      </c>
      <c r="H25" s="54" t="str">
        <f t="shared" si="0"/>
        <v>-</v>
      </c>
      <c r="I25" s="55"/>
      <c r="J25" s="53"/>
      <c r="K25" s="2" t="e">
        <f>VLOOKUP(B25,#REF!,2,FALSE())</f>
        <v>#REF!</v>
      </c>
      <c r="L25" s="53" t="e">
        <f>VLOOKUP(B25,#REF!,7,FALSE())</f>
        <v>#REF!</v>
      </c>
      <c r="M25" s="56" t="s">
        <v>21</v>
      </c>
      <c r="N25" s="57" t="s">
        <v>7</v>
      </c>
      <c r="O25" s="54" t="s">
        <v>7</v>
      </c>
      <c r="P25" s="56" t="s">
        <v>60</v>
      </c>
      <c r="Q25" s="58" t="e">
        <f>VLOOKUP(B25,#REF!,10,FALSE())</f>
        <v>#REF!</v>
      </c>
      <c r="R25" s="27" t="s">
        <v>354</v>
      </c>
      <c r="S25" s="59">
        <v>1.8333333333333333</v>
      </c>
      <c r="T25" s="17" t="s">
        <v>356</v>
      </c>
      <c r="U25" s="60">
        <v>0.32500000000000001</v>
      </c>
      <c r="V25" s="17" t="s">
        <v>356</v>
      </c>
      <c r="W25" s="60">
        <v>0.32500000000000001</v>
      </c>
      <c r="X25" s="17" t="s">
        <v>356</v>
      </c>
      <c r="Y25" s="60">
        <v>0.32500000000000001</v>
      </c>
      <c r="Z25" s="17" t="s">
        <v>356</v>
      </c>
      <c r="AA25" s="60">
        <v>0.32500000000000001</v>
      </c>
      <c r="AB25" s="17" t="s">
        <v>356</v>
      </c>
      <c r="AC25" s="60">
        <v>0.32500000000000001</v>
      </c>
      <c r="AD25" s="17" t="s">
        <v>37</v>
      </c>
      <c r="AE25" s="60"/>
      <c r="AF25" s="17" t="s">
        <v>37</v>
      </c>
      <c r="AG25" s="60"/>
      <c r="AH25" s="17"/>
      <c r="AI25" s="17"/>
      <c r="AJ25" s="17"/>
      <c r="AK25" s="17"/>
      <c r="AL25" s="17"/>
      <c r="AM25" s="17"/>
      <c r="AN25" s="17"/>
      <c r="AO25" s="17"/>
      <c r="AP25" s="17"/>
      <c r="AQ25" s="63"/>
      <c r="AR25" s="17"/>
      <c r="AS25" s="17"/>
      <c r="AT25" s="17"/>
      <c r="AU25" s="40"/>
      <c r="AV25" s="17"/>
      <c r="AW25" s="17"/>
      <c r="AX25" s="17"/>
      <c r="AY25" s="17"/>
      <c r="AZ25" s="17"/>
      <c r="BA25" s="17"/>
      <c r="BB25" s="17"/>
      <c r="BC25" s="17"/>
      <c r="BD25" s="31"/>
      <c r="BE25" s="17"/>
      <c r="BF25" s="17"/>
      <c r="BG25" s="17"/>
      <c r="BH25" s="40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</row>
    <row r="26" spans="1:95" ht="26.25" hidden="1" customHeight="1" outlineLevel="2">
      <c r="A26" s="41"/>
      <c r="B26" s="3" t="s">
        <v>369</v>
      </c>
      <c r="C26" s="5"/>
      <c r="D26" s="5"/>
      <c r="E26" s="5"/>
      <c r="F26" s="5"/>
      <c r="G26" s="5"/>
      <c r="H26" s="7" t="str">
        <f t="shared" si="0"/>
        <v>R.13</v>
      </c>
      <c r="I26" s="8" t="s">
        <v>370</v>
      </c>
      <c r="J26" s="5"/>
      <c r="K26" s="3"/>
      <c r="L26" s="5" t="str">
        <f>VLOOKUP(B26,ROTEIRO!$B$2:$AH$201,4,FALSE())</f>
        <v>R13/1</v>
      </c>
      <c r="M26" s="10"/>
      <c r="N26" s="11"/>
      <c r="O26" s="7"/>
      <c r="P26" s="10"/>
      <c r="Q26" s="5" t="e">
        <f>VLOOKUP(B26,#REF!,14,FALSE())</f>
        <v>#REF!</v>
      </c>
      <c r="R26" s="52"/>
      <c r="S26" s="21"/>
      <c r="T26" s="17"/>
      <c r="U26" s="18"/>
      <c r="V26" s="17"/>
      <c r="W26" s="18"/>
      <c r="X26" s="17"/>
      <c r="Y26" s="18"/>
      <c r="Z26" s="17"/>
      <c r="AA26" s="18"/>
      <c r="AB26" s="17"/>
      <c r="AC26" s="18"/>
      <c r="AD26" s="17"/>
      <c r="AE26" s="18"/>
      <c r="AF26" s="17"/>
      <c r="AG26" s="18"/>
      <c r="AH26" s="17"/>
      <c r="AI26" s="17"/>
      <c r="AJ26" s="17"/>
      <c r="AK26" s="17"/>
      <c r="AL26" s="17"/>
      <c r="AM26" s="17"/>
      <c r="AN26" s="17"/>
      <c r="AO26" s="17"/>
      <c r="AP26" s="17"/>
      <c r="AQ26" s="21"/>
      <c r="AR26" s="17"/>
      <c r="AS26" s="17"/>
      <c r="AT26" s="17"/>
      <c r="AU26" s="40"/>
      <c r="AV26" s="17"/>
      <c r="AW26" s="17"/>
      <c r="AX26" s="17"/>
      <c r="AY26" s="17"/>
      <c r="AZ26" s="17"/>
      <c r="BA26" s="17"/>
      <c r="BB26" s="17"/>
      <c r="BC26" s="17"/>
      <c r="BD26" s="21"/>
      <c r="BE26" s="17"/>
      <c r="BF26" s="17"/>
      <c r="BG26" s="17"/>
      <c r="BH26" s="40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</row>
    <row r="27" spans="1:95" ht="26.25" hidden="1" customHeight="1" outlineLevel="2">
      <c r="A27" s="41"/>
      <c r="B27" s="3" t="s">
        <v>379</v>
      </c>
      <c r="C27" s="5"/>
      <c r="D27" s="5"/>
      <c r="E27" s="5"/>
      <c r="F27" s="5"/>
      <c r="G27" s="5"/>
      <c r="H27" s="7" t="str">
        <f t="shared" si="0"/>
        <v>R.14</v>
      </c>
      <c r="I27" s="8" t="s">
        <v>380</v>
      </c>
      <c r="J27" s="5"/>
      <c r="K27" s="3"/>
      <c r="L27" s="5" t="str">
        <f>VLOOKUP(B27,ROTEIRO!$B$2:$AH$201,4,FALSE())</f>
        <v>R14/1</v>
      </c>
      <c r="M27" s="10"/>
      <c r="N27" s="11"/>
      <c r="O27" s="7"/>
      <c r="P27" s="10"/>
      <c r="Q27" s="65" t="e">
        <f>VLOOKUP(B27,#REF!,14,FALSE())</f>
        <v>#REF!</v>
      </c>
      <c r="R27" s="52"/>
      <c r="S27" s="21"/>
      <c r="T27" s="17"/>
      <c r="U27" s="18"/>
      <c r="V27" s="17"/>
      <c r="W27" s="18"/>
      <c r="X27" s="17"/>
      <c r="Y27" s="18"/>
      <c r="Z27" s="17"/>
      <c r="AA27" s="18"/>
      <c r="AB27" s="17"/>
      <c r="AC27" s="18"/>
      <c r="AD27" s="17"/>
      <c r="AE27" s="18"/>
      <c r="AF27" s="17"/>
      <c r="AG27" s="18"/>
      <c r="AH27" s="17"/>
      <c r="AI27" s="17"/>
      <c r="AJ27" s="17"/>
      <c r="AK27" s="17"/>
      <c r="AL27" s="17"/>
      <c r="AM27" s="17"/>
      <c r="AN27" s="17"/>
      <c r="AO27" s="17"/>
      <c r="AP27" s="17"/>
      <c r="AQ27" s="21"/>
      <c r="AR27" s="17"/>
      <c r="AS27" s="17"/>
      <c r="AT27" s="17"/>
      <c r="AU27" s="40"/>
      <c r="AV27" s="17"/>
      <c r="AW27" s="17"/>
      <c r="AX27" s="17"/>
      <c r="AY27" s="17"/>
      <c r="AZ27" s="17"/>
      <c r="BA27" s="17"/>
      <c r="BB27" s="17"/>
      <c r="BC27" s="17"/>
      <c r="BD27" s="21"/>
      <c r="BE27" s="17"/>
      <c r="BF27" s="17"/>
      <c r="BG27" s="17"/>
      <c r="BH27" s="40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</row>
    <row r="28" spans="1:95" ht="26.25" hidden="1" customHeight="1" outlineLevel="2">
      <c r="A28" s="41"/>
      <c r="B28" s="3" t="s">
        <v>397</v>
      </c>
      <c r="C28" s="5"/>
      <c r="D28" s="5"/>
      <c r="E28" s="5"/>
      <c r="F28" s="5"/>
      <c r="G28" s="5"/>
      <c r="H28" s="7" t="str">
        <f t="shared" si="0"/>
        <v>R.15</v>
      </c>
      <c r="I28" s="8" t="s">
        <v>398</v>
      </c>
      <c r="J28" s="5"/>
      <c r="K28" s="3"/>
      <c r="L28" s="5" t="str">
        <f>VLOOKUP(B28,ROTEIRO!$B$2:$AH$201,4,FALSE())</f>
        <v>R15/1</v>
      </c>
      <c r="M28" s="10"/>
      <c r="N28" s="11"/>
      <c r="O28" s="7"/>
      <c r="P28" s="10"/>
      <c r="Q28" s="65" t="e">
        <f>VLOOKUP(B28,#REF!,14,FALSE())</f>
        <v>#REF!</v>
      </c>
      <c r="R28" s="52"/>
      <c r="S28" s="21"/>
      <c r="T28" s="17"/>
      <c r="U28" s="18"/>
      <c r="V28" s="17"/>
      <c r="W28" s="18"/>
      <c r="X28" s="17"/>
      <c r="Y28" s="18"/>
      <c r="Z28" s="17"/>
      <c r="AA28" s="18"/>
      <c r="AB28" s="17"/>
      <c r="AC28" s="18"/>
      <c r="AD28" s="17"/>
      <c r="AE28" s="18"/>
      <c r="AF28" s="17"/>
      <c r="AG28" s="18"/>
      <c r="AH28" s="17"/>
      <c r="AI28" s="17"/>
      <c r="AJ28" s="17"/>
      <c r="AK28" s="17"/>
      <c r="AL28" s="17"/>
      <c r="AM28" s="17"/>
      <c r="AN28" s="17"/>
      <c r="AO28" s="17"/>
      <c r="AP28" s="17"/>
      <c r="AQ28" s="21"/>
      <c r="AR28" s="17"/>
      <c r="AS28" s="17"/>
      <c r="AT28" s="17"/>
      <c r="AU28" s="40"/>
      <c r="AV28" s="17"/>
      <c r="AW28" s="17"/>
      <c r="AX28" s="17"/>
      <c r="AY28" s="17"/>
      <c r="AZ28" s="17"/>
      <c r="BA28" s="17"/>
      <c r="BB28" s="17"/>
      <c r="BC28" s="17"/>
      <c r="BD28" s="21"/>
      <c r="BE28" s="17"/>
      <c r="BF28" s="17"/>
      <c r="BG28" s="17"/>
      <c r="BH28" s="40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</row>
    <row r="29" spans="1:95" ht="26.25" hidden="1" customHeight="1" outlineLevel="1">
      <c r="A29" s="41"/>
      <c r="B29" s="2" t="s">
        <v>407</v>
      </c>
      <c r="C29" s="53" t="s">
        <v>28</v>
      </c>
      <c r="D29" s="53" t="s">
        <v>10</v>
      </c>
      <c r="E29" s="53" t="s">
        <v>49</v>
      </c>
      <c r="F29" s="53" t="s">
        <v>30</v>
      </c>
      <c r="G29" s="53" t="s">
        <v>13</v>
      </c>
      <c r="H29" s="54" t="str">
        <f t="shared" si="0"/>
        <v>-</v>
      </c>
      <c r="I29" s="55"/>
      <c r="J29" s="53"/>
      <c r="K29" s="2" t="e">
        <f>VLOOKUP(B29,#REF!,2,FALSE())</f>
        <v>#REF!</v>
      </c>
      <c r="L29" s="53" t="e">
        <f>VLOOKUP(B29,#REF!,7,FALSE())</f>
        <v>#REF!</v>
      </c>
      <c r="M29" s="56"/>
      <c r="N29" s="57"/>
      <c r="O29" s="54"/>
      <c r="P29" s="56"/>
      <c r="Q29" s="58" t="e">
        <f>VLOOKUP(B29,#REF!,10,FALSE())</f>
        <v>#REF!</v>
      </c>
      <c r="R29" s="27" t="s">
        <v>408</v>
      </c>
      <c r="S29" s="59">
        <v>1.8333333333333333</v>
      </c>
      <c r="T29" s="17" t="s">
        <v>36</v>
      </c>
      <c r="U29" s="60">
        <v>0.30555555555555558</v>
      </c>
      <c r="V29" s="17" t="s">
        <v>36</v>
      </c>
      <c r="W29" s="60">
        <v>0.30555555555555558</v>
      </c>
      <c r="X29" s="17" t="s">
        <v>36</v>
      </c>
      <c r="Y29" s="60">
        <v>0.30555555555555558</v>
      </c>
      <c r="Z29" s="17" t="s">
        <v>36</v>
      </c>
      <c r="AA29" s="60">
        <v>0.30555555555555558</v>
      </c>
      <c r="AB29" s="17" t="s">
        <v>36</v>
      </c>
      <c r="AC29" s="60">
        <v>0.30555555555555558</v>
      </c>
      <c r="AD29" s="17" t="s">
        <v>36</v>
      </c>
      <c r="AE29" s="60">
        <v>0.30555555555555558</v>
      </c>
      <c r="AF29" s="17"/>
      <c r="AG29" s="60"/>
      <c r="AH29" s="17"/>
      <c r="AI29" s="17"/>
      <c r="AJ29" s="17"/>
      <c r="AK29" s="17"/>
      <c r="AL29" s="17"/>
      <c r="AM29" s="17"/>
      <c r="AN29" s="17"/>
      <c r="AO29" s="17"/>
      <c r="AP29" s="17"/>
      <c r="AQ29" s="63"/>
      <c r="AR29" s="17"/>
      <c r="AS29" s="17"/>
      <c r="AT29" s="17"/>
      <c r="AU29" s="40"/>
      <c r="AV29" s="17"/>
      <c r="AW29" s="17"/>
      <c r="AX29" s="17"/>
      <c r="AY29" s="17"/>
      <c r="AZ29" s="17"/>
      <c r="BA29" s="17"/>
      <c r="BB29" s="17"/>
      <c r="BC29" s="17"/>
      <c r="BD29" s="63"/>
      <c r="BE29" s="17"/>
      <c r="BF29" s="17"/>
      <c r="BG29" s="17"/>
      <c r="BH29" s="40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</row>
    <row r="30" spans="1:95" ht="26.25" hidden="1" customHeight="1" outlineLevel="1">
      <c r="A30" s="41"/>
      <c r="B30" s="3" t="s">
        <v>455</v>
      </c>
      <c r="C30" s="5"/>
      <c r="D30" s="5"/>
      <c r="E30" s="5"/>
      <c r="F30" s="5"/>
      <c r="G30" s="5"/>
      <c r="H30" s="7" t="str">
        <f t="shared" si="0"/>
        <v>R.16</v>
      </c>
      <c r="I30" s="8" t="s">
        <v>458</v>
      </c>
      <c r="J30" s="5"/>
      <c r="K30" s="3"/>
      <c r="L30" s="5" t="str">
        <f>VLOOKUP(B30,ROTEIRO!$B$2:$AH$201,4,FALSE())</f>
        <v>R16/1</v>
      </c>
      <c r="M30" s="10"/>
      <c r="N30" s="11"/>
      <c r="O30" s="7"/>
      <c r="P30" s="10"/>
      <c r="Q30" s="65" t="e">
        <f>VLOOKUP(B30,#REF!,14,FALSE())</f>
        <v>#REF!</v>
      </c>
      <c r="R30" s="52"/>
      <c r="S30" s="21"/>
      <c r="T30" s="17"/>
      <c r="U30" s="18"/>
      <c r="V30" s="17"/>
      <c r="W30" s="18"/>
      <c r="X30" s="17"/>
      <c r="Y30" s="18"/>
      <c r="Z30" s="17"/>
      <c r="AA30" s="18"/>
      <c r="AB30" s="17"/>
      <c r="AC30" s="18"/>
      <c r="AD30" s="17"/>
      <c r="AE30" s="18"/>
      <c r="AF30" s="17"/>
      <c r="AG30" s="18"/>
      <c r="AH30" s="17"/>
      <c r="AI30" s="17"/>
      <c r="AJ30" s="17"/>
      <c r="AK30" s="17"/>
      <c r="AL30" s="17"/>
      <c r="AM30" s="17"/>
      <c r="AN30" s="17"/>
      <c r="AO30" s="17"/>
      <c r="AP30" s="17"/>
      <c r="AQ30" s="21"/>
      <c r="AR30" s="17"/>
      <c r="AS30" s="17"/>
      <c r="AT30" s="17"/>
      <c r="AU30" s="40"/>
      <c r="AV30" s="17"/>
      <c r="AW30" s="17"/>
      <c r="AX30" s="17"/>
      <c r="AY30" s="17"/>
      <c r="AZ30" s="17"/>
      <c r="BA30" s="17"/>
      <c r="BB30" s="17"/>
      <c r="BC30" s="17"/>
      <c r="BD30" s="21"/>
      <c r="BE30" s="17"/>
      <c r="BF30" s="17"/>
      <c r="BG30" s="17"/>
      <c r="BH30" s="40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</row>
    <row r="31" spans="1:95" ht="26.25" hidden="1" customHeight="1" outlineLevel="1">
      <c r="A31" s="41"/>
      <c r="B31" s="3" t="s">
        <v>461</v>
      </c>
      <c r="C31" s="5"/>
      <c r="D31" s="5"/>
      <c r="E31" s="5"/>
      <c r="F31" s="5"/>
      <c r="G31" s="5"/>
      <c r="H31" s="7" t="str">
        <f t="shared" si="0"/>
        <v>R.17</v>
      </c>
      <c r="I31" s="8" t="s">
        <v>462</v>
      </c>
      <c r="J31" s="5"/>
      <c r="K31" s="3"/>
      <c r="L31" s="68">
        <f>VLOOKUP(B31,ROTEIRO!$B$2:$AH$201,4,FALSE())</f>
        <v>0</v>
      </c>
      <c r="M31" s="10"/>
      <c r="N31" s="11"/>
      <c r="O31" s="7"/>
      <c r="P31" s="10"/>
      <c r="Q31" s="65" t="e">
        <f>VLOOKUP(B31,#REF!,14,FALSE())</f>
        <v>#REF!</v>
      </c>
      <c r="R31" s="52"/>
      <c r="S31" s="21"/>
      <c r="T31" s="17"/>
      <c r="U31" s="18"/>
      <c r="V31" s="17"/>
      <c r="W31" s="18"/>
      <c r="X31" s="17"/>
      <c r="Y31" s="18"/>
      <c r="Z31" s="17"/>
      <c r="AA31" s="18"/>
      <c r="AB31" s="17"/>
      <c r="AC31" s="18"/>
      <c r="AD31" s="17"/>
      <c r="AE31" s="18"/>
      <c r="AF31" s="17"/>
      <c r="AG31" s="18"/>
      <c r="AH31" s="17"/>
      <c r="AI31" s="17"/>
      <c r="AJ31" s="17"/>
      <c r="AK31" s="17"/>
      <c r="AL31" s="17"/>
      <c r="AM31" s="17"/>
      <c r="AN31" s="17"/>
      <c r="AO31" s="17"/>
      <c r="AP31" s="17"/>
      <c r="AQ31" s="21"/>
      <c r="AR31" s="17"/>
      <c r="AS31" s="17"/>
      <c r="AT31" s="17"/>
      <c r="AU31" s="40"/>
      <c r="AV31" s="17"/>
      <c r="AW31" s="17"/>
      <c r="AX31" s="17"/>
      <c r="AY31" s="17"/>
      <c r="AZ31" s="17"/>
      <c r="BA31" s="17"/>
      <c r="BB31" s="17"/>
      <c r="BC31" s="17"/>
      <c r="BD31" s="21"/>
      <c r="BE31" s="17"/>
      <c r="BF31" s="17"/>
      <c r="BG31" s="17"/>
      <c r="BH31" s="40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</row>
    <row r="32" spans="1:95" ht="26.25" hidden="1" customHeight="1" outlineLevel="1">
      <c r="A32" s="41"/>
      <c r="B32" s="3" t="s">
        <v>482</v>
      </c>
      <c r="C32" s="5"/>
      <c r="D32" s="5"/>
      <c r="E32" s="5"/>
      <c r="F32" s="5"/>
      <c r="G32" s="5"/>
      <c r="H32" s="7" t="str">
        <f t="shared" si="0"/>
        <v>R.18</v>
      </c>
      <c r="I32" s="8" t="s">
        <v>485</v>
      </c>
      <c r="J32" s="5"/>
      <c r="K32" s="3"/>
      <c r="L32" s="68" t="str">
        <f ca="1">VLOOKUP(B32,ROTEIRO!$B$2:$AH$201,4,FALSE())</f>
        <v/>
      </c>
      <c r="M32" s="10"/>
      <c r="N32" s="11"/>
      <c r="O32" s="7"/>
      <c r="P32" s="10"/>
      <c r="Q32" s="65" t="e">
        <f>VLOOKUP(B32,#REF!,14,FALSE())</f>
        <v>#REF!</v>
      </c>
      <c r="R32" s="52"/>
      <c r="S32" s="21"/>
      <c r="T32" s="17"/>
      <c r="U32" s="18"/>
      <c r="V32" s="17"/>
      <c r="W32" s="18"/>
      <c r="X32" s="17"/>
      <c r="Y32" s="18"/>
      <c r="Z32" s="17"/>
      <c r="AA32" s="18"/>
      <c r="AB32" s="17"/>
      <c r="AC32" s="18"/>
      <c r="AD32" s="17"/>
      <c r="AE32" s="18"/>
      <c r="AF32" s="17"/>
      <c r="AG32" s="18"/>
      <c r="AH32" s="17"/>
      <c r="AI32" s="17"/>
      <c r="AJ32" s="17"/>
      <c r="AK32" s="17"/>
      <c r="AL32" s="17"/>
      <c r="AM32" s="17"/>
      <c r="AN32" s="17"/>
      <c r="AO32" s="17"/>
      <c r="AP32" s="17"/>
      <c r="AQ32" s="21"/>
      <c r="AR32" s="17"/>
      <c r="AS32" s="17"/>
      <c r="AT32" s="17"/>
      <c r="AU32" s="40"/>
      <c r="AV32" s="17"/>
      <c r="AW32" s="17"/>
      <c r="AX32" s="17"/>
      <c r="AY32" s="17"/>
      <c r="AZ32" s="17"/>
      <c r="BA32" s="17"/>
      <c r="BB32" s="17"/>
      <c r="BC32" s="17"/>
      <c r="BD32" s="21"/>
      <c r="BE32" s="17"/>
      <c r="BF32" s="17"/>
      <c r="BG32" s="17"/>
      <c r="BH32" s="40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</row>
    <row r="33" spans="1:95" ht="26.25" hidden="1" customHeight="1" outlineLevel="1">
      <c r="A33" s="41"/>
      <c r="B33" s="3" t="s">
        <v>491</v>
      </c>
      <c r="C33" s="5"/>
      <c r="D33" s="5"/>
      <c r="E33" s="5"/>
      <c r="F33" s="5"/>
      <c r="G33" s="5"/>
      <c r="H33" s="7" t="str">
        <f t="shared" si="0"/>
        <v>R.19</v>
      </c>
      <c r="I33" s="8" t="s">
        <v>492</v>
      </c>
      <c r="J33" s="5"/>
      <c r="K33" s="3"/>
      <c r="L33" s="5" t="str">
        <f ca="1">VLOOKUP(B33,ROTEIRO!$B$2:$AH$201,4,FALSE())</f>
        <v/>
      </c>
      <c r="M33" s="10"/>
      <c r="N33" s="11"/>
      <c r="O33" s="7"/>
      <c r="P33" s="10"/>
      <c r="Q33" s="65" t="e">
        <f>VLOOKUP(B33,#REF!,14,FALSE())</f>
        <v>#REF!</v>
      </c>
      <c r="R33" s="52"/>
      <c r="S33" s="21"/>
      <c r="T33" s="17"/>
      <c r="U33" s="18"/>
      <c r="V33" s="17"/>
      <c r="W33" s="18"/>
      <c r="X33" s="17"/>
      <c r="Y33" s="18"/>
      <c r="Z33" s="17"/>
      <c r="AA33" s="18"/>
      <c r="AB33" s="17"/>
      <c r="AC33" s="18"/>
      <c r="AD33" s="17"/>
      <c r="AE33" s="18"/>
      <c r="AF33" s="17"/>
      <c r="AG33" s="18"/>
      <c r="AH33" s="17"/>
      <c r="AI33" s="17"/>
      <c r="AJ33" s="17"/>
      <c r="AK33" s="17"/>
      <c r="AL33" s="17"/>
      <c r="AM33" s="17"/>
      <c r="AN33" s="17"/>
      <c r="AO33" s="17"/>
      <c r="AP33" s="17"/>
      <c r="AQ33" s="21"/>
      <c r="AR33" s="17"/>
      <c r="AS33" s="17"/>
      <c r="AT33" s="17"/>
      <c r="AU33" s="40"/>
      <c r="AV33" s="17"/>
      <c r="AW33" s="17"/>
      <c r="AX33" s="17"/>
      <c r="AY33" s="17"/>
      <c r="AZ33" s="17"/>
      <c r="BA33" s="17"/>
      <c r="BB33" s="17"/>
      <c r="BC33" s="17"/>
      <c r="BD33" s="21"/>
      <c r="BE33" s="17"/>
      <c r="BF33" s="17"/>
      <c r="BG33" s="17"/>
      <c r="BH33" s="40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</row>
    <row r="34" spans="1:95" ht="26.25" hidden="1" customHeight="1" outlineLevel="1">
      <c r="A34" s="41"/>
      <c r="B34" s="3" t="s">
        <v>493</v>
      </c>
      <c r="C34" s="5"/>
      <c r="D34" s="5"/>
      <c r="E34" s="5"/>
      <c r="F34" s="5"/>
      <c r="G34" s="5"/>
      <c r="H34" s="7" t="str">
        <f t="shared" si="0"/>
        <v>R.20</v>
      </c>
      <c r="I34" s="8" t="s">
        <v>494</v>
      </c>
      <c r="J34" s="5"/>
      <c r="K34" s="3"/>
      <c r="L34" s="5" t="str">
        <f ca="1">VLOOKUP(B34,ROTEIRO!$B$2:$AH$201,4,FALSE())</f>
        <v/>
      </c>
      <c r="M34" s="10"/>
      <c r="N34" s="11"/>
      <c r="O34" s="7"/>
      <c r="P34" s="10"/>
      <c r="Q34" s="65" t="e">
        <f>VLOOKUP(B34,#REF!,14,FALSE())</f>
        <v>#REF!</v>
      </c>
      <c r="R34" s="52"/>
      <c r="S34" s="21"/>
      <c r="T34" s="17"/>
      <c r="U34" s="18"/>
      <c r="V34" s="17"/>
      <c r="W34" s="18"/>
      <c r="X34" s="17"/>
      <c r="Y34" s="18"/>
      <c r="Z34" s="17"/>
      <c r="AA34" s="18"/>
      <c r="AB34" s="17"/>
      <c r="AC34" s="18"/>
      <c r="AD34" s="17"/>
      <c r="AE34" s="18"/>
      <c r="AF34" s="17"/>
      <c r="AG34" s="18"/>
      <c r="AH34" s="17"/>
      <c r="AI34" s="17"/>
      <c r="AJ34" s="17"/>
      <c r="AK34" s="17"/>
      <c r="AL34" s="17"/>
      <c r="AM34" s="17"/>
      <c r="AN34" s="17"/>
      <c r="AO34" s="17"/>
      <c r="AP34" s="17"/>
      <c r="AQ34" s="21"/>
      <c r="AR34" s="17"/>
      <c r="AS34" s="17"/>
      <c r="AT34" s="17"/>
      <c r="AU34" s="40"/>
      <c r="AV34" s="17"/>
      <c r="AW34" s="17"/>
      <c r="AX34" s="17"/>
      <c r="AY34" s="17"/>
      <c r="AZ34" s="17"/>
      <c r="BA34" s="17"/>
      <c r="BB34" s="17"/>
      <c r="BC34" s="17"/>
      <c r="BD34" s="21"/>
      <c r="BE34" s="17"/>
      <c r="BF34" s="17"/>
      <c r="BG34" s="17"/>
      <c r="BH34" s="40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</row>
    <row r="35" spans="1:95" ht="14.25" customHeight="1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>
        <f ca="1">COUNTIF(K24:K107,"&lt;&gt;0")</f>
        <v>48</v>
      </c>
      <c r="L35" s="42"/>
      <c r="M35" s="42"/>
      <c r="N35" s="42"/>
      <c r="O35" s="42"/>
      <c r="P35" s="42"/>
      <c r="Q35" s="42"/>
      <c r="R35" s="42"/>
      <c r="S35" s="42"/>
      <c r="T35" s="132"/>
      <c r="U35" s="18"/>
      <c r="V35" s="132"/>
      <c r="W35" s="18"/>
      <c r="X35" s="132"/>
      <c r="Y35" s="18"/>
      <c r="Z35" s="132"/>
      <c r="AA35" s="18"/>
      <c r="AB35" s="132"/>
      <c r="AC35" s="18"/>
      <c r="AD35" s="132"/>
      <c r="AE35" s="18"/>
      <c r="AF35" s="132"/>
      <c r="AG35" s="18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4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4"/>
      <c r="BI35" s="80"/>
      <c r="BJ35" s="80"/>
      <c r="BK35" s="133"/>
      <c r="BL35" s="133"/>
      <c r="BM35" s="133"/>
      <c r="BN35" s="133"/>
      <c r="BO35" s="80"/>
      <c r="BP35" s="80"/>
      <c r="BQ35" s="80"/>
      <c r="BR35" s="80"/>
      <c r="BS35" s="134"/>
      <c r="BT35" s="134"/>
      <c r="BU35" s="134"/>
      <c r="BV35" s="134"/>
      <c r="BW35" s="134"/>
      <c r="BX35" s="134"/>
      <c r="BY35" s="134"/>
      <c r="BZ35" s="134"/>
      <c r="CA35" s="134"/>
      <c r="CB35" s="134"/>
      <c r="CC35" s="134"/>
      <c r="CD35" s="134"/>
      <c r="CE35" s="134"/>
      <c r="CF35" s="134"/>
      <c r="CG35" s="134"/>
      <c r="CH35" s="134"/>
      <c r="CI35" s="134"/>
      <c r="CJ35" s="134"/>
      <c r="CK35" s="134"/>
      <c r="CL35" s="134"/>
      <c r="CM35" s="134"/>
      <c r="CN35" s="134"/>
      <c r="CO35" s="134"/>
      <c r="CP35" s="134"/>
      <c r="CQ35" s="134"/>
    </row>
    <row r="36" spans="1:95" ht="26.25" customHeight="1">
      <c r="A36" s="2" t="str">
        <f t="shared" ref="A36:A79" si="1">IF(C36="ENCAR",CONCATENATE(B36," - ",C36),IF(C36="ZELAD",CONCATENATE(B36," - ",C36),CONCATENATE(B36," - ",(CONCATENATE(MID(C36,1,1),MID(D36,1,1),MID(E36,1,1),MID(F36,1,1),"/",MID(G36,1,1))))))</f>
        <v>AG023 - JD-B/U</v>
      </c>
      <c r="B36" s="2" t="s">
        <v>2432</v>
      </c>
      <c r="C36" s="53" t="s">
        <v>388</v>
      </c>
      <c r="D36" s="53" t="s">
        <v>10</v>
      </c>
      <c r="E36" s="53" t="s">
        <v>49</v>
      </c>
      <c r="F36" s="53" t="s">
        <v>30</v>
      </c>
      <c r="G36" s="53" t="s">
        <v>13</v>
      </c>
      <c r="H36" s="54" t="str">
        <f t="shared" ref="H36:H79" si="2">IF(I36=0,"-",IF(J36=0,CONCATENATE("R",I36),CONCATENATE("R",I36,"/",J36)))</f>
        <v>-</v>
      </c>
      <c r="I36" s="55"/>
      <c r="J36" s="53"/>
      <c r="K36" s="2" t="e">
        <f>VLOOKUP(B36,#REF!,2,FALSE())</f>
        <v>#REF!</v>
      </c>
      <c r="L36" s="53" t="e">
        <f>VLOOKUP(B36,#REF!,7,FALSE())</f>
        <v>#REF!</v>
      </c>
      <c r="M36" s="56" t="s">
        <v>21</v>
      </c>
      <c r="N36" s="57" t="s">
        <v>7</v>
      </c>
      <c r="O36" s="54" t="s">
        <v>7</v>
      </c>
      <c r="P36" s="56" t="s">
        <v>60</v>
      </c>
      <c r="Q36" s="58" t="e">
        <f>VLOOKUP(B36,#REF!,10,FALSE())</f>
        <v>#REF!</v>
      </c>
      <c r="R36" s="27" t="s">
        <v>2433</v>
      </c>
      <c r="S36" s="59">
        <v>1.8333333333333333</v>
      </c>
      <c r="T36" s="17" t="s">
        <v>2434</v>
      </c>
      <c r="U36" s="60">
        <v>0.33333333333333331</v>
      </c>
      <c r="V36" s="17" t="s">
        <v>2434</v>
      </c>
      <c r="W36" s="60">
        <v>0.33333333333333331</v>
      </c>
      <c r="X36" s="17" t="s">
        <v>2434</v>
      </c>
      <c r="Y36" s="60">
        <v>0.33333333333333331</v>
      </c>
      <c r="Z36" s="17" t="s">
        <v>2434</v>
      </c>
      <c r="AA36" s="60">
        <v>0.33333333333333331</v>
      </c>
      <c r="AB36" s="17" t="s">
        <v>2434</v>
      </c>
      <c r="AC36" s="60">
        <v>0.33333333333333331</v>
      </c>
      <c r="AD36" s="17" t="s">
        <v>2435</v>
      </c>
      <c r="AE36" s="60">
        <v>0.16666666666666666</v>
      </c>
      <c r="AF36" s="17" t="s">
        <v>125</v>
      </c>
      <c r="AG36" s="60"/>
      <c r="AH36" s="17"/>
      <c r="AI36" s="17"/>
      <c r="AJ36" s="17"/>
      <c r="AK36" s="17"/>
      <c r="AL36" s="17"/>
      <c r="AM36" s="17"/>
      <c r="AN36" s="17"/>
      <c r="AO36" s="17"/>
      <c r="AP36" s="17"/>
      <c r="AQ36" s="63"/>
      <c r="AR36" s="17"/>
      <c r="AS36" s="17"/>
      <c r="AT36" s="17"/>
      <c r="AU36" s="40"/>
      <c r="AV36" s="17"/>
      <c r="AW36" s="17"/>
      <c r="AX36" s="17"/>
      <c r="AY36" s="17"/>
      <c r="AZ36" s="17"/>
      <c r="BA36" s="17"/>
      <c r="BB36" s="17"/>
      <c r="BC36" s="17"/>
      <c r="BD36" s="31"/>
      <c r="BE36" s="17"/>
      <c r="BF36" s="17"/>
      <c r="BG36" s="17"/>
      <c r="BH36" s="40"/>
      <c r="BI36" s="135" t="s">
        <v>2436</v>
      </c>
      <c r="BJ36" s="135"/>
      <c r="BK36" s="17"/>
      <c r="BL36" s="17"/>
      <c r="BM36" s="17"/>
      <c r="BN36" s="17"/>
      <c r="BO36" s="17"/>
      <c r="BP36" s="17"/>
      <c r="BQ36" s="17"/>
      <c r="BR36" s="17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</row>
    <row r="37" spans="1:95" ht="26.25" customHeight="1">
      <c r="A37" s="2" t="str">
        <f t="shared" si="1"/>
        <v>FC066 - MD-B/U</v>
      </c>
      <c r="B37" s="2" t="s">
        <v>1498</v>
      </c>
      <c r="C37" s="53" t="s">
        <v>93</v>
      </c>
      <c r="D37" s="53" t="s">
        <v>10</v>
      </c>
      <c r="E37" s="53" t="s">
        <v>49</v>
      </c>
      <c r="F37" s="53" t="s">
        <v>30</v>
      </c>
      <c r="G37" s="53" t="s">
        <v>13</v>
      </c>
      <c r="H37" s="54" t="str">
        <f t="shared" si="2"/>
        <v>-</v>
      </c>
      <c r="I37" s="55"/>
      <c r="J37" s="53"/>
      <c r="K37" s="2" t="e">
        <f>VLOOKUP(B37,#REF!,2,FALSE())</f>
        <v>#REF!</v>
      </c>
      <c r="L37" s="53" t="e">
        <f>VLOOKUP(B37,#REF!,7,FALSE())</f>
        <v>#REF!</v>
      </c>
      <c r="M37" s="56" t="s">
        <v>21</v>
      </c>
      <c r="N37" s="57" t="s">
        <v>7</v>
      </c>
      <c r="O37" s="54" t="s">
        <v>7</v>
      </c>
      <c r="P37" s="56" t="s">
        <v>60</v>
      </c>
      <c r="Q37" s="58" t="e">
        <f>VLOOKUP(B37,#REF!,10,FALSE())</f>
        <v>#REF!</v>
      </c>
      <c r="R37" s="66" t="s">
        <v>2438</v>
      </c>
      <c r="S37" s="67">
        <f>U37+W37+Y37+AA37+AC37+AE37+AG37+AH37</f>
        <v>1.8333333333333333</v>
      </c>
      <c r="T37" s="61" t="s">
        <v>256</v>
      </c>
      <c r="U37" s="62">
        <v>0.33333333333333331</v>
      </c>
      <c r="V37" s="61" t="s">
        <v>256</v>
      </c>
      <c r="W37" s="62">
        <v>0.33333333333333331</v>
      </c>
      <c r="X37" s="61" t="s">
        <v>256</v>
      </c>
      <c r="Y37" s="62">
        <v>0.33333333333333331</v>
      </c>
      <c r="Z37" s="61" t="s">
        <v>256</v>
      </c>
      <c r="AA37" s="62">
        <v>0.33333333333333331</v>
      </c>
      <c r="AB37" s="61" t="s">
        <v>256</v>
      </c>
      <c r="AC37" s="62">
        <v>0.33333333333333331</v>
      </c>
      <c r="AD37" s="61" t="s">
        <v>804</v>
      </c>
      <c r="AE37" s="62">
        <v>0.16666666666666666</v>
      </c>
      <c r="AF37" s="17" t="s">
        <v>125</v>
      </c>
      <c r="AG37" s="60"/>
      <c r="AH37" s="17"/>
      <c r="AI37" s="17"/>
      <c r="AJ37" s="17"/>
      <c r="AK37" s="17"/>
      <c r="AL37" s="17"/>
      <c r="AM37" s="17"/>
      <c r="AN37" s="17"/>
      <c r="AO37" s="17"/>
      <c r="AP37" s="17"/>
      <c r="AQ37" s="30"/>
      <c r="AR37" s="30"/>
      <c r="AS37" s="30"/>
      <c r="AT37" s="30"/>
      <c r="AU37" s="22"/>
      <c r="AV37" s="20"/>
      <c r="AW37" s="19"/>
      <c r="AX37" s="19"/>
      <c r="AY37" s="19"/>
      <c r="AZ37" s="19"/>
      <c r="BA37" s="19"/>
      <c r="BB37" s="19"/>
      <c r="BC37" s="19"/>
      <c r="BD37" s="21"/>
      <c r="BE37" s="19"/>
      <c r="BF37" s="19"/>
      <c r="BG37" s="19"/>
      <c r="BH37" s="22"/>
      <c r="BI37" s="135" t="s">
        <v>2436</v>
      </c>
      <c r="BJ37" s="20"/>
      <c r="BK37" s="20"/>
      <c r="BL37" s="20"/>
      <c r="BM37" s="20"/>
      <c r="BN37" s="20"/>
      <c r="BO37" s="19"/>
      <c r="BP37" s="19"/>
      <c r="BQ37" s="19"/>
      <c r="BR37" s="19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</row>
    <row r="38" spans="1:95" ht="26.25" customHeight="1">
      <c r="A38" s="2" t="str">
        <f t="shared" si="1"/>
        <v>AG005 - PD-A/1</v>
      </c>
      <c r="B38" s="2" t="s">
        <v>119</v>
      </c>
      <c r="C38" s="53" t="s">
        <v>9</v>
      </c>
      <c r="D38" s="53" t="s">
        <v>10</v>
      </c>
      <c r="E38" s="53" t="s">
        <v>49</v>
      </c>
      <c r="F38" s="53" t="s">
        <v>11</v>
      </c>
      <c r="G38" s="54">
        <v>1</v>
      </c>
      <c r="H38" s="54" t="str">
        <f t="shared" si="2"/>
        <v>-</v>
      </c>
      <c r="I38" s="55"/>
      <c r="J38" s="53"/>
      <c r="K38" s="2" t="e">
        <f>VLOOKUP(B38,#REF!,2,FALSE())</f>
        <v>#REF!</v>
      </c>
      <c r="L38" s="53" t="e">
        <f>VLOOKUP(B38,#REF!,7,FALSE())</f>
        <v>#REF!</v>
      </c>
      <c r="M38" s="56" t="s">
        <v>21</v>
      </c>
      <c r="N38" s="57" t="s">
        <v>7</v>
      </c>
      <c r="O38" s="54" t="s">
        <v>7</v>
      </c>
      <c r="P38" s="56" t="s">
        <v>22</v>
      </c>
      <c r="Q38" s="58" t="e">
        <f>VLOOKUP(B38,#REF!,10,FALSE())</f>
        <v>#REF!</v>
      </c>
      <c r="R38" s="27" t="s">
        <v>141</v>
      </c>
      <c r="S38" s="59">
        <v>1.8333333333333333</v>
      </c>
      <c r="T38" s="61" t="s">
        <v>142</v>
      </c>
      <c r="U38" s="62">
        <v>0.5</v>
      </c>
      <c r="V38" s="61"/>
      <c r="W38" s="62"/>
      <c r="X38" s="61" t="s">
        <v>142</v>
      </c>
      <c r="Y38" s="62">
        <v>0.5</v>
      </c>
      <c r="Z38" s="61"/>
      <c r="AA38" s="62"/>
      <c r="AB38" s="61" t="s">
        <v>142</v>
      </c>
      <c r="AC38" s="62">
        <v>0.5</v>
      </c>
      <c r="AD38" s="17"/>
      <c r="AE38" s="62"/>
      <c r="AF38" s="17" t="s">
        <v>142</v>
      </c>
      <c r="AG38" s="60">
        <v>0.5</v>
      </c>
      <c r="AH38" s="30"/>
      <c r="AI38" s="30" t="s">
        <v>43</v>
      </c>
      <c r="AJ38" s="30" t="s">
        <v>44</v>
      </c>
      <c r="AK38" s="30" t="s">
        <v>44</v>
      </c>
      <c r="AL38" s="30" t="s">
        <v>43</v>
      </c>
      <c r="AM38" s="30" t="s">
        <v>44</v>
      </c>
      <c r="AN38" s="30" t="s">
        <v>44</v>
      </c>
      <c r="AO38" s="30" t="s">
        <v>43</v>
      </c>
      <c r="AP38" s="30" t="s">
        <v>43</v>
      </c>
      <c r="AQ38" s="30" t="s">
        <v>44</v>
      </c>
      <c r="AR38" s="30" t="s">
        <v>43</v>
      </c>
      <c r="AS38" s="30" t="s">
        <v>44</v>
      </c>
      <c r="AT38" s="30" t="s">
        <v>43</v>
      </c>
      <c r="AU38" s="40"/>
      <c r="AV38" s="17"/>
      <c r="AW38" s="17"/>
      <c r="AX38" s="17"/>
      <c r="AY38" s="17"/>
      <c r="AZ38" s="17"/>
      <c r="BA38" s="17"/>
      <c r="BB38" s="17"/>
      <c r="BC38" s="17"/>
      <c r="BD38" s="31"/>
      <c r="BE38" s="17"/>
      <c r="BF38" s="17"/>
      <c r="BG38" s="17"/>
      <c r="BH38" s="40"/>
      <c r="BI38" s="135" t="s">
        <v>2436</v>
      </c>
      <c r="BJ38" s="17"/>
      <c r="BK38" s="17"/>
      <c r="BL38" s="17"/>
      <c r="BM38" s="17"/>
      <c r="BN38" s="17"/>
      <c r="BO38" s="17"/>
      <c r="BP38" s="17"/>
      <c r="BQ38" s="17"/>
      <c r="BR38" s="17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</row>
    <row r="39" spans="1:95" ht="26.25" customHeight="1">
      <c r="A39" s="2" t="str">
        <f t="shared" si="1"/>
        <v>AG005 - PD-A/2</v>
      </c>
      <c r="B39" s="2" t="s">
        <v>119</v>
      </c>
      <c r="C39" s="53" t="s">
        <v>9</v>
      </c>
      <c r="D39" s="53" t="s">
        <v>10</v>
      </c>
      <c r="E39" s="53" t="s">
        <v>49</v>
      </c>
      <c r="F39" s="53" t="s">
        <v>11</v>
      </c>
      <c r="G39" s="53">
        <v>2</v>
      </c>
      <c r="H39" s="54" t="str">
        <f t="shared" si="2"/>
        <v>-</v>
      </c>
      <c r="I39" s="55"/>
      <c r="J39" s="53"/>
      <c r="K39" s="2" t="e">
        <f>VLOOKUP(B39,#REF!,2,FALSE())</f>
        <v>#REF!</v>
      </c>
      <c r="L39" s="53" t="e">
        <f>VLOOKUP(B39,#REF!,7,FALSE())</f>
        <v>#REF!</v>
      </c>
      <c r="M39" s="56" t="s">
        <v>21</v>
      </c>
      <c r="N39" s="57" t="s">
        <v>7</v>
      </c>
      <c r="O39" s="54" t="s">
        <v>7</v>
      </c>
      <c r="P39" s="56" t="s">
        <v>22</v>
      </c>
      <c r="Q39" s="58" t="e">
        <f>VLOOKUP(B39,#REF!,10,FALSE())</f>
        <v>#REF!</v>
      </c>
      <c r="R39" s="27" t="s">
        <v>141</v>
      </c>
      <c r="S39" s="59">
        <v>1.8333333333333333</v>
      </c>
      <c r="T39" s="17"/>
      <c r="U39" s="60"/>
      <c r="V39" s="17" t="s">
        <v>142</v>
      </c>
      <c r="W39" s="60">
        <v>0.5</v>
      </c>
      <c r="X39" s="17"/>
      <c r="Y39" s="60"/>
      <c r="Z39" s="17" t="s">
        <v>142</v>
      </c>
      <c r="AA39" s="60">
        <v>0.5</v>
      </c>
      <c r="AB39" s="17"/>
      <c r="AC39" s="60"/>
      <c r="AD39" s="17" t="s">
        <v>142</v>
      </c>
      <c r="AE39" s="60">
        <v>0.5</v>
      </c>
      <c r="AF39" s="17"/>
      <c r="AG39" s="60"/>
      <c r="AH39" s="30"/>
      <c r="AI39" s="30" t="s">
        <v>44</v>
      </c>
      <c r="AJ39" s="30" t="s">
        <v>43</v>
      </c>
      <c r="AK39" s="30" t="s">
        <v>43</v>
      </c>
      <c r="AL39" s="30" t="s">
        <v>44</v>
      </c>
      <c r="AM39" s="30" t="s">
        <v>43</v>
      </c>
      <c r="AN39" s="30" t="s">
        <v>43</v>
      </c>
      <c r="AO39" s="30" t="s">
        <v>44</v>
      </c>
      <c r="AP39" s="30" t="s">
        <v>44</v>
      </c>
      <c r="AQ39" s="30" t="s">
        <v>43</v>
      </c>
      <c r="AR39" s="30" t="s">
        <v>44</v>
      </c>
      <c r="AS39" s="30" t="s">
        <v>43</v>
      </c>
      <c r="AT39" s="30" t="s">
        <v>44</v>
      </c>
      <c r="AU39" s="22"/>
      <c r="AV39" s="19"/>
      <c r="AW39" s="19"/>
      <c r="AX39" s="19"/>
      <c r="AY39" s="19"/>
      <c r="AZ39" s="19"/>
      <c r="BA39" s="19"/>
      <c r="BB39" s="19"/>
      <c r="BC39" s="19"/>
      <c r="BD39" s="28"/>
      <c r="BE39" s="19"/>
      <c r="BF39" s="19"/>
      <c r="BG39" s="19"/>
      <c r="BH39" s="22"/>
      <c r="BI39" s="135" t="s">
        <v>2436</v>
      </c>
      <c r="BJ39" s="19"/>
      <c r="BK39" s="19"/>
      <c r="BL39" s="19"/>
      <c r="BM39" s="19"/>
      <c r="BN39" s="19"/>
      <c r="BO39" s="19"/>
      <c r="BP39" s="19"/>
      <c r="BQ39" s="19"/>
      <c r="BR39" s="19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</row>
    <row r="40" spans="1:95" ht="26.25" customHeight="1">
      <c r="A40" s="2" t="str">
        <f t="shared" si="1"/>
        <v>FC067 - LD-B/U</v>
      </c>
      <c r="B40" s="2" t="s">
        <v>2440</v>
      </c>
      <c r="C40" s="53" t="s">
        <v>28</v>
      </c>
      <c r="D40" s="53" t="s">
        <v>10</v>
      </c>
      <c r="E40" s="53" t="s">
        <v>49</v>
      </c>
      <c r="F40" s="53" t="s">
        <v>30</v>
      </c>
      <c r="G40" s="53" t="s">
        <v>13</v>
      </c>
      <c r="H40" s="54" t="str">
        <f t="shared" si="2"/>
        <v>-</v>
      </c>
      <c r="I40" s="55"/>
      <c r="J40" s="53"/>
      <c r="K40" s="2" t="e">
        <f>VLOOKUP(B40,#REF!,2,FALSE())</f>
        <v>#REF!</v>
      </c>
      <c r="L40" s="53" t="e">
        <f>VLOOKUP(B40,#REF!,7,FALSE())</f>
        <v>#REF!</v>
      </c>
      <c r="M40" s="56" t="s">
        <v>21</v>
      </c>
      <c r="N40" s="57" t="s">
        <v>7</v>
      </c>
      <c r="O40" s="54" t="s">
        <v>7</v>
      </c>
      <c r="P40" s="56" t="s">
        <v>60</v>
      </c>
      <c r="Q40" s="58" t="e">
        <f>VLOOKUP(B40,#REF!,10,FALSE())</f>
        <v>#REF!</v>
      </c>
      <c r="R40" s="27" t="s">
        <v>2441</v>
      </c>
      <c r="S40" s="59">
        <v>1.8333333333333333</v>
      </c>
      <c r="T40" s="61" t="s">
        <v>124</v>
      </c>
      <c r="U40" s="62">
        <v>0.33333333333333331</v>
      </c>
      <c r="V40" s="61" t="s">
        <v>124</v>
      </c>
      <c r="W40" s="62">
        <v>0.33333333333333331</v>
      </c>
      <c r="X40" s="61" t="s">
        <v>124</v>
      </c>
      <c r="Y40" s="62">
        <v>0.33333333333333331</v>
      </c>
      <c r="Z40" s="61" t="s">
        <v>124</v>
      </c>
      <c r="AA40" s="62">
        <v>0.33333333333333331</v>
      </c>
      <c r="AB40" s="61" t="s">
        <v>124</v>
      </c>
      <c r="AC40" s="62">
        <v>0.33333333333333331</v>
      </c>
      <c r="AD40" s="17" t="s">
        <v>64</v>
      </c>
      <c r="AE40" s="62">
        <v>0.16666666666666666</v>
      </c>
      <c r="AF40" s="17" t="s">
        <v>125</v>
      </c>
      <c r="AG40" s="60"/>
      <c r="AH40" s="17"/>
      <c r="AI40" s="17"/>
      <c r="AJ40" s="17"/>
      <c r="AK40" s="17"/>
      <c r="AL40" s="17"/>
      <c r="AM40" s="17"/>
      <c r="AN40" s="17"/>
      <c r="AO40" s="17"/>
      <c r="AP40" s="17"/>
      <c r="AQ40" s="63"/>
      <c r="AR40" s="17"/>
      <c r="AS40" s="17"/>
      <c r="AT40" s="17"/>
      <c r="AU40" s="29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29"/>
      <c r="BI40" s="30"/>
      <c r="BJ40" s="136" t="s">
        <v>2436</v>
      </c>
      <c r="BK40" s="30"/>
      <c r="BL40" s="30"/>
      <c r="BM40" s="30"/>
      <c r="BN40" s="30"/>
      <c r="BO40" s="30"/>
      <c r="BP40" s="30"/>
      <c r="BQ40" s="30"/>
      <c r="BR40" s="30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</row>
    <row r="41" spans="1:95" ht="26.25" customHeight="1">
      <c r="A41" s="2" t="str">
        <f t="shared" si="1"/>
        <v>AG017 - LD-C/U</v>
      </c>
      <c r="B41" s="2" t="s">
        <v>2442</v>
      </c>
      <c r="C41" s="53" t="s">
        <v>28</v>
      </c>
      <c r="D41" s="53" t="s">
        <v>10</v>
      </c>
      <c r="E41" s="53" t="s">
        <v>49</v>
      </c>
      <c r="F41" s="53" t="s">
        <v>50</v>
      </c>
      <c r="G41" s="54" t="s">
        <v>13</v>
      </c>
      <c r="H41" s="54" t="str">
        <f t="shared" si="2"/>
        <v>Reduzido</v>
      </c>
      <c r="I41" s="55" t="s">
        <v>676</v>
      </c>
      <c r="J41" s="53"/>
      <c r="K41" s="2" t="e">
        <f>VLOOKUP(B41,#REF!,2,FALSE())</f>
        <v>#REF!</v>
      </c>
      <c r="L41" s="53" t="e">
        <f>VLOOKUP(B41,#REF!,7,FALSE())</f>
        <v>#REF!</v>
      </c>
      <c r="M41" s="56" t="s">
        <v>58</v>
      </c>
      <c r="N41" s="57" t="s">
        <v>7</v>
      </c>
      <c r="O41" s="54" t="s">
        <v>7</v>
      </c>
      <c r="P41" s="56" t="s">
        <v>60</v>
      </c>
      <c r="Q41" s="58" t="e">
        <f>VLOOKUP(B41,#REF!,10,FALSE())</f>
        <v>#REF!</v>
      </c>
      <c r="R41" s="27" t="s">
        <v>2444</v>
      </c>
      <c r="S41" s="59">
        <f t="shared" ref="S41:S42" si="3">U41+W41+Y41+AA41+AC41+AE41+AG41+AH41</f>
        <v>0.99999999999999989</v>
      </c>
      <c r="T41" s="17" t="s">
        <v>625</v>
      </c>
      <c r="U41" s="60">
        <v>0.16666666666666666</v>
      </c>
      <c r="V41" s="17" t="s">
        <v>625</v>
      </c>
      <c r="W41" s="60">
        <v>0.16666666666666666</v>
      </c>
      <c r="X41" s="17" t="s">
        <v>625</v>
      </c>
      <c r="Y41" s="60">
        <v>0.16666666666666666</v>
      </c>
      <c r="Z41" s="17" t="s">
        <v>625</v>
      </c>
      <c r="AA41" s="60">
        <v>0.16666666666666666</v>
      </c>
      <c r="AB41" s="17" t="s">
        <v>625</v>
      </c>
      <c r="AC41" s="60">
        <v>0.16666666666666666</v>
      </c>
      <c r="AD41" s="17" t="s">
        <v>625</v>
      </c>
      <c r="AE41" s="60">
        <v>0.16666666666666666</v>
      </c>
      <c r="AF41" s="17" t="s">
        <v>125</v>
      </c>
      <c r="AG41" s="17"/>
      <c r="AH41" s="59"/>
      <c r="AI41" s="17"/>
      <c r="AJ41" s="17"/>
      <c r="AK41" s="17"/>
      <c r="AL41" s="17"/>
      <c r="AM41" s="17"/>
      <c r="AN41" s="17"/>
      <c r="AO41" s="17"/>
      <c r="AP41" s="17"/>
      <c r="AQ41" s="31"/>
      <c r="AR41" s="17"/>
      <c r="AS41" s="17"/>
      <c r="AT41" s="17"/>
      <c r="AU41" s="77"/>
      <c r="AV41" s="78" t="s">
        <v>43</v>
      </c>
      <c r="AW41" s="78" t="s">
        <v>44</v>
      </c>
      <c r="AX41" s="78" t="s">
        <v>44</v>
      </c>
      <c r="AY41" s="78" t="s">
        <v>43</v>
      </c>
      <c r="AZ41" s="78" t="s">
        <v>44</v>
      </c>
      <c r="BA41" s="78" t="s">
        <v>44</v>
      </c>
      <c r="BB41" s="78" t="s">
        <v>43</v>
      </c>
      <c r="BC41" s="78" t="s">
        <v>43</v>
      </c>
      <c r="BD41" s="78" t="s">
        <v>44</v>
      </c>
      <c r="BE41" s="78" t="s">
        <v>43</v>
      </c>
      <c r="BF41" s="78" t="s">
        <v>44</v>
      </c>
      <c r="BG41" s="78" t="s">
        <v>43</v>
      </c>
      <c r="BH41" s="77"/>
      <c r="BI41" s="78"/>
      <c r="BJ41" s="137" t="s">
        <v>2436</v>
      </c>
      <c r="BK41" s="78"/>
      <c r="BL41" s="78"/>
      <c r="BM41" s="78"/>
      <c r="BN41" s="78"/>
      <c r="BO41" s="78"/>
      <c r="BP41" s="78"/>
      <c r="BQ41" s="78"/>
      <c r="BR41" s="78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7"/>
      <c r="CJ41" s="77"/>
      <c r="CK41" s="77"/>
      <c r="CL41" s="77"/>
      <c r="CM41" s="77"/>
      <c r="CN41" s="77"/>
      <c r="CO41" s="77"/>
      <c r="CP41" s="77"/>
      <c r="CQ41" s="77"/>
    </row>
    <row r="42" spans="1:95" ht="26.25" customHeight="1">
      <c r="A42" s="2" t="str">
        <f t="shared" si="1"/>
        <v>AG014 - LD-C/1</v>
      </c>
      <c r="B42" s="2" t="s">
        <v>2445</v>
      </c>
      <c r="C42" s="53" t="s">
        <v>28</v>
      </c>
      <c r="D42" s="53" t="s">
        <v>10</v>
      </c>
      <c r="E42" s="53" t="s">
        <v>49</v>
      </c>
      <c r="F42" s="53" t="s">
        <v>50</v>
      </c>
      <c r="G42" s="54">
        <v>1</v>
      </c>
      <c r="H42" s="54" t="str">
        <f t="shared" si="2"/>
        <v>Reduzido</v>
      </c>
      <c r="I42" s="55" t="s">
        <v>676</v>
      </c>
      <c r="J42" s="53"/>
      <c r="K42" s="2" t="e">
        <f>VLOOKUP(B42,#REF!,2,FALSE())</f>
        <v>#REF!</v>
      </c>
      <c r="L42" s="53" t="e">
        <f>VLOOKUP(B42,#REF!,7,FALSE())</f>
        <v>#REF!</v>
      </c>
      <c r="M42" s="56" t="s">
        <v>58</v>
      </c>
      <c r="N42" s="57" t="s">
        <v>7</v>
      </c>
      <c r="O42" s="54" t="s">
        <v>7</v>
      </c>
      <c r="P42" s="56" t="s">
        <v>60</v>
      </c>
      <c r="Q42" s="58" t="e">
        <f>VLOOKUP(B42,#REF!,10,FALSE())</f>
        <v>#REF!</v>
      </c>
      <c r="R42" s="27" t="s">
        <v>2446</v>
      </c>
      <c r="S42" s="138">
        <f t="shared" si="3"/>
        <v>0.72916666666666674</v>
      </c>
      <c r="T42" s="17" t="s">
        <v>1084</v>
      </c>
      <c r="U42" s="60">
        <v>0.14583333333333334</v>
      </c>
      <c r="V42" s="17" t="s">
        <v>1084</v>
      </c>
      <c r="W42" s="60">
        <v>0.14583333333333334</v>
      </c>
      <c r="X42" s="17" t="s">
        <v>1084</v>
      </c>
      <c r="Y42" s="60">
        <v>0.14583333333333334</v>
      </c>
      <c r="Z42" s="17" t="s">
        <v>1084</v>
      </c>
      <c r="AA42" s="60">
        <v>0.14583333333333334</v>
      </c>
      <c r="AB42" s="17" t="s">
        <v>1084</v>
      </c>
      <c r="AC42" s="60">
        <v>0.14583333333333334</v>
      </c>
      <c r="AD42" s="17"/>
      <c r="AE42" s="60"/>
      <c r="AF42" s="17" t="s">
        <v>37</v>
      </c>
      <c r="AG42" s="17"/>
      <c r="AH42" s="139"/>
      <c r="AI42" s="140"/>
      <c r="AJ42" s="140"/>
      <c r="AK42" s="140"/>
      <c r="AL42" s="140"/>
      <c r="AM42" s="140"/>
      <c r="AN42" s="140"/>
      <c r="AO42" s="140"/>
      <c r="AP42" s="140"/>
      <c r="AQ42" s="141"/>
      <c r="AR42" s="140"/>
      <c r="AS42" s="140"/>
      <c r="AT42" s="140"/>
      <c r="AU42" s="22"/>
      <c r="AV42" s="142"/>
      <c r="AW42" s="142"/>
      <c r="AX42" s="142"/>
      <c r="AY42" s="142"/>
      <c r="AZ42" s="142"/>
      <c r="BA42" s="142"/>
      <c r="BB42" s="142"/>
      <c r="BC42" s="142"/>
      <c r="BD42" s="143"/>
      <c r="BE42" s="142"/>
      <c r="BF42" s="142"/>
      <c r="BG42" s="142"/>
      <c r="BH42" s="22"/>
      <c r="BI42" s="19"/>
      <c r="BJ42" s="19"/>
      <c r="BK42" s="144" t="s">
        <v>2436</v>
      </c>
      <c r="BL42" s="142"/>
      <c r="BM42" s="142"/>
      <c r="BN42" s="142"/>
      <c r="BO42" s="19"/>
      <c r="BP42" s="19"/>
      <c r="BQ42" s="19"/>
      <c r="BR42" s="19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</row>
    <row r="43" spans="1:95" ht="26.25" customHeight="1">
      <c r="A43" s="2" t="str">
        <f t="shared" si="1"/>
        <v>AG062 - LD-B/1</v>
      </c>
      <c r="B43" s="2" t="s">
        <v>2364</v>
      </c>
      <c r="C43" s="53" t="s">
        <v>28</v>
      </c>
      <c r="D43" s="53" t="s">
        <v>10</v>
      </c>
      <c r="E43" s="53" t="s">
        <v>49</v>
      </c>
      <c r="F43" s="53" t="s">
        <v>30</v>
      </c>
      <c r="G43" s="54">
        <v>1</v>
      </c>
      <c r="H43" s="54" t="str">
        <f t="shared" si="2"/>
        <v>-</v>
      </c>
      <c r="I43" s="55"/>
      <c r="J43" s="53"/>
      <c r="K43" s="2" t="e">
        <f>VLOOKUP(B43,#REF!,2,FALSE())</f>
        <v>#REF!</v>
      </c>
      <c r="L43" s="53" t="e">
        <f>VLOOKUP(B43,#REF!,7,FALSE())</f>
        <v>#REF!</v>
      </c>
      <c r="M43" s="56" t="s">
        <v>21</v>
      </c>
      <c r="N43" s="57" t="s">
        <v>7</v>
      </c>
      <c r="O43" s="54" t="s">
        <v>7</v>
      </c>
      <c r="P43" s="56" t="s">
        <v>2367</v>
      </c>
      <c r="Q43" s="58" t="s">
        <v>2419</v>
      </c>
      <c r="R43" s="27" t="s">
        <v>1051</v>
      </c>
      <c r="S43" s="63">
        <v>1.8333333333333333</v>
      </c>
      <c r="T43" s="17" t="s">
        <v>1052</v>
      </c>
      <c r="U43" s="60">
        <v>0.30555555555555558</v>
      </c>
      <c r="V43" s="17" t="s">
        <v>125</v>
      </c>
      <c r="W43" s="60"/>
      <c r="X43" s="17" t="s">
        <v>1052</v>
      </c>
      <c r="Y43" s="60">
        <v>0.30555555555555558</v>
      </c>
      <c r="Z43" s="17" t="s">
        <v>1052</v>
      </c>
      <c r="AA43" s="60">
        <v>0.30555555555555558</v>
      </c>
      <c r="AB43" s="17" t="s">
        <v>1052</v>
      </c>
      <c r="AC43" s="60">
        <v>0.30555555555555558</v>
      </c>
      <c r="AD43" s="17" t="s">
        <v>1052</v>
      </c>
      <c r="AE43" s="60">
        <v>0.30555555555555558</v>
      </c>
      <c r="AF43" s="17" t="s">
        <v>1052</v>
      </c>
      <c r="AG43" s="60">
        <v>0.30555555555555558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63"/>
      <c r="AR43" s="17"/>
      <c r="AS43" s="17"/>
      <c r="AT43" s="17"/>
      <c r="AU43" s="22"/>
      <c r="AV43" s="19"/>
      <c r="AW43" s="19"/>
      <c r="AX43" s="19"/>
      <c r="AY43" s="19"/>
      <c r="AZ43" s="19"/>
      <c r="BA43" s="19"/>
      <c r="BB43" s="19"/>
      <c r="BC43" s="19"/>
      <c r="BD43" s="28"/>
      <c r="BE43" s="19"/>
      <c r="BF43" s="19"/>
      <c r="BG43" s="19"/>
      <c r="BH43" s="22"/>
      <c r="BI43" s="19"/>
      <c r="BJ43" s="19"/>
      <c r="BK43" s="144" t="s">
        <v>2436</v>
      </c>
      <c r="BL43" s="19"/>
      <c r="BM43" s="19"/>
      <c r="BN43" s="19"/>
      <c r="BO43" s="19"/>
      <c r="BP43" s="19"/>
      <c r="BQ43" s="19"/>
      <c r="BR43" s="19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</row>
    <row r="44" spans="1:95" ht="26.25" customHeight="1">
      <c r="A44" s="2" t="str">
        <f t="shared" si="1"/>
        <v>AG062 - LD-B/2</v>
      </c>
      <c r="B44" s="2" t="s">
        <v>2364</v>
      </c>
      <c r="C44" s="53" t="s">
        <v>28</v>
      </c>
      <c r="D44" s="53" t="s">
        <v>10</v>
      </c>
      <c r="E44" s="53" t="s">
        <v>49</v>
      </c>
      <c r="F44" s="53" t="s">
        <v>30</v>
      </c>
      <c r="G44" s="53">
        <v>2</v>
      </c>
      <c r="H44" s="54" t="str">
        <f t="shared" si="2"/>
        <v>-</v>
      </c>
      <c r="I44" s="55"/>
      <c r="J44" s="53"/>
      <c r="K44" s="2" t="e">
        <f>VLOOKUP(B44,#REF!,2,FALSE())</f>
        <v>#REF!</v>
      </c>
      <c r="L44" s="53" t="e">
        <f>VLOOKUP(B44,#REF!,7,FALSE())</f>
        <v>#REF!</v>
      </c>
      <c r="M44" s="56" t="s">
        <v>21</v>
      </c>
      <c r="N44" s="57" t="s">
        <v>7</v>
      </c>
      <c r="O44" s="54" t="s">
        <v>7</v>
      </c>
      <c r="P44" s="56" t="s">
        <v>2367</v>
      </c>
      <c r="Q44" s="58" t="s">
        <v>2419</v>
      </c>
      <c r="R44" s="27" t="s">
        <v>1051</v>
      </c>
      <c r="S44" s="63">
        <v>1.8333333333333333</v>
      </c>
      <c r="T44" s="17" t="s">
        <v>1052</v>
      </c>
      <c r="U44" s="60">
        <v>0.30555555555555558</v>
      </c>
      <c r="V44" s="17" t="s">
        <v>1052</v>
      </c>
      <c r="W44" s="60">
        <v>0.30555555555555558</v>
      </c>
      <c r="X44" s="17" t="s">
        <v>125</v>
      </c>
      <c r="Y44" s="60"/>
      <c r="Z44" s="17" t="s">
        <v>1052</v>
      </c>
      <c r="AA44" s="60">
        <v>0.30555555555555558</v>
      </c>
      <c r="AB44" s="17" t="s">
        <v>1052</v>
      </c>
      <c r="AC44" s="60">
        <v>0.30555555555555558</v>
      </c>
      <c r="AD44" s="17" t="s">
        <v>1052</v>
      </c>
      <c r="AE44" s="60">
        <v>0.30555555555555558</v>
      </c>
      <c r="AF44" s="17" t="s">
        <v>1052</v>
      </c>
      <c r="AG44" s="60">
        <v>0.30555555555555558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63"/>
      <c r="AR44" s="17"/>
      <c r="AS44" s="17"/>
      <c r="AT44" s="17"/>
      <c r="AU44" s="22"/>
      <c r="AV44" s="19" t="s">
        <v>44</v>
      </c>
      <c r="AW44" s="19" t="s">
        <v>43</v>
      </c>
      <c r="AX44" s="19" t="s">
        <v>43</v>
      </c>
      <c r="AY44" s="19" t="s">
        <v>44</v>
      </c>
      <c r="AZ44" s="19" t="s">
        <v>43</v>
      </c>
      <c r="BA44" s="19" t="s">
        <v>43</v>
      </c>
      <c r="BB44" s="19" t="s">
        <v>44</v>
      </c>
      <c r="BC44" s="19" t="s">
        <v>44</v>
      </c>
      <c r="BD44" s="28" t="s">
        <v>43</v>
      </c>
      <c r="BE44" s="19" t="s">
        <v>44</v>
      </c>
      <c r="BF44" s="19" t="s">
        <v>43</v>
      </c>
      <c r="BG44" s="19" t="s">
        <v>44</v>
      </c>
      <c r="BH44" s="22"/>
      <c r="BI44" s="19"/>
      <c r="BJ44" s="19"/>
      <c r="BK44" s="144" t="s">
        <v>2436</v>
      </c>
      <c r="BL44" s="19"/>
      <c r="BM44" s="19"/>
      <c r="BN44" s="19"/>
      <c r="BO44" s="19"/>
      <c r="BP44" s="19"/>
      <c r="BQ44" s="19"/>
      <c r="BR44" s="19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</row>
    <row r="45" spans="1:95" ht="26.25" customHeight="1">
      <c r="A45" s="2" t="str">
        <f t="shared" si="1"/>
        <v>AG062 - LD-B/3</v>
      </c>
      <c r="B45" s="2" t="s">
        <v>2364</v>
      </c>
      <c r="C45" s="53" t="s">
        <v>28</v>
      </c>
      <c r="D45" s="53" t="s">
        <v>10</v>
      </c>
      <c r="E45" s="53" t="s">
        <v>49</v>
      </c>
      <c r="F45" s="53" t="s">
        <v>30</v>
      </c>
      <c r="G45" s="53">
        <v>3</v>
      </c>
      <c r="H45" s="54" t="str">
        <f t="shared" si="2"/>
        <v>-</v>
      </c>
      <c r="I45" s="55"/>
      <c r="J45" s="53"/>
      <c r="K45" s="2" t="e">
        <f>VLOOKUP(B45,#REF!,2,FALSE())</f>
        <v>#REF!</v>
      </c>
      <c r="L45" s="53" t="e">
        <f>VLOOKUP(B45,#REF!,7,FALSE())</f>
        <v>#REF!</v>
      </c>
      <c r="M45" s="56" t="s">
        <v>21</v>
      </c>
      <c r="N45" s="57" t="s">
        <v>7</v>
      </c>
      <c r="O45" s="54" t="s">
        <v>7</v>
      </c>
      <c r="P45" s="56" t="s">
        <v>2367</v>
      </c>
      <c r="Q45" s="58" t="s">
        <v>2419</v>
      </c>
      <c r="R45" s="27" t="s">
        <v>1051</v>
      </c>
      <c r="S45" s="63">
        <v>1.8333333333333333</v>
      </c>
      <c r="T45" s="17" t="s">
        <v>1052</v>
      </c>
      <c r="U45" s="60">
        <v>0.30555555555555558</v>
      </c>
      <c r="V45" s="17" t="s">
        <v>1052</v>
      </c>
      <c r="W45" s="60">
        <v>0.30555555555555558</v>
      </c>
      <c r="X45" s="17" t="s">
        <v>1052</v>
      </c>
      <c r="Y45" s="60">
        <v>0.30555555555555558</v>
      </c>
      <c r="Z45" s="17" t="s">
        <v>125</v>
      </c>
      <c r="AA45" s="60" t="s">
        <v>49</v>
      </c>
      <c r="AB45" s="17" t="s">
        <v>1052</v>
      </c>
      <c r="AC45" s="60">
        <v>0.30555555555555558</v>
      </c>
      <c r="AD45" s="17" t="s">
        <v>1052</v>
      </c>
      <c r="AE45" s="60">
        <v>0.30555555555555558</v>
      </c>
      <c r="AF45" s="17" t="s">
        <v>1052</v>
      </c>
      <c r="AG45" s="60">
        <v>0.30555555555555558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63"/>
      <c r="AR45" s="17"/>
      <c r="AS45" s="17"/>
      <c r="AT45" s="17"/>
      <c r="AU45" s="22"/>
      <c r="AV45" s="19"/>
      <c r="AW45" s="19"/>
      <c r="AX45" s="19"/>
      <c r="AY45" s="19"/>
      <c r="AZ45" s="19"/>
      <c r="BA45" s="19"/>
      <c r="BB45" s="19"/>
      <c r="BC45" s="19"/>
      <c r="BD45" s="28"/>
      <c r="BE45" s="19"/>
      <c r="BF45" s="19"/>
      <c r="BG45" s="19"/>
      <c r="BH45" s="22"/>
      <c r="BI45" s="19"/>
      <c r="BJ45" s="19"/>
      <c r="BK45" s="144" t="s">
        <v>2436</v>
      </c>
      <c r="BL45" s="19"/>
      <c r="BM45" s="19"/>
      <c r="BN45" s="19"/>
      <c r="BO45" s="19"/>
      <c r="BP45" s="19"/>
      <c r="BQ45" s="19"/>
      <c r="BR45" s="19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</row>
    <row r="46" spans="1:95" ht="26.25" customHeight="1">
      <c r="A46" s="2" t="str">
        <f t="shared" si="1"/>
        <v>AG062 - LD-B/4</v>
      </c>
      <c r="B46" s="2" t="s">
        <v>2364</v>
      </c>
      <c r="C46" s="53" t="s">
        <v>28</v>
      </c>
      <c r="D46" s="53" t="s">
        <v>10</v>
      </c>
      <c r="E46" s="53" t="s">
        <v>49</v>
      </c>
      <c r="F46" s="53" t="s">
        <v>30</v>
      </c>
      <c r="G46" s="53">
        <v>4</v>
      </c>
      <c r="H46" s="54" t="str">
        <f t="shared" si="2"/>
        <v>-</v>
      </c>
      <c r="I46" s="55"/>
      <c r="J46" s="53"/>
      <c r="K46" s="2" t="e">
        <f>VLOOKUP(B46,#REF!,2,FALSE())</f>
        <v>#REF!</v>
      </c>
      <c r="L46" s="53" t="e">
        <f>VLOOKUP(B46,#REF!,7,FALSE())</f>
        <v>#REF!</v>
      </c>
      <c r="M46" s="56" t="s">
        <v>21</v>
      </c>
      <c r="N46" s="57" t="s">
        <v>7</v>
      </c>
      <c r="O46" s="54" t="s">
        <v>7</v>
      </c>
      <c r="P46" s="56" t="s">
        <v>2367</v>
      </c>
      <c r="Q46" s="58" t="s">
        <v>2419</v>
      </c>
      <c r="R46" s="27" t="s">
        <v>1051</v>
      </c>
      <c r="S46" s="63">
        <v>1.8333333333333333</v>
      </c>
      <c r="T46" s="17" t="s">
        <v>1052</v>
      </c>
      <c r="U46" s="60">
        <v>0.30555555555555558</v>
      </c>
      <c r="V46" s="17" t="s">
        <v>125</v>
      </c>
      <c r="W46" s="60"/>
      <c r="X46" s="17" t="s">
        <v>1052</v>
      </c>
      <c r="Y46" s="60">
        <v>0.30555555555555558</v>
      </c>
      <c r="Z46" s="17" t="s">
        <v>1052</v>
      </c>
      <c r="AA46" s="60">
        <v>0.30555555555555558</v>
      </c>
      <c r="AB46" s="17" t="s">
        <v>1052</v>
      </c>
      <c r="AC46" s="60">
        <v>0.30555555555555558</v>
      </c>
      <c r="AD46" s="17" t="s">
        <v>1052</v>
      </c>
      <c r="AE46" s="60">
        <v>0.30555555555555558</v>
      </c>
      <c r="AF46" s="17" t="s">
        <v>1052</v>
      </c>
      <c r="AG46" s="60">
        <v>0.30555555555555558</v>
      </c>
      <c r="AH46" s="17"/>
      <c r="AI46" s="17"/>
      <c r="AJ46" s="17"/>
      <c r="AK46" s="17"/>
      <c r="AL46" s="17"/>
      <c r="AM46" s="17"/>
      <c r="AN46" s="17"/>
      <c r="AO46" s="17"/>
      <c r="AP46" s="17"/>
      <c r="AQ46" s="63"/>
      <c r="AR46" s="17"/>
      <c r="AS46" s="17"/>
      <c r="AT46" s="17"/>
      <c r="AU46" s="22"/>
      <c r="AV46" s="19"/>
      <c r="AW46" s="19"/>
      <c r="AX46" s="19"/>
      <c r="AY46" s="19"/>
      <c r="AZ46" s="19"/>
      <c r="BA46" s="19"/>
      <c r="BB46" s="19"/>
      <c r="BC46" s="19"/>
      <c r="BD46" s="28"/>
      <c r="BE46" s="19"/>
      <c r="BF46" s="19"/>
      <c r="BG46" s="19"/>
      <c r="BH46" s="22"/>
      <c r="BI46" s="19"/>
      <c r="BJ46" s="19"/>
      <c r="BK46" s="144" t="s">
        <v>2436</v>
      </c>
      <c r="BL46" s="19"/>
      <c r="BM46" s="19"/>
      <c r="BN46" s="19"/>
      <c r="BO46" s="19"/>
      <c r="BP46" s="19"/>
      <c r="BQ46" s="19"/>
      <c r="BR46" s="19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</row>
    <row r="47" spans="1:95" ht="26.25" customHeight="1">
      <c r="A47" s="2" t="str">
        <f t="shared" si="1"/>
        <v>AG062 - LD-B/7</v>
      </c>
      <c r="B47" s="2" t="s">
        <v>2364</v>
      </c>
      <c r="C47" s="53" t="s">
        <v>28</v>
      </c>
      <c r="D47" s="53" t="s">
        <v>10</v>
      </c>
      <c r="E47" s="53" t="s">
        <v>49</v>
      </c>
      <c r="F47" s="53" t="s">
        <v>30</v>
      </c>
      <c r="G47" s="53">
        <v>7</v>
      </c>
      <c r="H47" s="54" t="str">
        <f t="shared" si="2"/>
        <v>-</v>
      </c>
      <c r="I47" s="55"/>
      <c r="J47" s="53"/>
      <c r="K47" s="2" t="e">
        <f>VLOOKUP(B47,#REF!,2,FALSE())</f>
        <v>#REF!</v>
      </c>
      <c r="L47" s="53" t="e">
        <f>VLOOKUP(B47,#REF!,7,FALSE())</f>
        <v>#REF!</v>
      </c>
      <c r="M47" s="56" t="s">
        <v>21</v>
      </c>
      <c r="N47" s="57" t="s">
        <v>7</v>
      </c>
      <c r="O47" s="54" t="s">
        <v>7</v>
      </c>
      <c r="P47" s="56" t="s">
        <v>2367</v>
      </c>
      <c r="Q47" s="58" t="s">
        <v>2419</v>
      </c>
      <c r="R47" s="27" t="s">
        <v>1051</v>
      </c>
      <c r="S47" s="63">
        <v>1.8333333333333333</v>
      </c>
      <c r="T47" s="17" t="s">
        <v>1052</v>
      </c>
      <c r="U47" s="60">
        <v>0.30555555555555558</v>
      </c>
      <c r="V47" s="17" t="s">
        <v>1052</v>
      </c>
      <c r="W47" s="60">
        <v>0.30555555555555558</v>
      </c>
      <c r="X47" s="17" t="s">
        <v>1052</v>
      </c>
      <c r="Y47" s="60">
        <v>0.30555555555555558</v>
      </c>
      <c r="Z47" s="17" t="s">
        <v>1052</v>
      </c>
      <c r="AA47" s="60">
        <v>0.30555555555555558</v>
      </c>
      <c r="AB47" s="17" t="s">
        <v>125</v>
      </c>
      <c r="AC47" s="60"/>
      <c r="AD47" s="17" t="s">
        <v>1052</v>
      </c>
      <c r="AE47" s="60">
        <v>0.30555555555555558</v>
      </c>
      <c r="AF47" s="17" t="s">
        <v>1052</v>
      </c>
      <c r="AG47" s="60">
        <v>0.30555555555555558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63"/>
      <c r="AR47" s="17"/>
      <c r="AS47" s="17"/>
      <c r="AT47" s="17"/>
      <c r="AU47" s="22"/>
      <c r="AV47" s="19"/>
      <c r="AW47" s="19"/>
      <c r="AX47" s="19"/>
      <c r="AY47" s="19"/>
      <c r="AZ47" s="19"/>
      <c r="BA47" s="19"/>
      <c r="BB47" s="19"/>
      <c r="BC47" s="19"/>
      <c r="BD47" s="28"/>
      <c r="BE47" s="19"/>
      <c r="BF47" s="19"/>
      <c r="BG47" s="19"/>
      <c r="BH47" s="22"/>
      <c r="BI47" s="19"/>
      <c r="BJ47" s="19"/>
      <c r="BK47" s="144" t="s">
        <v>2436</v>
      </c>
      <c r="BL47" s="19"/>
      <c r="BM47" s="19"/>
      <c r="BN47" s="19"/>
      <c r="BO47" s="19"/>
      <c r="BP47" s="19"/>
      <c r="BQ47" s="19"/>
      <c r="BR47" s="19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</row>
    <row r="48" spans="1:95" ht="26.25" customHeight="1">
      <c r="A48" s="2" t="str">
        <f t="shared" si="1"/>
        <v>AG062 - LD-B/8</v>
      </c>
      <c r="B48" s="2" t="s">
        <v>2364</v>
      </c>
      <c r="C48" s="53" t="s">
        <v>28</v>
      </c>
      <c r="D48" s="53" t="s">
        <v>10</v>
      </c>
      <c r="E48" s="53" t="s">
        <v>49</v>
      </c>
      <c r="F48" s="53" t="s">
        <v>30</v>
      </c>
      <c r="G48" s="53">
        <v>8</v>
      </c>
      <c r="H48" s="54" t="str">
        <f t="shared" si="2"/>
        <v>-</v>
      </c>
      <c r="I48" s="55"/>
      <c r="J48" s="53"/>
      <c r="K48" s="2" t="e">
        <f>VLOOKUP(B48,#REF!,2,FALSE())</f>
        <v>#REF!</v>
      </c>
      <c r="L48" s="53" t="e">
        <f>VLOOKUP(B48,#REF!,7,FALSE())</f>
        <v>#REF!</v>
      </c>
      <c r="M48" s="56" t="s">
        <v>21</v>
      </c>
      <c r="N48" s="57" t="s">
        <v>7</v>
      </c>
      <c r="O48" s="54" t="s">
        <v>7</v>
      </c>
      <c r="P48" s="56" t="s">
        <v>2367</v>
      </c>
      <c r="Q48" s="58" t="s">
        <v>2419</v>
      </c>
      <c r="R48" s="27" t="s">
        <v>1051</v>
      </c>
      <c r="S48" s="63">
        <v>1.8333333333333333</v>
      </c>
      <c r="T48" s="17" t="s">
        <v>1052</v>
      </c>
      <c r="U48" s="60">
        <v>0.30555555555555558</v>
      </c>
      <c r="V48" s="17" t="s">
        <v>1052</v>
      </c>
      <c r="W48" s="60">
        <v>0.30555555555555558</v>
      </c>
      <c r="X48" s="17" t="s">
        <v>1052</v>
      </c>
      <c r="Y48" s="60">
        <v>0.30555555555555558</v>
      </c>
      <c r="Z48" s="17" t="s">
        <v>1052</v>
      </c>
      <c r="AA48" s="60">
        <v>0.30555555555555558</v>
      </c>
      <c r="AB48" s="17" t="s">
        <v>125</v>
      </c>
      <c r="AC48" s="60"/>
      <c r="AD48" s="17" t="s">
        <v>1052</v>
      </c>
      <c r="AE48" s="60">
        <v>0.30555555555555558</v>
      </c>
      <c r="AF48" s="17" t="s">
        <v>1052</v>
      </c>
      <c r="AG48" s="60">
        <v>0.30555555555555558</v>
      </c>
      <c r="AH48" s="17"/>
      <c r="AI48" s="17"/>
      <c r="AJ48" s="17"/>
      <c r="AK48" s="17"/>
      <c r="AL48" s="17"/>
      <c r="AM48" s="17"/>
      <c r="AN48" s="17"/>
      <c r="AO48" s="17"/>
      <c r="AP48" s="17"/>
      <c r="AQ48" s="63"/>
      <c r="AR48" s="17"/>
      <c r="AS48" s="17"/>
      <c r="AT48" s="17"/>
      <c r="AU48" s="22"/>
      <c r="AV48" s="19"/>
      <c r="AW48" s="19"/>
      <c r="AX48" s="19"/>
      <c r="AY48" s="19"/>
      <c r="AZ48" s="19"/>
      <c r="BA48" s="19"/>
      <c r="BB48" s="19"/>
      <c r="BC48" s="19"/>
      <c r="BD48" s="28"/>
      <c r="BE48" s="19"/>
      <c r="BF48" s="19"/>
      <c r="BG48" s="19"/>
      <c r="BH48" s="22"/>
      <c r="BI48" s="19"/>
      <c r="BJ48" s="19"/>
      <c r="BK48" s="144" t="s">
        <v>2436</v>
      </c>
      <c r="BL48" s="19"/>
      <c r="BM48" s="19"/>
      <c r="BN48" s="19"/>
      <c r="BO48" s="19"/>
      <c r="BP48" s="19"/>
      <c r="BQ48" s="19"/>
      <c r="BR48" s="19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</row>
    <row r="49" spans="1:95" ht="26.25" customHeight="1">
      <c r="A49" s="2" t="str">
        <f t="shared" si="1"/>
        <v>AG011 - LD-B/1</v>
      </c>
      <c r="B49" s="2" t="s">
        <v>2451</v>
      </c>
      <c r="C49" s="53" t="s">
        <v>28</v>
      </c>
      <c r="D49" s="53" t="s">
        <v>10</v>
      </c>
      <c r="E49" s="53" t="s">
        <v>49</v>
      </c>
      <c r="F49" s="53" t="s">
        <v>30</v>
      </c>
      <c r="G49" s="54">
        <v>1</v>
      </c>
      <c r="H49" s="54" t="str">
        <f t="shared" si="2"/>
        <v>-</v>
      </c>
      <c r="I49" s="55"/>
      <c r="J49" s="53"/>
      <c r="K49" s="2" t="e">
        <f>VLOOKUP(B49,#REF!,2,FALSE())</f>
        <v>#REF!</v>
      </c>
      <c r="L49" s="53" t="e">
        <f>VLOOKUP(B49,#REF!,7,FALSE())</f>
        <v>#REF!</v>
      </c>
      <c r="M49" s="56" t="s">
        <v>21</v>
      </c>
      <c r="N49" s="57" t="s">
        <v>7</v>
      </c>
      <c r="O49" s="54" t="s">
        <v>7</v>
      </c>
      <c r="P49" s="56" t="s">
        <v>1049</v>
      </c>
      <c r="Q49" s="58" t="e">
        <f>VLOOKUP(B49,#REF!,10,FALSE())</f>
        <v>#REF!</v>
      </c>
      <c r="R49" s="27" t="s">
        <v>1051</v>
      </c>
      <c r="S49" s="63">
        <v>1.8333333333333333</v>
      </c>
      <c r="T49" s="17" t="s">
        <v>1052</v>
      </c>
      <c r="U49" s="60">
        <v>0.30555555555555558</v>
      </c>
      <c r="V49" s="17" t="s">
        <v>1052</v>
      </c>
      <c r="W49" s="60">
        <v>0.30555555555555558</v>
      </c>
      <c r="X49" s="17" t="s">
        <v>1052</v>
      </c>
      <c r="Y49" s="60">
        <v>0.30555555555555558</v>
      </c>
      <c r="Z49" s="17" t="s">
        <v>1052</v>
      </c>
      <c r="AA49" s="60">
        <v>0.30555555555555558</v>
      </c>
      <c r="AB49" s="17" t="s">
        <v>1052</v>
      </c>
      <c r="AC49" s="60">
        <v>0.30555555555555558</v>
      </c>
      <c r="AD49" s="17"/>
      <c r="AE49" s="60"/>
      <c r="AF49" s="17" t="s">
        <v>1052</v>
      </c>
      <c r="AG49" s="60">
        <v>0.30555555555555558</v>
      </c>
      <c r="AH49" s="17"/>
      <c r="AI49" s="17"/>
      <c r="AJ49" s="17"/>
      <c r="AK49" s="17"/>
      <c r="AL49" s="17"/>
      <c r="AM49" s="17"/>
      <c r="AN49" s="17"/>
      <c r="AO49" s="17"/>
      <c r="AP49" s="17"/>
      <c r="AQ49" s="63"/>
      <c r="AR49" s="17"/>
      <c r="AS49" s="17"/>
      <c r="AT49" s="17"/>
      <c r="AU49" s="22"/>
      <c r="AV49" s="19"/>
      <c r="AW49" s="19"/>
      <c r="AX49" s="19"/>
      <c r="AY49" s="19"/>
      <c r="AZ49" s="19"/>
      <c r="BA49" s="19"/>
      <c r="BB49" s="19"/>
      <c r="BC49" s="19"/>
      <c r="BD49" s="28"/>
      <c r="BE49" s="19"/>
      <c r="BF49" s="19"/>
      <c r="BG49" s="19"/>
      <c r="BH49" s="22"/>
      <c r="BI49" s="19"/>
      <c r="BJ49" s="19"/>
      <c r="BK49" s="144" t="s">
        <v>2436</v>
      </c>
      <c r="BL49" s="19"/>
      <c r="BM49" s="19"/>
      <c r="BN49" s="19"/>
      <c r="BO49" s="19"/>
      <c r="BP49" s="19"/>
      <c r="BQ49" s="19"/>
      <c r="BR49" s="19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</row>
    <row r="50" spans="1:95" ht="26.25" customHeight="1">
      <c r="A50" s="2" t="str">
        <f t="shared" si="1"/>
        <v>AG011 - LD-B/2</v>
      </c>
      <c r="B50" s="2" t="s">
        <v>2451</v>
      </c>
      <c r="C50" s="53" t="s">
        <v>28</v>
      </c>
      <c r="D50" s="53" t="s">
        <v>10</v>
      </c>
      <c r="E50" s="53" t="s">
        <v>49</v>
      </c>
      <c r="F50" s="53" t="s">
        <v>30</v>
      </c>
      <c r="G50" s="53">
        <v>2</v>
      </c>
      <c r="H50" s="54" t="str">
        <f t="shared" si="2"/>
        <v>-</v>
      </c>
      <c r="I50" s="55"/>
      <c r="J50" s="53"/>
      <c r="K50" s="2" t="e">
        <f>VLOOKUP(B50,#REF!,2,FALSE())</f>
        <v>#REF!</v>
      </c>
      <c r="L50" s="53" t="e">
        <f>VLOOKUP(B50,#REF!,7,FALSE())</f>
        <v>#REF!</v>
      </c>
      <c r="M50" s="56" t="s">
        <v>21</v>
      </c>
      <c r="N50" s="57" t="s">
        <v>7</v>
      </c>
      <c r="O50" s="54" t="s">
        <v>7</v>
      </c>
      <c r="P50" s="56" t="s">
        <v>1049</v>
      </c>
      <c r="Q50" s="58" t="e">
        <f>VLOOKUP(B50,#REF!,10,FALSE())</f>
        <v>#REF!</v>
      </c>
      <c r="R50" s="27" t="s">
        <v>1051</v>
      </c>
      <c r="S50" s="63">
        <v>1.8333333333333333</v>
      </c>
      <c r="T50" s="17" t="s">
        <v>1052</v>
      </c>
      <c r="U50" s="60">
        <v>0.30555555555555558</v>
      </c>
      <c r="V50" s="17" t="s">
        <v>1052</v>
      </c>
      <c r="W50" s="60">
        <v>0.30555555555555558</v>
      </c>
      <c r="X50" s="17" t="s">
        <v>1052</v>
      </c>
      <c r="Y50" s="60">
        <v>0.30555555555555558</v>
      </c>
      <c r="Z50" s="17" t="s">
        <v>1052</v>
      </c>
      <c r="AA50" s="60">
        <v>0.30555555555555558</v>
      </c>
      <c r="AB50" s="17" t="s">
        <v>1052</v>
      </c>
      <c r="AC50" s="60">
        <v>0.30555555555555558</v>
      </c>
      <c r="AD50" s="17" t="s">
        <v>1052</v>
      </c>
      <c r="AE50" s="60">
        <v>0.30555555555555558</v>
      </c>
      <c r="AF50" s="17"/>
      <c r="AG50" s="60"/>
      <c r="AH50" s="17"/>
      <c r="AI50" s="17"/>
      <c r="AJ50" s="17"/>
      <c r="AK50" s="17"/>
      <c r="AL50" s="17"/>
      <c r="AM50" s="17"/>
      <c r="AN50" s="17"/>
      <c r="AO50" s="17"/>
      <c r="AP50" s="17"/>
      <c r="AQ50" s="63"/>
      <c r="AR50" s="17"/>
      <c r="AS50" s="17"/>
      <c r="AT50" s="17"/>
      <c r="AU50" s="22"/>
      <c r="AV50" s="19"/>
      <c r="AW50" s="19"/>
      <c r="AX50" s="19"/>
      <c r="AY50" s="19"/>
      <c r="AZ50" s="19"/>
      <c r="BA50" s="19"/>
      <c r="BB50" s="19"/>
      <c r="BC50" s="19"/>
      <c r="BD50" s="28"/>
      <c r="BE50" s="19"/>
      <c r="BF50" s="19"/>
      <c r="BG50" s="19"/>
      <c r="BH50" s="22"/>
      <c r="BI50" s="19"/>
      <c r="BJ50" s="19"/>
      <c r="BK50" s="144" t="s">
        <v>2436</v>
      </c>
      <c r="BL50" s="19"/>
      <c r="BM50" s="19"/>
      <c r="BN50" s="19"/>
      <c r="BO50" s="19"/>
      <c r="BP50" s="19"/>
      <c r="BQ50" s="19"/>
      <c r="BR50" s="19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</row>
    <row r="51" spans="1:95" ht="26.25" customHeight="1">
      <c r="A51" s="2" t="str">
        <f t="shared" si="1"/>
        <v>AG011 - LD-B/3</v>
      </c>
      <c r="B51" s="2" t="s">
        <v>2451</v>
      </c>
      <c r="C51" s="53" t="s">
        <v>28</v>
      </c>
      <c r="D51" s="53" t="s">
        <v>10</v>
      </c>
      <c r="E51" s="53" t="s">
        <v>49</v>
      </c>
      <c r="F51" s="53" t="s">
        <v>30</v>
      </c>
      <c r="G51" s="53">
        <v>3</v>
      </c>
      <c r="H51" s="54" t="str">
        <f t="shared" si="2"/>
        <v>-</v>
      </c>
      <c r="I51" s="55"/>
      <c r="J51" s="53"/>
      <c r="K51" s="2" t="e">
        <f>VLOOKUP(B51,#REF!,2,FALSE())</f>
        <v>#REF!</v>
      </c>
      <c r="L51" s="53" t="e">
        <f>VLOOKUP(B51,#REF!,7,FALSE())</f>
        <v>#REF!</v>
      </c>
      <c r="M51" s="56" t="s">
        <v>21</v>
      </c>
      <c r="N51" s="57" t="s">
        <v>7</v>
      </c>
      <c r="O51" s="54" t="s">
        <v>7</v>
      </c>
      <c r="P51" s="56" t="s">
        <v>1049</v>
      </c>
      <c r="Q51" s="58" t="e">
        <f>VLOOKUP(B51,#REF!,10,FALSE())</f>
        <v>#REF!</v>
      </c>
      <c r="R51" s="27" t="s">
        <v>1051</v>
      </c>
      <c r="S51" s="63">
        <v>1.8333333333333333</v>
      </c>
      <c r="T51" s="17" t="s">
        <v>1052</v>
      </c>
      <c r="U51" s="60">
        <v>0.30555555555555558</v>
      </c>
      <c r="V51" s="17" t="s">
        <v>1052</v>
      </c>
      <c r="W51" s="60">
        <v>0.30555555555555558</v>
      </c>
      <c r="X51" s="17" t="s">
        <v>1052</v>
      </c>
      <c r="Y51" s="60">
        <v>0.30555555555555558</v>
      </c>
      <c r="Z51" s="17" t="s">
        <v>1052</v>
      </c>
      <c r="AA51" s="60">
        <v>0.30555555555555558</v>
      </c>
      <c r="AB51" s="17" t="s">
        <v>1052</v>
      </c>
      <c r="AC51" s="60">
        <v>0.30555555555555558</v>
      </c>
      <c r="AD51" s="17" t="s">
        <v>1052</v>
      </c>
      <c r="AE51" s="60">
        <v>0.30555555555555558</v>
      </c>
      <c r="AF51" s="17"/>
      <c r="AG51" s="60"/>
      <c r="AH51" s="17"/>
      <c r="AI51" s="17"/>
      <c r="AJ51" s="17"/>
      <c r="AK51" s="17"/>
      <c r="AL51" s="17"/>
      <c r="AM51" s="17"/>
      <c r="AN51" s="17"/>
      <c r="AO51" s="17"/>
      <c r="AP51" s="17"/>
      <c r="AQ51" s="63"/>
      <c r="AR51" s="17"/>
      <c r="AS51" s="17"/>
      <c r="AT51" s="17"/>
      <c r="AU51" s="40"/>
      <c r="AV51" s="17"/>
      <c r="AW51" s="17"/>
      <c r="AX51" s="17"/>
      <c r="AY51" s="17"/>
      <c r="AZ51" s="17"/>
      <c r="BA51" s="17"/>
      <c r="BB51" s="17"/>
      <c r="BC51" s="17"/>
      <c r="BD51" s="31"/>
      <c r="BE51" s="17"/>
      <c r="BF51" s="17"/>
      <c r="BG51" s="17"/>
      <c r="BH51" s="40"/>
      <c r="BI51" s="17"/>
      <c r="BJ51" s="17"/>
      <c r="BK51" s="144" t="s">
        <v>2436</v>
      </c>
      <c r="BL51" s="17"/>
      <c r="BM51" s="17"/>
      <c r="BN51" s="17"/>
      <c r="BO51" s="17"/>
      <c r="BP51" s="17"/>
      <c r="BQ51" s="17"/>
      <c r="BR51" s="17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</row>
    <row r="52" spans="1:95" ht="26.25" customHeight="1">
      <c r="A52" s="2" t="str">
        <f t="shared" si="1"/>
        <v>AG011 - LD-B/4</v>
      </c>
      <c r="B52" s="2" t="s">
        <v>2451</v>
      </c>
      <c r="C52" s="53" t="s">
        <v>28</v>
      </c>
      <c r="D52" s="53" t="s">
        <v>10</v>
      </c>
      <c r="E52" s="53" t="s">
        <v>49</v>
      </c>
      <c r="F52" s="53" t="s">
        <v>30</v>
      </c>
      <c r="G52" s="53">
        <v>4</v>
      </c>
      <c r="H52" s="54" t="str">
        <f t="shared" si="2"/>
        <v>-</v>
      </c>
      <c r="I52" s="55"/>
      <c r="J52" s="53"/>
      <c r="K52" s="2" t="e">
        <f>VLOOKUP(B52,#REF!,2,FALSE())</f>
        <v>#REF!</v>
      </c>
      <c r="L52" s="53" t="e">
        <f>VLOOKUP(B52,#REF!,7,FALSE())</f>
        <v>#REF!</v>
      </c>
      <c r="M52" s="56" t="s">
        <v>21</v>
      </c>
      <c r="N52" s="57" t="s">
        <v>7</v>
      </c>
      <c r="O52" s="54" t="s">
        <v>7</v>
      </c>
      <c r="P52" s="56" t="s">
        <v>1049</v>
      </c>
      <c r="Q52" s="58" t="e">
        <f>VLOOKUP(B52,#REF!,10,FALSE())</f>
        <v>#REF!</v>
      </c>
      <c r="R52" s="27" t="s">
        <v>1051</v>
      </c>
      <c r="S52" s="63">
        <v>1.8333333333333333</v>
      </c>
      <c r="T52" s="17" t="s">
        <v>1052</v>
      </c>
      <c r="U52" s="60">
        <v>0.30555555555555558</v>
      </c>
      <c r="V52" s="17" t="s">
        <v>1052</v>
      </c>
      <c r="W52" s="60">
        <v>0.30555555555555558</v>
      </c>
      <c r="X52" s="17" t="s">
        <v>1052</v>
      </c>
      <c r="Y52" s="60">
        <v>0.30555555555555558</v>
      </c>
      <c r="Z52" s="17" t="s">
        <v>1052</v>
      </c>
      <c r="AA52" s="60">
        <v>0.30555555555555558</v>
      </c>
      <c r="AB52" s="17" t="s">
        <v>1052</v>
      </c>
      <c r="AC52" s="60">
        <v>0.30555555555555558</v>
      </c>
      <c r="AD52" s="17"/>
      <c r="AE52" s="60"/>
      <c r="AF52" s="17" t="s">
        <v>1052</v>
      </c>
      <c r="AG52" s="60">
        <v>0.30555555555555558</v>
      </c>
      <c r="AH52" s="17"/>
      <c r="AI52" s="17"/>
      <c r="AJ52" s="17"/>
      <c r="AK52" s="17"/>
      <c r="AL52" s="17"/>
      <c r="AM52" s="17"/>
      <c r="AN52" s="17"/>
      <c r="AO52" s="17"/>
      <c r="AP52" s="17"/>
      <c r="AQ52" s="63"/>
      <c r="AR52" s="17"/>
      <c r="AS52" s="17"/>
      <c r="AT52" s="17"/>
      <c r="AU52" s="22"/>
      <c r="AV52" s="19"/>
      <c r="AW52" s="19"/>
      <c r="AX52" s="19"/>
      <c r="AY52" s="19"/>
      <c r="AZ52" s="19"/>
      <c r="BA52" s="19"/>
      <c r="BB52" s="19"/>
      <c r="BC52" s="19"/>
      <c r="BD52" s="28"/>
      <c r="BE52" s="19"/>
      <c r="BF52" s="19"/>
      <c r="BG52" s="19"/>
      <c r="BH52" s="22"/>
      <c r="BI52" s="19"/>
      <c r="BJ52" s="19"/>
      <c r="BK52" s="144" t="s">
        <v>2436</v>
      </c>
      <c r="BL52" s="19"/>
      <c r="BM52" s="19"/>
      <c r="BN52" s="19"/>
      <c r="BO52" s="19"/>
      <c r="BP52" s="19"/>
      <c r="BQ52" s="19"/>
      <c r="BR52" s="19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</row>
    <row r="53" spans="1:95" ht="26.25" customHeight="1">
      <c r="A53" s="2" t="str">
        <f t="shared" si="1"/>
        <v>AG005 - LD-B/U</v>
      </c>
      <c r="B53" s="2" t="s">
        <v>119</v>
      </c>
      <c r="C53" s="53" t="s">
        <v>28</v>
      </c>
      <c r="D53" s="53" t="s">
        <v>10</v>
      </c>
      <c r="E53" s="53" t="s">
        <v>49</v>
      </c>
      <c r="F53" s="53" t="s">
        <v>30</v>
      </c>
      <c r="G53" s="53" t="s">
        <v>13</v>
      </c>
      <c r="H53" s="54" t="str">
        <f t="shared" si="2"/>
        <v>-</v>
      </c>
      <c r="I53" s="55"/>
      <c r="J53" s="53"/>
      <c r="K53" s="2" t="e">
        <f>VLOOKUP(B53,#REF!,2,FALSE())</f>
        <v>#REF!</v>
      </c>
      <c r="L53" s="53" t="e">
        <f>VLOOKUP(B53,#REF!,7,FALSE())</f>
        <v>#REF!</v>
      </c>
      <c r="M53" s="56" t="s">
        <v>21</v>
      </c>
      <c r="N53" s="57" t="s">
        <v>693</v>
      </c>
      <c r="O53" s="54" t="s">
        <v>7</v>
      </c>
      <c r="P53" s="56" t="s">
        <v>60</v>
      </c>
      <c r="Q53" s="58" t="e">
        <f>VLOOKUP(B53,#REF!,10,FALSE())</f>
        <v>#REF!</v>
      </c>
      <c r="R53" s="27" t="s">
        <v>123</v>
      </c>
      <c r="S53" s="59">
        <f>U53+W53+Y53+AA53+AC53+AE53+AG53+AH53</f>
        <v>1.8333333333333333</v>
      </c>
      <c r="T53" s="17" t="s">
        <v>124</v>
      </c>
      <c r="U53" s="60">
        <v>0.33333333333333331</v>
      </c>
      <c r="V53" s="17" t="s">
        <v>124</v>
      </c>
      <c r="W53" s="60">
        <v>0.33333333333333331</v>
      </c>
      <c r="X53" s="17" t="s">
        <v>124</v>
      </c>
      <c r="Y53" s="60">
        <v>0.33333333333333331</v>
      </c>
      <c r="Z53" s="17" t="s">
        <v>124</v>
      </c>
      <c r="AA53" s="60">
        <v>0.33333333333333331</v>
      </c>
      <c r="AB53" s="17" t="s">
        <v>124</v>
      </c>
      <c r="AC53" s="60">
        <v>0.33333333333333331</v>
      </c>
      <c r="AD53" s="17" t="s">
        <v>65</v>
      </c>
      <c r="AE53" s="60">
        <v>0.16666666666666666</v>
      </c>
      <c r="AF53" s="17" t="s">
        <v>125</v>
      </c>
      <c r="AG53" s="60"/>
      <c r="AH53" s="17"/>
      <c r="AI53" s="17"/>
      <c r="AJ53" s="17"/>
      <c r="AK53" s="17"/>
      <c r="AL53" s="17"/>
      <c r="AM53" s="17"/>
      <c r="AN53" s="17"/>
      <c r="AO53" s="17"/>
      <c r="AP53" s="17"/>
      <c r="AQ53" s="30"/>
      <c r="AR53" s="30"/>
      <c r="AS53" s="30"/>
      <c r="AT53" s="30"/>
      <c r="AU53" s="22"/>
      <c r="AV53" s="19"/>
      <c r="AW53" s="19"/>
      <c r="AX53" s="19"/>
      <c r="AY53" s="19"/>
      <c r="AZ53" s="19"/>
      <c r="BA53" s="19"/>
      <c r="BB53" s="19"/>
      <c r="BC53" s="19"/>
      <c r="BD53" s="21"/>
      <c r="BE53" s="19"/>
      <c r="BF53" s="19"/>
      <c r="BG53" s="19"/>
      <c r="BH53" s="22"/>
      <c r="BI53" s="19"/>
      <c r="BJ53" s="19"/>
      <c r="BK53" s="144" t="s">
        <v>2436</v>
      </c>
      <c r="BL53" s="19"/>
      <c r="BM53" s="19"/>
      <c r="BN53" s="19"/>
      <c r="BO53" s="19"/>
      <c r="BP53" s="19"/>
      <c r="BQ53" s="19"/>
      <c r="BR53" s="19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</row>
    <row r="54" spans="1:95" ht="26.25" customHeight="1">
      <c r="A54" s="2" t="str">
        <f t="shared" si="1"/>
        <v>AG023 - PD-A/2</v>
      </c>
      <c r="B54" s="2" t="s">
        <v>2432</v>
      </c>
      <c r="C54" s="53" t="s">
        <v>9</v>
      </c>
      <c r="D54" s="53" t="s">
        <v>10</v>
      </c>
      <c r="E54" s="53" t="s">
        <v>49</v>
      </c>
      <c r="F54" s="53" t="s">
        <v>11</v>
      </c>
      <c r="G54" s="53">
        <v>2</v>
      </c>
      <c r="H54" s="54" t="str">
        <f t="shared" si="2"/>
        <v>-</v>
      </c>
      <c r="I54" s="55"/>
      <c r="J54" s="53"/>
      <c r="K54" s="2" t="e">
        <f>VLOOKUP(B54,#REF!,2,FALSE())</f>
        <v>#REF!</v>
      </c>
      <c r="L54" s="53" t="e">
        <f>VLOOKUP(B54,#REF!,7,FALSE())</f>
        <v>#REF!</v>
      </c>
      <c r="M54" s="56" t="s">
        <v>21</v>
      </c>
      <c r="N54" s="57" t="s">
        <v>7</v>
      </c>
      <c r="O54" s="54" t="s">
        <v>7</v>
      </c>
      <c r="P54" s="56" t="s">
        <v>22</v>
      </c>
      <c r="Q54" s="58" t="e">
        <f>VLOOKUP(B54,#REF!,10,FALSE())</f>
        <v>#REF!</v>
      </c>
      <c r="R54" s="27" t="s">
        <v>1392</v>
      </c>
      <c r="S54" s="59">
        <v>1.8333333333333333</v>
      </c>
      <c r="T54" s="17"/>
      <c r="U54" s="60"/>
      <c r="V54" s="17" t="s">
        <v>1211</v>
      </c>
      <c r="W54" s="60">
        <v>0.5</v>
      </c>
      <c r="X54" s="17"/>
      <c r="Y54" s="60"/>
      <c r="Z54" s="17" t="s">
        <v>1211</v>
      </c>
      <c r="AA54" s="60">
        <v>0.5</v>
      </c>
      <c r="AB54" s="17"/>
      <c r="AC54" s="60"/>
      <c r="AD54" s="17" t="s">
        <v>1211</v>
      </c>
      <c r="AE54" s="60">
        <v>0.5</v>
      </c>
      <c r="AF54" s="17"/>
      <c r="AG54" s="60"/>
      <c r="AH54" s="17"/>
      <c r="AI54" s="17" t="s">
        <v>44</v>
      </c>
      <c r="AJ54" s="17" t="s">
        <v>43</v>
      </c>
      <c r="AK54" s="17" t="s">
        <v>43</v>
      </c>
      <c r="AL54" s="17" t="s">
        <v>44</v>
      </c>
      <c r="AM54" s="17" t="s">
        <v>43</v>
      </c>
      <c r="AN54" s="17" t="s">
        <v>43</v>
      </c>
      <c r="AO54" s="17" t="s">
        <v>44</v>
      </c>
      <c r="AP54" s="17" t="s">
        <v>44</v>
      </c>
      <c r="AQ54" s="63" t="s">
        <v>43</v>
      </c>
      <c r="AR54" s="17" t="s">
        <v>44</v>
      </c>
      <c r="AS54" s="17" t="s">
        <v>43</v>
      </c>
      <c r="AT54" s="17" t="s">
        <v>44</v>
      </c>
      <c r="AU54" s="40"/>
      <c r="AV54" s="17"/>
      <c r="AW54" s="17"/>
      <c r="AX54" s="17"/>
      <c r="AY54" s="17"/>
      <c r="AZ54" s="17"/>
      <c r="BA54" s="17"/>
      <c r="BB54" s="17"/>
      <c r="BC54" s="17"/>
      <c r="BD54" s="31"/>
      <c r="BE54" s="17"/>
      <c r="BF54" s="17"/>
      <c r="BG54" s="17"/>
      <c r="BH54" s="40"/>
      <c r="BI54" s="17"/>
      <c r="BJ54" s="17"/>
      <c r="BK54" s="144" t="s">
        <v>2436</v>
      </c>
      <c r="BL54" s="17"/>
      <c r="BM54" s="17"/>
      <c r="BN54" s="17"/>
      <c r="BO54" s="17"/>
      <c r="BP54" s="17"/>
      <c r="BQ54" s="17"/>
      <c r="BR54" s="17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</row>
    <row r="55" spans="1:95" ht="26.25" customHeight="1">
      <c r="A55" s="2" t="str">
        <f t="shared" si="1"/>
        <v>AG023 - LD-B/1</v>
      </c>
      <c r="B55" s="2" t="s">
        <v>2432</v>
      </c>
      <c r="C55" s="53" t="s">
        <v>28</v>
      </c>
      <c r="D55" s="53" t="s">
        <v>10</v>
      </c>
      <c r="E55" s="53" t="s">
        <v>49</v>
      </c>
      <c r="F55" s="53" t="s">
        <v>30</v>
      </c>
      <c r="G55" s="53">
        <v>1</v>
      </c>
      <c r="H55" s="54" t="str">
        <f t="shared" si="2"/>
        <v>-</v>
      </c>
      <c r="I55" s="55"/>
      <c r="J55" s="53"/>
      <c r="K55" s="2" t="e">
        <f>VLOOKUP(B55,#REF!,2,FALSE())</f>
        <v>#REF!</v>
      </c>
      <c r="L55" s="53" t="e">
        <f>VLOOKUP(B55,#REF!,7,FALSE())</f>
        <v>#REF!</v>
      </c>
      <c r="M55" s="56" t="s">
        <v>21</v>
      </c>
      <c r="N55" s="57" t="s">
        <v>7</v>
      </c>
      <c r="O55" s="54" t="s">
        <v>7</v>
      </c>
      <c r="P55" s="56" t="s">
        <v>60</v>
      </c>
      <c r="Q55" s="58" t="e">
        <f>VLOOKUP(B55,#REF!,10,FALSE())</f>
        <v>#REF!</v>
      </c>
      <c r="R55" s="27" t="s">
        <v>1468</v>
      </c>
      <c r="S55" s="59">
        <v>1.8333333333333333</v>
      </c>
      <c r="T55" s="17" t="s">
        <v>124</v>
      </c>
      <c r="U55" s="60">
        <v>0.33333333333333331</v>
      </c>
      <c r="V55" s="17" t="s">
        <v>124</v>
      </c>
      <c r="W55" s="60">
        <v>0.33333333333333331</v>
      </c>
      <c r="X55" s="17" t="s">
        <v>124</v>
      </c>
      <c r="Y55" s="60">
        <v>0.33333333333333331</v>
      </c>
      <c r="Z55" s="17" t="s">
        <v>124</v>
      </c>
      <c r="AA55" s="60">
        <v>0.33333333333333331</v>
      </c>
      <c r="AB55" s="17" t="s">
        <v>124</v>
      </c>
      <c r="AC55" s="60">
        <v>0.33333333333333331</v>
      </c>
      <c r="AD55" s="17" t="s">
        <v>64</v>
      </c>
      <c r="AE55" s="60">
        <v>0.16666666666666666</v>
      </c>
      <c r="AF55" s="17" t="s">
        <v>125</v>
      </c>
      <c r="AG55" s="60"/>
      <c r="AH55" s="17"/>
      <c r="AI55" s="17"/>
      <c r="AJ55" s="17"/>
      <c r="AK55" s="17"/>
      <c r="AL55" s="17"/>
      <c r="AM55" s="17"/>
      <c r="AN55" s="17"/>
      <c r="AO55" s="17"/>
      <c r="AP55" s="17"/>
      <c r="AQ55" s="63"/>
      <c r="AR55" s="17"/>
      <c r="AS55" s="17"/>
      <c r="AT55" s="17"/>
      <c r="AU55" s="22"/>
      <c r="AV55" s="19"/>
      <c r="AW55" s="19"/>
      <c r="AX55" s="19"/>
      <c r="AY55" s="19"/>
      <c r="AZ55" s="19"/>
      <c r="BA55" s="19"/>
      <c r="BB55" s="19"/>
      <c r="BC55" s="19"/>
      <c r="BD55" s="28"/>
      <c r="BE55" s="19"/>
      <c r="BF55" s="19"/>
      <c r="BG55" s="19"/>
      <c r="BH55" s="22"/>
      <c r="BI55" s="19"/>
      <c r="BJ55" s="19"/>
      <c r="BK55" s="144" t="s">
        <v>2436</v>
      </c>
      <c r="BL55" s="19"/>
      <c r="BM55" s="19"/>
      <c r="BN55" s="19"/>
      <c r="BO55" s="19"/>
      <c r="BP55" s="19"/>
      <c r="BQ55" s="19"/>
      <c r="BR55" s="19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</row>
    <row r="56" spans="1:95" ht="26.25" customHeight="1">
      <c r="A56" s="2" t="str">
        <f t="shared" si="1"/>
        <v>AG023 - LD-B/2</v>
      </c>
      <c r="B56" s="2" t="s">
        <v>2432</v>
      </c>
      <c r="C56" s="53" t="s">
        <v>28</v>
      </c>
      <c r="D56" s="53" t="s">
        <v>10</v>
      </c>
      <c r="E56" s="53" t="s">
        <v>49</v>
      </c>
      <c r="F56" s="53" t="s">
        <v>30</v>
      </c>
      <c r="G56" s="53">
        <v>2</v>
      </c>
      <c r="H56" s="54" t="str">
        <f t="shared" si="2"/>
        <v>-</v>
      </c>
      <c r="I56" s="55"/>
      <c r="J56" s="53"/>
      <c r="K56" s="2" t="e">
        <f>VLOOKUP(B56,#REF!,2,FALSE())</f>
        <v>#REF!</v>
      </c>
      <c r="L56" s="53" t="e">
        <f>VLOOKUP(B56,#REF!,7,FALSE())</f>
        <v>#REF!</v>
      </c>
      <c r="M56" s="56" t="s">
        <v>21</v>
      </c>
      <c r="N56" s="57" t="s">
        <v>7</v>
      </c>
      <c r="O56" s="54" t="s">
        <v>7</v>
      </c>
      <c r="P56" s="56" t="s">
        <v>60</v>
      </c>
      <c r="Q56" s="58" t="e">
        <f>VLOOKUP(B56,#REF!,10,FALSE())</f>
        <v>#REF!</v>
      </c>
      <c r="R56" s="27" t="s">
        <v>1468</v>
      </c>
      <c r="S56" s="59">
        <v>1.8333333333333333</v>
      </c>
      <c r="T56" s="61" t="s">
        <v>124</v>
      </c>
      <c r="U56" s="62">
        <v>0.33333333333333331</v>
      </c>
      <c r="V56" s="61" t="s">
        <v>124</v>
      </c>
      <c r="W56" s="62">
        <v>0.33333333333333331</v>
      </c>
      <c r="X56" s="61" t="s">
        <v>124</v>
      </c>
      <c r="Y56" s="62">
        <v>0.33333333333333331</v>
      </c>
      <c r="Z56" s="61" t="s">
        <v>124</v>
      </c>
      <c r="AA56" s="62">
        <v>0.33333333333333331</v>
      </c>
      <c r="AB56" s="61" t="s">
        <v>124</v>
      </c>
      <c r="AC56" s="62">
        <v>0.33333333333333331</v>
      </c>
      <c r="AD56" s="17" t="s">
        <v>64</v>
      </c>
      <c r="AE56" s="62">
        <v>0.16666666666666666</v>
      </c>
      <c r="AF56" s="17" t="s">
        <v>125</v>
      </c>
      <c r="AG56" s="60"/>
      <c r="AH56" s="17"/>
      <c r="AI56" s="17"/>
      <c r="AJ56" s="17"/>
      <c r="AK56" s="17"/>
      <c r="AL56" s="17"/>
      <c r="AM56" s="17"/>
      <c r="AN56" s="17"/>
      <c r="AO56" s="17"/>
      <c r="AP56" s="17"/>
      <c r="AQ56" s="63"/>
      <c r="AR56" s="17"/>
      <c r="AS56" s="17"/>
      <c r="AT56" s="17"/>
      <c r="AU56" s="29"/>
      <c r="AV56" s="30" t="s">
        <v>43</v>
      </c>
      <c r="AW56" s="30" t="s">
        <v>44</v>
      </c>
      <c r="AX56" s="30" t="s">
        <v>44</v>
      </c>
      <c r="AY56" s="30" t="s">
        <v>43</v>
      </c>
      <c r="AZ56" s="30" t="s">
        <v>44</v>
      </c>
      <c r="BA56" s="30" t="s">
        <v>44</v>
      </c>
      <c r="BB56" s="30" t="s">
        <v>43</v>
      </c>
      <c r="BC56" s="30" t="s">
        <v>43</v>
      </c>
      <c r="BD56" s="30" t="s">
        <v>44</v>
      </c>
      <c r="BE56" s="30" t="s">
        <v>43</v>
      </c>
      <c r="BF56" s="30" t="s">
        <v>44</v>
      </c>
      <c r="BG56" s="30" t="s">
        <v>43</v>
      </c>
      <c r="BH56" s="29"/>
      <c r="BI56" s="30"/>
      <c r="BJ56" s="30"/>
      <c r="BK56" s="144" t="s">
        <v>2436</v>
      </c>
      <c r="BL56" s="30"/>
      <c r="BM56" s="30"/>
      <c r="BN56" s="30"/>
      <c r="BO56" s="30"/>
      <c r="BP56" s="30"/>
      <c r="BQ56" s="30"/>
      <c r="BR56" s="30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</row>
    <row r="57" spans="1:95" ht="26.25" customHeight="1">
      <c r="A57" s="2" t="str">
        <f t="shared" si="1"/>
        <v>AG024 - LD-C/U</v>
      </c>
      <c r="B57" s="2" t="s">
        <v>2458</v>
      </c>
      <c r="C57" s="53" t="s">
        <v>28</v>
      </c>
      <c r="D57" s="53" t="s">
        <v>10</v>
      </c>
      <c r="E57" s="53" t="s">
        <v>49</v>
      </c>
      <c r="F57" s="53" t="s">
        <v>50</v>
      </c>
      <c r="G57" s="54" t="s">
        <v>13</v>
      </c>
      <c r="H57" s="54" t="str">
        <f t="shared" si="2"/>
        <v>Reduzido</v>
      </c>
      <c r="I57" s="55" t="s">
        <v>676</v>
      </c>
      <c r="J57" s="53"/>
      <c r="K57" s="2" t="e">
        <f>VLOOKUP(B57,#REF!,2,FALSE())</f>
        <v>#REF!</v>
      </c>
      <c r="L57" s="53" t="e">
        <f>VLOOKUP(B57,#REF!,7,FALSE())</f>
        <v>#REF!</v>
      </c>
      <c r="M57" s="56" t="s">
        <v>677</v>
      </c>
      <c r="N57" s="57" t="s">
        <v>7</v>
      </c>
      <c r="O57" s="54" t="s">
        <v>7</v>
      </c>
      <c r="P57" s="56" t="s">
        <v>60</v>
      </c>
      <c r="Q57" s="58" t="e">
        <f>VLOOKUP(B57,#REF!,10,FALSE())</f>
        <v>#REF!</v>
      </c>
      <c r="R57" s="27" t="s">
        <v>1241</v>
      </c>
      <c r="S57" s="59">
        <f>U57+W57+Y57+AA57+AC57+AE57+AG57+AH57</f>
        <v>1</v>
      </c>
      <c r="T57" s="17" t="s">
        <v>124</v>
      </c>
      <c r="U57" s="60">
        <v>0.33333333333333331</v>
      </c>
      <c r="V57" s="17"/>
      <c r="W57" s="60"/>
      <c r="X57" s="17" t="s">
        <v>124</v>
      </c>
      <c r="Y57" s="60">
        <v>0.33333333333333331</v>
      </c>
      <c r="Z57" s="17"/>
      <c r="AA57" s="60"/>
      <c r="AB57" s="17" t="s">
        <v>124</v>
      </c>
      <c r="AC57" s="60">
        <v>0.33333333333333331</v>
      </c>
      <c r="AD57" s="17"/>
      <c r="AE57" s="60"/>
      <c r="AF57" s="17"/>
      <c r="AG57" s="17"/>
      <c r="AH57" s="59"/>
      <c r="AI57" s="17"/>
      <c r="AJ57" s="17"/>
      <c r="AK57" s="17"/>
      <c r="AL57" s="17"/>
      <c r="AM57" s="17"/>
      <c r="AN57" s="17"/>
      <c r="AO57" s="17"/>
      <c r="AP57" s="17"/>
      <c r="AQ57" s="31"/>
      <c r="AR57" s="17"/>
      <c r="AS57" s="17"/>
      <c r="AT57" s="17"/>
      <c r="AU57" s="22"/>
      <c r="AV57" s="19"/>
      <c r="AW57" s="19"/>
      <c r="AX57" s="19"/>
      <c r="AY57" s="19"/>
      <c r="AZ57" s="19"/>
      <c r="BA57" s="19"/>
      <c r="BB57" s="19"/>
      <c r="BC57" s="19"/>
      <c r="BD57" s="28"/>
      <c r="BE57" s="19"/>
      <c r="BF57" s="19"/>
      <c r="BG57" s="19"/>
      <c r="BH57" s="22"/>
      <c r="BI57" s="19"/>
      <c r="BJ57" s="19"/>
      <c r="BK57" s="144" t="s">
        <v>2436</v>
      </c>
      <c r="BL57" s="19"/>
      <c r="BM57" s="19"/>
      <c r="BN57" s="19"/>
      <c r="BO57" s="19"/>
      <c r="BP57" s="19"/>
      <c r="BQ57" s="19"/>
      <c r="BR57" s="19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</row>
    <row r="58" spans="1:95" ht="26.25" customHeight="1">
      <c r="A58" s="2" t="str">
        <f t="shared" si="1"/>
        <v>FC067 - MD-B/1</v>
      </c>
      <c r="B58" s="2" t="s">
        <v>2440</v>
      </c>
      <c r="C58" s="53" t="s">
        <v>93</v>
      </c>
      <c r="D58" s="53" t="s">
        <v>10</v>
      </c>
      <c r="E58" s="53" t="s">
        <v>49</v>
      </c>
      <c r="F58" s="53" t="s">
        <v>30</v>
      </c>
      <c r="G58" s="53">
        <v>1</v>
      </c>
      <c r="H58" s="54" t="str">
        <f t="shared" si="2"/>
        <v>-</v>
      </c>
      <c r="I58" s="55"/>
      <c r="J58" s="53"/>
      <c r="K58" s="2" t="e">
        <f>VLOOKUP(B58,#REF!,2,FALSE())</f>
        <v>#REF!</v>
      </c>
      <c r="L58" s="53" t="e">
        <f>VLOOKUP(B58,#REF!,7,FALSE())</f>
        <v>#REF!</v>
      </c>
      <c r="M58" s="56" t="s">
        <v>21</v>
      </c>
      <c r="N58" s="57" t="s">
        <v>7</v>
      </c>
      <c r="O58" s="54" t="s">
        <v>7</v>
      </c>
      <c r="P58" s="56" t="s">
        <v>60</v>
      </c>
      <c r="Q58" s="58" t="e">
        <f>VLOOKUP(B58,#REF!,10,FALSE())</f>
        <v>#REF!</v>
      </c>
      <c r="R58" s="27" t="s">
        <v>2437</v>
      </c>
      <c r="S58" s="59">
        <v>1.8333333333333333</v>
      </c>
      <c r="T58" s="17" t="s">
        <v>124</v>
      </c>
      <c r="U58" s="60">
        <v>0.33333333333333331</v>
      </c>
      <c r="V58" s="17" t="s">
        <v>124</v>
      </c>
      <c r="W58" s="60">
        <v>0.33333333333333331</v>
      </c>
      <c r="X58" s="17" t="s">
        <v>124</v>
      </c>
      <c r="Y58" s="60">
        <v>0.33333333333333331</v>
      </c>
      <c r="Z58" s="17" t="s">
        <v>124</v>
      </c>
      <c r="AA58" s="60">
        <v>0.33333333333333331</v>
      </c>
      <c r="AB58" s="17" t="s">
        <v>124</v>
      </c>
      <c r="AC58" s="60">
        <v>0.33333333333333331</v>
      </c>
      <c r="AD58" s="17" t="s">
        <v>64</v>
      </c>
      <c r="AE58" s="60">
        <v>0.16666666666666666</v>
      </c>
      <c r="AF58" s="17" t="s">
        <v>125</v>
      </c>
      <c r="AG58" s="60"/>
      <c r="AH58" s="17"/>
      <c r="AI58" s="17"/>
      <c r="AJ58" s="17"/>
      <c r="AK58" s="17"/>
      <c r="AL58" s="17"/>
      <c r="AM58" s="17"/>
      <c r="AN58" s="17"/>
      <c r="AO58" s="17"/>
      <c r="AP58" s="17"/>
      <c r="AQ58" s="63"/>
      <c r="AR58" s="17"/>
      <c r="AS58" s="17"/>
      <c r="AT58" s="17"/>
      <c r="AU58" s="22"/>
      <c r="AV58" s="19"/>
      <c r="AW58" s="19"/>
      <c r="AX58" s="19"/>
      <c r="AY58" s="19"/>
      <c r="AZ58" s="19"/>
      <c r="BA58" s="19"/>
      <c r="BB58" s="19"/>
      <c r="BC58" s="19"/>
      <c r="BD58" s="28"/>
      <c r="BE58" s="19"/>
      <c r="BF58" s="19"/>
      <c r="BG58" s="19"/>
      <c r="BH58" s="22"/>
      <c r="BI58" s="19"/>
      <c r="BJ58" s="19"/>
      <c r="BK58" s="144" t="s">
        <v>2436</v>
      </c>
      <c r="BL58" s="19"/>
      <c r="BM58" s="19"/>
      <c r="BN58" s="19"/>
      <c r="BO58" s="19"/>
      <c r="BP58" s="19"/>
      <c r="BQ58" s="19"/>
      <c r="BR58" s="19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</row>
    <row r="59" spans="1:95" ht="26.25" customHeight="1">
      <c r="A59" s="2" t="str">
        <f t="shared" si="1"/>
        <v>AG023 - PD-A/1</v>
      </c>
      <c r="B59" s="2" t="s">
        <v>2432</v>
      </c>
      <c r="C59" s="53" t="s">
        <v>9</v>
      </c>
      <c r="D59" s="53" t="s">
        <v>10</v>
      </c>
      <c r="E59" s="53" t="s">
        <v>49</v>
      </c>
      <c r="F59" s="53" t="s">
        <v>11</v>
      </c>
      <c r="G59" s="53">
        <v>1</v>
      </c>
      <c r="H59" s="54" t="str">
        <f t="shared" si="2"/>
        <v>-</v>
      </c>
      <c r="I59" s="55"/>
      <c r="J59" s="53"/>
      <c r="K59" s="2" t="e">
        <f>VLOOKUP(B59,#REF!,2,FALSE())</f>
        <v>#REF!</v>
      </c>
      <c r="L59" s="53" t="e">
        <f>VLOOKUP(B59,#REF!,7,FALSE())</f>
        <v>#REF!</v>
      </c>
      <c r="M59" s="56" t="s">
        <v>21</v>
      </c>
      <c r="N59" s="57" t="s">
        <v>7</v>
      </c>
      <c r="O59" s="54" t="s">
        <v>7</v>
      </c>
      <c r="P59" s="56" t="s">
        <v>22</v>
      </c>
      <c r="Q59" s="58" t="e">
        <f>VLOOKUP(B59,#REF!,10,FALSE())</f>
        <v>#REF!</v>
      </c>
      <c r="R59" s="27" t="s">
        <v>1392</v>
      </c>
      <c r="S59" s="59">
        <v>1.8333333333333333</v>
      </c>
      <c r="T59" s="17" t="s">
        <v>1211</v>
      </c>
      <c r="U59" s="60">
        <v>0.5</v>
      </c>
      <c r="V59" s="17"/>
      <c r="W59" s="60"/>
      <c r="X59" s="17" t="s">
        <v>1211</v>
      </c>
      <c r="Y59" s="60">
        <v>0.5</v>
      </c>
      <c r="Z59" s="17"/>
      <c r="AA59" s="60"/>
      <c r="AB59" s="17" t="s">
        <v>1211</v>
      </c>
      <c r="AC59" s="60">
        <v>0.5</v>
      </c>
      <c r="AD59" s="17"/>
      <c r="AE59" s="60"/>
      <c r="AF59" s="17" t="s">
        <v>1211</v>
      </c>
      <c r="AG59" s="60">
        <v>0.5</v>
      </c>
      <c r="AH59" s="17"/>
      <c r="AI59" s="17" t="s">
        <v>43</v>
      </c>
      <c r="AJ59" s="17" t="s">
        <v>44</v>
      </c>
      <c r="AK59" s="17" t="s">
        <v>44</v>
      </c>
      <c r="AL59" s="17" t="s">
        <v>43</v>
      </c>
      <c r="AM59" s="17" t="s">
        <v>44</v>
      </c>
      <c r="AN59" s="17" t="s">
        <v>44</v>
      </c>
      <c r="AO59" s="17" t="s">
        <v>43</v>
      </c>
      <c r="AP59" s="17" t="s">
        <v>43</v>
      </c>
      <c r="AQ59" s="63" t="s">
        <v>44</v>
      </c>
      <c r="AR59" s="17" t="s">
        <v>43</v>
      </c>
      <c r="AS59" s="17" t="s">
        <v>44</v>
      </c>
      <c r="AT59" s="17" t="s">
        <v>43</v>
      </c>
      <c r="AU59" s="40"/>
      <c r="AV59" s="17"/>
      <c r="AW59" s="17"/>
      <c r="AX59" s="17"/>
      <c r="AY59" s="17"/>
      <c r="AZ59" s="17"/>
      <c r="BA59" s="17"/>
      <c r="BB59" s="17"/>
      <c r="BC59" s="17"/>
      <c r="BD59" s="31"/>
      <c r="BE59" s="17"/>
      <c r="BF59" s="17"/>
      <c r="BG59" s="17"/>
      <c r="BH59" s="40"/>
      <c r="BI59" s="17"/>
      <c r="BJ59" s="17"/>
      <c r="BK59" s="144" t="s">
        <v>2436</v>
      </c>
      <c r="BL59" s="17"/>
      <c r="BM59" s="17"/>
      <c r="BN59" s="17"/>
      <c r="BO59" s="17"/>
      <c r="BP59" s="17"/>
      <c r="BQ59" s="17"/>
      <c r="BR59" s="17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</row>
    <row r="60" spans="1:95" ht="26.25" customHeight="1">
      <c r="A60" s="2" t="str">
        <f t="shared" si="1"/>
        <v>AG050 - PD-A/1</v>
      </c>
      <c r="B60" s="2" t="s">
        <v>2461</v>
      </c>
      <c r="C60" s="53" t="s">
        <v>9</v>
      </c>
      <c r="D60" s="53" t="s">
        <v>10</v>
      </c>
      <c r="E60" s="53" t="s">
        <v>49</v>
      </c>
      <c r="F60" s="53" t="s">
        <v>11</v>
      </c>
      <c r="G60" s="53">
        <v>1</v>
      </c>
      <c r="H60" s="54" t="str">
        <f t="shared" si="2"/>
        <v>-</v>
      </c>
      <c r="I60" s="55"/>
      <c r="J60" s="53"/>
      <c r="K60" s="2" t="e">
        <f>VLOOKUP(B60,#REF!,2,FALSE())</f>
        <v>#REF!</v>
      </c>
      <c r="L60" s="53" t="e">
        <f>VLOOKUP(B60,#REF!,7,FALSE())</f>
        <v>#REF!</v>
      </c>
      <c r="M60" s="56" t="s">
        <v>21</v>
      </c>
      <c r="N60" s="57" t="s">
        <v>7</v>
      </c>
      <c r="O60" s="54" t="s">
        <v>7</v>
      </c>
      <c r="P60" s="56" t="s">
        <v>22</v>
      </c>
      <c r="Q60" s="58" t="e">
        <f>VLOOKUP(B60,#REF!,10,FALSE())</f>
        <v>#REF!</v>
      </c>
      <c r="R60" s="27" t="s">
        <v>1392</v>
      </c>
      <c r="S60" s="59">
        <v>1.8333333333333333</v>
      </c>
      <c r="T60" s="61" t="s">
        <v>1211</v>
      </c>
      <c r="U60" s="62">
        <v>0.5</v>
      </c>
      <c r="V60" s="61"/>
      <c r="W60" s="62"/>
      <c r="X60" s="61" t="s">
        <v>1211</v>
      </c>
      <c r="Y60" s="62">
        <v>0.5</v>
      </c>
      <c r="Z60" s="61"/>
      <c r="AA60" s="62"/>
      <c r="AB60" s="61" t="s">
        <v>1211</v>
      </c>
      <c r="AC60" s="62">
        <v>0.5</v>
      </c>
      <c r="AD60" s="61"/>
      <c r="AE60" s="62"/>
      <c r="AF60" s="17" t="s">
        <v>1211</v>
      </c>
      <c r="AG60" s="60">
        <v>0.5</v>
      </c>
      <c r="AH60" s="17"/>
      <c r="AI60" s="17" t="s">
        <v>43</v>
      </c>
      <c r="AJ60" s="17" t="s">
        <v>44</v>
      </c>
      <c r="AK60" s="17" t="s">
        <v>44</v>
      </c>
      <c r="AL60" s="17" t="s">
        <v>43</v>
      </c>
      <c r="AM60" s="17" t="s">
        <v>44</v>
      </c>
      <c r="AN60" s="17" t="s">
        <v>44</v>
      </c>
      <c r="AO60" s="17" t="s">
        <v>43</v>
      </c>
      <c r="AP60" s="17" t="s">
        <v>43</v>
      </c>
      <c r="AQ60" s="63" t="s">
        <v>44</v>
      </c>
      <c r="AR60" s="17" t="s">
        <v>43</v>
      </c>
      <c r="AS60" s="17" t="s">
        <v>44</v>
      </c>
      <c r="AT60" s="17" t="s">
        <v>43</v>
      </c>
      <c r="AU60" s="40"/>
      <c r="AV60" s="17"/>
      <c r="AW60" s="17"/>
      <c r="AX60" s="17"/>
      <c r="AY60" s="17"/>
      <c r="AZ60" s="17"/>
      <c r="BA60" s="17"/>
      <c r="BB60" s="17"/>
      <c r="BC60" s="17"/>
      <c r="BD60" s="31"/>
      <c r="BE60" s="17"/>
      <c r="BF60" s="17"/>
      <c r="BG60" s="17"/>
      <c r="BH60" s="40"/>
      <c r="BI60" s="17"/>
      <c r="BJ60" s="17"/>
      <c r="BK60" s="144" t="s">
        <v>2436</v>
      </c>
      <c r="BL60" s="17"/>
      <c r="BM60" s="17"/>
      <c r="BN60" s="17"/>
      <c r="BO60" s="17"/>
      <c r="BP60" s="17"/>
      <c r="BQ60" s="17"/>
      <c r="BR60" s="17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</row>
    <row r="61" spans="1:95" ht="26.25" customHeight="1">
      <c r="A61" s="2" t="str">
        <f t="shared" si="1"/>
        <v>AG050 - PD-A/2</v>
      </c>
      <c r="B61" s="2" t="s">
        <v>2461</v>
      </c>
      <c r="C61" s="53" t="s">
        <v>9</v>
      </c>
      <c r="D61" s="53" t="s">
        <v>10</v>
      </c>
      <c r="E61" s="53" t="s">
        <v>49</v>
      </c>
      <c r="F61" s="53" t="s">
        <v>11</v>
      </c>
      <c r="G61" s="53">
        <v>2</v>
      </c>
      <c r="H61" s="54" t="str">
        <f t="shared" si="2"/>
        <v>-</v>
      </c>
      <c r="I61" s="55"/>
      <c r="J61" s="53"/>
      <c r="K61" s="2" t="e">
        <f>VLOOKUP(B61,#REF!,2,FALSE())</f>
        <v>#REF!</v>
      </c>
      <c r="L61" s="53" t="e">
        <f>VLOOKUP(B61,#REF!,7,FALSE())</f>
        <v>#REF!</v>
      </c>
      <c r="M61" s="56" t="s">
        <v>21</v>
      </c>
      <c r="N61" s="57" t="s">
        <v>7</v>
      </c>
      <c r="O61" s="54" t="s">
        <v>7</v>
      </c>
      <c r="P61" s="56" t="s">
        <v>22</v>
      </c>
      <c r="Q61" s="58" t="e">
        <f>VLOOKUP(B61,#REF!,10,FALSE())</f>
        <v>#REF!</v>
      </c>
      <c r="R61" s="27" t="s">
        <v>1392</v>
      </c>
      <c r="S61" s="59">
        <v>1.8333333333333333</v>
      </c>
      <c r="T61" s="17"/>
      <c r="U61" s="60"/>
      <c r="V61" s="17" t="s">
        <v>1211</v>
      </c>
      <c r="W61" s="60">
        <v>0.5</v>
      </c>
      <c r="X61" s="17"/>
      <c r="Y61" s="60"/>
      <c r="Z61" s="17" t="s">
        <v>1211</v>
      </c>
      <c r="AA61" s="60">
        <v>0.5</v>
      </c>
      <c r="AB61" s="17"/>
      <c r="AC61" s="60"/>
      <c r="AD61" s="17" t="s">
        <v>1211</v>
      </c>
      <c r="AE61" s="60">
        <v>0.5</v>
      </c>
      <c r="AF61" s="17"/>
      <c r="AG61" s="60"/>
      <c r="AH61" s="17"/>
      <c r="AI61" s="17" t="s">
        <v>44</v>
      </c>
      <c r="AJ61" s="17" t="s">
        <v>43</v>
      </c>
      <c r="AK61" s="17" t="s">
        <v>43</v>
      </c>
      <c r="AL61" s="17" t="s">
        <v>44</v>
      </c>
      <c r="AM61" s="17" t="s">
        <v>43</v>
      </c>
      <c r="AN61" s="17" t="s">
        <v>43</v>
      </c>
      <c r="AO61" s="17" t="s">
        <v>44</v>
      </c>
      <c r="AP61" s="17" t="s">
        <v>44</v>
      </c>
      <c r="AQ61" s="63" t="s">
        <v>43</v>
      </c>
      <c r="AR61" s="17" t="s">
        <v>44</v>
      </c>
      <c r="AS61" s="17" t="s">
        <v>43</v>
      </c>
      <c r="AT61" s="17" t="s">
        <v>44</v>
      </c>
      <c r="AU61" s="40"/>
      <c r="AV61" s="17"/>
      <c r="AW61" s="17"/>
      <c r="AX61" s="17"/>
      <c r="AY61" s="17"/>
      <c r="AZ61" s="17"/>
      <c r="BA61" s="17"/>
      <c r="BB61" s="17"/>
      <c r="BC61" s="17"/>
      <c r="BD61" s="31"/>
      <c r="BE61" s="17"/>
      <c r="BF61" s="17"/>
      <c r="BG61" s="17"/>
      <c r="BH61" s="40"/>
      <c r="BI61" s="17"/>
      <c r="BJ61" s="17"/>
      <c r="BK61" s="144" t="s">
        <v>2436</v>
      </c>
      <c r="BL61" s="17"/>
      <c r="BM61" s="17"/>
      <c r="BN61" s="17"/>
      <c r="BO61" s="17"/>
      <c r="BP61" s="17"/>
      <c r="BQ61" s="17"/>
      <c r="BR61" s="17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</row>
    <row r="62" spans="1:95" ht="26.25" customHeight="1">
      <c r="A62" s="23" t="str">
        <f t="shared" si="1"/>
        <v>AG050 - LD-C/U</v>
      </c>
      <c r="B62" s="23" t="s">
        <v>2461</v>
      </c>
      <c r="C62" s="24" t="s">
        <v>28</v>
      </c>
      <c r="D62" s="24" t="s">
        <v>10</v>
      </c>
      <c r="E62" s="24" t="s">
        <v>49</v>
      </c>
      <c r="F62" s="24" t="s">
        <v>50</v>
      </c>
      <c r="G62" s="26" t="s">
        <v>13</v>
      </c>
      <c r="H62" s="26" t="str">
        <f t="shared" si="2"/>
        <v>R.03/1</v>
      </c>
      <c r="I62" s="32" t="s">
        <v>220</v>
      </c>
      <c r="J62" s="24">
        <v>1</v>
      </c>
      <c r="K62" s="23" t="e">
        <f>VLOOKUP(B62,#REF!,2,FALSE())</f>
        <v>#REF!</v>
      </c>
      <c r="L62" s="24" t="e">
        <f>VLOOKUP(B62,#REF!,7,FALSE())</f>
        <v>#REF!</v>
      </c>
      <c r="M62" s="35" t="s">
        <v>58</v>
      </c>
      <c r="N62" s="25" t="s">
        <v>7</v>
      </c>
      <c r="O62" s="26" t="s">
        <v>7</v>
      </c>
      <c r="P62" s="35" t="s">
        <v>60</v>
      </c>
      <c r="Q62" s="37" t="e">
        <f>VLOOKUP(B62,#REF!,10,FALSE())</f>
        <v>#REF!</v>
      </c>
      <c r="R62" s="38" t="s">
        <v>2462</v>
      </c>
      <c r="S62" s="39">
        <f t="shared" ref="S62:S63" si="4">U62+W62+Y62+AA62+AC62+AE62+AG62+AH62</f>
        <v>1.5625</v>
      </c>
      <c r="T62" s="19" t="s">
        <v>2463</v>
      </c>
      <c r="U62" s="18">
        <v>0.3125</v>
      </c>
      <c r="V62" s="19" t="s">
        <v>2463</v>
      </c>
      <c r="W62" s="18">
        <v>0.3125</v>
      </c>
      <c r="X62" s="19" t="s">
        <v>2463</v>
      </c>
      <c r="Y62" s="18">
        <v>0.3125</v>
      </c>
      <c r="Z62" s="19" t="s">
        <v>2463</v>
      </c>
      <c r="AA62" s="18">
        <v>0.3125</v>
      </c>
      <c r="AB62" s="19" t="s">
        <v>2463</v>
      </c>
      <c r="AC62" s="18">
        <v>0.3125</v>
      </c>
      <c r="AD62" s="19"/>
      <c r="AE62" s="18"/>
      <c r="AF62" s="19"/>
      <c r="AG62" s="19"/>
      <c r="AH62" s="39"/>
      <c r="AI62" s="19"/>
      <c r="AJ62" s="19"/>
      <c r="AK62" s="19"/>
      <c r="AL62" s="19"/>
      <c r="AM62" s="19"/>
      <c r="AN62" s="19"/>
      <c r="AO62" s="19"/>
      <c r="AP62" s="19"/>
      <c r="AQ62" s="28"/>
      <c r="AR62" s="19"/>
      <c r="AS62" s="19"/>
      <c r="AT62" s="19"/>
      <c r="AU62" s="22"/>
      <c r="AV62" s="19"/>
      <c r="AW62" s="19"/>
      <c r="AX62" s="19"/>
      <c r="AY62" s="19"/>
      <c r="AZ62" s="19"/>
      <c r="BA62" s="19"/>
      <c r="BB62" s="19"/>
      <c r="BC62" s="19"/>
      <c r="BD62" s="28"/>
      <c r="BE62" s="19"/>
      <c r="BF62" s="19"/>
      <c r="BG62" s="19"/>
      <c r="BH62" s="22"/>
      <c r="BI62" s="19"/>
      <c r="BJ62" s="19"/>
      <c r="BK62" s="144" t="s">
        <v>2436</v>
      </c>
      <c r="BL62" s="19"/>
      <c r="BM62" s="19"/>
      <c r="BN62" s="19"/>
      <c r="BO62" s="19"/>
      <c r="BP62" s="19"/>
      <c r="BQ62" s="19"/>
      <c r="BR62" s="19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</row>
    <row r="63" spans="1:95" ht="26.25" customHeight="1">
      <c r="A63" s="23" t="str">
        <f t="shared" si="1"/>
        <v>AG032 - LD-C/U</v>
      </c>
      <c r="B63" s="23" t="s">
        <v>2464</v>
      </c>
      <c r="C63" s="24" t="s">
        <v>28</v>
      </c>
      <c r="D63" s="24" t="s">
        <v>10</v>
      </c>
      <c r="E63" s="24" t="s">
        <v>49</v>
      </c>
      <c r="F63" s="24" t="s">
        <v>50</v>
      </c>
      <c r="G63" s="26" t="s">
        <v>13</v>
      </c>
      <c r="H63" s="26" t="str">
        <f t="shared" si="2"/>
        <v>R.04/1</v>
      </c>
      <c r="I63" s="32" t="s">
        <v>234</v>
      </c>
      <c r="J63" s="24">
        <v>1</v>
      </c>
      <c r="K63" s="23" t="e">
        <f>VLOOKUP(B63,#REF!,2,FALSE())</f>
        <v>#REF!</v>
      </c>
      <c r="L63" s="24" t="e">
        <f>VLOOKUP(B63,#REF!,7,FALSE())</f>
        <v>#REF!</v>
      </c>
      <c r="M63" s="35" t="s">
        <v>58</v>
      </c>
      <c r="N63" s="25" t="s">
        <v>7</v>
      </c>
      <c r="O63" s="26" t="s">
        <v>7</v>
      </c>
      <c r="P63" s="35" t="s">
        <v>60</v>
      </c>
      <c r="Q63" s="37" t="e">
        <f>VLOOKUP(B63,#REF!,10,FALSE())</f>
        <v>#REF!</v>
      </c>
      <c r="R63" s="38" t="s">
        <v>1253</v>
      </c>
      <c r="S63" s="39">
        <f t="shared" si="4"/>
        <v>0.4375</v>
      </c>
      <c r="T63" s="19" t="s">
        <v>1254</v>
      </c>
      <c r="U63" s="18">
        <v>0.125</v>
      </c>
      <c r="V63" s="19"/>
      <c r="W63" s="18"/>
      <c r="X63" s="19" t="s">
        <v>1254</v>
      </c>
      <c r="Y63" s="18">
        <v>0.125</v>
      </c>
      <c r="Z63" s="19"/>
      <c r="AA63" s="18"/>
      <c r="AB63" s="19" t="s">
        <v>1254</v>
      </c>
      <c r="AC63" s="18">
        <v>0.125</v>
      </c>
      <c r="AD63" s="19" t="s">
        <v>37</v>
      </c>
      <c r="AE63" s="18"/>
      <c r="AF63" s="19" t="s">
        <v>37</v>
      </c>
      <c r="AG63" s="19"/>
      <c r="AH63" s="39">
        <v>6.25E-2</v>
      </c>
      <c r="AI63" s="19"/>
      <c r="AJ63" s="19"/>
      <c r="AK63" s="19"/>
      <c r="AL63" s="19"/>
      <c r="AM63" s="19"/>
      <c r="AN63" s="19"/>
      <c r="AO63" s="19"/>
      <c r="AP63" s="19"/>
      <c r="AQ63" s="28"/>
      <c r="AR63" s="19"/>
      <c r="AS63" s="19"/>
      <c r="AT63" s="19"/>
      <c r="AU63" s="22"/>
      <c r="AV63" s="19"/>
      <c r="AW63" s="19"/>
      <c r="AX63" s="19"/>
      <c r="AY63" s="19"/>
      <c r="AZ63" s="19"/>
      <c r="BA63" s="19"/>
      <c r="BB63" s="19"/>
      <c r="BC63" s="19"/>
      <c r="BD63" s="28"/>
      <c r="BE63" s="19"/>
      <c r="BF63" s="19"/>
      <c r="BG63" s="19"/>
      <c r="BH63" s="22"/>
      <c r="BI63" s="19"/>
      <c r="BJ63" s="19"/>
      <c r="BK63" s="144" t="s">
        <v>2436</v>
      </c>
      <c r="BL63" s="19"/>
      <c r="BM63" s="19"/>
      <c r="BN63" s="19"/>
      <c r="BO63" s="19"/>
      <c r="BP63" s="19"/>
      <c r="BQ63" s="19"/>
      <c r="BR63" s="19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</row>
    <row r="64" spans="1:95" ht="26.25" customHeight="1">
      <c r="A64" s="2" t="str">
        <f t="shared" si="1"/>
        <v>AG037 - MD-B/U</v>
      </c>
      <c r="B64" s="2" t="s">
        <v>92</v>
      </c>
      <c r="C64" s="53" t="s">
        <v>93</v>
      </c>
      <c r="D64" s="53" t="s">
        <v>10</v>
      </c>
      <c r="E64" s="53" t="s">
        <v>49</v>
      </c>
      <c r="F64" s="53" t="s">
        <v>30</v>
      </c>
      <c r="G64" s="53" t="s">
        <v>13</v>
      </c>
      <c r="H64" s="54" t="str">
        <f t="shared" si="2"/>
        <v>-</v>
      </c>
      <c r="I64" s="55"/>
      <c r="J64" s="53"/>
      <c r="K64" s="2" t="e">
        <f>VLOOKUP(B64,#REF!,2,FALSE())</f>
        <v>#REF!</v>
      </c>
      <c r="L64" s="53" t="e">
        <f>VLOOKUP(B64,#REF!,7,FALSE())</f>
        <v>#REF!</v>
      </c>
      <c r="M64" s="56" t="s">
        <v>21</v>
      </c>
      <c r="N64" s="57" t="s">
        <v>7</v>
      </c>
      <c r="O64" s="54" t="s">
        <v>7</v>
      </c>
      <c r="P64" s="56" t="s">
        <v>60</v>
      </c>
      <c r="Q64" s="58" t="e">
        <f>VLOOKUP(B64,#REF!,10,FALSE())</f>
        <v>#REF!</v>
      </c>
      <c r="R64" s="27" t="s">
        <v>102</v>
      </c>
      <c r="S64" s="59">
        <v>1.8333333333333333</v>
      </c>
      <c r="T64" s="17" t="s">
        <v>104</v>
      </c>
      <c r="U64" s="60">
        <v>0.3125</v>
      </c>
      <c r="V64" s="17" t="s">
        <v>104</v>
      </c>
      <c r="W64" s="60">
        <v>0.3125</v>
      </c>
      <c r="X64" s="17" t="s">
        <v>104</v>
      </c>
      <c r="Y64" s="60">
        <v>0.3125</v>
      </c>
      <c r="Z64" s="17" t="s">
        <v>104</v>
      </c>
      <c r="AA64" s="60">
        <v>0.3125</v>
      </c>
      <c r="AB64" s="17" t="s">
        <v>104</v>
      </c>
      <c r="AC64" s="60">
        <v>0.3125</v>
      </c>
      <c r="AD64" s="17" t="s">
        <v>105</v>
      </c>
      <c r="AE64" s="60">
        <v>0.27083333333333331</v>
      </c>
      <c r="AF64" s="17" t="s">
        <v>37</v>
      </c>
      <c r="AG64" s="60"/>
      <c r="AH64" s="17"/>
      <c r="AI64" s="17"/>
      <c r="AJ64" s="17"/>
      <c r="AK64" s="17"/>
      <c r="AL64" s="17"/>
      <c r="AM64" s="17"/>
      <c r="AN64" s="17"/>
      <c r="AO64" s="17"/>
      <c r="AP64" s="17"/>
      <c r="AQ64" s="63"/>
      <c r="AR64" s="17"/>
      <c r="AS64" s="17"/>
      <c r="AT64" s="17"/>
      <c r="AU64" s="22"/>
      <c r="AV64" s="19"/>
      <c r="AW64" s="19"/>
      <c r="AX64" s="19"/>
      <c r="AY64" s="19"/>
      <c r="AZ64" s="19"/>
      <c r="BA64" s="19"/>
      <c r="BB64" s="19"/>
      <c r="BC64" s="19"/>
      <c r="BD64" s="28"/>
      <c r="BE64" s="19"/>
      <c r="BF64" s="19"/>
      <c r="BG64" s="19"/>
      <c r="BH64" s="22"/>
      <c r="BI64" s="19"/>
      <c r="BJ64" s="19"/>
      <c r="BK64" s="144" t="s">
        <v>2436</v>
      </c>
      <c r="BL64" s="19"/>
      <c r="BM64" s="19"/>
      <c r="BN64" s="19"/>
      <c r="BO64" s="19"/>
      <c r="BP64" s="19"/>
      <c r="BQ64" s="19"/>
      <c r="BR64" s="19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</row>
    <row r="65" spans="1:95" ht="26.25" customHeight="1">
      <c r="A65" s="23" t="str">
        <f t="shared" si="1"/>
        <v>AG063 - LD-C/U</v>
      </c>
      <c r="B65" s="23" t="s">
        <v>2465</v>
      </c>
      <c r="C65" s="24" t="s">
        <v>28</v>
      </c>
      <c r="D65" s="24" t="s">
        <v>10</v>
      </c>
      <c r="E65" s="24" t="s">
        <v>49</v>
      </c>
      <c r="F65" s="24" t="s">
        <v>50</v>
      </c>
      <c r="G65" s="26" t="s">
        <v>13</v>
      </c>
      <c r="H65" s="26" t="str">
        <f t="shared" si="2"/>
        <v>Reduzido</v>
      </c>
      <c r="I65" s="32" t="s">
        <v>676</v>
      </c>
      <c r="J65" s="24"/>
      <c r="K65" s="23" t="e">
        <f>VLOOKUP(B65,#REF!,2,FALSE())</f>
        <v>#REF!</v>
      </c>
      <c r="L65" s="24" t="e">
        <f>VLOOKUP(B65,#REF!,7,FALSE())</f>
        <v>#REF!</v>
      </c>
      <c r="M65" s="35" t="s">
        <v>58</v>
      </c>
      <c r="N65" s="25" t="s">
        <v>7</v>
      </c>
      <c r="O65" s="26" t="s">
        <v>7</v>
      </c>
      <c r="P65" s="35" t="s">
        <v>60</v>
      </c>
      <c r="Q65" s="37" t="e">
        <f>VLOOKUP(B65,#REF!,10,FALSE())</f>
        <v>#REF!</v>
      </c>
      <c r="R65" s="38" t="s">
        <v>2466</v>
      </c>
      <c r="S65" s="39">
        <f>U65+W65+Y65+AA65+AC65+AE65+AG65+AH65</f>
        <v>0.34375</v>
      </c>
      <c r="T65" s="19" t="s">
        <v>2467</v>
      </c>
      <c r="U65" s="18">
        <v>0.11458333333333333</v>
      </c>
      <c r="V65" s="19"/>
      <c r="W65" s="18"/>
      <c r="X65" s="19" t="s">
        <v>2467</v>
      </c>
      <c r="Y65" s="18">
        <v>0.11458333333333333</v>
      </c>
      <c r="Z65" s="19"/>
      <c r="AA65" s="18"/>
      <c r="AB65" s="19" t="s">
        <v>2467</v>
      </c>
      <c r="AC65" s="18">
        <v>0.11458333333333333</v>
      </c>
      <c r="AD65" s="19"/>
      <c r="AE65" s="18"/>
      <c r="AF65" s="19"/>
      <c r="AG65" s="19"/>
      <c r="AH65" s="39"/>
      <c r="AI65" s="19"/>
      <c r="AJ65" s="19"/>
      <c r="AK65" s="19"/>
      <c r="AL65" s="19"/>
      <c r="AM65" s="19"/>
      <c r="AN65" s="19"/>
      <c r="AO65" s="19"/>
      <c r="AP65" s="19"/>
      <c r="AQ65" s="28"/>
      <c r="AR65" s="19"/>
      <c r="AS65" s="19"/>
      <c r="AT65" s="19"/>
      <c r="AU65" s="22"/>
      <c r="AV65" s="19"/>
      <c r="AW65" s="19"/>
      <c r="AX65" s="19"/>
      <c r="AY65" s="19"/>
      <c r="AZ65" s="19"/>
      <c r="BA65" s="19"/>
      <c r="BB65" s="19"/>
      <c r="BC65" s="19"/>
      <c r="BD65" s="28"/>
      <c r="BE65" s="19"/>
      <c r="BF65" s="19"/>
      <c r="BG65" s="19"/>
      <c r="BH65" s="22"/>
      <c r="BI65" s="19"/>
      <c r="BJ65" s="19"/>
      <c r="BK65" s="144" t="s">
        <v>2436</v>
      </c>
      <c r="BL65" s="19"/>
      <c r="BM65" s="19"/>
      <c r="BN65" s="19"/>
      <c r="BO65" s="19"/>
      <c r="BP65" s="19"/>
      <c r="BQ65" s="19"/>
      <c r="BR65" s="19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</row>
    <row r="66" spans="1:95" ht="26.25" customHeight="1">
      <c r="A66" s="2" t="str">
        <f t="shared" si="1"/>
        <v>AG062 - LD-B/5</v>
      </c>
      <c r="B66" s="2" t="s">
        <v>2364</v>
      </c>
      <c r="C66" s="53" t="s">
        <v>28</v>
      </c>
      <c r="D66" s="53" t="s">
        <v>10</v>
      </c>
      <c r="E66" s="53" t="s">
        <v>49</v>
      </c>
      <c r="F66" s="53" t="s">
        <v>30</v>
      </c>
      <c r="G66" s="53">
        <v>5</v>
      </c>
      <c r="H66" s="54" t="str">
        <f t="shared" si="2"/>
        <v>-</v>
      </c>
      <c r="I66" s="55"/>
      <c r="J66" s="53"/>
      <c r="K66" s="2" t="e">
        <f>VLOOKUP(B66,#REF!,2,FALSE())</f>
        <v>#REF!</v>
      </c>
      <c r="L66" s="53" t="e">
        <f>VLOOKUP(B66,#REF!,7,FALSE())</f>
        <v>#REF!</v>
      </c>
      <c r="M66" s="56" t="s">
        <v>21</v>
      </c>
      <c r="N66" s="57" t="s">
        <v>7</v>
      </c>
      <c r="O66" s="54" t="s">
        <v>7</v>
      </c>
      <c r="P66" s="56" t="s">
        <v>2367</v>
      </c>
      <c r="Q66" s="58" t="s">
        <v>2419</v>
      </c>
      <c r="R66" s="27" t="s">
        <v>1051</v>
      </c>
      <c r="S66" s="63">
        <v>1.8333333333333333</v>
      </c>
      <c r="T66" s="17" t="s">
        <v>1408</v>
      </c>
      <c r="U66" s="60">
        <v>0.30555555555555558</v>
      </c>
      <c r="V66" s="17" t="s">
        <v>1408</v>
      </c>
      <c r="W66" s="60">
        <v>0.30555555555555558</v>
      </c>
      <c r="X66" s="17" t="s">
        <v>125</v>
      </c>
      <c r="Y66" s="60"/>
      <c r="Z66" s="17" t="s">
        <v>1408</v>
      </c>
      <c r="AA66" s="60">
        <v>0.30555555555555558</v>
      </c>
      <c r="AB66" s="17" t="s">
        <v>1408</v>
      </c>
      <c r="AC66" s="60">
        <v>0.30555555555555558</v>
      </c>
      <c r="AD66" s="17" t="s">
        <v>1408</v>
      </c>
      <c r="AE66" s="60">
        <v>0.30555555555555558</v>
      </c>
      <c r="AF66" s="17" t="s">
        <v>1408</v>
      </c>
      <c r="AG66" s="60">
        <v>0.30555555555555558</v>
      </c>
      <c r="AH66" s="17"/>
      <c r="AI66" s="17"/>
      <c r="AJ66" s="17"/>
      <c r="AK66" s="17"/>
      <c r="AL66" s="17"/>
      <c r="AM66" s="17"/>
      <c r="AN66" s="17"/>
      <c r="AO66" s="17"/>
      <c r="AP66" s="17"/>
      <c r="AQ66" s="63"/>
      <c r="AR66" s="17"/>
      <c r="AS66" s="17"/>
      <c r="AT66" s="17"/>
      <c r="AU66" s="22"/>
      <c r="AV66" s="19"/>
      <c r="AW66" s="19"/>
      <c r="AX66" s="19"/>
      <c r="AY66" s="19"/>
      <c r="AZ66" s="19"/>
      <c r="BA66" s="19"/>
      <c r="BB66" s="19"/>
      <c r="BC66" s="19"/>
      <c r="BD66" s="28"/>
      <c r="BE66" s="19"/>
      <c r="BF66" s="19"/>
      <c r="BG66" s="19"/>
      <c r="BH66" s="22"/>
      <c r="BI66" s="19"/>
      <c r="BJ66" s="19"/>
      <c r="BK66" s="144" t="s">
        <v>2436</v>
      </c>
      <c r="BL66" s="19"/>
      <c r="BM66" s="19"/>
      <c r="BN66" s="19"/>
      <c r="BO66" s="19"/>
      <c r="BP66" s="19"/>
      <c r="BQ66" s="19"/>
      <c r="BR66" s="19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</row>
    <row r="67" spans="1:95" ht="26.25" customHeight="1">
      <c r="A67" s="23" t="str">
        <f t="shared" si="1"/>
        <v>AG004 - PD-C/U</v>
      </c>
      <c r="B67" s="23" t="s">
        <v>2468</v>
      </c>
      <c r="C67" s="24" t="s">
        <v>9</v>
      </c>
      <c r="D67" s="24" t="s">
        <v>10</v>
      </c>
      <c r="E67" s="24" t="s">
        <v>49</v>
      </c>
      <c r="F67" s="24" t="s">
        <v>50</v>
      </c>
      <c r="G67" s="26" t="s">
        <v>13</v>
      </c>
      <c r="H67" s="26" t="str">
        <f t="shared" si="2"/>
        <v>R.10/2</v>
      </c>
      <c r="I67" s="32" t="s">
        <v>323</v>
      </c>
      <c r="J67" s="24">
        <v>2</v>
      </c>
      <c r="K67" s="23" t="e">
        <f>VLOOKUP(B67,#REF!,2,FALSE())</f>
        <v>#REF!</v>
      </c>
      <c r="L67" s="24" t="e">
        <f>VLOOKUP(B67,#REF!,7,FALSE())</f>
        <v>#REF!</v>
      </c>
      <c r="M67" s="35" t="s">
        <v>58</v>
      </c>
      <c r="N67" s="25" t="s">
        <v>7</v>
      </c>
      <c r="O67" s="26" t="s">
        <v>7</v>
      </c>
      <c r="P67" s="35" t="s">
        <v>621</v>
      </c>
      <c r="Q67" s="37" t="e">
        <f>VLOOKUP(B67,#REF!,10,FALSE())</f>
        <v>#REF!</v>
      </c>
      <c r="R67" s="38" t="s">
        <v>635</v>
      </c>
      <c r="S67" s="39">
        <f>U67+W67+Y67+AA67+AC67+AE67+AG67+AH67</f>
        <v>0.54166666666666663</v>
      </c>
      <c r="T67" s="19"/>
      <c r="U67" s="18"/>
      <c r="V67" s="19"/>
      <c r="W67" s="18"/>
      <c r="X67" s="19"/>
      <c r="Y67" s="18"/>
      <c r="Z67" s="19"/>
      <c r="AA67" s="18"/>
      <c r="AB67" s="19"/>
      <c r="AC67" s="18"/>
      <c r="AD67" s="19"/>
      <c r="AE67" s="18"/>
      <c r="AF67" s="19" t="s">
        <v>636</v>
      </c>
      <c r="AG67" s="18">
        <v>0.54166666666666663</v>
      </c>
      <c r="AH67" s="39"/>
      <c r="AI67" s="19"/>
      <c r="AJ67" s="19"/>
      <c r="AK67" s="19"/>
      <c r="AL67" s="19"/>
      <c r="AM67" s="19"/>
      <c r="AN67" s="19"/>
      <c r="AO67" s="19"/>
      <c r="AP67" s="19"/>
      <c r="AQ67" s="28" t="s">
        <v>43</v>
      </c>
      <c r="AR67" s="19" t="s">
        <v>43</v>
      </c>
      <c r="AS67" s="19" t="s">
        <v>43</v>
      </c>
      <c r="AT67" s="19" t="s">
        <v>43</v>
      </c>
      <c r="AU67" s="40"/>
      <c r="AV67" s="17"/>
      <c r="AW67" s="17"/>
      <c r="AX67" s="17"/>
      <c r="AY67" s="17"/>
      <c r="AZ67" s="17"/>
      <c r="BA67" s="17"/>
      <c r="BB67" s="17"/>
      <c r="BC67" s="17"/>
      <c r="BD67" s="31"/>
      <c r="BE67" s="17"/>
      <c r="BF67" s="17"/>
      <c r="BG67" s="17"/>
      <c r="BH67" s="40"/>
      <c r="BI67" s="17"/>
      <c r="BJ67" s="17"/>
      <c r="BK67" s="17"/>
      <c r="BL67" s="135" t="s">
        <v>2436</v>
      </c>
      <c r="BM67" s="17"/>
      <c r="BN67" s="17"/>
      <c r="BO67" s="17"/>
      <c r="BP67" s="17"/>
      <c r="BQ67" s="17"/>
      <c r="BR67" s="17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</row>
    <row r="68" spans="1:95" ht="26.25" customHeight="1">
      <c r="A68" s="2" t="str">
        <f t="shared" si="1"/>
        <v>AG062 - LD-B/6</v>
      </c>
      <c r="B68" s="2" t="s">
        <v>2364</v>
      </c>
      <c r="C68" s="53" t="s">
        <v>28</v>
      </c>
      <c r="D68" s="53" t="s">
        <v>10</v>
      </c>
      <c r="E68" s="53" t="s">
        <v>49</v>
      </c>
      <c r="F68" s="53" t="s">
        <v>30</v>
      </c>
      <c r="G68" s="53">
        <v>6</v>
      </c>
      <c r="H68" s="54" t="str">
        <f t="shared" si="2"/>
        <v>-</v>
      </c>
      <c r="I68" s="55"/>
      <c r="J68" s="53"/>
      <c r="K68" s="2" t="e">
        <f>VLOOKUP(B68,#REF!,2,FALSE())</f>
        <v>#REF!</v>
      </c>
      <c r="L68" s="53" t="e">
        <f>VLOOKUP(B68,#REF!,7,FALSE())</f>
        <v>#REF!</v>
      </c>
      <c r="M68" s="56" t="s">
        <v>21</v>
      </c>
      <c r="N68" s="57" t="s">
        <v>7</v>
      </c>
      <c r="O68" s="54" t="s">
        <v>7</v>
      </c>
      <c r="P68" s="56" t="s">
        <v>2367</v>
      </c>
      <c r="Q68" s="58" t="s">
        <v>2419</v>
      </c>
      <c r="R68" s="27" t="s">
        <v>2470</v>
      </c>
      <c r="S68" s="63">
        <v>1.8333333333333333</v>
      </c>
      <c r="T68" s="17" t="s">
        <v>1481</v>
      </c>
      <c r="U68" s="60">
        <v>0.30555555555555558</v>
      </c>
      <c r="V68" s="17" t="s">
        <v>1481</v>
      </c>
      <c r="W68" s="60">
        <v>0.30555555555555558</v>
      </c>
      <c r="X68" s="17" t="s">
        <v>1481</v>
      </c>
      <c r="Y68" s="60">
        <v>0.30555555555555558</v>
      </c>
      <c r="Z68" s="17" t="s">
        <v>125</v>
      </c>
      <c r="AA68" s="60" t="s">
        <v>49</v>
      </c>
      <c r="AB68" s="17" t="s">
        <v>1481</v>
      </c>
      <c r="AC68" s="60">
        <v>0.30555555555555558</v>
      </c>
      <c r="AD68" s="17" t="s">
        <v>1481</v>
      </c>
      <c r="AE68" s="60">
        <v>0.30555555555555558</v>
      </c>
      <c r="AF68" s="17" t="s">
        <v>1481</v>
      </c>
      <c r="AG68" s="60">
        <v>0.30555555555555558</v>
      </c>
      <c r="AH68" s="17"/>
      <c r="AI68" s="17"/>
      <c r="AJ68" s="17"/>
      <c r="AK68" s="17"/>
      <c r="AL68" s="17"/>
      <c r="AM68" s="17"/>
      <c r="AN68" s="17"/>
      <c r="AO68" s="17"/>
      <c r="AP68" s="17"/>
      <c r="AQ68" s="63"/>
      <c r="AR68" s="17"/>
      <c r="AS68" s="17"/>
      <c r="AT68" s="17"/>
      <c r="AU68" s="22"/>
      <c r="AV68" s="19"/>
      <c r="AW68" s="19"/>
      <c r="AX68" s="19"/>
      <c r="AY68" s="19"/>
      <c r="AZ68" s="19"/>
      <c r="BA68" s="19"/>
      <c r="BB68" s="19"/>
      <c r="BC68" s="19"/>
      <c r="BD68" s="28"/>
      <c r="BE68" s="19"/>
      <c r="BF68" s="19"/>
      <c r="BG68" s="19"/>
      <c r="BH68" s="22"/>
      <c r="BI68" s="19"/>
      <c r="BJ68" s="19"/>
      <c r="BK68" s="19"/>
      <c r="BL68" s="19"/>
      <c r="BM68" s="147" t="s">
        <v>2436</v>
      </c>
      <c r="BN68" s="19"/>
      <c r="BO68" s="19"/>
      <c r="BP68" s="19"/>
      <c r="BQ68" s="19"/>
      <c r="BR68" s="19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</row>
    <row r="69" spans="1:95" ht="26.25" customHeight="1">
      <c r="A69" s="2" t="str">
        <f t="shared" si="1"/>
        <v>FC069 - LD-C/U</v>
      </c>
      <c r="B69" s="2" t="s">
        <v>1505</v>
      </c>
      <c r="C69" s="53" t="s">
        <v>28</v>
      </c>
      <c r="D69" s="53" t="s">
        <v>10</v>
      </c>
      <c r="E69" s="53" t="s">
        <v>49</v>
      </c>
      <c r="F69" s="53" t="s">
        <v>50</v>
      </c>
      <c r="G69" s="54" t="s">
        <v>13</v>
      </c>
      <c r="H69" s="54" t="str">
        <f t="shared" si="2"/>
        <v>Reduzido</v>
      </c>
      <c r="I69" s="55" t="s">
        <v>676</v>
      </c>
      <c r="J69" s="53"/>
      <c r="K69" s="2" t="e">
        <f>VLOOKUP(B69,#REF!,2,FALSE())</f>
        <v>#REF!</v>
      </c>
      <c r="L69" s="53" t="e">
        <f>VLOOKUP(B69,#REF!,7,FALSE())</f>
        <v>#REF!</v>
      </c>
      <c r="M69" s="56" t="s">
        <v>58</v>
      </c>
      <c r="N69" s="57" t="s">
        <v>7</v>
      </c>
      <c r="O69" s="54" t="s">
        <v>7</v>
      </c>
      <c r="P69" s="56" t="s">
        <v>60</v>
      </c>
      <c r="Q69" s="58" t="e">
        <f>VLOOKUP(B69,#REF!,10,FALSE())</f>
        <v>#REF!</v>
      </c>
      <c r="R69" s="27" t="s">
        <v>2473</v>
      </c>
      <c r="S69" s="59">
        <f t="shared" ref="S69:S70" si="5">U69+W69+Y69+AA69+AC69+AE69+AG69+AH69</f>
        <v>0.99999999999999989</v>
      </c>
      <c r="T69" s="17" t="s">
        <v>1504</v>
      </c>
      <c r="U69" s="60">
        <v>0.16666666666666666</v>
      </c>
      <c r="V69" s="17" t="s">
        <v>1504</v>
      </c>
      <c r="W69" s="60">
        <v>0.16666666666666666</v>
      </c>
      <c r="X69" s="17" t="s">
        <v>1504</v>
      </c>
      <c r="Y69" s="60">
        <v>0.16666666666666666</v>
      </c>
      <c r="Z69" s="17" t="s">
        <v>1504</v>
      </c>
      <c r="AA69" s="60">
        <v>0.16666666666666666</v>
      </c>
      <c r="AB69" s="17" t="s">
        <v>1504</v>
      </c>
      <c r="AC69" s="60">
        <v>0.16666666666666666</v>
      </c>
      <c r="AD69" s="17" t="s">
        <v>64</v>
      </c>
      <c r="AE69" s="60">
        <v>0.16666666666666666</v>
      </c>
      <c r="AF69" s="17" t="s">
        <v>37</v>
      </c>
      <c r="AG69" s="17"/>
      <c r="AH69" s="59"/>
      <c r="AI69" s="17"/>
      <c r="AJ69" s="17"/>
      <c r="AK69" s="17"/>
      <c r="AL69" s="17"/>
      <c r="AM69" s="17"/>
      <c r="AN69" s="17"/>
      <c r="AO69" s="17"/>
      <c r="AP69" s="17"/>
      <c r="AQ69" s="31"/>
      <c r="AR69" s="17"/>
      <c r="AS69" s="17"/>
      <c r="AT69" s="17"/>
      <c r="AU69" s="22"/>
      <c r="AV69" s="19"/>
      <c r="AW69" s="19"/>
      <c r="AX69" s="19"/>
      <c r="AY69" s="19"/>
      <c r="AZ69" s="19"/>
      <c r="BA69" s="19"/>
      <c r="BB69" s="19"/>
      <c r="BC69" s="19"/>
      <c r="BD69" s="28"/>
      <c r="BE69" s="19"/>
      <c r="BF69" s="19"/>
      <c r="BG69" s="19"/>
      <c r="BH69" s="22"/>
      <c r="BI69" s="19"/>
      <c r="BJ69" s="19"/>
      <c r="BK69" s="19"/>
      <c r="BL69" s="19"/>
      <c r="BM69" s="19"/>
      <c r="BN69" s="147" t="s">
        <v>2436</v>
      </c>
      <c r="BO69" s="19"/>
      <c r="BP69" s="19"/>
      <c r="BQ69" s="19"/>
      <c r="BR69" s="19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</row>
    <row r="70" spans="1:95" ht="26.25" customHeight="1">
      <c r="A70" s="23" t="str">
        <f t="shared" si="1"/>
        <v>AG057 - LD-C/U</v>
      </c>
      <c r="B70" s="23" t="s">
        <v>2475</v>
      </c>
      <c r="C70" s="24" t="s">
        <v>28</v>
      </c>
      <c r="D70" s="24" t="s">
        <v>10</v>
      </c>
      <c r="E70" s="24" t="s">
        <v>49</v>
      </c>
      <c r="F70" s="24" t="s">
        <v>50</v>
      </c>
      <c r="G70" s="26" t="s">
        <v>13</v>
      </c>
      <c r="H70" s="26" t="str">
        <f t="shared" si="2"/>
        <v>R.04/3</v>
      </c>
      <c r="I70" s="32" t="s">
        <v>234</v>
      </c>
      <c r="J70" s="24">
        <v>3</v>
      </c>
      <c r="K70" s="23" t="e">
        <f>VLOOKUP(B70,#REF!,2,FALSE())</f>
        <v>#REF!</v>
      </c>
      <c r="L70" s="24" t="e">
        <f>VLOOKUP(B70,#REF!,7,FALSE())</f>
        <v>#REF!</v>
      </c>
      <c r="M70" s="35" t="s">
        <v>58</v>
      </c>
      <c r="N70" s="25" t="s">
        <v>7</v>
      </c>
      <c r="O70" s="26" t="s">
        <v>7</v>
      </c>
      <c r="P70" s="35" t="s">
        <v>60</v>
      </c>
      <c r="Q70" s="37" t="e">
        <f>VLOOKUP(B70,#REF!,10,FALSE())</f>
        <v>#REF!</v>
      </c>
      <c r="R70" s="38" t="s">
        <v>1462</v>
      </c>
      <c r="S70" s="39">
        <f t="shared" si="5"/>
        <v>0.83333333333333326</v>
      </c>
      <c r="T70" s="19" t="s">
        <v>1504</v>
      </c>
      <c r="U70" s="18">
        <v>0.16666666666666666</v>
      </c>
      <c r="V70" s="19" t="s">
        <v>1504</v>
      </c>
      <c r="W70" s="18">
        <v>0.16666666666666666</v>
      </c>
      <c r="X70" s="19" t="s">
        <v>1504</v>
      </c>
      <c r="Y70" s="18">
        <v>0.16666666666666666</v>
      </c>
      <c r="Z70" s="19" t="s">
        <v>1504</v>
      </c>
      <c r="AA70" s="18">
        <v>0.16666666666666666</v>
      </c>
      <c r="AB70" s="19" t="s">
        <v>1504</v>
      </c>
      <c r="AC70" s="18">
        <v>0.16666666666666666</v>
      </c>
      <c r="AD70" s="19" t="s">
        <v>37</v>
      </c>
      <c r="AE70" s="18"/>
      <c r="AF70" s="19" t="s">
        <v>37</v>
      </c>
      <c r="AG70" s="19"/>
      <c r="AH70" s="39"/>
      <c r="AI70" s="19"/>
      <c r="AJ70" s="19"/>
      <c r="AK70" s="19"/>
      <c r="AL70" s="19"/>
      <c r="AM70" s="19"/>
      <c r="AN70" s="19"/>
      <c r="AO70" s="19"/>
      <c r="AP70" s="19"/>
      <c r="AQ70" s="28"/>
      <c r="AR70" s="19"/>
      <c r="AS70" s="19"/>
      <c r="AT70" s="19"/>
      <c r="AU70" s="22"/>
      <c r="AV70" s="19"/>
      <c r="AW70" s="19"/>
      <c r="AX70" s="19"/>
      <c r="AY70" s="19"/>
      <c r="AZ70" s="19"/>
      <c r="BA70" s="19"/>
      <c r="BB70" s="19"/>
      <c r="BC70" s="19"/>
      <c r="BD70" s="28"/>
      <c r="BE70" s="19"/>
      <c r="BF70" s="19"/>
      <c r="BG70" s="19"/>
      <c r="BH70" s="22"/>
      <c r="BI70" s="19"/>
      <c r="BJ70" s="19"/>
      <c r="BK70" s="19"/>
      <c r="BL70" s="19"/>
      <c r="BM70" s="19"/>
      <c r="BN70" s="147" t="s">
        <v>2436</v>
      </c>
      <c r="BO70" s="19"/>
      <c r="BP70" s="19"/>
      <c r="BQ70" s="19"/>
      <c r="BR70" s="19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</row>
    <row r="71" spans="1:95" ht="26.25" customHeight="1">
      <c r="A71" s="2" t="str">
        <f t="shared" si="1"/>
        <v>FC067 - MD-B/2</v>
      </c>
      <c r="B71" s="2" t="s">
        <v>2440</v>
      </c>
      <c r="C71" s="53" t="s">
        <v>93</v>
      </c>
      <c r="D71" s="53" t="s">
        <v>10</v>
      </c>
      <c r="E71" s="53" t="s">
        <v>49</v>
      </c>
      <c r="F71" s="53" t="s">
        <v>30</v>
      </c>
      <c r="G71" s="53">
        <v>2</v>
      </c>
      <c r="H71" s="54" t="str">
        <f t="shared" si="2"/>
        <v>-</v>
      </c>
      <c r="I71" s="55"/>
      <c r="J71" s="53"/>
      <c r="K71" s="2" t="e">
        <f>VLOOKUP(B71,#REF!,2,FALSE())</f>
        <v>#REF!</v>
      </c>
      <c r="L71" s="53" t="e">
        <f>VLOOKUP(B71,#REF!,7,FALSE())</f>
        <v>#REF!</v>
      </c>
      <c r="M71" s="56" t="s">
        <v>21</v>
      </c>
      <c r="N71" s="57" t="s">
        <v>7</v>
      </c>
      <c r="O71" s="54" t="s">
        <v>7</v>
      </c>
      <c r="P71" s="56" t="s">
        <v>60</v>
      </c>
      <c r="Q71" s="58" t="e">
        <f>VLOOKUP(B71,#REF!,10,FALSE())</f>
        <v>#REF!</v>
      </c>
      <c r="R71" s="27" t="s">
        <v>2447</v>
      </c>
      <c r="S71" s="59">
        <v>1.8333333333333333</v>
      </c>
      <c r="T71" s="61" t="s">
        <v>2476</v>
      </c>
      <c r="U71" s="62">
        <v>0.30208333333333331</v>
      </c>
      <c r="V71" s="61" t="s">
        <v>2476</v>
      </c>
      <c r="W71" s="62">
        <v>0.30208333333333331</v>
      </c>
      <c r="X71" s="61" t="s">
        <v>2476</v>
      </c>
      <c r="Y71" s="62">
        <v>0.30208333333333331</v>
      </c>
      <c r="Z71" s="61" t="s">
        <v>2476</v>
      </c>
      <c r="AA71" s="62">
        <v>0.30208333333333331</v>
      </c>
      <c r="AB71" s="61" t="s">
        <v>2476</v>
      </c>
      <c r="AC71" s="62">
        <v>0.30208333333333331</v>
      </c>
      <c r="AD71" s="17" t="s">
        <v>2477</v>
      </c>
      <c r="AE71" s="62">
        <v>0.32291666666666669</v>
      </c>
      <c r="AF71" s="17" t="s">
        <v>125</v>
      </c>
      <c r="AG71" s="60"/>
      <c r="AH71" s="17"/>
      <c r="AI71" s="17"/>
      <c r="AJ71" s="17"/>
      <c r="AK71" s="17"/>
      <c r="AL71" s="17"/>
      <c r="AM71" s="17"/>
      <c r="AN71" s="17"/>
      <c r="AO71" s="17"/>
      <c r="AP71" s="17"/>
      <c r="AQ71" s="63"/>
      <c r="AR71" s="17"/>
      <c r="AS71" s="17"/>
      <c r="AT71" s="17"/>
      <c r="AU71" s="40"/>
      <c r="AV71" s="17"/>
      <c r="AW71" s="17"/>
      <c r="AX71" s="17"/>
      <c r="AY71" s="17"/>
      <c r="AZ71" s="17"/>
      <c r="BA71" s="17"/>
      <c r="BB71" s="17"/>
      <c r="BC71" s="17"/>
      <c r="BD71" s="31"/>
      <c r="BE71" s="17"/>
      <c r="BF71" s="17"/>
      <c r="BG71" s="17"/>
      <c r="BH71" s="40"/>
      <c r="BI71" s="17"/>
      <c r="BJ71" s="17"/>
      <c r="BK71" s="135" t="s">
        <v>2436</v>
      </c>
      <c r="BL71" s="17" t="s">
        <v>2479</v>
      </c>
      <c r="BM71" s="17"/>
      <c r="BN71" s="17"/>
      <c r="BO71" s="135" t="s">
        <v>2436</v>
      </c>
      <c r="BP71" s="17"/>
      <c r="BQ71" s="17"/>
      <c r="BR71" s="17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</row>
    <row r="72" spans="1:95" ht="26.25" customHeight="1">
      <c r="A72" s="2" t="str">
        <f t="shared" si="1"/>
        <v>AG005 - PN-A/1</v>
      </c>
      <c r="B72" s="2" t="s">
        <v>119</v>
      </c>
      <c r="C72" s="53" t="s">
        <v>9</v>
      </c>
      <c r="D72" s="53" t="s">
        <v>157</v>
      </c>
      <c r="E72" s="53" t="s">
        <v>49</v>
      </c>
      <c r="F72" s="53" t="s">
        <v>11</v>
      </c>
      <c r="G72" s="54">
        <v>1</v>
      </c>
      <c r="H72" s="54" t="str">
        <f t="shared" si="2"/>
        <v>-</v>
      </c>
      <c r="I72" s="55"/>
      <c r="J72" s="53"/>
      <c r="K72" s="2" t="e">
        <f>VLOOKUP(B72,#REF!,2,FALSE())</f>
        <v>#REF!</v>
      </c>
      <c r="L72" s="53" t="e">
        <f>VLOOKUP(B72,#REF!,7,FALSE())</f>
        <v>#REF!</v>
      </c>
      <c r="M72" s="56" t="s">
        <v>21</v>
      </c>
      <c r="N72" s="57" t="s">
        <v>7</v>
      </c>
      <c r="O72" s="54" t="s">
        <v>7</v>
      </c>
      <c r="P72" s="56" t="s">
        <v>22</v>
      </c>
      <c r="Q72" s="58" t="e">
        <f>VLOOKUP(B72,#REF!,10,FALSE())</f>
        <v>#REF!</v>
      </c>
      <c r="R72" s="27" t="s">
        <v>162</v>
      </c>
      <c r="S72" s="59">
        <v>1.8333333333333333</v>
      </c>
      <c r="T72" s="17" t="s">
        <v>163</v>
      </c>
      <c r="U72" s="60">
        <v>0.5</v>
      </c>
      <c r="V72" s="17"/>
      <c r="W72" s="60"/>
      <c r="X72" s="17" t="s">
        <v>163</v>
      </c>
      <c r="Y72" s="60">
        <v>0.5</v>
      </c>
      <c r="Z72" s="17"/>
      <c r="AA72" s="60"/>
      <c r="AB72" s="17" t="s">
        <v>163</v>
      </c>
      <c r="AC72" s="60">
        <v>0.5</v>
      </c>
      <c r="AD72" s="17"/>
      <c r="AE72" s="60"/>
      <c r="AF72" s="17" t="s">
        <v>163</v>
      </c>
      <c r="AG72" s="60">
        <v>0.5</v>
      </c>
      <c r="AH72" s="30"/>
      <c r="AI72" s="30" t="s">
        <v>43</v>
      </c>
      <c r="AJ72" s="30" t="s">
        <v>44</v>
      </c>
      <c r="AK72" s="30" t="s">
        <v>44</v>
      </c>
      <c r="AL72" s="30" t="s">
        <v>43</v>
      </c>
      <c r="AM72" s="30" t="s">
        <v>44</v>
      </c>
      <c r="AN72" s="30" t="s">
        <v>44</v>
      </c>
      <c r="AO72" s="30" t="s">
        <v>43</v>
      </c>
      <c r="AP72" s="30" t="s">
        <v>43</v>
      </c>
      <c r="AQ72" s="30" t="s">
        <v>44</v>
      </c>
      <c r="AR72" s="30" t="s">
        <v>43</v>
      </c>
      <c r="AS72" s="30" t="s">
        <v>44</v>
      </c>
      <c r="AT72" s="30" t="s">
        <v>43</v>
      </c>
      <c r="AU72" s="22"/>
      <c r="AV72" s="19"/>
      <c r="AW72" s="19"/>
      <c r="AX72" s="19"/>
      <c r="AY72" s="19"/>
      <c r="AZ72" s="19"/>
      <c r="BA72" s="19"/>
      <c r="BB72" s="19"/>
      <c r="BC72" s="19"/>
      <c r="BD72" s="21"/>
      <c r="BE72" s="19"/>
      <c r="BF72" s="19"/>
      <c r="BG72" s="19"/>
      <c r="BH72" s="22"/>
      <c r="BI72" s="19"/>
      <c r="BJ72" s="19"/>
      <c r="BK72" s="19"/>
      <c r="BL72" s="19"/>
      <c r="BM72" s="19"/>
      <c r="BN72" s="19"/>
      <c r="BO72" s="19"/>
      <c r="BP72" s="147" t="s">
        <v>2436</v>
      </c>
      <c r="BQ72" s="19"/>
      <c r="BR72" s="19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</row>
    <row r="73" spans="1:95" ht="26.25" customHeight="1">
      <c r="A73" s="2" t="str">
        <f t="shared" si="1"/>
        <v>AG005 - PN-A/2</v>
      </c>
      <c r="B73" s="2" t="s">
        <v>119</v>
      </c>
      <c r="C73" s="53" t="s">
        <v>9</v>
      </c>
      <c r="D73" s="53" t="s">
        <v>157</v>
      </c>
      <c r="E73" s="53" t="s">
        <v>49</v>
      </c>
      <c r="F73" s="53" t="s">
        <v>11</v>
      </c>
      <c r="G73" s="53">
        <v>2</v>
      </c>
      <c r="H73" s="54" t="str">
        <f t="shared" si="2"/>
        <v>-</v>
      </c>
      <c r="I73" s="55"/>
      <c r="J73" s="53"/>
      <c r="K73" s="2" t="e">
        <f>VLOOKUP(B73,#REF!,2,FALSE())</f>
        <v>#REF!</v>
      </c>
      <c r="L73" s="53" t="e">
        <f>VLOOKUP(B73,#REF!,7,FALSE())</f>
        <v>#REF!</v>
      </c>
      <c r="M73" s="56" t="s">
        <v>21</v>
      </c>
      <c r="N73" s="57" t="s">
        <v>7</v>
      </c>
      <c r="O73" s="54" t="s">
        <v>7</v>
      </c>
      <c r="P73" s="56" t="s">
        <v>22</v>
      </c>
      <c r="Q73" s="58" t="e">
        <f>VLOOKUP(B73,#REF!,10,FALSE())</f>
        <v>#REF!</v>
      </c>
      <c r="R73" s="27" t="s">
        <v>162</v>
      </c>
      <c r="S73" s="59">
        <v>1.8333333333333333</v>
      </c>
      <c r="T73" s="17"/>
      <c r="U73" s="60"/>
      <c r="V73" s="17" t="s">
        <v>163</v>
      </c>
      <c r="W73" s="60">
        <v>0.5</v>
      </c>
      <c r="X73" s="17"/>
      <c r="Y73" s="60"/>
      <c r="Z73" s="17" t="s">
        <v>163</v>
      </c>
      <c r="AA73" s="60">
        <v>0.5</v>
      </c>
      <c r="AB73" s="17"/>
      <c r="AC73" s="60"/>
      <c r="AD73" s="17" t="s">
        <v>163</v>
      </c>
      <c r="AE73" s="60">
        <v>0.5</v>
      </c>
      <c r="AF73" s="17"/>
      <c r="AG73" s="60"/>
      <c r="AH73" s="30"/>
      <c r="AI73" s="30" t="s">
        <v>44</v>
      </c>
      <c r="AJ73" s="30" t="s">
        <v>43</v>
      </c>
      <c r="AK73" s="30" t="s">
        <v>43</v>
      </c>
      <c r="AL73" s="30" t="s">
        <v>44</v>
      </c>
      <c r="AM73" s="30" t="s">
        <v>43</v>
      </c>
      <c r="AN73" s="30" t="s">
        <v>43</v>
      </c>
      <c r="AO73" s="30" t="s">
        <v>44</v>
      </c>
      <c r="AP73" s="30" t="s">
        <v>44</v>
      </c>
      <c r="AQ73" s="30" t="s">
        <v>43</v>
      </c>
      <c r="AR73" s="30" t="s">
        <v>44</v>
      </c>
      <c r="AS73" s="30" t="s">
        <v>43</v>
      </c>
      <c r="AT73" s="30" t="s">
        <v>44</v>
      </c>
      <c r="AU73" s="40"/>
      <c r="AV73" s="17"/>
      <c r="AW73" s="17"/>
      <c r="AX73" s="17"/>
      <c r="AY73" s="17"/>
      <c r="AZ73" s="17"/>
      <c r="BA73" s="17"/>
      <c r="BB73" s="17"/>
      <c r="BC73" s="17"/>
      <c r="BD73" s="31"/>
      <c r="BE73" s="17"/>
      <c r="BF73" s="17"/>
      <c r="BG73" s="17"/>
      <c r="BH73" s="40"/>
      <c r="BI73" s="17"/>
      <c r="BJ73" s="17"/>
      <c r="BK73" s="17"/>
      <c r="BL73" s="17"/>
      <c r="BM73" s="17"/>
      <c r="BN73" s="17"/>
      <c r="BO73" s="17"/>
      <c r="BP73" s="147" t="s">
        <v>2436</v>
      </c>
      <c r="BQ73" s="17"/>
      <c r="BR73" s="17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</row>
    <row r="74" spans="1:95" ht="26.25" customHeight="1">
      <c r="A74" s="2" t="str">
        <f t="shared" si="1"/>
        <v>AG023 - PN-A/2</v>
      </c>
      <c r="B74" s="2" t="s">
        <v>2432</v>
      </c>
      <c r="C74" s="53" t="s">
        <v>9</v>
      </c>
      <c r="D74" s="53" t="s">
        <v>157</v>
      </c>
      <c r="E74" s="53" t="s">
        <v>49</v>
      </c>
      <c r="F74" s="53" t="s">
        <v>11</v>
      </c>
      <c r="G74" s="53">
        <v>2</v>
      </c>
      <c r="H74" s="54" t="str">
        <f t="shared" si="2"/>
        <v>-</v>
      </c>
      <c r="I74" s="55"/>
      <c r="J74" s="53"/>
      <c r="K74" s="2" t="e">
        <f>VLOOKUP(B74,#REF!,2,FALSE())</f>
        <v>#REF!</v>
      </c>
      <c r="L74" s="53" t="e">
        <f>VLOOKUP(B74,#REF!,7,FALSE())</f>
        <v>#REF!</v>
      </c>
      <c r="M74" s="56" t="s">
        <v>21</v>
      </c>
      <c r="N74" s="57" t="s">
        <v>7</v>
      </c>
      <c r="O74" s="54" t="s">
        <v>7</v>
      </c>
      <c r="P74" s="56" t="s">
        <v>22</v>
      </c>
      <c r="Q74" s="58" t="e">
        <f>VLOOKUP(B74,#REF!,10,FALSE())</f>
        <v>#REF!</v>
      </c>
      <c r="R74" s="27" t="s">
        <v>1228</v>
      </c>
      <c r="S74" s="59">
        <v>1.8333333333333333</v>
      </c>
      <c r="T74" s="61"/>
      <c r="U74" s="62"/>
      <c r="V74" s="61" t="s">
        <v>434</v>
      </c>
      <c r="W74" s="62">
        <v>0.5</v>
      </c>
      <c r="X74" s="61"/>
      <c r="Y74" s="62"/>
      <c r="Z74" s="61" t="s">
        <v>434</v>
      </c>
      <c r="AA74" s="62">
        <v>0.5</v>
      </c>
      <c r="AB74" s="61"/>
      <c r="AC74" s="62"/>
      <c r="AD74" s="17" t="s">
        <v>434</v>
      </c>
      <c r="AE74" s="62">
        <v>0.5</v>
      </c>
      <c r="AF74" s="17"/>
      <c r="AG74" s="60"/>
      <c r="AH74" s="17"/>
      <c r="AI74" s="17" t="s">
        <v>44</v>
      </c>
      <c r="AJ74" s="17" t="s">
        <v>43</v>
      </c>
      <c r="AK74" s="17" t="s">
        <v>43</v>
      </c>
      <c r="AL74" s="17" t="s">
        <v>44</v>
      </c>
      <c r="AM74" s="17" t="s">
        <v>43</v>
      </c>
      <c r="AN74" s="17" t="s">
        <v>43</v>
      </c>
      <c r="AO74" s="17" t="s">
        <v>44</v>
      </c>
      <c r="AP74" s="17" t="s">
        <v>44</v>
      </c>
      <c r="AQ74" s="63" t="s">
        <v>43</v>
      </c>
      <c r="AR74" s="17" t="s">
        <v>44</v>
      </c>
      <c r="AS74" s="17" t="s">
        <v>43</v>
      </c>
      <c r="AT74" s="17" t="s">
        <v>44</v>
      </c>
      <c r="AU74" s="40"/>
      <c r="AV74" s="17"/>
      <c r="AW74" s="17"/>
      <c r="AX74" s="17"/>
      <c r="AY74" s="17"/>
      <c r="AZ74" s="17"/>
      <c r="BA74" s="17"/>
      <c r="BB74" s="17"/>
      <c r="BC74" s="17"/>
      <c r="BD74" s="31" t="s">
        <v>43</v>
      </c>
      <c r="BE74" s="17" t="s">
        <v>43</v>
      </c>
      <c r="BF74" s="17" t="s">
        <v>43</v>
      </c>
      <c r="BG74" s="17" t="s">
        <v>43</v>
      </c>
      <c r="BH74" s="40"/>
      <c r="BI74" s="17"/>
      <c r="BJ74" s="17"/>
      <c r="BK74" s="17"/>
      <c r="BL74" s="17"/>
      <c r="BM74" s="17"/>
      <c r="BN74" s="17"/>
      <c r="BO74" s="17"/>
      <c r="BP74" s="135"/>
      <c r="BQ74" s="135" t="s">
        <v>2436</v>
      </c>
      <c r="BR74" s="17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</row>
    <row r="75" spans="1:95" ht="26.25" customHeight="1">
      <c r="A75" s="2" t="str">
        <f t="shared" si="1"/>
        <v>AG023 - PN-A/1</v>
      </c>
      <c r="B75" s="2" t="s">
        <v>2432</v>
      </c>
      <c r="C75" s="53" t="s">
        <v>9</v>
      </c>
      <c r="D75" s="53" t="s">
        <v>157</v>
      </c>
      <c r="E75" s="53" t="s">
        <v>49</v>
      </c>
      <c r="F75" s="53" t="s">
        <v>11</v>
      </c>
      <c r="G75" s="53">
        <v>1</v>
      </c>
      <c r="H75" s="54" t="str">
        <f t="shared" si="2"/>
        <v>-</v>
      </c>
      <c r="I75" s="55"/>
      <c r="J75" s="53"/>
      <c r="K75" s="2" t="e">
        <f>VLOOKUP(B75,#REF!,2,FALSE())</f>
        <v>#REF!</v>
      </c>
      <c r="L75" s="53" t="e">
        <f>VLOOKUP(B75,#REF!,7,FALSE())</f>
        <v>#REF!</v>
      </c>
      <c r="M75" s="56" t="s">
        <v>21</v>
      </c>
      <c r="N75" s="57" t="s">
        <v>7</v>
      </c>
      <c r="O75" s="54" t="s">
        <v>7</v>
      </c>
      <c r="P75" s="56" t="s">
        <v>22</v>
      </c>
      <c r="Q75" s="58" t="e">
        <f>VLOOKUP(B75,#REF!,10,FALSE())</f>
        <v>#REF!</v>
      </c>
      <c r="R75" s="27" t="s">
        <v>1228</v>
      </c>
      <c r="S75" s="59">
        <v>1.8333333333333333</v>
      </c>
      <c r="T75" s="17" t="s">
        <v>434</v>
      </c>
      <c r="U75" s="60">
        <v>0.5</v>
      </c>
      <c r="V75" s="17"/>
      <c r="W75" s="60"/>
      <c r="X75" s="17" t="s">
        <v>434</v>
      </c>
      <c r="Y75" s="60">
        <v>0.5</v>
      </c>
      <c r="Z75" s="17"/>
      <c r="AA75" s="60"/>
      <c r="AB75" s="17" t="s">
        <v>434</v>
      </c>
      <c r="AC75" s="60">
        <v>0.5</v>
      </c>
      <c r="AD75" s="17"/>
      <c r="AE75" s="60"/>
      <c r="AF75" s="17" t="s">
        <v>434</v>
      </c>
      <c r="AG75" s="60">
        <v>0.5</v>
      </c>
      <c r="AH75" s="17"/>
      <c r="AI75" s="17" t="s">
        <v>43</v>
      </c>
      <c r="AJ75" s="17" t="s">
        <v>44</v>
      </c>
      <c r="AK75" s="17" t="s">
        <v>44</v>
      </c>
      <c r="AL75" s="17" t="s">
        <v>43</v>
      </c>
      <c r="AM75" s="17" t="s">
        <v>44</v>
      </c>
      <c r="AN75" s="17" t="s">
        <v>44</v>
      </c>
      <c r="AO75" s="17" t="s">
        <v>43</v>
      </c>
      <c r="AP75" s="17" t="s">
        <v>43</v>
      </c>
      <c r="AQ75" s="63" t="s">
        <v>44</v>
      </c>
      <c r="AR75" s="17" t="s">
        <v>43</v>
      </c>
      <c r="AS75" s="17" t="s">
        <v>44</v>
      </c>
      <c r="AT75" s="17" t="s">
        <v>43</v>
      </c>
      <c r="AU75" s="22"/>
      <c r="AV75" s="19"/>
      <c r="AW75" s="19"/>
      <c r="AX75" s="19"/>
      <c r="AY75" s="19"/>
      <c r="AZ75" s="19"/>
      <c r="BA75" s="19"/>
      <c r="BB75" s="19"/>
      <c r="BC75" s="19"/>
      <c r="BD75" s="28"/>
      <c r="BE75" s="19"/>
      <c r="BF75" s="19"/>
      <c r="BG75" s="19"/>
      <c r="BH75" s="22"/>
      <c r="BI75" s="19"/>
      <c r="BJ75" s="19"/>
      <c r="BK75" s="19"/>
      <c r="BL75" s="19"/>
      <c r="BM75" s="19"/>
      <c r="BN75" s="19"/>
      <c r="BO75" s="19"/>
      <c r="BP75" s="19"/>
      <c r="BQ75" s="135" t="s">
        <v>2436</v>
      </c>
      <c r="BR75" s="19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</row>
    <row r="76" spans="1:95" ht="26.25" customHeight="1">
      <c r="A76" s="2" t="str">
        <f t="shared" si="1"/>
        <v>AG050 - PN-A/2</v>
      </c>
      <c r="B76" s="2" t="s">
        <v>2461</v>
      </c>
      <c r="C76" s="53" t="s">
        <v>9</v>
      </c>
      <c r="D76" s="53" t="s">
        <v>157</v>
      </c>
      <c r="E76" s="53" t="s">
        <v>49</v>
      </c>
      <c r="F76" s="53" t="s">
        <v>11</v>
      </c>
      <c r="G76" s="53">
        <v>2</v>
      </c>
      <c r="H76" s="54" t="str">
        <f t="shared" si="2"/>
        <v>-</v>
      </c>
      <c r="I76" s="55"/>
      <c r="J76" s="53"/>
      <c r="K76" s="2" t="e">
        <f>VLOOKUP(B76,#REF!,2,FALSE())</f>
        <v>#REF!</v>
      </c>
      <c r="L76" s="53" t="e">
        <f>VLOOKUP(B76,#REF!,7,FALSE())</f>
        <v>#REF!</v>
      </c>
      <c r="M76" s="56" t="s">
        <v>21</v>
      </c>
      <c r="N76" s="57" t="s">
        <v>7</v>
      </c>
      <c r="O76" s="54" t="s">
        <v>7</v>
      </c>
      <c r="P76" s="56" t="s">
        <v>22</v>
      </c>
      <c r="Q76" s="58" t="e">
        <f>VLOOKUP(B76,#REF!,10,FALSE())</f>
        <v>#REF!</v>
      </c>
      <c r="R76" s="27" t="s">
        <v>1228</v>
      </c>
      <c r="S76" s="59">
        <v>1.8333333333333333</v>
      </c>
      <c r="T76" s="61"/>
      <c r="U76" s="62"/>
      <c r="V76" s="61" t="s">
        <v>434</v>
      </c>
      <c r="W76" s="62">
        <v>0.5</v>
      </c>
      <c r="X76" s="61"/>
      <c r="Y76" s="62"/>
      <c r="Z76" s="61" t="s">
        <v>434</v>
      </c>
      <c r="AA76" s="62">
        <v>0.5</v>
      </c>
      <c r="AB76" s="61"/>
      <c r="AC76" s="62"/>
      <c r="AD76" s="17" t="s">
        <v>434</v>
      </c>
      <c r="AE76" s="62">
        <v>0.5</v>
      </c>
      <c r="AF76" s="17"/>
      <c r="AG76" s="60" t="s">
        <v>49</v>
      </c>
      <c r="AH76" s="17"/>
      <c r="AI76" s="17" t="s">
        <v>44</v>
      </c>
      <c r="AJ76" s="17" t="s">
        <v>43</v>
      </c>
      <c r="AK76" s="17" t="s">
        <v>43</v>
      </c>
      <c r="AL76" s="17" t="s">
        <v>44</v>
      </c>
      <c r="AM76" s="17" t="s">
        <v>43</v>
      </c>
      <c r="AN76" s="17" t="s">
        <v>43</v>
      </c>
      <c r="AO76" s="17" t="s">
        <v>44</v>
      </c>
      <c r="AP76" s="17" t="s">
        <v>44</v>
      </c>
      <c r="AQ76" s="63" t="s">
        <v>43</v>
      </c>
      <c r="AR76" s="17" t="s">
        <v>44</v>
      </c>
      <c r="AS76" s="17" t="s">
        <v>43</v>
      </c>
      <c r="AT76" s="17" t="s">
        <v>44</v>
      </c>
      <c r="AU76" s="29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29"/>
      <c r="BI76" s="30"/>
      <c r="BJ76" s="30"/>
      <c r="BK76" s="30"/>
      <c r="BL76" s="30"/>
      <c r="BM76" s="30"/>
      <c r="BN76" s="30"/>
      <c r="BO76" s="30"/>
      <c r="BP76" s="30"/>
      <c r="BQ76" s="135" t="s">
        <v>2436</v>
      </c>
      <c r="BR76" s="30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</row>
    <row r="77" spans="1:95" ht="26.25" customHeight="1">
      <c r="A77" s="2" t="str">
        <f t="shared" si="1"/>
        <v>AG050 - PN-A/1</v>
      </c>
      <c r="B77" s="2" t="s">
        <v>2461</v>
      </c>
      <c r="C77" s="53" t="s">
        <v>9</v>
      </c>
      <c r="D77" s="53" t="s">
        <v>157</v>
      </c>
      <c r="E77" s="53" t="s">
        <v>49</v>
      </c>
      <c r="F77" s="53" t="s">
        <v>11</v>
      </c>
      <c r="G77" s="53">
        <v>1</v>
      </c>
      <c r="H77" s="54" t="str">
        <f t="shared" si="2"/>
        <v>-</v>
      </c>
      <c r="I77" s="55"/>
      <c r="J77" s="53"/>
      <c r="K77" s="2" t="e">
        <f>VLOOKUP(B77,#REF!,2,FALSE())</f>
        <v>#REF!</v>
      </c>
      <c r="L77" s="53" t="e">
        <f>VLOOKUP(B77,#REF!,7,FALSE())</f>
        <v>#REF!</v>
      </c>
      <c r="M77" s="56" t="s">
        <v>21</v>
      </c>
      <c r="N77" s="57" t="s">
        <v>7</v>
      </c>
      <c r="O77" s="54" t="s">
        <v>7</v>
      </c>
      <c r="P77" s="56" t="s">
        <v>22</v>
      </c>
      <c r="Q77" s="58" t="e">
        <f>VLOOKUP(B77,#REF!,10,FALSE())</f>
        <v>#REF!</v>
      </c>
      <c r="R77" s="27" t="s">
        <v>1228</v>
      </c>
      <c r="S77" s="59">
        <v>1.8333333333333333</v>
      </c>
      <c r="T77" s="61" t="s">
        <v>434</v>
      </c>
      <c r="U77" s="62">
        <v>0.5</v>
      </c>
      <c r="V77" s="61"/>
      <c r="W77" s="62"/>
      <c r="X77" s="61" t="s">
        <v>434</v>
      </c>
      <c r="Y77" s="62">
        <v>0.5</v>
      </c>
      <c r="Z77" s="61"/>
      <c r="AA77" s="62"/>
      <c r="AB77" s="61" t="s">
        <v>434</v>
      </c>
      <c r="AC77" s="62">
        <v>0.5</v>
      </c>
      <c r="AD77" s="61"/>
      <c r="AE77" s="62"/>
      <c r="AF77" s="17" t="s">
        <v>434</v>
      </c>
      <c r="AG77" s="60">
        <v>0.5</v>
      </c>
      <c r="AH77" s="17"/>
      <c r="AI77" s="17" t="s">
        <v>43</v>
      </c>
      <c r="AJ77" s="17" t="s">
        <v>44</v>
      </c>
      <c r="AK77" s="17" t="s">
        <v>44</v>
      </c>
      <c r="AL77" s="17" t="s">
        <v>43</v>
      </c>
      <c r="AM77" s="17" t="s">
        <v>44</v>
      </c>
      <c r="AN77" s="17" t="s">
        <v>44</v>
      </c>
      <c r="AO77" s="17" t="s">
        <v>43</v>
      </c>
      <c r="AP77" s="17" t="s">
        <v>43</v>
      </c>
      <c r="AQ77" s="63" t="s">
        <v>44</v>
      </c>
      <c r="AR77" s="17" t="s">
        <v>43</v>
      </c>
      <c r="AS77" s="17" t="s">
        <v>44</v>
      </c>
      <c r="AT77" s="17" t="s">
        <v>43</v>
      </c>
      <c r="AU77" s="22"/>
      <c r="AV77" s="20"/>
      <c r="AW77" s="19"/>
      <c r="AX77" s="19"/>
      <c r="AY77" s="19"/>
      <c r="AZ77" s="19"/>
      <c r="BA77" s="19"/>
      <c r="BB77" s="19"/>
      <c r="BC77" s="19"/>
      <c r="BD77" s="21"/>
      <c r="BE77" s="19"/>
      <c r="BF77" s="19"/>
      <c r="BG77" s="19"/>
      <c r="BH77" s="22"/>
      <c r="BI77" s="20"/>
      <c r="BJ77" s="20"/>
      <c r="BK77" s="20"/>
      <c r="BL77" s="20"/>
      <c r="BM77" s="20"/>
      <c r="BN77" s="20"/>
      <c r="BO77" s="19"/>
      <c r="BP77" s="19"/>
      <c r="BQ77" s="135" t="s">
        <v>2436</v>
      </c>
      <c r="BR77" s="19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</row>
    <row r="78" spans="1:95" ht="26.25" customHeight="1">
      <c r="A78" s="2" t="str">
        <f t="shared" si="1"/>
        <v>AG004 - PN-B/U</v>
      </c>
      <c r="B78" s="2" t="s">
        <v>2468</v>
      </c>
      <c r="C78" s="53" t="s">
        <v>9</v>
      </c>
      <c r="D78" s="53" t="s">
        <v>157</v>
      </c>
      <c r="E78" s="53" t="s">
        <v>49</v>
      </c>
      <c r="F78" s="53" t="s">
        <v>30</v>
      </c>
      <c r="G78" s="53" t="s">
        <v>13</v>
      </c>
      <c r="H78" s="54" t="str">
        <f t="shared" si="2"/>
        <v>-</v>
      </c>
      <c r="I78" s="55"/>
      <c r="J78" s="53"/>
      <c r="K78" s="2" t="e">
        <f>VLOOKUP(B78,#REF!,2,FALSE())</f>
        <v>#REF!</v>
      </c>
      <c r="L78" s="53" t="e">
        <f>VLOOKUP(B78,#REF!,7,FALSE())</f>
        <v>#REF!</v>
      </c>
      <c r="M78" s="56" t="s">
        <v>21</v>
      </c>
      <c r="N78" s="57" t="s">
        <v>7</v>
      </c>
      <c r="O78" s="54" t="s">
        <v>7</v>
      </c>
      <c r="P78" s="56" t="s">
        <v>621</v>
      </c>
      <c r="Q78" s="58" t="e">
        <f>VLOOKUP(B78,#REF!,10,FALSE())</f>
        <v>#REF!</v>
      </c>
      <c r="R78" s="27" t="s">
        <v>637</v>
      </c>
      <c r="S78" s="59">
        <f t="shared" ref="S78:S79" si="6">U78+W78+Y78+AA78+AC78+AE78+AG78+AH78</f>
        <v>1.8333333333333335</v>
      </c>
      <c r="T78" s="17" t="s">
        <v>638</v>
      </c>
      <c r="U78" s="60">
        <v>0.30555555555555558</v>
      </c>
      <c r="V78" s="17" t="s">
        <v>638</v>
      </c>
      <c r="W78" s="60">
        <v>0.30555555555555558</v>
      </c>
      <c r="X78" s="17" t="s">
        <v>638</v>
      </c>
      <c r="Y78" s="60">
        <v>0.30555555555555558</v>
      </c>
      <c r="Z78" s="17" t="s">
        <v>37</v>
      </c>
      <c r="AA78" s="60"/>
      <c r="AB78" s="17" t="s">
        <v>638</v>
      </c>
      <c r="AC78" s="60">
        <v>0.30555555555555558</v>
      </c>
      <c r="AD78" s="17" t="s">
        <v>638</v>
      </c>
      <c r="AE78" s="60">
        <v>0.30555555555555558</v>
      </c>
      <c r="AF78" s="17" t="s">
        <v>638</v>
      </c>
      <c r="AG78" s="60">
        <v>0.30555555555555558</v>
      </c>
      <c r="AH78" s="17"/>
      <c r="AI78" s="17"/>
      <c r="AJ78" s="17"/>
      <c r="AK78" s="17"/>
      <c r="AL78" s="17"/>
      <c r="AM78" s="17"/>
      <c r="AN78" s="17"/>
      <c r="AO78" s="17"/>
      <c r="AP78" s="17"/>
      <c r="AQ78" s="30"/>
      <c r="AR78" s="30"/>
      <c r="AS78" s="30"/>
      <c r="AT78" s="30"/>
      <c r="AU78" s="22"/>
      <c r="AV78" s="19"/>
      <c r="AW78" s="19"/>
      <c r="AX78" s="19"/>
      <c r="AY78" s="19"/>
      <c r="AZ78" s="19"/>
      <c r="BA78" s="19"/>
      <c r="BB78" s="19"/>
      <c r="BC78" s="19"/>
      <c r="BD78" s="28"/>
      <c r="BE78" s="19"/>
      <c r="BF78" s="19"/>
      <c r="BG78" s="19"/>
      <c r="BH78" s="22"/>
      <c r="BI78" s="19"/>
      <c r="BJ78" s="19"/>
      <c r="BK78" s="19"/>
      <c r="BL78" s="19"/>
      <c r="BM78" s="19"/>
      <c r="BN78" s="19"/>
      <c r="BO78" s="19"/>
      <c r="BP78" s="19"/>
      <c r="BQ78" s="19"/>
      <c r="BR78" s="147" t="s">
        <v>2436</v>
      </c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</row>
    <row r="79" spans="1:95" ht="26.25" customHeight="1">
      <c r="A79" s="23" t="str">
        <f t="shared" si="1"/>
        <v>AG004 - PN-C/1</v>
      </c>
      <c r="B79" s="23" t="s">
        <v>2468</v>
      </c>
      <c r="C79" s="24" t="s">
        <v>9</v>
      </c>
      <c r="D79" s="24" t="s">
        <v>157</v>
      </c>
      <c r="E79" s="24" t="s">
        <v>49</v>
      </c>
      <c r="F79" s="24" t="s">
        <v>50</v>
      </c>
      <c r="G79" s="26">
        <v>1</v>
      </c>
      <c r="H79" s="26" t="str">
        <f t="shared" si="2"/>
        <v>R.10/1</v>
      </c>
      <c r="I79" s="32" t="s">
        <v>323</v>
      </c>
      <c r="J79" s="24">
        <v>1</v>
      </c>
      <c r="K79" s="23" t="e">
        <f>VLOOKUP(B79,#REF!,2,FALSE())</f>
        <v>#REF!</v>
      </c>
      <c r="L79" s="24" t="e">
        <f>VLOOKUP(B79,#REF!,7,FALSE())</f>
        <v>#REF!</v>
      </c>
      <c r="M79" s="35" t="s">
        <v>58</v>
      </c>
      <c r="N79" s="25" t="s">
        <v>7</v>
      </c>
      <c r="O79" s="26" t="s">
        <v>7</v>
      </c>
      <c r="P79" s="35" t="s">
        <v>621</v>
      </c>
      <c r="Q79" s="37" t="e">
        <f>VLOOKUP(B79,#REF!,10,FALSE())</f>
        <v>#REF!</v>
      </c>
      <c r="R79" s="38" t="s">
        <v>649</v>
      </c>
      <c r="S79" s="39">
        <f t="shared" si="6"/>
        <v>0.30555555555555558</v>
      </c>
      <c r="T79" s="15"/>
      <c r="U79" s="16"/>
      <c r="V79" s="15"/>
      <c r="W79" s="16"/>
      <c r="X79" s="15"/>
      <c r="Y79" s="16"/>
      <c r="Z79" s="15" t="s">
        <v>638</v>
      </c>
      <c r="AA79" s="16">
        <v>0.30555555555555558</v>
      </c>
      <c r="AB79" s="15"/>
      <c r="AC79" s="16"/>
      <c r="AD79" s="19"/>
      <c r="AE79" s="16"/>
      <c r="AF79" s="19"/>
      <c r="AG79" s="19"/>
      <c r="AH79" s="39"/>
      <c r="AI79" s="19"/>
      <c r="AJ79" s="19"/>
      <c r="AK79" s="19"/>
      <c r="AL79" s="19"/>
      <c r="AM79" s="19"/>
      <c r="AN79" s="19"/>
      <c r="AO79" s="19"/>
      <c r="AP79" s="19"/>
      <c r="AQ79" s="28" t="s">
        <v>43</v>
      </c>
      <c r="AR79" s="19" t="s">
        <v>43</v>
      </c>
      <c r="AS79" s="19" t="s">
        <v>43</v>
      </c>
      <c r="AT79" s="19" t="s">
        <v>43</v>
      </c>
      <c r="AU79" s="40"/>
      <c r="AV79" s="17"/>
      <c r="AW79" s="17"/>
      <c r="AX79" s="17"/>
      <c r="AY79" s="17"/>
      <c r="AZ79" s="17"/>
      <c r="BA79" s="17"/>
      <c r="BB79" s="17"/>
      <c r="BC79" s="17"/>
      <c r="BD79" s="31" t="s">
        <v>44</v>
      </c>
      <c r="BE79" s="17" t="s">
        <v>43</v>
      </c>
      <c r="BF79" s="17" t="s">
        <v>44</v>
      </c>
      <c r="BG79" s="17" t="s">
        <v>43</v>
      </c>
      <c r="BH79" s="40"/>
      <c r="BI79" s="17"/>
      <c r="BJ79" s="17"/>
      <c r="BK79" s="17"/>
      <c r="BL79" s="17"/>
      <c r="BM79" s="17"/>
      <c r="BN79" s="17"/>
      <c r="BO79" s="17"/>
      <c r="BP79" s="17"/>
      <c r="BQ79" s="17"/>
      <c r="BR79" s="135" t="s">
        <v>2436</v>
      </c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</row>
    <row r="80" spans="1:95" ht="26.25" hidden="1" customHeight="1">
      <c r="A80" s="2"/>
      <c r="B80" s="2"/>
      <c r="C80" s="53"/>
      <c r="D80" s="53"/>
      <c r="E80" s="53"/>
      <c r="F80" s="53"/>
      <c r="G80" s="53"/>
      <c r="H80" s="54"/>
      <c r="I80" s="55"/>
      <c r="J80" s="53"/>
      <c r="K80" s="2"/>
      <c r="L80" s="53"/>
      <c r="M80" s="56"/>
      <c r="N80" s="57"/>
      <c r="O80" s="54"/>
      <c r="P80" s="56"/>
      <c r="Q80" s="58"/>
      <c r="R80" s="27"/>
      <c r="S80" s="59"/>
      <c r="T80" s="61"/>
      <c r="U80" s="62"/>
      <c r="V80" s="61"/>
      <c r="W80" s="62"/>
      <c r="X80" s="61"/>
      <c r="Y80" s="62"/>
      <c r="Z80" s="61"/>
      <c r="AA80" s="62"/>
      <c r="AB80" s="61"/>
      <c r="AC80" s="62"/>
      <c r="AD80" s="17"/>
      <c r="AE80" s="62"/>
      <c r="AF80" s="17"/>
      <c r="AG80" s="60"/>
      <c r="AH80" s="17"/>
      <c r="AI80" s="17"/>
      <c r="AJ80" s="17"/>
      <c r="AK80" s="17"/>
      <c r="AL80" s="17"/>
      <c r="AM80" s="17"/>
      <c r="AN80" s="17"/>
      <c r="AO80" s="17"/>
      <c r="AP80" s="17"/>
      <c r="AQ80" s="30"/>
      <c r="AR80" s="30"/>
      <c r="AS80" s="30"/>
      <c r="AT80" s="30"/>
      <c r="AU80" s="40"/>
      <c r="AV80" s="17"/>
      <c r="AW80" s="17"/>
      <c r="AX80" s="17"/>
      <c r="AY80" s="17"/>
      <c r="AZ80" s="17"/>
      <c r="BA80" s="17"/>
      <c r="BB80" s="17"/>
      <c r="BC80" s="17"/>
      <c r="BD80" s="31"/>
      <c r="BE80" s="17"/>
      <c r="BF80" s="17"/>
      <c r="BG80" s="17"/>
      <c r="BH80" s="40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</row>
  </sheetData>
  <autoFilter ref="A35:AT80" xr:uid="{00000000-0009-0000-0000-00000B000000}">
    <sortState xmlns:xlrd2="http://schemas.microsoft.com/office/spreadsheetml/2017/richdata2" ref="A35:AT80">
      <sortCondition ref="T35:T80"/>
      <sortCondition ref="Q35:Q80"/>
      <sortCondition ref="K35:K80"/>
      <sortCondition ref="I35:I80"/>
      <sortCondition ref="J35:J80"/>
      <sortCondition descending="1" ref="S35:S80"/>
      <sortCondition ref="AF35:AF80"/>
      <sortCondition ref="AA35:AA80"/>
      <sortCondition ref="Z35:Z80"/>
      <sortCondition ref="X35:X80"/>
      <sortCondition ref="W35:W80"/>
      <sortCondition ref="V35:V80"/>
      <sortCondition ref="U35:U80"/>
      <sortCondition ref="AI35:AI80"/>
    </sortState>
  </autoFilter>
  <dataValidations count="15">
    <dataValidation type="list" allowBlank="1" showErrorMessage="1" sqref="I9" xr:uid="{00000000-0002-0000-0B00-000000000000}">
      <formula1>".01,..02,.03,.04,.05,.06,.07,.08,.09,.10,.11,.12,.13,.14,..15,.16,.17,.18,.19,.20,.21"</formula1>
    </dataValidation>
    <dataValidation type="list" allowBlank="1" showDropDown="1" showErrorMessage="1" sqref="N1 N13 N17 N21 N24:N25 N29 N36:N62 N64:N80" xr:uid="{00000000-0002-0000-0B00-000001000000}">
      <formula1>"N/A,20% INSALUB,40% INSALUB"</formula1>
    </dataValidation>
    <dataValidation type="list" allowBlank="1" showErrorMessage="1" sqref="G1 G13 G17 G21 G24:G25 G29 G36:G80" xr:uid="{00000000-0002-0000-0B00-000002000000}">
      <formula1>"UNICO,1,2,3,4,5,6,7,8,9,10"</formula1>
    </dataValidation>
    <dataValidation type="list" allowBlank="1" showErrorMessage="1" sqref="J1 J4:J34 J36:J80" xr:uid="{00000000-0002-0000-0B00-000003000000}">
      <formula1>"1,2,3,4,5,6,7,8,9,10"</formula1>
    </dataValidation>
    <dataValidation type="list" allowBlank="1" showErrorMessage="1" sqref="I1 I4:I8 I10:I34 I36:I80" xr:uid="{00000000-0002-0000-0B00-000004000000}">
      <formula1>".01,.02,.03,.04,.05,.06,.07,.08,.09,.10,.11,.12,.13,.14,.15,.16,.17,.18,.19,.20,.21,eduzido,.22,.23,.24"</formula1>
    </dataValidation>
    <dataValidation type="list" allowBlank="1" showInputMessage="1" showErrorMessage="1" prompt="Clique e digite um valor da lista de itens" sqref="P4:P12 P14:P16 P18:P20 P22:P23 P26:P28 P30:P34" xr:uid="{00000000-0002-0000-0B00-000005000000}">
      <formula1>"SEM COBERT,COB CONTRATO,COB EXTRA,COB ESCALA,COMPENSAÇÃO,COB ESCALA + EXTRA"</formula1>
    </dataValidation>
    <dataValidation type="list" allowBlank="1" showErrorMessage="1" sqref="F1 F13 F17 F21 F24:F25 F29 F36:F80" xr:uid="{00000000-0002-0000-0B00-000006000000}">
      <formula1>"A  - 12 por 36,B - 44 horas,C - menos de 44h"</formula1>
    </dataValidation>
    <dataValidation type="list" allowBlank="1" showDropDown="1" showErrorMessage="1" sqref="O1 O13 O17 O21 O24:O25 O29 O36:O62 N63:O63 O64:O80" xr:uid="{00000000-0002-0000-0B00-000007000000}">
      <formula1>"N/A,NR32,NR35"</formula1>
    </dataValidation>
    <dataValidation type="list" allowBlank="1" showErrorMessage="1" sqref="D1 D13 D17 D21 D24:D25 D29 D36:D80" xr:uid="{00000000-0002-0000-0B00-000008000000}">
      <formula1>"DIURNO,NOTURNO,MISTO"</formula1>
    </dataValidation>
    <dataValidation type="list" allowBlank="1" showInputMessage="1" showErrorMessage="1" prompt="Clique e digite um valor da lista de itens" sqref="P1 P13 P17 P21 P24:P25 P29 P36:P80" xr:uid="{00000000-0002-0000-0B00-000009000000}">
      <formula1>"SEM COBERT,COB CONTRATO,COB EXTRA,COB ESCALA,COMPENSAÇÃO,COB MISTA"</formula1>
    </dataValidation>
    <dataValidation type="list" allowBlank="1" showErrorMessage="1" sqref="C1 C13 C17 C21 C24:C25 C29 C36:C80" xr:uid="{00000000-0002-0000-0B00-00000A000000}">
      <formula1>"LIMPADOR,PORTEIRO,MANUTENCIONISTA,ZELAD,ENCAR,JARDINEIRO,COORDENADOR DE ENTREGAS"</formula1>
    </dataValidation>
    <dataValidation type="list" allowBlank="1" showErrorMessage="1" sqref="Q1 Q13 Q17 Q21 Q24:Q25 Q29 Q36:Q80" xr:uid="{00000000-0002-0000-0B00-00000B000000}">
      <formula1>"Alan,Bernardo,Flaviana,Coordenação,AVULSO"</formula1>
    </dataValidation>
    <dataValidation type="list" allowBlank="1" showErrorMessage="1" sqref="O4:O12 O14:O16 O18:O20 O22:O23 O26:O28 O30:O34" xr:uid="{00000000-0002-0000-0B00-00000C000000}">
      <formula1>"N/A,NR32,NR35"</formula1>
    </dataValidation>
    <dataValidation type="list" allowBlank="1" showErrorMessage="1" sqref="M1 M13 M17 M21 M24:M25 M29 M36:M80" xr:uid="{00000000-0002-0000-0B00-00000D000000}">
      <formula1>"Cesta Gd,Cesta Pq,Roteiro ou Contagem,Vale Refeição"</formula1>
    </dataValidation>
    <dataValidation type="list" allowBlank="1" showErrorMessage="1" sqref="E1 E13 E17 E21 E24:E25 E29 E36:E80" xr:uid="{00000000-0002-0000-0B00-00000E000000}">
      <formula1>"AVULSO,-,EXTRA"</formula1>
    </dataValidation>
  </dataValidations>
  <printOptions horizontalCentered="1"/>
  <pageMargins left="0.18998825294548671" right="0.20725991230416735" top="0.19443505144679005" bottom="0.16062025989082657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CN90"/>
  <sheetViews>
    <sheetView workbookViewId="0">
      <pane xSplit="11" ySplit="35" topLeftCell="L36" activePane="bottomRight" state="frozen"/>
      <selection pane="topRight" activeCell="L1" sqref="L1"/>
      <selection pane="bottomLeft" activeCell="A36" sqref="A36"/>
      <selection pane="bottomRight" activeCell="L36" sqref="L36"/>
    </sheetView>
  </sheetViews>
  <sheetFormatPr defaultColWidth="12.5703125" defaultRowHeight="15" customHeight="1" outlineLevelRow="2" outlineLevelCol="1"/>
  <cols>
    <col min="1" max="1" width="14" hidden="1" customWidth="1" collapsed="1"/>
    <col min="2" max="2" width="6.42578125" hidden="1" customWidth="1" outlineLevel="1"/>
    <col min="3" max="3" width="20.42578125" hidden="1" customWidth="1" outlineLevel="1"/>
    <col min="4" max="7" width="7.5703125" hidden="1" customWidth="1" outlineLevel="1"/>
    <col min="8" max="8" width="9.42578125" hidden="1" customWidth="1" collapsed="1"/>
    <col min="9" max="10" width="5.140625" hidden="1" customWidth="1" outlineLevel="1"/>
    <col min="11" max="11" width="36.42578125" customWidth="1"/>
    <col min="12" max="12" width="29.7109375" hidden="1" customWidth="1" outlineLevel="1"/>
    <col min="13" max="13" width="15.42578125" hidden="1" customWidth="1" outlineLevel="1"/>
    <col min="14" max="15" width="5.140625" hidden="1" customWidth="1" outlineLevel="1"/>
    <col min="16" max="16" width="16.5703125" hidden="1" customWidth="1" outlineLevel="1"/>
    <col min="17" max="17" width="12.7109375" hidden="1" customWidth="1" outlineLevel="1"/>
    <col min="18" max="18" width="46.28515625" customWidth="1"/>
    <col min="19" max="19" width="11.28515625" hidden="1" customWidth="1"/>
    <col min="20" max="20" width="6" hidden="1" customWidth="1" outlineLevel="1"/>
    <col min="21" max="21" width="6.42578125" hidden="1" customWidth="1" outlineLevel="1"/>
    <col min="22" max="22" width="6" hidden="1" customWidth="1" outlineLevel="1"/>
    <col min="23" max="23" width="6.42578125" hidden="1" customWidth="1" outlineLevel="1"/>
    <col min="24" max="24" width="6" hidden="1" customWidth="1" outlineLevel="1"/>
    <col min="25" max="25" width="6.42578125" hidden="1" customWidth="1" outlineLevel="1"/>
    <col min="26" max="26" width="6" hidden="1" customWidth="1" outlineLevel="1"/>
    <col min="27" max="27" width="6.42578125" hidden="1" customWidth="1" outlineLevel="1"/>
    <col min="28" max="28" width="6" hidden="1" customWidth="1" outlineLevel="1"/>
    <col min="29" max="29" width="6.42578125" hidden="1" customWidth="1" outlineLevel="1"/>
    <col min="30" max="30" width="6" hidden="1" customWidth="1" outlineLevel="1"/>
    <col min="31" max="31" width="6.42578125" hidden="1" customWidth="1" outlineLevel="1"/>
    <col min="32" max="32" width="6" hidden="1" customWidth="1" outlineLevel="1"/>
    <col min="33" max="33" width="6.42578125" hidden="1" customWidth="1" outlineLevel="1"/>
    <col min="34" max="34" width="6.42578125" hidden="1" customWidth="1"/>
    <col min="35" max="35" width="8.85546875" hidden="1" customWidth="1" collapsed="1"/>
    <col min="36" max="42" width="7.5703125" hidden="1" customWidth="1" outlineLevel="1"/>
    <col min="43" max="43" width="9.5703125" hidden="1" customWidth="1" outlineLevel="1"/>
    <col min="44" max="46" width="7.5703125" hidden="1" customWidth="1" outlineLevel="1"/>
    <col min="47" max="47" width="2.28515625" hidden="1" customWidth="1" outlineLevel="1"/>
    <col min="48" max="48" width="8.85546875" hidden="1" customWidth="1" collapsed="1"/>
    <col min="49" max="59" width="7.5703125" hidden="1" customWidth="1" outlineLevel="1"/>
    <col min="60" max="60" width="60.140625" hidden="1" customWidth="1" outlineLevel="1"/>
    <col min="61" max="61" width="8.85546875" hidden="1" customWidth="1"/>
    <col min="62" max="62" width="7.5703125" customWidth="1"/>
    <col min="63" max="63" width="7.42578125" customWidth="1"/>
    <col min="64" max="65" width="7.140625" customWidth="1"/>
    <col min="66" max="66" width="7" customWidth="1"/>
    <col min="67" max="67" width="7" customWidth="1" collapsed="1"/>
    <col min="68" max="68" width="7.42578125" customWidth="1" outlineLevel="1"/>
    <col min="69" max="69" width="7" customWidth="1" outlineLevel="1"/>
    <col min="70" max="70" width="7.140625" customWidth="1" outlineLevel="1"/>
    <col min="71" max="71" width="7" customWidth="1" outlineLevel="1"/>
    <col min="72" max="73" width="6.85546875" customWidth="1" outlineLevel="1"/>
    <col min="74" max="92" width="7.5703125" customWidth="1" outlineLevel="1"/>
  </cols>
  <sheetData>
    <row r="1" spans="1:92" ht="26.25" hidden="1" customHeight="1">
      <c r="A1" s="3" t="str">
        <f>IF(C1="ENCAR",CONCATENATE(B1," - ",C1),IF(C1="ZELAD",CONCATENATE(B1," - ",C1),CONCATENATE(B1," - ",(CONCATENATE(MID(C1,1,1),MID(D1,1,1),MID(E1,1,1),MID(F1,1,1),"/",MID(G1,1,1))))))</f>
        <v xml:space="preserve"> - /</v>
      </c>
      <c r="B1" s="3"/>
      <c r="C1" s="5"/>
      <c r="D1" s="5"/>
      <c r="E1" s="5"/>
      <c r="F1" s="5"/>
      <c r="G1" s="5"/>
      <c r="H1" s="7" t="str">
        <f>IF(I1=0,"-",IF(J1=0,CONCATENATE("R",I1),CONCATENATE("R",I1,"/",J1)))</f>
        <v>-</v>
      </c>
      <c r="I1" s="8"/>
      <c r="J1" s="5"/>
      <c r="K1" s="3" t="e">
        <f>VLOOKUP(B1,#REF!,2,FALSE())</f>
        <v>#REF!</v>
      </c>
      <c r="L1" s="5" t="e">
        <f>VLOOKUP(B1,#REF!,7,FALSE())</f>
        <v>#REF!</v>
      </c>
      <c r="M1" s="10"/>
      <c r="N1" s="11"/>
      <c r="O1" s="7"/>
      <c r="P1" s="10"/>
      <c r="Q1" s="12" t="e">
        <f>VLOOKUP(B1,#REF!,10,FALSE())</f>
        <v>#REF!</v>
      </c>
      <c r="R1" s="13"/>
      <c r="S1" s="14"/>
      <c r="T1" s="15"/>
      <c r="U1" s="16"/>
      <c r="V1" s="15"/>
      <c r="W1" s="16"/>
      <c r="X1" s="15"/>
      <c r="Y1" s="16"/>
      <c r="Z1" s="15"/>
      <c r="AA1" s="16"/>
      <c r="AB1" s="15"/>
      <c r="AC1" s="16"/>
      <c r="AD1" s="15"/>
      <c r="AE1" s="16"/>
      <c r="AF1" s="17"/>
      <c r="AG1" s="18"/>
      <c r="AH1" s="19"/>
      <c r="AI1" s="20"/>
      <c r="AJ1" s="19"/>
      <c r="AK1" s="19"/>
      <c r="AL1" s="19"/>
      <c r="AM1" s="19"/>
      <c r="AN1" s="19"/>
      <c r="AO1" s="19"/>
      <c r="AP1" s="19"/>
      <c r="AQ1" s="21"/>
      <c r="AR1" s="19"/>
      <c r="AS1" s="19"/>
      <c r="AT1" s="19"/>
      <c r="AU1" s="22"/>
      <c r="AV1" s="20"/>
      <c r="AW1" s="19"/>
      <c r="AX1" s="19"/>
      <c r="AY1" s="19"/>
      <c r="AZ1" s="19"/>
      <c r="BA1" s="19"/>
      <c r="BB1" s="19"/>
      <c r="BC1" s="19"/>
      <c r="BD1" s="21"/>
      <c r="BE1" s="19"/>
      <c r="BF1" s="19"/>
      <c r="BG1" s="19"/>
      <c r="BH1" s="22"/>
      <c r="BI1" s="20"/>
      <c r="BJ1" s="20"/>
      <c r="BK1" s="20"/>
      <c r="BL1" s="20"/>
      <c r="BM1" s="20"/>
      <c r="BN1" s="20"/>
      <c r="BO1" s="20"/>
      <c r="BP1" s="19"/>
      <c r="BQ1" s="19"/>
      <c r="BR1" s="19"/>
      <c r="BS1" s="19"/>
      <c r="BT1" s="19"/>
      <c r="BU1" s="19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</row>
    <row r="2" spans="1:92" ht="22.5" hidden="1" customHeight="1">
      <c r="A2" s="41"/>
      <c r="B2" s="41"/>
      <c r="C2" s="42"/>
      <c r="D2" s="42"/>
      <c r="E2" s="42"/>
      <c r="F2" s="42"/>
      <c r="G2" s="42"/>
      <c r="H2" s="42"/>
      <c r="I2" s="43"/>
      <c r="J2" s="42"/>
      <c r="K2" s="41"/>
      <c r="L2" s="42"/>
      <c r="M2" s="44"/>
      <c r="N2" s="45"/>
      <c r="O2" s="42"/>
      <c r="P2" s="44"/>
      <c r="Q2" s="41"/>
      <c r="R2" s="46"/>
      <c r="S2" s="47"/>
      <c r="T2" s="48"/>
      <c r="U2" s="49"/>
      <c r="V2" s="48"/>
      <c r="W2" s="49"/>
      <c r="X2" s="48"/>
      <c r="Y2" s="49"/>
      <c r="Z2" s="48"/>
      <c r="AA2" s="49"/>
      <c r="AB2" s="48"/>
      <c r="AC2" s="49"/>
      <c r="AD2" s="48"/>
      <c r="AE2" s="49"/>
      <c r="AF2" s="48"/>
      <c r="AG2" s="18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51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51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</row>
    <row r="3" spans="1:92" ht="22.5" customHeight="1" collapsed="1">
      <c r="A3" s="41"/>
      <c r="B3" s="42" t="s">
        <v>562</v>
      </c>
      <c r="C3" s="42" t="s">
        <v>564</v>
      </c>
      <c r="D3" s="42" t="s">
        <v>565</v>
      </c>
      <c r="E3" s="42" t="s">
        <v>566</v>
      </c>
      <c r="F3" s="42" t="s">
        <v>567</v>
      </c>
      <c r="G3" s="42" t="s">
        <v>568</v>
      </c>
      <c r="H3" s="42" t="s">
        <v>570</v>
      </c>
      <c r="I3" s="43"/>
      <c r="J3" s="42"/>
      <c r="K3" s="42" t="s">
        <v>571</v>
      </c>
      <c r="L3" s="42" t="s">
        <v>572</v>
      </c>
      <c r="M3" s="42" t="s">
        <v>573</v>
      </c>
      <c r="N3" s="45" t="s">
        <v>574</v>
      </c>
      <c r="O3" s="42" t="s">
        <v>575</v>
      </c>
      <c r="P3" s="42" t="s">
        <v>576</v>
      </c>
      <c r="Q3" s="42" t="s">
        <v>577</v>
      </c>
      <c r="R3" s="44" t="s">
        <v>578</v>
      </c>
      <c r="S3" s="41" t="s">
        <v>579</v>
      </c>
      <c r="T3" s="48" t="s">
        <v>580</v>
      </c>
      <c r="U3" s="69"/>
      <c r="V3" s="48" t="s">
        <v>581</v>
      </c>
      <c r="W3" s="69"/>
      <c r="X3" s="48" t="s">
        <v>582</v>
      </c>
      <c r="Y3" s="69"/>
      <c r="Z3" s="48" t="s">
        <v>583</v>
      </c>
      <c r="AA3" s="69"/>
      <c r="AB3" s="48" t="s">
        <v>584</v>
      </c>
      <c r="AC3" s="69"/>
      <c r="AD3" s="48" t="s">
        <v>585</v>
      </c>
      <c r="AE3" s="69"/>
      <c r="AF3" s="48" t="s">
        <v>586</v>
      </c>
      <c r="AG3" s="18"/>
      <c r="AH3" s="42" t="s">
        <v>587</v>
      </c>
      <c r="AI3" s="42" t="s">
        <v>588</v>
      </c>
      <c r="AJ3" s="42" t="s">
        <v>589</v>
      </c>
      <c r="AK3" s="42" t="s">
        <v>590</v>
      </c>
      <c r="AL3" s="42" t="s">
        <v>591</v>
      </c>
      <c r="AM3" s="42" t="s">
        <v>592</v>
      </c>
      <c r="AN3" s="42" t="s">
        <v>593</v>
      </c>
      <c r="AO3" s="42" t="s">
        <v>594</v>
      </c>
      <c r="AP3" s="42" t="s">
        <v>595</v>
      </c>
      <c r="AQ3" s="42" t="s">
        <v>596</v>
      </c>
      <c r="AR3" s="42" t="s">
        <v>597</v>
      </c>
      <c r="AS3" s="42" t="s">
        <v>598</v>
      </c>
      <c r="AT3" s="42" t="s">
        <v>599</v>
      </c>
      <c r="AU3" s="51"/>
      <c r="AV3" s="42" t="s">
        <v>588</v>
      </c>
      <c r="AW3" s="42" t="s">
        <v>589</v>
      </c>
      <c r="AX3" s="42" t="s">
        <v>590</v>
      </c>
      <c r="AY3" s="42" t="s">
        <v>591</v>
      </c>
      <c r="AZ3" s="42" t="s">
        <v>592</v>
      </c>
      <c r="BA3" s="42" t="s">
        <v>593</v>
      </c>
      <c r="BB3" s="42" t="s">
        <v>594</v>
      </c>
      <c r="BC3" s="42" t="s">
        <v>595</v>
      </c>
      <c r="BD3" s="42" t="s">
        <v>596</v>
      </c>
      <c r="BE3" s="42" t="s">
        <v>597</v>
      </c>
      <c r="BF3" s="42" t="s">
        <v>598</v>
      </c>
      <c r="BG3" s="42" t="s">
        <v>599</v>
      </c>
      <c r="BH3" s="51"/>
      <c r="BI3" s="42"/>
      <c r="BJ3" s="42" t="s">
        <v>2273</v>
      </c>
      <c r="BK3" s="42" t="s">
        <v>2274</v>
      </c>
      <c r="BL3" s="42" t="s">
        <v>2275</v>
      </c>
      <c r="BM3" s="42" t="s">
        <v>2276</v>
      </c>
      <c r="BN3" s="42" t="s">
        <v>2277</v>
      </c>
      <c r="BO3" s="42" t="s">
        <v>2487</v>
      </c>
      <c r="BP3" s="42" t="s">
        <v>2278</v>
      </c>
      <c r="BQ3" s="42" t="s">
        <v>2279</v>
      </c>
      <c r="BR3" s="42" t="s">
        <v>2488</v>
      </c>
      <c r="BS3" s="42" t="s">
        <v>2489</v>
      </c>
      <c r="BT3" s="42" t="s">
        <v>2280</v>
      </c>
      <c r="BU3" s="42" t="s">
        <v>2490</v>
      </c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</row>
    <row r="4" spans="1:92" ht="26.25" hidden="1" customHeight="1" outlineLevel="1">
      <c r="A4" s="41"/>
      <c r="B4" s="3" t="s">
        <v>75</v>
      </c>
      <c r="C4" s="5"/>
      <c r="D4" s="5"/>
      <c r="E4" s="5"/>
      <c r="F4" s="5"/>
      <c r="G4" s="5"/>
      <c r="H4" s="7" t="str">
        <f t="shared" ref="H4:H34" si="0">IF(I4=0,"-",IF(J4=0,CONCATENATE("R",I4),CONCATENATE("R",I4,"/",J4)))</f>
        <v>-</v>
      </c>
      <c r="I4" s="8"/>
      <c r="J4" s="5"/>
      <c r="K4" s="3" t="s">
        <v>76</v>
      </c>
      <c r="L4" s="5"/>
      <c r="M4" s="10"/>
      <c r="N4" s="11"/>
      <c r="O4" s="7"/>
      <c r="P4" s="10"/>
      <c r="Q4" s="5" t="e">
        <f>VLOOKUP(B4,#REF!,14,FALSE())</f>
        <v>#REF!</v>
      </c>
      <c r="R4" s="52"/>
      <c r="S4" s="21"/>
      <c r="T4" s="17"/>
      <c r="U4" s="18"/>
      <c r="V4" s="17"/>
      <c r="W4" s="18"/>
      <c r="X4" s="17"/>
      <c r="Y4" s="18"/>
      <c r="Z4" s="17"/>
      <c r="AA4" s="18"/>
      <c r="AB4" s="17"/>
      <c r="AC4" s="18"/>
      <c r="AD4" s="17"/>
      <c r="AE4" s="18"/>
      <c r="AF4" s="17"/>
      <c r="AG4" s="18"/>
      <c r="AH4" s="17"/>
      <c r="AI4" s="17"/>
      <c r="AJ4" s="17"/>
      <c r="AK4" s="17"/>
      <c r="AL4" s="17"/>
      <c r="AM4" s="17"/>
      <c r="AN4" s="17"/>
      <c r="AO4" s="17"/>
      <c r="AP4" s="17"/>
      <c r="AQ4" s="21"/>
      <c r="AR4" s="17"/>
      <c r="AS4" s="17"/>
      <c r="AT4" s="17"/>
      <c r="AU4" s="40"/>
      <c r="AV4" s="17"/>
      <c r="AW4" s="17"/>
      <c r="AX4" s="17"/>
      <c r="AY4" s="17"/>
      <c r="AZ4" s="17"/>
      <c r="BA4" s="17"/>
      <c r="BB4" s="17"/>
      <c r="BC4" s="17"/>
      <c r="BD4" s="21"/>
      <c r="BE4" s="17"/>
      <c r="BF4" s="17"/>
      <c r="BG4" s="17"/>
      <c r="BH4" s="40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</row>
    <row r="5" spans="1:92" ht="26.25" hidden="1" customHeight="1" outlineLevel="1">
      <c r="A5" s="41"/>
      <c r="B5" s="3" t="s">
        <v>75</v>
      </c>
      <c r="C5" s="5"/>
      <c r="D5" s="5"/>
      <c r="E5" s="5"/>
      <c r="F5" s="5"/>
      <c r="G5" s="5"/>
      <c r="H5" s="7" t="str">
        <f t="shared" si="0"/>
        <v>-</v>
      </c>
      <c r="I5" s="8"/>
      <c r="J5" s="5"/>
      <c r="K5" s="3" t="s">
        <v>106</v>
      </c>
      <c r="L5" s="5"/>
      <c r="M5" s="10"/>
      <c r="N5" s="11"/>
      <c r="O5" s="7"/>
      <c r="P5" s="10"/>
      <c r="Q5" s="5" t="e">
        <f>VLOOKUP(B5,#REF!,14,FALSE())</f>
        <v>#REF!</v>
      </c>
      <c r="R5" s="52"/>
      <c r="S5" s="21"/>
      <c r="T5" s="17"/>
      <c r="U5" s="18"/>
      <c r="V5" s="17"/>
      <c r="W5" s="18"/>
      <c r="X5" s="17"/>
      <c r="Y5" s="18"/>
      <c r="Z5" s="17"/>
      <c r="AA5" s="18"/>
      <c r="AB5" s="17"/>
      <c r="AC5" s="18"/>
      <c r="AD5" s="17"/>
      <c r="AE5" s="18"/>
      <c r="AF5" s="17"/>
      <c r="AG5" s="18"/>
      <c r="AH5" s="17"/>
      <c r="AI5" s="17"/>
      <c r="AJ5" s="17"/>
      <c r="AK5" s="17"/>
      <c r="AL5" s="17"/>
      <c r="AM5" s="17"/>
      <c r="AN5" s="17"/>
      <c r="AO5" s="17"/>
      <c r="AP5" s="17"/>
      <c r="AQ5" s="28"/>
      <c r="AR5" s="17"/>
      <c r="AS5" s="17"/>
      <c r="AT5" s="17"/>
      <c r="AU5" s="40"/>
      <c r="AV5" s="17"/>
      <c r="AW5" s="17"/>
      <c r="AX5" s="17"/>
      <c r="AY5" s="17"/>
      <c r="AZ5" s="17"/>
      <c r="BA5" s="17"/>
      <c r="BB5" s="17"/>
      <c r="BC5" s="17"/>
      <c r="BD5" s="28"/>
      <c r="BE5" s="17"/>
      <c r="BF5" s="17"/>
      <c r="BG5" s="17"/>
      <c r="BH5" s="40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</row>
    <row r="6" spans="1:92" ht="26.25" hidden="1" customHeight="1" outlineLevel="1">
      <c r="A6" s="41"/>
      <c r="B6" s="3" t="s">
        <v>75</v>
      </c>
      <c r="C6" s="5"/>
      <c r="D6" s="5"/>
      <c r="E6" s="5"/>
      <c r="F6" s="5"/>
      <c r="G6" s="5"/>
      <c r="H6" s="7" t="str">
        <f t="shared" si="0"/>
        <v>-</v>
      </c>
      <c r="I6" s="8"/>
      <c r="J6" s="5"/>
      <c r="K6" s="3" t="s">
        <v>114</v>
      </c>
      <c r="L6" s="5"/>
      <c r="M6" s="10"/>
      <c r="N6" s="11"/>
      <c r="O6" s="7"/>
      <c r="P6" s="10"/>
      <c r="Q6" s="5" t="e">
        <f>VLOOKUP(B6,#REF!,14,FALSE())</f>
        <v>#REF!</v>
      </c>
      <c r="R6" s="52"/>
      <c r="S6" s="21"/>
      <c r="T6" s="17"/>
      <c r="U6" s="18"/>
      <c r="V6" s="17"/>
      <c r="W6" s="18"/>
      <c r="X6" s="17"/>
      <c r="Y6" s="18"/>
      <c r="Z6" s="17"/>
      <c r="AA6" s="18"/>
      <c r="AB6" s="17"/>
      <c r="AC6" s="18"/>
      <c r="AD6" s="17"/>
      <c r="AE6" s="18"/>
      <c r="AF6" s="17"/>
      <c r="AG6" s="18"/>
      <c r="AH6" s="17"/>
      <c r="AI6" s="17"/>
      <c r="AJ6" s="17"/>
      <c r="AK6" s="17"/>
      <c r="AL6" s="17"/>
      <c r="AM6" s="17"/>
      <c r="AN6" s="17"/>
      <c r="AO6" s="17"/>
      <c r="AP6" s="17"/>
      <c r="AQ6" s="28"/>
      <c r="AR6" s="17"/>
      <c r="AS6" s="17"/>
      <c r="AT6" s="17"/>
      <c r="AU6" s="40"/>
      <c r="AV6" s="17"/>
      <c r="AW6" s="17"/>
      <c r="AX6" s="17"/>
      <c r="AY6" s="17"/>
      <c r="AZ6" s="17"/>
      <c r="BA6" s="17"/>
      <c r="BB6" s="17"/>
      <c r="BC6" s="17"/>
      <c r="BD6" s="28"/>
      <c r="BE6" s="17"/>
      <c r="BF6" s="17"/>
      <c r="BG6" s="17"/>
      <c r="BH6" s="40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</row>
    <row r="7" spans="1:92" ht="26.25" hidden="1" customHeight="1" outlineLevel="1">
      <c r="A7" s="41"/>
      <c r="B7" s="3" t="s">
        <v>75</v>
      </c>
      <c r="C7" s="5"/>
      <c r="D7" s="5"/>
      <c r="E7" s="5"/>
      <c r="F7" s="5"/>
      <c r="G7" s="5"/>
      <c r="H7" s="7" t="str">
        <f t="shared" si="0"/>
        <v>-</v>
      </c>
      <c r="I7" s="8"/>
      <c r="J7" s="5"/>
      <c r="K7" s="3" t="s">
        <v>180</v>
      </c>
      <c r="L7" s="5"/>
      <c r="M7" s="10"/>
      <c r="N7" s="11"/>
      <c r="O7" s="7"/>
      <c r="P7" s="10"/>
      <c r="Q7" s="5" t="e">
        <f>VLOOKUP(B7,#REF!,14,FALSE())</f>
        <v>#REF!</v>
      </c>
      <c r="R7" s="52"/>
      <c r="S7" s="21"/>
      <c r="T7" s="17"/>
      <c r="U7" s="18"/>
      <c r="V7" s="17"/>
      <c r="W7" s="18"/>
      <c r="X7" s="17"/>
      <c r="Y7" s="18"/>
      <c r="Z7" s="17"/>
      <c r="AA7" s="18"/>
      <c r="AB7" s="17"/>
      <c r="AC7" s="18"/>
      <c r="AD7" s="17"/>
      <c r="AE7" s="18"/>
      <c r="AF7" s="17"/>
      <c r="AG7" s="18"/>
      <c r="AH7" s="17"/>
      <c r="AI7" s="17"/>
      <c r="AJ7" s="17"/>
      <c r="AK7" s="17"/>
      <c r="AL7" s="17"/>
      <c r="AM7" s="17"/>
      <c r="AN7" s="17"/>
      <c r="AO7" s="17"/>
      <c r="AP7" s="17"/>
      <c r="AQ7" s="28"/>
      <c r="AR7" s="17"/>
      <c r="AS7" s="17"/>
      <c r="AT7" s="17"/>
      <c r="AU7" s="40"/>
      <c r="AV7" s="17"/>
      <c r="AW7" s="17"/>
      <c r="AX7" s="17"/>
      <c r="AY7" s="17"/>
      <c r="AZ7" s="17"/>
      <c r="BA7" s="17"/>
      <c r="BB7" s="17"/>
      <c r="BC7" s="17"/>
      <c r="BD7" s="28"/>
      <c r="BE7" s="17"/>
      <c r="BF7" s="17"/>
      <c r="BG7" s="17"/>
      <c r="BH7" s="40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</row>
    <row r="8" spans="1:92" ht="26.25" hidden="1" customHeight="1" outlineLevel="1">
      <c r="A8" s="41"/>
      <c r="B8" s="3" t="s">
        <v>75</v>
      </c>
      <c r="C8" s="5"/>
      <c r="D8" s="5"/>
      <c r="E8" s="5"/>
      <c r="F8" s="5"/>
      <c r="G8" s="5"/>
      <c r="H8" s="7" t="str">
        <f t="shared" si="0"/>
        <v>-</v>
      </c>
      <c r="I8" s="8"/>
      <c r="J8" s="5"/>
      <c r="K8" s="3"/>
      <c r="L8" s="5"/>
      <c r="M8" s="10"/>
      <c r="N8" s="11"/>
      <c r="O8" s="7"/>
      <c r="P8" s="10"/>
      <c r="Q8" s="5" t="e">
        <f>VLOOKUP(B8,#REF!,14,FALSE())</f>
        <v>#REF!</v>
      </c>
      <c r="R8" s="52"/>
      <c r="S8" s="21"/>
      <c r="T8" s="17"/>
      <c r="U8" s="18"/>
      <c r="V8" s="17"/>
      <c r="W8" s="18"/>
      <c r="X8" s="17"/>
      <c r="Y8" s="18"/>
      <c r="Z8" s="17"/>
      <c r="AA8" s="18"/>
      <c r="AB8" s="17"/>
      <c r="AC8" s="18"/>
      <c r="AD8" s="17"/>
      <c r="AE8" s="18"/>
      <c r="AF8" s="17"/>
      <c r="AG8" s="18"/>
      <c r="AH8" s="17"/>
      <c r="AI8" s="17"/>
      <c r="AJ8" s="17"/>
      <c r="AK8" s="17"/>
      <c r="AL8" s="17"/>
      <c r="AM8" s="17"/>
      <c r="AN8" s="17"/>
      <c r="AO8" s="17"/>
      <c r="AP8" s="17"/>
      <c r="AQ8" s="21"/>
      <c r="AR8" s="17"/>
      <c r="AS8" s="17"/>
      <c r="AT8" s="17"/>
      <c r="AU8" s="40"/>
      <c r="AV8" s="17"/>
      <c r="AW8" s="17"/>
      <c r="AX8" s="17"/>
      <c r="AY8" s="17"/>
      <c r="AZ8" s="17"/>
      <c r="BA8" s="17"/>
      <c r="BB8" s="17"/>
      <c r="BC8" s="17"/>
      <c r="BD8" s="21"/>
      <c r="BE8" s="17"/>
      <c r="BF8" s="17"/>
      <c r="BG8" s="17"/>
      <c r="BH8" s="40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</row>
    <row r="9" spans="1:92" ht="26.25" hidden="1" customHeight="1" outlineLevel="1">
      <c r="A9" s="41"/>
      <c r="B9" s="3" t="s">
        <v>196</v>
      </c>
      <c r="C9" s="5"/>
      <c r="D9" s="5"/>
      <c r="E9" s="5"/>
      <c r="F9" s="5"/>
      <c r="G9" s="5"/>
      <c r="H9" s="7" t="str">
        <f t="shared" si="0"/>
        <v>R.01</v>
      </c>
      <c r="I9" s="8" t="s">
        <v>197</v>
      </c>
      <c r="J9" s="5"/>
      <c r="K9" s="3"/>
      <c r="L9" s="5" t="str">
        <f ca="1">VLOOKUP(B9,ROTEIRO!$B$1:$AH$201,4,FALSE())</f>
        <v>#N/A</v>
      </c>
      <c r="M9" s="10"/>
      <c r="N9" s="11"/>
      <c r="O9" s="7"/>
      <c r="P9" s="10"/>
      <c r="Q9" s="5" t="e">
        <f>VLOOKUP(B9,#REF!,14,FALSE())</f>
        <v>#REF!</v>
      </c>
      <c r="R9" s="52"/>
      <c r="S9" s="21"/>
      <c r="T9" s="17"/>
      <c r="U9" s="18"/>
      <c r="V9" s="17"/>
      <c r="W9" s="18"/>
      <c r="X9" s="17"/>
      <c r="Y9" s="18"/>
      <c r="Z9" s="17"/>
      <c r="AA9" s="18"/>
      <c r="AB9" s="17"/>
      <c r="AC9" s="18"/>
      <c r="AD9" s="17"/>
      <c r="AE9" s="18"/>
      <c r="AF9" s="17"/>
      <c r="AG9" s="18"/>
      <c r="AH9" s="17"/>
      <c r="AI9" s="17"/>
      <c r="AJ9" s="17"/>
      <c r="AK9" s="17"/>
      <c r="AL9" s="17"/>
      <c r="AM9" s="17"/>
      <c r="AN9" s="17"/>
      <c r="AO9" s="17"/>
      <c r="AP9" s="17"/>
      <c r="AQ9" s="21"/>
      <c r="AR9" s="17"/>
      <c r="AS9" s="17"/>
      <c r="AT9" s="17"/>
      <c r="AU9" s="40"/>
      <c r="AV9" s="17"/>
      <c r="AW9" s="17"/>
      <c r="AX9" s="17"/>
      <c r="AY9" s="17"/>
      <c r="AZ9" s="17"/>
      <c r="BA9" s="17"/>
      <c r="BB9" s="17"/>
      <c r="BC9" s="17"/>
      <c r="BD9" s="21"/>
      <c r="BE9" s="17"/>
      <c r="BF9" s="17"/>
      <c r="BG9" s="17"/>
      <c r="BH9" s="40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</row>
    <row r="10" spans="1:92" ht="26.25" hidden="1" customHeight="1" outlineLevel="1">
      <c r="A10" s="41"/>
      <c r="B10" s="3" t="s">
        <v>207</v>
      </c>
      <c r="C10" s="5"/>
      <c r="D10" s="5"/>
      <c r="E10" s="5"/>
      <c r="F10" s="5"/>
      <c r="G10" s="5"/>
      <c r="H10" s="7" t="str">
        <f t="shared" si="0"/>
        <v>R.02</v>
      </c>
      <c r="I10" s="8" t="s">
        <v>208</v>
      </c>
      <c r="J10" s="5"/>
      <c r="K10" s="3"/>
      <c r="L10" s="5" t="str">
        <f ca="1">VLOOKUP(B10,ROTEIRO!$B$2:$AH$201,4,FALSE())</f>
        <v>#N/A</v>
      </c>
      <c r="M10" s="10"/>
      <c r="N10" s="11"/>
      <c r="O10" s="7"/>
      <c r="P10" s="10"/>
      <c r="Q10" s="5" t="e">
        <f>VLOOKUP(B10,#REF!,14,FALSE())</f>
        <v>#REF!</v>
      </c>
      <c r="R10" s="52"/>
      <c r="S10" s="21"/>
      <c r="T10" s="17"/>
      <c r="U10" s="18"/>
      <c r="V10" s="17"/>
      <c r="W10" s="18"/>
      <c r="X10" s="17"/>
      <c r="Y10" s="18"/>
      <c r="Z10" s="17"/>
      <c r="AA10" s="18"/>
      <c r="AB10" s="17"/>
      <c r="AC10" s="18"/>
      <c r="AD10" s="17"/>
      <c r="AE10" s="18"/>
      <c r="AF10" s="17"/>
      <c r="AG10" s="18"/>
      <c r="AH10" s="17"/>
      <c r="AI10" s="17"/>
      <c r="AJ10" s="17"/>
      <c r="AK10" s="17"/>
      <c r="AL10" s="17"/>
      <c r="AM10" s="17"/>
      <c r="AN10" s="17"/>
      <c r="AO10" s="17"/>
      <c r="AP10" s="17"/>
      <c r="AQ10" s="21"/>
      <c r="AR10" s="17"/>
      <c r="AS10" s="17"/>
      <c r="AT10" s="17"/>
      <c r="AU10" s="40"/>
      <c r="AV10" s="17"/>
      <c r="AW10" s="17"/>
      <c r="AX10" s="17"/>
      <c r="AY10" s="17"/>
      <c r="AZ10" s="17"/>
      <c r="BA10" s="17"/>
      <c r="BB10" s="17"/>
      <c r="BC10" s="17"/>
      <c r="BD10" s="21"/>
      <c r="BE10" s="17"/>
      <c r="BF10" s="17"/>
      <c r="BG10" s="17"/>
      <c r="BH10" s="40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</row>
    <row r="11" spans="1:92" ht="26.25" hidden="1" customHeight="1" outlineLevel="1">
      <c r="A11" s="41"/>
      <c r="B11" s="3" t="s">
        <v>219</v>
      </c>
      <c r="C11" s="5"/>
      <c r="D11" s="5"/>
      <c r="E11" s="5"/>
      <c r="F11" s="5"/>
      <c r="G11" s="5"/>
      <c r="H11" s="7" t="str">
        <f t="shared" si="0"/>
        <v>R.03</v>
      </c>
      <c r="I11" s="8" t="s">
        <v>220</v>
      </c>
      <c r="J11" s="5"/>
      <c r="K11" s="3"/>
      <c r="L11" s="5" t="str">
        <f>VLOOKUP(B11,ROTEIRO!$B$2:$AH$201,4,FALSE())</f>
        <v>R03/1</v>
      </c>
      <c r="M11" s="10"/>
      <c r="N11" s="11"/>
      <c r="O11" s="7"/>
      <c r="P11" s="10"/>
      <c r="Q11" s="5" t="e">
        <f>VLOOKUP(B11,#REF!,14,FALSE())</f>
        <v>#REF!</v>
      </c>
      <c r="R11" s="52"/>
      <c r="S11" s="21"/>
      <c r="T11" s="17"/>
      <c r="U11" s="18"/>
      <c r="V11" s="17"/>
      <c r="W11" s="18"/>
      <c r="X11" s="17"/>
      <c r="Y11" s="18"/>
      <c r="Z11" s="17"/>
      <c r="AA11" s="18"/>
      <c r="AB11" s="17"/>
      <c r="AC11" s="18"/>
      <c r="AD11" s="17"/>
      <c r="AE11" s="18"/>
      <c r="AF11" s="17"/>
      <c r="AG11" s="18"/>
      <c r="AH11" s="17"/>
      <c r="AI11" s="17"/>
      <c r="AJ11" s="17"/>
      <c r="AK11" s="17"/>
      <c r="AL11" s="17"/>
      <c r="AM11" s="17"/>
      <c r="AN11" s="17"/>
      <c r="AO11" s="17"/>
      <c r="AP11" s="17"/>
      <c r="AQ11" s="21"/>
      <c r="AR11" s="17"/>
      <c r="AS11" s="17"/>
      <c r="AT11" s="17"/>
      <c r="AU11" s="40"/>
      <c r="AV11" s="17"/>
      <c r="AW11" s="17"/>
      <c r="AX11" s="17"/>
      <c r="AY11" s="17"/>
      <c r="AZ11" s="17"/>
      <c r="BA11" s="17"/>
      <c r="BB11" s="17"/>
      <c r="BC11" s="17"/>
      <c r="BD11" s="21"/>
      <c r="BE11" s="17"/>
      <c r="BF11" s="17"/>
      <c r="BG11" s="17"/>
      <c r="BH11" s="40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</row>
    <row r="12" spans="1:92" ht="26.25" hidden="1" customHeight="1" outlineLevel="1">
      <c r="A12" s="41"/>
      <c r="B12" s="3" t="s">
        <v>232</v>
      </c>
      <c r="C12" s="5"/>
      <c r="D12" s="5"/>
      <c r="E12" s="5"/>
      <c r="F12" s="5"/>
      <c r="G12" s="5"/>
      <c r="H12" s="7" t="str">
        <f t="shared" si="0"/>
        <v>R.04</v>
      </c>
      <c r="I12" s="8" t="s">
        <v>234</v>
      </c>
      <c r="J12" s="5"/>
      <c r="K12" s="3"/>
      <c r="L12" s="5" t="str">
        <f>VLOOKUP(B12,ROTEIRO!$B$2:$AH$201,4,FALSE())</f>
        <v>R04/1</v>
      </c>
      <c r="M12" s="10"/>
      <c r="N12" s="11"/>
      <c r="O12" s="7"/>
      <c r="P12" s="10"/>
      <c r="Q12" s="5" t="e">
        <f>VLOOKUP(B12,#REF!,14,FALSE())</f>
        <v>#REF!</v>
      </c>
      <c r="R12" s="52"/>
      <c r="S12" s="21"/>
      <c r="T12" s="17"/>
      <c r="U12" s="18"/>
      <c r="V12" s="17"/>
      <c r="W12" s="18"/>
      <c r="X12" s="17"/>
      <c r="Y12" s="18"/>
      <c r="Z12" s="17"/>
      <c r="AA12" s="18"/>
      <c r="AB12" s="17"/>
      <c r="AC12" s="18"/>
      <c r="AD12" s="17"/>
      <c r="AE12" s="18"/>
      <c r="AF12" s="17"/>
      <c r="AG12" s="18"/>
      <c r="AH12" s="17"/>
      <c r="AI12" s="17"/>
      <c r="AJ12" s="17"/>
      <c r="AK12" s="17"/>
      <c r="AL12" s="17"/>
      <c r="AM12" s="17"/>
      <c r="AN12" s="17"/>
      <c r="AO12" s="17"/>
      <c r="AP12" s="17"/>
      <c r="AQ12" s="21"/>
      <c r="AR12" s="17"/>
      <c r="AS12" s="17"/>
      <c r="AT12" s="17"/>
      <c r="AU12" s="40"/>
      <c r="AV12" s="17"/>
      <c r="AW12" s="17"/>
      <c r="AX12" s="17"/>
      <c r="AY12" s="17"/>
      <c r="AZ12" s="17"/>
      <c r="BA12" s="17"/>
      <c r="BB12" s="17"/>
      <c r="BC12" s="17"/>
      <c r="BD12" s="21"/>
      <c r="BE12" s="17"/>
      <c r="BF12" s="17"/>
      <c r="BG12" s="17"/>
      <c r="BH12" s="40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</row>
    <row r="13" spans="1:92" ht="26.25" hidden="1" customHeight="1" outlineLevel="1">
      <c r="A13" s="41"/>
      <c r="B13" s="2" t="s">
        <v>244</v>
      </c>
      <c r="C13" s="53" t="s">
        <v>9</v>
      </c>
      <c r="D13" s="53" t="s">
        <v>10</v>
      </c>
      <c r="E13" s="53" t="s">
        <v>49</v>
      </c>
      <c r="F13" s="53" t="s">
        <v>30</v>
      </c>
      <c r="G13" s="53" t="s">
        <v>13</v>
      </c>
      <c r="H13" s="54" t="str">
        <f t="shared" si="0"/>
        <v>-</v>
      </c>
      <c r="I13" s="55"/>
      <c r="J13" s="53"/>
      <c r="K13" s="2" t="e">
        <f>VLOOKUP(B13,#REF!,2,FALSE())</f>
        <v>#REF!</v>
      </c>
      <c r="L13" s="53" t="e">
        <f>VLOOKUP(B13,#REF!,7,FALSE())</f>
        <v>#REF!</v>
      </c>
      <c r="M13" s="56" t="s">
        <v>21</v>
      </c>
      <c r="N13" s="57" t="s">
        <v>7</v>
      </c>
      <c r="O13" s="54" t="s">
        <v>7</v>
      </c>
      <c r="P13" s="56" t="s">
        <v>60</v>
      </c>
      <c r="Q13" s="58" t="e">
        <f>VLOOKUP(B13,#REF!,10,FALSE())</f>
        <v>#REF!</v>
      </c>
      <c r="R13" s="27" t="s">
        <v>251</v>
      </c>
      <c r="S13" s="59">
        <f>U13+W13+Y13+AA13+AC13+AE13+AG13+AH13</f>
        <v>1.8333333333333333</v>
      </c>
      <c r="T13" s="61" t="s">
        <v>255</v>
      </c>
      <c r="U13" s="62">
        <v>0.375</v>
      </c>
      <c r="V13" s="61" t="s">
        <v>255</v>
      </c>
      <c r="W13" s="62">
        <v>0.375</v>
      </c>
      <c r="X13" s="61" t="s">
        <v>255</v>
      </c>
      <c r="Y13" s="62">
        <v>0.375</v>
      </c>
      <c r="Z13" s="61" t="s">
        <v>255</v>
      </c>
      <c r="AA13" s="62">
        <v>0.375</v>
      </c>
      <c r="AB13" s="61" t="s">
        <v>256</v>
      </c>
      <c r="AC13" s="62">
        <v>0.33333333333333331</v>
      </c>
      <c r="AD13" s="17" t="s">
        <v>125</v>
      </c>
      <c r="AE13" s="62"/>
      <c r="AF13" s="17" t="s">
        <v>37</v>
      </c>
      <c r="AG13" s="60"/>
      <c r="AH13" s="17"/>
      <c r="AI13" s="17"/>
      <c r="AJ13" s="17"/>
      <c r="AK13" s="17"/>
      <c r="AL13" s="17"/>
      <c r="AM13" s="17"/>
      <c r="AN13" s="17"/>
      <c r="AO13" s="17"/>
      <c r="AP13" s="17"/>
      <c r="AQ13" s="30"/>
      <c r="AR13" s="30"/>
      <c r="AS13" s="30"/>
      <c r="AT13" s="30"/>
      <c r="AU13" s="40"/>
      <c r="AV13" s="17"/>
      <c r="AW13" s="17"/>
      <c r="AX13" s="17"/>
      <c r="AY13" s="17"/>
      <c r="AZ13" s="17"/>
      <c r="BA13" s="17"/>
      <c r="BB13" s="17"/>
      <c r="BC13" s="17"/>
      <c r="BD13" s="31"/>
      <c r="BE13" s="17"/>
      <c r="BF13" s="17"/>
      <c r="BG13" s="17"/>
      <c r="BH13" s="40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</row>
    <row r="14" spans="1:92" ht="26.25" hidden="1" customHeight="1" outlineLevel="2">
      <c r="A14" s="41"/>
      <c r="B14" s="3" t="s">
        <v>257</v>
      </c>
      <c r="C14" s="5"/>
      <c r="D14" s="5"/>
      <c r="E14" s="5"/>
      <c r="F14" s="5"/>
      <c r="G14" s="5"/>
      <c r="H14" s="7" t="str">
        <f t="shared" si="0"/>
        <v>R.05</v>
      </c>
      <c r="I14" s="8" t="s">
        <v>258</v>
      </c>
      <c r="J14" s="5"/>
      <c r="K14" s="3"/>
      <c r="L14" s="5" t="str">
        <f>VLOOKUP(B14,ROTEIRO!$B$2:$AH$201,4,FALSE())</f>
        <v>R05/1</v>
      </c>
      <c r="M14" s="10"/>
      <c r="N14" s="11"/>
      <c r="O14" s="7"/>
      <c r="P14" s="10"/>
      <c r="Q14" s="5" t="e">
        <f>VLOOKUP(B14,#REF!,14,FALSE())</f>
        <v>#REF!</v>
      </c>
      <c r="R14" s="52"/>
      <c r="S14" s="21"/>
      <c r="T14" s="17"/>
      <c r="U14" s="18"/>
      <c r="V14" s="17"/>
      <c r="W14" s="18"/>
      <c r="X14" s="17"/>
      <c r="Y14" s="18"/>
      <c r="Z14" s="17"/>
      <c r="AA14" s="18"/>
      <c r="AB14" s="17"/>
      <c r="AC14" s="18"/>
      <c r="AD14" s="17"/>
      <c r="AE14" s="18"/>
      <c r="AF14" s="17"/>
      <c r="AG14" s="18"/>
      <c r="AH14" s="17"/>
      <c r="AI14" s="17"/>
      <c r="AJ14" s="17"/>
      <c r="AK14" s="17"/>
      <c r="AL14" s="17"/>
      <c r="AM14" s="17"/>
      <c r="AN14" s="17"/>
      <c r="AO14" s="17"/>
      <c r="AP14" s="17"/>
      <c r="AQ14" s="21"/>
      <c r="AR14" s="17"/>
      <c r="AS14" s="17"/>
      <c r="AT14" s="17"/>
      <c r="AU14" s="40"/>
      <c r="AV14" s="17"/>
      <c r="AW14" s="17"/>
      <c r="AX14" s="17"/>
      <c r="AY14" s="17"/>
      <c r="AZ14" s="17"/>
      <c r="BA14" s="17"/>
      <c r="BB14" s="17"/>
      <c r="BC14" s="17"/>
      <c r="BD14" s="21"/>
      <c r="BE14" s="17"/>
      <c r="BF14" s="17"/>
      <c r="BG14" s="17"/>
      <c r="BH14" s="40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</row>
    <row r="15" spans="1:92" ht="26.25" hidden="1" customHeight="1" outlineLevel="2">
      <c r="A15" s="41"/>
      <c r="B15" s="3" t="s">
        <v>266</v>
      </c>
      <c r="C15" s="5"/>
      <c r="D15" s="5"/>
      <c r="E15" s="5"/>
      <c r="F15" s="5"/>
      <c r="G15" s="5"/>
      <c r="H15" s="7" t="str">
        <f t="shared" si="0"/>
        <v>R.06</v>
      </c>
      <c r="I15" s="8" t="s">
        <v>55</v>
      </c>
      <c r="J15" s="5"/>
      <c r="K15" s="3"/>
      <c r="L15" s="5" t="str">
        <f>VLOOKUP(B15,ROTEIRO!$B$2:$AH$201,4,FALSE())</f>
        <v>R06/1</v>
      </c>
      <c r="M15" s="10"/>
      <c r="N15" s="11"/>
      <c r="O15" s="7"/>
      <c r="P15" s="10"/>
      <c r="Q15" s="5" t="e">
        <f>VLOOKUP(B15,#REF!,14,FALSE())</f>
        <v>#REF!</v>
      </c>
      <c r="R15" s="52"/>
      <c r="S15" s="21"/>
      <c r="T15" s="17"/>
      <c r="U15" s="18"/>
      <c r="V15" s="17"/>
      <c r="W15" s="18"/>
      <c r="X15" s="17"/>
      <c r="Y15" s="18"/>
      <c r="Z15" s="17"/>
      <c r="AA15" s="18"/>
      <c r="AB15" s="17"/>
      <c r="AC15" s="18"/>
      <c r="AD15" s="17"/>
      <c r="AE15" s="18"/>
      <c r="AF15" s="17"/>
      <c r="AG15" s="18"/>
      <c r="AH15" s="17"/>
      <c r="AI15" s="17"/>
      <c r="AJ15" s="17"/>
      <c r="AK15" s="17"/>
      <c r="AL15" s="17"/>
      <c r="AM15" s="17"/>
      <c r="AN15" s="17"/>
      <c r="AO15" s="17"/>
      <c r="AP15" s="17"/>
      <c r="AQ15" s="21"/>
      <c r="AR15" s="17"/>
      <c r="AS15" s="17"/>
      <c r="AT15" s="17"/>
      <c r="AU15" s="40"/>
      <c r="AV15" s="17"/>
      <c r="AW15" s="17"/>
      <c r="AX15" s="17"/>
      <c r="AY15" s="17"/>
      <c r="AZ15" s="17"/>
      <c r="BA15" s="17"/>
      <c r="BB15" s="17"/>
      <c r="BC15" s="17"/>
      <c r="BD15" s="21"/>
      <c r="BE15" s="17"/>
      <c r="BF15" s="17"/>
      <c r="BG15" s="17"/>
      <c r="BH15" s="40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</row>
    <row r="16" spans="1:92" ht="26.25" hidden="1" customHeight="1" outlineLevel="2">
      <c r="A16" s="41"/>
      <c r="B16" s="3" t="s">
        <v>277</v>
      </c>
      <c r="C16" s="5"/>
      <c r="D16" s="5"/>
      <c r="E16" s="5"/>
      <c r="F16" s="5"/>
      <c r="G16" s="5"/>
      <c r="H16" s="7" t="str">
        <f t="shared" si="0"/>
        <v>R.07</v>
      </c>
      <c r="I16" s="8" t="s">
        <v>280</v>
      </c>
      <c r="J16" s="5"/>
      <c r="K16" s="3"/>
      <c r="L16" s="5" t="str">
        <f>VLOOKUP(B16,ROTEIRO!$B$2:$AH$201,4,FALSE())</f>
        <v>R07/1</v>
      </c>
      <c r="M16" s="10"/>
      <c r="N16" s="11"/>
      <c r="O16" s="7"/>
      <c r="P16" s="10"/>
      <c r="Q16" s="5" t="e">
        <f>VLOOKUP(B16,#REF!,14,FALSE())</f>
        <v>#REF!</v>
      </c>
      <c r="R16" s="52"/>
      <c r="S16" s="21"/>
      <c r="T16" s="17"/>
      <c r="U16" s="18"/>
      <c r="V16" s="17"/>
      <c r="W16" s="18"/>
      <c r="X16" s="17"/>
      <c r="Y16" s="18"/>
      <c r="Z16" s="17"/>
      <c r="AA16" s="18"/>
      <c r="AB16" s="17"/>
      <c r="AC16" s="18"/>
      <c r="AD16" s="17"/>
      <c r="AE16" s="18"/>
      <c r="AF16" s="17"/>
      <c r="AG16" s="18"/>
      <c r="AH16" s="17"/>
      <c r="AI16" s="17"/>
      <c r="AJ16" s="17"/>
      <c r="AK16" s="17"/>
      <c r="AL16" s="17"/>
      <c r="AM16" s="17"/>
      <c r="AN16" s="17"/>
      <c r="AO16" s="17"/>
      <c r="AP16" s="17"/>
      <c r="AQ16" s="21"/>
      <c r="AR16" s="17"/>
      <c r="AS16" s="17"/>
      <c r="AT16" s="17"/>
      <c r="AU16" s="40"/>
      <c r="AV16" s="17"/>
      <c r="AW16" s="17"/>
      <c r="AX16" s="17"/>
      <c r="AY16" s="17"/>
      <c r="AZ16" s="17"/>
      <c r="BA16" s="17"/>
      <c r="BB16" s="17"/>
      <c r="BC16" s="17"/>
      <c r="BD16" s="21"/>
      <c r="BE16" s="17"/>
      <c r="BF16" s="17"/>
      <c r="BG16" s="17"/>
      <c r="BH16" s="40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</row>
    <row r="17" spans="1:92" ht="26.25" hidden="1" customHeight="1" outlineLevel="1">
      <c r="A17" s="41"/>
      <c r="B17" s="2" t="s">
        <v>286</v>
      </c>
      <c r="C17" s="53" t="s">
        <v>28</v>
      </c>
      <c r="D17" s="53" t="s">
        <v>10</v>
      </c>
      <c r="E17" s="53" t="s">
        <v>49</v>
      </c>
      <c r="F17" s="53" t="s">
        <v>30</v>
      </c>
      <c r="G17" s="53" t="s">
        <v>13</v>
      </c>
      <c r="H17" s="54" t="str">
        <f t="shared" si="0"/>
        <v>-</v>
      </c>
      <c r="I17" s="55"/>
      <c r="J17" s="53"/>
      <c r="K17" s="2" t="e">
        <f>VLOOKUP(B17,#REF!,2,FALSE())</f>
        <v>#REF!</v>
      </c>
      <c r="L17" s="53" t="e">
        <f>VLOOKUP(B17,#REF!,7,FALSE())</f>
        <v>#REF!</v>
      </c>
      <c r="M17" s="56" t="s">
        <v>21</v>
      </c>
      <c r="N17" s="57" t="s">
        <v>7</v>
      </c>
      <c r="O17" s="54" t="s">
        <v>7</v>
      </c>
      <c r="P17" s="56" t="s">
        <v>60</v>
      </c>
      <c r="Q17" s="58" t="e">
        <f>VLOOKUP(B17,#REF!,10,FALSE())</f>
        <v>#REF!</v>
      </c>
      <c r="R17" s="27" t="s">
        <v>292</v>
      </c>
      <c r="S17" s="59">
        <f>U17+W17+Y17+AA17+AC17+AE17+AG17+AH17</f>
        <v>1.8333333333333333</v>
      </c>
      <c r="T17" s="61" t="s">
        <v>293</v>
      </c>
      <c r="U17" s="62">
        <v>0.31944444444444442</v>
      </c>
      <c r="V17" s="61" t="s">
        <v>293</v>
      </c>
      <c r="W17" s="62">
        <v>0.31944444444444442</v>
      </c>
      <c r="X17" s="61" t="s">
        <v>293</v>
      </c>
      <c r="Y17" s="62">
        <v>0.31944444444444442</v>
      </c>
      <c r="Z17" s="61" t="s">
        <v>293</v>
      </c>
      <c r="AA17" s="62">
        <v>0.31944444444444442</v>
      </c>
      <c r="AB17" s="61" t="s">
        <v>293</v>
      </c>
      <c r="AC17" s="62">
        <v>0.31944444444444442</v>
      </c>
      <c r="AD17" s="17" t="s">
        <v>294</v>
      </c>
      <c r="AE17" s="62">
        <v>0.2361111111111111</v>
      </c>
      <c r="AF17" s="17" t="s">
        <v>125</v>
      </c>
      <c r="AG17" s="60"/>
      <c r="AH17" s="17"/>
      <c r="AI17" s="17"/>
      <c r="AJ17" s="17"/>
      <c r="AK17" s="17"/>
      <c r="AL17" s="17"/>
      <c r="AM17" s="17"/>
      <c r="AN17" s="17"/>
      <c r="AO17" s="17"/>
      <c r="AP17" s="17"/>
      <c r="AQ17" s="30"/>
      <c r="AR17" s="30"/>
      <c r="AS17" s="30"/>
      <c r="AT17" s="30"/>
      <c r="AU17" s="40"/>
      <c r="AV17" s="17"/>
      <c r="AW17" s="17"/>
      <c r="AX17" s="17"/>
      <c r="AY17" s="17"/>
      <c r="AZ17" s="17"/>
      <c r="BA17" s="17"/>
      <c r="BB17" s="17"/>
      <c r="BC17" s="17"/>
      <c r="BD17" s="31"/>
      <c r="BE17" s="17"/>
      <c r="BF17" s="17"/>
      <c r="BG17" s="17"/>
      <c r="BH17" s="40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</row>
    <row r="18" spans="1:92" ht="26.25" hidden="1" customHeight="1" outlineLevel="2">
      <c r="A18" s="41"/>
      <c r="B18" s="3" t="s">
        <v>302</v>
      </c>
      <c r="C18" s="5"/>
      <c r="D18" s="5"/>
      <c r="E18" s="5"/>
      <c r="F18" s="5"/>
      <c r="G18" s="5"/>
      <c r="H18" s="7" t="str">
        <f t="shared" si="0"/>
        <v>R.08</v>
      </c>
      <c r="I18" s="8" t="s">
        <v>303</v>
      </c>
      <c r="J18" s="5"/>
      <c r="K18" s="3"/>
      <c r="L18" s="5" t="str">
        <f>VLOOKUP(B18,ROTEIRO!$B$2:$AH$201,4,FALSE())</f>
        <v>R08/1</v>
      </c>
      <c r="M18" s="10"/>
      <c r="N18" s="11"/>
      <c r="O18" s="7"/>
      <c r="P18" s="10"/>
      <c r="Q18" s="5" t="e">
        <f>VLOOKUP(B18,#REF!,14,FALSE())</f>
        <v>#REF!</v>
      </c>
      <c r="R18" s="52"/>
      <c r="S18" s="21"/>
      <c r="T18" s="17"/>
      <c r="U18" s="18"/>
      <c r="V18" s="17"/>
      <c r="W18" s="18"/>
      <c r="X18" s="17"/>
      <c r="Y18" s="18"/>
      <c r="Z18" s="17"/>
      <c r="AA18" s="18"/>
      <c r="AB18" s="17"/>
      <c r="AC18" s="18"/>
      <c r="AD18" s="17"/>
      <c r="AE18" s="18"/>
      <c r="AF18" s="17"/>
      <c r="AG18" s="18"/>
      <c r="AH18" s="17"/>
      <c r="AI18" s="17"/>
      <c r="AJ18" s="17"/>
      <c r="AK18" s="17"/>
      <c r="AL18" s="17"/>
      <c r="AM18" s="17"/>
      <c r="AN18" s="17"/>
      <c r="AO18" s="17"/>
      <c r="AP18" s="17"/>
      <c r="AQ18" s="21"/>
      <c r="AR18" s="17"/>
      <c r="AS18" s="17"/>
      <c r="AT18" s="17"/>
      <c r="AU18" s="40"/>
      <c r="AV18" s="17"/>
      <c r="AW18" s="17"/>
      <c r="AX18" s="17"/>
      <c r="AY18" s="17"/>
      <c r="AZ18" s="17"/>
      <c r="BA18" s="17"/>
      <c r="BB18" s="17"/>
      <c r="BC18" s="17"/>
      <c r="BD18" s="21"/>
      <c r="BE18" s="17"/>
      <c r="BF18" s="17"/>
      <c r="BG18" s="17"/>
      <c r="BH18" s="40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</row>
    <row r="19" spans="1:92" ht="26.25" hidden="1" customHeight="1" outlineLevel="2">
      <c r="A19" s="41"/>
      <c r="B19" s="3" t="s">
        <v>310</v>
      </c>
      <c r="C19" s="5"/>
      <c r="D19" s="5"/>
      <c r="E19" s="5"/>
      <c r="F19" s="5"/>
      <c r="G19" s="5"/>
      <c r="H19" s="7" t="str">
        <f t="shared" si="0"/>
        <v>R.09</v>
      </c>
      <c r="I19" s="8" t="s">
        <v>311</v>
      </c>
      <c r="J19" s="5"/>
      <c r="K19" s="3"/>
      <c r="L19" s="5" t="str">
        <f>VLOOKUP(B19,ROTEIRO!$B$2:$AH$201,4,FALSE())</f>
        <v>R09/1</v>
      </c>
      <c r="M19" s="10"/>
      <c r="N19" s="11"/>
      <c r="O19" s="7"/>
      <c r="P19" s="10"/>
      <c r="Q19" s="5" t="e">
        <f>VLOOKUP(B19,#REF!,14,FALSE())</f>
        <v>#REF!</v>
      </c>
      <c r="R19" s="52"/>
      <c r="S19" s="21"/>
      <c r="T19" s="17"/>
      <c r="U19" s="18"/>
      <c r="V19" s="17"/>
      <c r="W19" s="18"/>
      <c r="X19" s="17"/>
      <c r="Y19" s="18"/>
      <c r="Z19" s="17"/>
      <c r="AA19" s="18"/>
      <c r="AB19" s="17"/>
      <c r="AC19" s="18"/>
      <c r="AD19" s="17"/>
      <c r="AE19" s="18"/>
      <c r="AF19" s="17"/>
      <c r="AG19" s="18"/>
      <c r="AH19" s="17"/>
      <c r="AI19" s="17"/>
      <c r="AJ19" s="17"/>
      <c r="AK19" s="17"/>
      <c r="AL19" s="17"/>
      <c r="AM19" s="17"/>
      <c r="AN19" s="17"/>
      <c r="AO19" s="17"/>
      <c r="AP19" s="17"/>
      <c r="AQ19" s="21"/>
      <c r="AR19" s="17"/>
      <c r="AS19" s="17"/>
      <c r="AT19" s="17"/>
      <c r="AU19" s="40"/>
      <c r="AV19" s="17"/>
      <c r="AW19" s="17"/>
      <c r="AX19" s="17"/>
      <c r="AY19" s="17"/>
      <c r="AZ19" s="17"/>
      <c r="BA19" s="17"/>
      <c r="BB19" s="17"/>
      <c r="BC19" s="17"/>
      <c r="BD19" s="21"/>
      <c r="BE19" s="17"/>
      <c r="BF19" s="17"/>
      <c r="BG19" s="17"/>
      <c r="BH19" s="40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</row>
    <row r="20" spans="1:92" ht="26.25" hidden="1" customHeight="1" outlineLevel="2">
      <c r="A20" s="41"/>
      <c r="B20" s="3" t="s">
        <v>321</v>
      </c>
      <c r="C20" s="5"/>
      <c r="D20" s="5"/>
      <c r="E20" s="5"/>
      <c r="F20" s="5"/>
      <c r="G20" s="5"/>
      <c r="H20" s="7" t="str">
        <f t="shared" si="0"/>
        <v>R.10</v>
      </c>
      <c r="I20" s="8" t="s">
        <v>323</v>
      </c>
      <c r="J20" s="5"/>
      <c r="K20" s="3"/>
      <c r="L20" s="5" t="str">
        <f>VLOOKUP(B20,ROTEIRO!$B$2:$AH$201,4,FALSE())</f>
        <v>R10/1</v>
      </c>
      <c r="M20" s="10"/>
      <c r="N20" s="11"/>
      <c r="O20" s="7"/>
      <c r="P20" s="10"/>
      <c r="Q20" s="5" t="e">
        <f>VLOOKUP(B20,#REF!,14,FALSE())</f>
        <v>#REF!</v>
      </c>
      <c r="R20" s="52"/>
      <c r="S20" s="21"/>
      <c r="T20" s="17"/>
      <c r="U20" s="18"/>
      <c r="V20" s="17"/>
      <c r="W20" s="18"/>
      <c r="X20" s="17"/>
      <c r="Y20" s="18"/>
      <c r="Z20" s="17"/>
      <c r="AA20" s="18"/>
      <c r="AB20" s="17"/>
      <c r="AC20" s="18"/>
      <c r="AD20" s="17"/>
      <c r="AE20" s="18"/>
      <c r="AF20" s="17"/>
      <c r="AG20" s="18"/>
      <c r="AH20" s="17"/>
      <c r="AI20" s="17"/>
      <c r="AJ20" s="17"/>
      <c r="AK20" s="17"/>
      <c r="AL20" s="17"/>
      <c r="AM20" s="17"/>
      <c r="AN20" s="17"/>
      <c r="AO20" s="17"/>
      <c r="AP20" s="17"/>
      <c r="AQ20" s="21"/>
      <c r="AR20" s="17"/>
      <c r="AS20" s="17"/>
      <c r="AT20" s="17"/>
      <c r="AU20" s="40"/>
      <c r="AV20" s="17"/>
      <c r="AW20" s="17"/>
      <c r="AX20" s="17"/>
      <c r="AY20" s="17"/>
      <c r="AZ20" s="17"/>
      <c r="BA20" s="17"/>
      <c r="BB20" s="17"/>
      <c r="BC20" s="17"/>
      <c r="BD20" s="21"/>
      <c r="BE20" s="17"/>
      <c r="BF20" s="17"/>
      <c r="BG20" s="17"/>
      <c r="BH20" s="40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</row>
    <row r="21" spans="1:92" ht="26.25" hidden="1" customHeight="1" outlineLevel="1">
      <c r="A21" s="41"/>
      <c r="B21" s="2" t="s">
        <v>2364</v>
      </c>
      <c r="C21" s="53" t="s">
        <v>1470</v>
      </c>
      <c r="D21" s="53"/>
      <c r="E21" s="53"/>
      <c r="F21" s="53"/>
      <c r="G21" s="53"/>
      <c r="H21" s="54" t="str">
        <f t="shared" si="0"/>
        <v>-</v>
      </c>
      <c r="I21" s="55"/>
      <c r="J21" s="53"/>
      <c r="K21" s="2" t="e">
        <f>VLOOKUP(B21,#REF!,2,FALSE())</f>
        <v>#REF!</v>
      </c>
      <c r="L21" s="53" t="e">
        <f>VLOOKUP(B21,#REF!,7,FALSE())</f>
        <v>#REF!</v>
      </c>
      <c r="M21" s="56" t="s">
        <v>21</v>
      </c>
      <c r="N21" s="57" t="s">
        <v>7</v>
      </c>
      <c r="O21" s="54" t="s">
        <v>7</v>
      </c>
      <c r="P21" s="56" t="s">
        <v>2367</v>
      </c>
      <c r="Q21" s="58" t="e">
        <f>VLOOKUP(B21,#REF!,10,FALSE())</f>
        <v>#REF!</v>
      </c>
      <c r="R21" s="27" t="s">
        <v>1987</v>
      </c>
      <c r="S21" s="63">
        <v>1.8333333333333333</v>
      </c>
      <c r="T21" s="61" t="s">
        <v>1052</v>
      </c>
      <c r="U21" s="62">
        <v>0.30555555555555558</v>
      </c>
      <c r="V21" s="61" t="s">
        <v>1052</v>
      </c>
      <c r="W21" s="62">
        <v>0.30555555555555558</v>
      </c>
      <c r="X21" s="61" t="s">
        <v>1052</v>
      </c>
      <c r="Y21" s="62">
        <v>0.30555555555555558</v>
      </c>
      <c r="Z21" s="61" t="s">
        <v>1052</v>
      </c>
      <c r="AA21" s="62">
        <v>0.30555555555555558</v>
      </c>
      <c r="AB21" s="61" t="s">
        <v>125</v>
      </c>
      <c r="AC21" s="62"/>
      <c r="AD21" s="17" t="s">
        <v>1052</v>
      </c>
      <c r="AE21" s="62">
        <v>0.30555555555555558</v>
      </c>
      <c r="AF21" s="17" t="s">
        <v>1052</v>
      </c>
      <c r="AG21" s="60">
        <v>0.30555555555555558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63"/>
      <c r="AR21" s="17"/>
      <c r="AS21" s="17"/>
      <c r="AT21" s="17"/>
      <c r="AU21" s="40"/>
      <c r="AV21" s="17"/>
      <c r="AW21" s="17"/>
      <c r="AX21" s="17"/>
      <c r="AY21" s="17"/>
      <c r="AZ21" s="17"/>
      <c r="BA21" s="17"/>
      <c r="BB21" s="17"/>
      <c r="BC21" s="17"/>
      <c r="BD21" s="31"/>
      <c r="BE21" s="17"/>
      <c r="BF21" s="17"/>
      <c r="BG21" s="17"/>
      <c r="BH21" s="40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</row>
    <row r="22" spans="1:92" ht="26.25" hidden="1" customHeight="1" outlineLevel="2">
      <c r="A22" s="41"/>
      <c r="B22" s="3" t="s">
        <v>329</v>
      </c>
      <c r="C22" s="5"/>
      <c r="D22" s="5"/>
      <c r="E22" s="5"/>
      <c r="F22" s="5"/>
      <c r="G22" s="5"/>
      <c r="H22" s="7" t="str">
        <f t="shared" si="0"/>
        <v>R.11</v>
      </c>
      <c r="I22" s="8" t="s">
        <v>332</v>
      </c>
      <c r="J22" s="5"/>
      <c r="K22" s="3"/>
      <c r="L22" s="5" t="str">
        <f>VLOOKUP(B22,ROTEIRO!$B$2:$AH$201,4,FALSE())</f>
        <v>R11/1</v>
      </c>
      <c r="M22" s="10"/>
      <c r="N22" s="11"/>
      <c r="O22" s="7"/>
      <c r="P22" s="10"/>
      <c r="Q22" s="5" t="e">
        <f>VLOOKUP(B22,#REF!,14,FALSE())</f>
        <v>#REF!</v>
      </c>
      <c r="R22" s="52"/>
      <c r="S22" s="21"/>
      <c r="T22" s="17"/>
      <c r="U22" s="18"/>
      <c r="V22" s="17"/>
      <c r="W22" s="18"/>
      <c r="X22" s="17"/>
      <c r="Y22" s="18"/>
      <c r="Z22" s="17"/>
      <c r="AA22" s="18"/>
      <c r="AB22" s="17"/>
      <c r="AC22" s="18"/>
      <c r="AD22" s="17"/>
      <c r="AE22" s="18"/>
      <c r="AF22" s="17"/>
      <c r="AG22" s="18"/>
      <c r="AH22" s="17"/>
      <c r="AI22" s="17"/>
      <c r="AJ22" s="17"/>
      <c r="AK22" s="17"/>
      <c r="AL22" s="17"/>
      <c r="AM22" s="17"/>
      <c r="AN22" s="17"/>
      <c r="AO22" s="17"/>
      <c r="AP22" s="17"/>
      <c r="AQ22" s="21"/>
      <c r="AR22" s="17"/>
      <c r="AS22" s="17"/>
      <c r="AT22" s="17"/>
      <c r="AU22" s="40"/>
      <c r="AV22" s="17"/>
      <c r="AW22" s="17"/>
      <c r="AX22" s="17"/>
      <c r="AY22" s="17"/>
      <c r="AZ22" s="17"/>
      <c r="BA22" s="17"/>
      <c r="BB22" s="17"/>
      <c r="BC22" s="17"/>
      <c r="BD22" s="21"/>
      <c r="BE22" s="17"/>
      <c r="BF22" s="17"/>
      <c r="BG22" s="17"/>
      <c r="BH22" s="40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</row>
    <row r="23" spans="1:92" ht="26.25" hidden="1" customHeight="1" outlineLevel="2">
      <c r="A23" s="41"/>
      <c r="B23" s="3" t="s">
        <v>340</v>
      </c>
      <c r="C23" s="5"/>
      <c r="D23" s="5"/>
      <c r="E23" s="5"/>
      <c r="F23" s="5"/>
      <c r="G23" s="5"/>
      <c r="H23" s="7" t="str">
        <f t="shared" si="0"/>
        <v>R.12</v>
      </c>
      <c r="I23" s="8" t="s">
        <v>341</v>
      </c>
      <c r="J23" s="5"/>
      <c r="K23" s="3"/>
      <c r="L23" s="5" t="str">
        <f>VLOOKUP(B23,ROTEIRO!$B$2:$AH$201,4,FALSE())</f>
        <v>R12/1</v>
      </c>
      <c r="M23" s="10"/>
      <c r="N23" s="11"/>
      <c r="O23" s="7"/>
      <c r="P23" s="10"/>
      <c r="Q23" s="5" t="e">
        <f>VLOOKUP(B23,#REF!,14,FALSE())</f>
        <v>#REF!</v>
      </c>
      <c r="R23" s="52"/>
      <c r="S23" s="21"/>
      <c r="T23" s="17"/>
      <c r="U23" s="18"/>
      <c r="V23" s="17"/>
      <c r="W23" s="18"/>
      <c r="X23" s="17"/>
      <c r="Y23" s="18"/>
      <c r="Z23" s="17"/>
      <c r="AA23" s="18"/>
      <c r="AB23" s="17"/>
      <c r="AC23" s="18"/>
      <c r="AD23" s="17"/>
      <c r="AE23" s="18"/>
      <c r="AF23" s="17"/>
      <c r="AG23" s="18"/>
      <c r="AH23" s="17"/>
      <c r="AI23" s="17"/>
      <c r="AJ23" s="17"/>
      <c r="AK23" s="17"/>
      <c r="AL23" s="17"/>
      <c r="AM23" s="17"/>
      <c r="AN23" s="17"/>
      <c r="AO23" s="17"/>
      <c r="AP23" s="17"/>
      <c r="AQ23" s="21"/>
      <c r="AR23" s="17"/>
      <c r="AS23" s="17"/>
      <c r="AT23" s="17"/>
      <c r="AU23" s="40"/>
      <c r="AV23" s="17"/>
      <c r="AW23" s="17"/>
      <c r="AX23" s="17"/>
      <c r="AY23" s="17"/>
      <c r="AZ23" s="17"/>
      <c r="BA23" s="17"/>
      <c r="BB23" s="17"/>
      <c r="BC23" s="17"/>
      <c r="BD23" s="21"/>
      <c r="BE23" s="17"/>
      <c r="BF23" s="17"/>
      <c r="BG23" s="17"/>
      <c r="BH23" s="40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</row>
    <row r="24" spans="1:92" ht="26.25" hidden="1" customHeight="1" outlineLevel="1">
      <c r="A24" s="41"/>
      <c r="B24" s="2" t="s">
        <v>349</v>
      </c>
      <c r="C24" s="53" t="s">
        <v>28</v>
      </c>
      <c r="D24" s="53" t="s">
        <v>10</v>
      </c>
      <c r="E24" s="53" t="s">
        <v>49</v>
      </c>
      <c r="F24" s="53" t="s">
        <v>30</v>
      </c>
      <c r="G24" s="53" t="s">
        <v>13</v>
      </c>
      <c r="H24" s="54" t="str">
        <f t="shared" si="0"/>
        <v>-</v>
      </c>
      <c r="I24" s="55"/>
      <c r="J24" s="53"/>
      <c r="K24" s="2" t="e">
        <f>VLOOKUP(B24,#REF!,2,FALSE())</f>
        <v>#REF!</v>
      </c>
      <c r="L24" s="53" t="e">
        <f>VLOOKUP(B24,#REF!,7,FALSE())</f>
        <v>#REF!</v>
      </c>
      <c r="M24" s="56" t="s">
        <v>21</v>
      </c>
      <c r="N24" s="57" t="s">
        <v>7</v>
      </c>
      <c r="O24" s="54" t="s">
        <v>7</v>
      </c>
      <c r="P24" s="56" t="s">
        <v>60</v>
      </c>
      <c r="Q24" s="58" t="e">
        <f>VLOOKUP(B24,#REF!,10,FALSE())</f>
        <v>#REF!</v>
      </c>
      <c r="R24" s="27" t="s">
        <v>354</v>
      </c>
      <c r="S24" s="59">
        <v>1.8333333333333333</v>
      </c>
      <c r="T24" s="17" t="s">
        <v>356</v>
      </c>
      <c r="U24" s="60">
        <v>0.32500000000000001</v>
      </c>
      <c r="V24" s="17" t="s">
        <v>356</v>
      </c>
      <c r="W24" s="60">
        <v>0.32500000000000001</v>
      </c>
      <c r="X24" s="17" t="s">
        <v>356</v>
      </c>
      <c r="Y24" s="60">
        <v>0.32500000000000001</v>
      </c>
      <c r="Z24" s="17" t="s">
        <v>356</v>
      </c>
      <c r="AA24" s="60">
        <v>0.32500000000000001</v>
      </c>
      <c r="AB24" s="17" t="s">
        <v>356</v>
      </c>
      <c r="AC24" s="60">
        <v>0.32500000000000001</v>
      </c>
      <c r="AD24" s="17" t="s">
        <v>37</v>
      </c>
      <c r="AE24" s="60"/>
      <c r="AF24" s="17" t="s">
        <v>37</v>
      </c>
      <c r="AG24" s="60"/>
      <c r="AH24" s="17"/>
      <c r="AI24" s="17"/>
      <c r="AJ24" s="17"/>
      <c r="AK24" s="17"/>
      <c r="AL24" s="17"/>
      <c r="AM24" s="17"/>
      <c r="AN24" s="17"/>
      <c r="AO24" s="17"/>
      <c r="AP24" s="17"/>
      <c r="AQ24" s="63"/>
      <c r="AR24" s="17"/>
      <c r="AS24" s="17"/>
      <c r="AT24" s="17"/>
      <c r="AU24" s="40"/>
      <c r="AV24" s="17"/>
      <c r="AW24" s="17"/>
      <c r="AX24" s="17"/>
      <c r="AY24" s="17"/>
      <c r="AZ24" s="17"/>
      <c r="BA24" s="17"/>
      <c r="BB24" s="17"/>
      <c r="BC24" s="17"/>
      <c r="BD24" s="31"/>
      <c r="BE24" s="17"/>
      <c r="BF24" s="17"/>
      <c r="BG24" s="17"/>
      <c r="BH24" s="40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</row>
    <row r="25" spans="1:92" ht="26.25" hidden="1" customHeight="1" outlineLevel="1">
      <c r="A25" s="41"/>
      <c r="B25" s="2" t="s">
        <v>361</v>
      </c>
      <c r="C25" s="53" t="s">
        <v>28</v>
      </c>
      <c r="D25" s="53" t="s">
        <v>10</v>
      </c>
      <c r="E25" s="53" t="s">
        <v>49</v>
      </c>
      <c r="F25" s="53" t="s">
        <v>30</v>
      </c>
      <c r="G25" s="53" t="s">
        <v>13</v>
      </c>
      <c r="H25" s="54" t="str">
        <f t="shared" si="0"/>
        <v>-</v>
      </c>
      <c r="I25" s="55"/>
      <c r="J25" s="53"/>
      <c r="K25" s="2" t="e">
        <f>VLOOKUP(B25,#REF!,2,FALSE())</f>
        <v>#REF!</v>
      </c>
      <c r="L25" s="53" t="e">
        <f>VLOOKUP(B25,#REF!,7,FALSE())</f>
        <v>#REF!</v>
      </c>
      <c r="M25" s="56" t="s">
        <v>21</v>
      </c>
      <c r="N25" s="57" t="s">
        <v>7</v>
      </c>
      <c r="O25" s="54" t="s">
        <v>7</v>
      </c>
      <c r="P25" s="56" t="s">
        <v>60</v>
      </c>
      <c r="Q25" s="58" t="e">
        <f>VLOOKUP(B25,#REF!,10,FALSE())</f>
        <v>#REF!</v>
      </c>
      <c r="R25" s="27" t="s">
        <v>354</v>
      </c>
      <c r="S25" s="59">
        <v>1.8333333333333333</v>
      </c>
      <c r="T25" s="17" t="s">
        <v>356</v>
      </c>
      <c r="U25" s="60">
        <v>0.32500000000000001</v>
      </c>
      <c r="V25" s="17" t="s">
        <v>356</v>
      </c>
      <c r="W25" s="60">
        <v>0.32500000000000001</v>
      </c>
      <c r="X25" s="17" t="s">
        <v>356</v>
      </c>
      <c r="Y25" s="60">
        <v>0.32500000000000001</v>
      </c>
      <c r="Z25" s="17" t="s">
        <v>356</v>
      </c>
      <c r="AA25" s="60">
        <v>0.32500000000000001</v>
      </c>
      <c r="AB25" s="17" t="s">
        <v>356</v>
      </c>
      <c r="AC25" s="60">
        <v>0.32500000000000001</v>
      </c>
      <c r="AD25" s="17" t="s">
        <v>37</v>
      </c>
      <c r="AE25" s="60"/>
      <c r="AF25" s="17" t="s">
        <v>37</v>
      </c>
      <c r="AG25" s="60"/>
      <c r="AH25" s="17"/>
      <c r="AI25" s="17"/>
      <c r="AJ25" s="17"/>
      <c r="AK25" s="17"/>
      <c r="AL25" s="17"/>
      <c r="AM25" s="17"/>
      <c r="AN25" s="17"/>
      <c r="AO25" s="17"/>
      <c r="AP25" s="17"/>
      <c r="AQ25" s="63"/>
      <c r="AR25" s="17"/>
      <c r="AS25" s="17"/>
      <c r="AT25" s="17"/>
      <c r="AU25" s="40"/>
      <c r="AV25" s="17"/>
      <c r="AW25" s="17"/>
      <c r="AX25" s="17"/>
      <c r="AY25" s="17"/>
      <c r="AZ25" s="17"/>
      <c r="BA25" s="17"/>
      <c r="BB25" s="17"/>
      <c r="BC25" s="17"/>
      <c r="BD25" s="31"/>
      <c r="BE25" s="17"/>
      <c r="BF25" s="17"/>
      <c r="BG25" s="17"/>
      <c r="BH25" s="40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</row>
    <row r="26" spans="1:92" ht="26.25" hidden="1" customHeight="1" outlineLevel="2">
      <c r="A26" s="41"/>
      <c r="B26" s="3" t="s">
        <v>369</v>
      </c>
      <c r="C26" s="5"/>
      <c r="D26" s="5"/>
      <c r="E26" s="5"/>
      <c r="F26" s="5"/>
      <c r="G26" s="5"/>
      <c r="H26" s="7" t="str">
        <f t="shared" si="0"/>
        <v>R.13</v>
      </c>
      <c r="I26" s="8" t="s">
        <v>370</v>
      </c>
      <c r="J26" s="5"/>
      <c r="K26" s="3"/>
      <c r="L26" s="5" t="str">
        <f>VLOOKUP(B26,ROTEIRO!$B$2:$AH$201,4,FALSE())</f>
        <v>R13/1</v>
      </c>
      <c r="M26" s="10"/>
      <c r="N26" s="11"/>
      <c r="O26" s="7"/>
      <c r="P26" s="10"/>
      <c r="Q26" s="5" t="e">
        <f>VLOOKUP(B26,#REF!,14,FALSE())</f>
        <v>#REF!</v>
      </c>
      <c r="R26" s="52"/>
      <c r="S26" s="21"/>
      <c r="T26" s="17"/>
      <c r="U26" s="18"/>
      <c r="V26" s="17"/>
      <c r="W26" s="18"/>
      <c r="X26" s="17"/>
      <c r="Y26" s="18"/>
      <c r="Z26" s="17"/>
      <c r="AA26" s="18"/>
      <c r="AB26" s="17"/>
      <c r="AC26" s="18"/>
      <c r="AD26" s="17"/>
      <c r="AE26" s="18"/>
      <c r="AF26" s="17"/>
      <c r="AG26" s="18"/>
      <c r="AH26" s="17"/>
      <c r="AI26" s="17"/>
      <c r="AJ26" s="17"/>
      <c r="AK26" s="17"/>
      <c r="AL26" s="17"/>
      <c r="AM26" s="17"/>
      <c r="AN26" s="17"/>
      <c r="AO26" s="17"/>
      <c r="AP26" s="17"/>
      <c r="AQ26" s="21"/>
      <c r="AR26" s="17"/>
      <c r="AS26" s="17"/>
      <c r="AT26" s="17"/>
      <c r="AU26" s="40"/>
      <c r="AV26" s="17"/>
      <c r="AW26" s="17"/>
      <c r="AX26" s="17"/>
      <c r="AY26" s="17"/>
      <c r="AZ26" s="17"/>
      <c r="BA26" s="17"/>
      <c r="BB26" s="17"/>
      <c r="BC26" s="17"/>
      <c r="BD26" s="21"/>
      <c r="BE26" s="17"/>
      <c r="BF26" s="17"/>
      <c r="BG26" s="17"/>
      <c r="BH26" s="40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</row>
    <row r="27" spans="1:92" ht="26.25" hidden="1" customHeight="1" outlineLevel="2">
      <c r="A27" s="41"/>
      <c r="B27" s="3" t="s">
        <v>379</v>
      </c>
      <c r="C27" s="5"/>
      <c r="D27" s="5"/>
      <c r="E27" s="5"/>
      <c r="F27" s="5"/>
      <c r="G27" s="5"/>
      <c r="H27" s="7" t="str">
        <f t="shared" si="0"/>
        <v>R.14</v>
      </c>
      <c r="I27" s="8" t="s">
        <v>380</v>
      </c>
      <c r="J27" s="5"/>
      <c r="K27" s="3"/>
      <c r="L27" s="5" t="str">
        <f>VLOOKUP(B27,ROTEIRO!$B$2:$AH$201,4,FALSE())</f>
        <v>R14/1</v>
      </c>
      <c r="M27" s="10"/>
      <c r="N27" s="11"/>
      <c r="O27" s="7"/>
      <c r="P27" s="10"/>
      <c r="Q27" s="65" t="e">
        <f>VLOOKUP(B27,#REF!,14,FALSE())</f>
        <v>#REF!</v>
      </c>
      <c r="R27" s="52"/>
      <c r="S27" s="21"/>
      <c r="T27" s="17"/>
      <c r="U27" s="18"/>
      <c r="V27" s="17"/>
      <c r="W27" s="18"/>
      <c r="X27" s="17"/>
      <c r="Y27" s="18"/>
      <c r="Z27" s="17"/>
      <c r="AA27" s="18"/>
      <c r="AB27" s="17"/>
      <c r="AC27" s="18"/>
      <c r="AD27" s="17"/>
      <c r="AE27" s="18"/>
      <c r="AF27" s="17"/>
      <c r="AG27" s="18"/>
      <c r="AH27" s="17"/>
      <c r="AI27" s="17"/>
      <c r="AJ27" s="17"/>
      <c r="AK27" s="17"/>
      <c r="AL27" s="17"/>
      <c r="AM27" s="17"/>
      <c r="AN27" s="17"/>
      <c r="AO27" s="17"/>
      <c r="AP27" s="17"/>
      <c r="AQ27" s="21"/>
      <c r="AR27" s="17"/>
      <c r="AS27" s="17"/>
      <c r="AT27" s="17"/>
      <c r="AU27" s="40"/>
      <c r="AV27" s="17"/>
      <c r="AW27" s="17"/>
      <c r="AX27" s="17"/>
      <c r="AY27" s="17"/>
      <c r="AZ27" s="17"/>
      <c r="BA27" s="17"/>
      <c r="BB27" s="17"/>
      <c r="BC27" s="17"/>
      <c r="BD27" s="21"/>
      <c r="BE27" s="17"/>
      <c r="BF27" s="17"/>
      <c r="BG27" s="17"/>
      <c r="BH27" s="40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</row>
    <row r="28" spans="1:92" ht="26.25" hidden="1" customHeight="1" outlineLevel="2">
      <c r="A28" s="41"/>
      <c r="B28" s="3" t="s">
        <v>397</v>
      </c>
      <c r="C28" s="5"/>
      <c r="D28" s="5"/>
      <c r="E28" s="5"/>
      <c r="F28" s="5"/>
      <c r="G28" s="5"/>
      <c r="H28" s="7" t="str">
        <f t="shared" si="0"/>
        <v>R.15</v>
      </c>
      <c r="I28" s="8" t="s">
        <v>398</v>
      </c>
      <c r="J28" s="5"/>
      <c r="K28" s="3"/>
      <c r="L28" s="5" t="str">
        <f>VLOOKUP(B28,ROTEIRO!$B$2:$AH$201,4,FALSE())</f>
        <v>R15/1</v>
      </c>
      <c r="M28" s="10"/>
      <c r="N28" s="11"/>
      <c r="O28" s="7"/>
      <c r="P28" s="10"/>
      <c r="Q28" s="65" t="e">
        <f>VLOOKUP(B28,#REF!,14,FALSE())</f>
        <v>#REF!</v>
      </c>
      <c r="R28" s="52"/>
      <c r="S28" s="21"/>
      <c r="T28" s="17"/>
      <c r="U28" s="18"/>
      <c r="V28" s="17"/>
      <c r="W28" s="18"/>
      <c r="X28" s="17"/>
      <c r="Y28" s="18"/>
      <c r="Z28" s="17"/>
      <c r="AA28" s="18"/>
      <c r="AB28" s="17"/>
      <c r="AC28" s="18"/>
      <c r="AD28" s="17"/>
      <c r="AE28" s="18"/>
      <c r="AF28" s="17"/>
      <c r="AG28" s="18"/>
      <c r="AH28" s="17"/>
      <c r="AI28" s="17"/>
      <c r="AJ28" s="17"/>
      <c r="AK28" s="17"/>
      <c r="AL28" s="17"/>
      <c r="AM28" s="17"/>
      <c r="AN28" s="17"/>
      <c r="AO28" s="17"/>
      <c r="AP28" s="17"/>
      <c r="AQ28" s="21"/>
      <c r="AR28" s="17"/>
      <c r="AS28" s="17"/>
      <c r="AT28" s="17"/>
      <c r="AU28" s="40"/>
      <c r="AV28" s="17"/>
      <c r="AW28" s="17"/>
      <c r="AX28" s="17"/>
      <c r="AY28" s="17"/>
      <c r="AZ28" s="17"/>
      <c r="BA28" s="17"/>
      <c r="BB28" s="17"/>
      <c r="BC28" s="17"/>
      <c r="BD28" s="21"/>
      <c r="BE28" s="17"/>
      <c r="BF28" s="17"/>
      <c r="BG28" s="17"/>
      <c r="BH28" s="40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</row>
    <row r="29" spans="1:92" ht="26.25" hidden="1" customHeight="1" outlineLevel="1">
      <c r="A29" s="41"/>
      <c r="B29" s="2" t="s">
        <v>407</v>
      </c>
      <c r="C29" s="53" t="s">
        <v>28</v>
      </c>
      <c r="D29" s="53" t="s">
        <v>10</v>
      </c>
      <c r="E29" s="53" t="s">
        <v>49</v>
      </c>
      <c r="F29" s="53" t="s">
        <v>30</v>
      </c>
      <c r="G29" s="53" t="s">
        <v>13</v>
      </c>
      <c r="H29" s="54" t="str">
        <f t="shared" si="0"/>
        <v>-</v>
      </c>
      <c r="I29" s="55"/>
      <c r="J29" s="53"/>
      <c r="K29" s="2" t="e">
        <f>VLOOKUP(B29,#REF!,2,FALSE())</f>
        <v>#REF!</v>
      </c>
      <c r="L29" s="53" t="e">
        <f>VLOOKUP(B29,#REF!,7,FALSE())</f>
        <v>#REF!</v>
      </c>
      <c r="M29" s="56"/>
      <c r="N29" s="57"/>
      <c r="O29" s="54"/>
      <c r="P29" s="56"/>
      <c r="Q29" s="58" t="e">
        <f>VLOOKUP(B29,#REF!,10,FALSE())</f>
        <v>#REF!</v>
      </c>
      <c r="R29" s="27" t="s">
        <v>408</v>
      </c>
      <c r="S29" s="59">
        <v>1.8333333333333333</v>
      </c>
      <c r="T29" s="17" t="s">
        <v>36</v>
      </c>
      <c r="U29" s="60">
        <v>0.30555555555555558</v>
      </c>
      <c r="V29" s="17" t="s">
        <v>36</v>
      </c>
      <c r="W29" s="60">
        <v>0.30555555555555558</v>
      </c>
      <c r="X29" s="17" t="s">
        <v>36</v>
      </c>
      <c r="Y29" s="60">
        <v>0.30555555555555558</v>
      </c>
      <c r="Z29" s="17" t="s">
        <v>36</v>
      </c>
      <c r="AA29" s="60">
        <v>0.30555555555555558</v>
      </c>
      <c r="AB29" s="17" t="s">
        <v>36</v>
      </c>
      <c r="AC29" s="60">
        <v>0.30555555555555558</v>
      </c>
      <c r="AD29" s="17" t="s">
        <v>36</v>
      </c>
      <c r="AE29" s="60">
        <v>0.30555555555555558</v>
      </c>
      <c r="AF29" s="17"/>
      <c r="AG29" s="60"/>
      <c r="AH29" s="17"/>
      <c r="AI29" s="17"/>
      <c r="AJ29" s="17"/>
      <c r="AK29" s="17"/>
      <c r="AL29" s="17"/>
      <c r="AM29" s="17"/>
      <c r="AN29" s="17"/>
      <c r="AO29" s="17"/>
      <c r="AP29" s="17"/>
      <c r="AQ29" s="63"/>
      <c r="AR29" s="17"/>
      <c r="AS29" s="17"/>
      <c r="AT29" s="17"/>
      <c r="AU29" s="40"/>
      <c r="AV29" s="17"/>
      <c r="AW29" s="17"/>
      <c r="AX29" s="17"/>
      <c r="AY29" s="17"/>
      <c r="AZ29" s="17"/>
      <c r="BA29" s="17"/>
      <c r="BB29" s="17"/>
      <c r="BC29" s="17"/>
      <c r="BD29" s="63"/>
      <c r="BE29" s="17"/>
      <c r="BF29" s="17"/>
      <c r="BG29" s="17"/>
      <c r="BH29" s="40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</row>
    <row r="30" spans="1:92" ht="26.25" hidden="1" customHeight="1" outlineLevel="1">
      <c r="A30" s="41"/>
      <c r="B30" s="3" t="s">
        <v>455</v>
      </c>
      <c r="C30" s="5"/>
      <c r="D30" s="5"/>
      <c r="E30" s="5"/>
      <c r="F30" s="5"/>
      <c r="G30" s="5"/>
      <c r="H30" s="7" t="str">
        <f t="shared" si="0"/>
        <v>R.16</v>
      </c>
      <c r="I30" s="8" t="s">
        <v>458</v>
      </c>
      <c r="J30" s="5"/>
      <c r="K30" s="3"/>
      <c r="L30" s="5" t="str">
        <f>VLOOKUP(B30,ROTEIRO!$B$2:$AH$201,4,FALSE())</f>
        <v>R16/1</v>
      </c>
      <c r="M30" s="10"/>
      <c r="N30" s="11"/>
      <c r="O30" s="7"/>
      <c r="P30" s="10"/>
      <c r="Q30" s="65" t="e">
        <f>VLOOKUP(B30,#REF!,14,FALSE())</f>
        <v>#REF!</v>
      </c>
      <c r="R30" s="52"/>
      <c r="S30" s="21"/>
      <c r="T30" s="17"/>
      <c r="U30" s="18"/>
      <c r="V30" s="17"/>
      <c r="W30" s="18"/>
      <c r="X30" s="17"/>
      <c r="Y30" s="18"/>
      <c r="Z30" s="17"/>
      <c r="AA30" s="18"/>
      <c r="AB30" s="17"/>
      <c r="AC30" s="18"/>
      <c r="AD30" s="17"/>
      <c r="AE30" s="18"/>
      <c r="AF30" s="17"/>
      <c r="AG30" s="18"/>
      <c r="AH30" s="17"/>
      <c r="AI30" s="17"/>
      <c r="AJ30" s="17"/>
      <c r="AK30" s="17"/>
      <c r="AL30" s="17"/>
      <c r="AM30" s="17"/>
      <c r="AN30" s="17"/>
      <c r="AO30" s="17"/>
      <c r="AP30" s="17"/>
      <c r="AQ30" s="21"/>
      <c r="AR30" s="17"/>
      <c r="AS30" s="17"/>
      <c r="AT30" s="17"/>
      <c r="AU30" s="40"/>
      <c r="AV30" s="17"/>
      <c r="AW30" s="17"/>
      <c r="AX30" s="17"/>
      <c r="AY30" s="17"/>
      <c r="AZ30" s="17"/>
      <c r="BA30" s="17"/>
      <c r="BB30" s="17"/>
      <c r="BC30" s="17"/>
      <c r="BD30" s="21"/>
      <c r="BE30" s="17"/>
      <c r="BF30" s="17"/>
      <c r="BG30" s="17"/>
      <c r="BH30" s="40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</row>
    <row r="31" spans="1:92" ht="26.25" hidden="1" customHeight="1" outlineLevel="1">
      <c r="A31" s="41"/>
      <c r="B31" s="3" t="s">
        <v>461</v>
      </c>
      <c r="C31" s="5"/>
      <c r="D31" s="5"/>
      <c r="E31" s="5"/>
      <c r="F31" s="5"/>
      <c r="G31" s="5"/>
      <c r="H31" s="7" t="str">
        <f t="shared" si="0"/>
        <v>R.17</v>
      </c>
      <c r="I31" s="8" t="s">
        <v>462</v>
      </c>
      <c r="J31" s="5"/>
      <c r="K31" s="3"/>
      <c r="L31" s="68">
        <f>VLOOKUP(B31,ROTEIRO!$B$2:$AH$201,4,FALSE())</f>
        <v>0</v>
      </c>
      <c r="M31" s="10"/>
      <c r="N31" s="11"/>
      <c r="O31" s="7"/>
      <c r="P31" s="10"/>
      <c r="Q31" s="65" t="e">
        <f>VLOOKUP(B31,#REF!,14,FALSE())</f>
        <v>#REF!</v>
      </c>
      <c r="R31" s="52"/>
      <c r="S31" s="21"/>
      <c r="T31" s="17"/>
      <c r="U31" s="18"/>
      <c r="V31" s="17"/>
      <c r="W31" s="18"/>
      <c r="X31" s="17"/>
      <c r="Y31" s="18"/>
      <c r="Z31" s="17"/>
      <c r="AA31" s="18"/>
      <c r="AB31" s="17"/>
      <c r="AC31" s="18"/>
      <c r="AD31" s="17"/>
      <c r="AE31" s="18"/>
      <c r="AF31" s="17"/>
      <c r="AG31" s="18"/>
      <c r="AH31" s="17"/>
      <c r="AI31" s="17"/>
      <c r="AJ31" s="17"/>
      <c r="AK31" s="17"/>
      <c r="AL31" s="17"/>
      <c r="AM31" s="17"/>
      <c r="AN31" s="17"/>
      <c r="AO31" s="17"/>
      <c r="AP31" s="17"/>
      <c r="AQ31" s="21"/>
      <c r="AR31" s="17"/>
      <c r="AS31" s="17"/>
      <c r="AT31" s="17"/>
      <c r="AU31" s="40"/>
      <c r="AV31" s="17"/>
      <c r="AW31" s="17"/>
      <c r="AX31" s="17"/>
      <c r="AY31" s="17"/>
      <c r="AZ31" s="17"/>
      <c r="BA31" s="17"/>
      <c r="BB31" s="17"/>
      <c r="BC31" s="17"/>
      <c r="BD31" s="21"/>
      <c r="BE31" s="17"/>
      <c r="BF31" s="17"/>
      <c r="BG31" s="17"/>
      <c r="BH31" s="40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</row>
    <row r="32" spans="1:92" ht="26.25" hidden="1" customHeight="1" outlineLevel="1">
      <c r="A32" s="41"/>
      <c r="B32" s="3" t="s">
        <v>482</v>
      </c>
      <c r="C32" s="5"/>
      <c r="D32" s="5"/>
      <c r="E32" s="5"/>
      <c r="F32" s="5"/>
      <c r="G32" s="5"/>
      <c r="H32" s="7" t="str">
        <f t="shared" si="0"/>
        <v>R.18</v>
      </c>
      <c r="I32" s="8" t="s">
        <v>485</v>
      </c>
      <c r="J32" s="5"/>
      <c r="K32" s="3"/>
      <c r="L32" s="68" t="str">
        <f ca="1">VLOOKUP(B32,ROTEIRO!$B$2:$AH$201,4,FALSE())</f>
        <v/>
      </c>
      <c r="M32" s="10"/>
      <c r="N32" s="11"/>
      <c r="O32" s="7"/>
      <c r="P32" s="10"/>
      <c r="Q32" s="65" t="e">
        <f>VLOOKUP(B32,#REF!,14,FALSE())</f>
        <v>#REF!</v>
      </c>
      <c r="R32" s="52"/>
      <c r="S32" s="21"/>
      <c r="T32" s="17"/>
      <c r="U32" s="18"/>
      <c r="V32" s="17"/>
      <c r="W32" s="18"/>
      <c r="X32" s="17"/>
      <c r="Y32" s="18"/>
      <c r="Z32" s="17"/>
      <c r="AA32" s="18"/>
      <c r="AB32" s="17"/>
      <c r="AC32" s="18"/>
      <c r="AD32" s="17"/>
      <c r="AE32" s="18"/>
      <c r="AF32" s="17"/>
      <c r="AG32" s="18"/>
      <c r="AH32" s="17"/>
      <c r="AI32" s="17"/>
      <c r="AJ32" s="17"/>
      <c r="AK32" s="17"/>
      <c r="AL32" s="17"/>
      <c r="AM32" s="17"/>
      <c r="AN32" s="17"/>
      <c r="AO32" s="17"/>
      <c r="AP32" s="17"/>
      <c r="AQ32" s="21"/>
      <c r="AR32" s="17"/>
      <c r="AS32" s="17"/>
      <c r="AT32" s="17"/>
      <c r="AU32" s="40"/>
      <c r="AV32" s="17"/>
      <c r="AW32" s="17"/>
      <c r="AX32" s="17"/>
      <c r="AY32" s="17"/>
      <c r="AZ32" s="17"/>
      <c r="BA32" s="17"/>
      <c r="BB32" s="17"/>
      <c r="BC32" s="17"/>
      <c r="BD32" s="21"/>
      <c r="BE32" s="17"/>
      <c r="BF32" s="17"/>
      <c r="BG32" s="17"/>
      <c r="BH32" s="40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</row>
    <row r="33" spans="1:92" ht="26.25" hidden="1" customHeight="1" outlineLevel="1">
      <c r="A33" s="41"/>
      <c r="B33" s="3" t="s">
        <v>491</v>
      </c>
      <c r="C33" s="5"/>
      <c r="D33" s="5"/>
      <c r="E33" s="5"/>
      <c r="F33" s="5"/>
      <c r="G33" s="5"/>
      <c r="H33" s="7" t="str">
        <f t="shared" si="0"/>
        <v>R.19</v>
      </c>
      <c r="I33" s="8" t="s">
        <v>492</v>
      </c>
      <c r="J33" s="5"/>
      <c r="K33" s="3"/>
      <c r="L33" s="5" t="str">
        <f ca="1">VLOOKUP(B33,ROTEIRO!$B$2:$AH$201,4,FALSE())</f>
        <v/>
      </c>
      <c r="M33" s="10"/>
      <c r="N33" s="11"/>
      <c r="O33" s="7"/>
      <c r="P33" s="10"/>
      <c r="Q33" s="65" t="e">
        <f>VLOOKUP(B33,#REF!,14,FALSE())</f>
        <v>#REF!</v>
      </c>
      <c r="R33" s="52"/>
      <c r="S33" s="21"/>
      <c r="T33" s="17"/>
      <c r="U33" s="18"/>
      <c r="V33" s="17"/>
      <c r="W33" s="18"/>
      <c r="X33" s="17"/>
      <c r="Y33" s="18"/>
      <c r="Z33" s="17"/>
      <c r="AA33" s="18"/>
      <c r="AB33" s="17"/>
      <c r="AC33" s="18"/>
      <c r="AD33" s="17"/>
      <c r="AE33" s="18"/>
      <c r="AF33" s="17"/>
      <c r="AG33" s="18"/>
      <c r="AH33" s="17"/>
      <c r="AI33" s="17"/>
      <c r="AJ33" s="17"/>
      <c r="AK33" s="17"/>
      <c r="AL33" s="17"/>
      <c r="AM33" s="17"/>
      <c r="AN33" s="17"/>
      <c r="AO33" s="17"/>
      <c r="AP33" s="17"/>
      <c r="AQ33" s="21"/>
      <c r="AR33" s="17"/>
      <c r="AS33" s="17"/>
      <c r="AT33" s="17"/>
      <c r="AU33" s="40"/>
      <c r="AV33" s="17"/>
      <c r="AW33" s="17"/>
      <c r="AX33" s="17"/>
      <c r="AY33" s="17"/>
      <c r="AZ33" s="17"/>
      <c r="BA33" s="17"/>
      <c r="BB33" s="17"/>
      <c r="BC33" s="17"/>
      <c r="BD33" s="21"/>
      <c r="BE33" s="17"/>
      <c r="BF33" s="17"/>
      <c r="BG33" s="17"/>
      <c r="BH33" s="40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</row>
    <row r="34" spans="1:92" ht="26.25" hidden="1" customHeight="1" outlineLevel="1">
      <c r="A34" s="41"/>
      <c r="B34" s="3" t="s">
        <v>493</v>
      </c>
      <c r="C34" s="5"/>
      <c r="D34" s="5"/>
      <c r="E34" s="5"/>
      <c r="F34" s="5"/>
      <c r="G34" s="5"/>
      <c r="H34" s="7" t="str">
        <f t="shared" si="0"/>
        <v>R.20</v>
      </c>
      <c r="I34" s="8" t="s">
        <v>494</v>
      </c>
      <c r="J34" s="5"/>
      <c r="K34" s="3"/>
      <c r="L34" s="5" t="str">
        <f ca="1">VLOOKUP(B34,ROTEIRO!$B$2:$AH$201,4,FALSE())</f>
        <v/>
      </c>
      <c r="M34" s="10"/>
      <c r="N34" s="11"/>
      <c r="O34" s="7"/>
      <c r="P34" s="10"/>
      <c r="Q34" s="65" t="e">
        <f>VLOOKUP(B34,#REF!,14,FALSE())</f>
        <v>#REF!</v>
      </c>
      <c r="R34" s="52"/>
      <c r="S34" s="21"/>
      <c r="T34" s="17"/>
      <c r="U34" s="18"/>
      <c r="V34" s="17"/>
      <c r="W34" s="18"/>
      <c r="X34" s="17"/>
      <c r="Y34" s="18"/>
      <c r="Z34" s="17"/>
      <c r="AA34" s="18"/>
      <c r="AB34" s="17"/>
      <c r="AC34" s="18"/>
      <c r="AD34" s="17"/>
      <c r="AE34" s="18"/>
      <c r="AF34" s="17"/>
      <c r="AG34" s="18"/>
      <c r="AH34" s="17"/>
      <c r="AI34" s="17"/>
      <c r="AJ34" s="17"/>
      <c r="AK34" s="17"/>
      <c r="AL34" s="17"/>
      <c r="AM34" s="17"/>
      <c r="AN34" s="17"/>
      <c r="AO34" s="17"/>
      <c r="AP34" s="17"/>
      <c r="AQ34" s="21"/>
      <c r="AR34" s="17"/>
      <c r="AS34" s="17"/>
      <c r="AT34" s="17"/>
      <c r="AU34" s="40"/>
      <c r="AV34" s="17"/>
      <c r="AW34" s="17"/>
      <c r="AX34" s="17"/>
      <c r="AY34" s="17"/>
      <c r="AZ34" s="17"/>
      <c r="BA34" s="17"/>
      <c r="BB34" s="17"/>
      <c r="BC34" s="17"/>
      <c r="BD34" s="21"/>
      <c r="BE34" s="17"/>
      <c r="BF34" s="17"/>
      <c r="BG34" s="17"/>
      <c r="BH34" s="40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</row>
    <row r="35" spans="1:92" ht="14.25" customHeight="1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>
        <f ca="1">COUNTIF(K24:K117,"&lt;&gt;0")</f>
        <v>59</v>
      </c>
      <c r="L35" s="42"/>
      <c r="M35" s="42"/>
      <c r="N35" s="42"/>
      <c r="O35" s="42"/>
      <c r="P35" s="42"/>
      <c r="Q35" s="42"/>
      <c r="R35" s="42"/>
      <c r="S35" s="42"/>
      <c r="T35" s="132"/>
      <c r="U35" s="18"/>
      <c r="V35" s="132"/>
      <c r="W35" s="18"/>
      <c r="X35" s="132"/>
      <c r="Y35" s="18"/>
      <c r="Z35" s="132"/>
      <c r="AA35" s="18"/>
      <c r="AB35" s="132"/>
      <c r="AC35" s="18"/>
      <c r="AD35" s="132"/>
      <c r="AE35" s="18"/>
      <c r="AF35" s="132"/>
      <c r="AG35" s="18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4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4"/>
      <c r="BI35" s="133"/>
      <c r="BJ35" s="80"/>
      <c r="BK35" s="80"/>
      <c r="BL35" s="133"/>
      <c r="BM35" s="133"/>
      <c r="BN35" s="133"/>
      <c r="BO35" s="133"/>
      <c r="BP35" s="80"/>
      <c r="BQ35" s="80"/>
      <c r="BR35" s="80"/>
      <c r="BS35" s="80"/>
      <c r="BT35" s="80"/>
      <c r="BU35" s="80"/>
      <c r="BV35" s="134"/>
      <c r="BW35" s="134"/>
      <c r="BX35" s="134"/>
      <c r="BY35" s="134"/>
      <c r="BZ35" s="134"/>
      <c r="CA35" s="134"/>
      <c r="CB35" s="134"/>
      <c r="CC35" s="134"/>
      <c r="CD35" s="134"/>
      <c r="CE35" s="134"/>
      <c r="CF35" s="134"/>
      <c r="CG35" s="134"/>
      <c r="CH35" s="134"/>
      <c r="CI35" s="134"/>
      <c r="CJ35" s="134"/>
      <c r="CK35" s="134"/>
      <c r="CL35" s="134"/>
      <c r="CM35" s="134"/>
      <c r="CN35" s="134"/>
    </row>
    <row r="36" spans="1:92" ht="26.25" customHeight="1">
      <c r="A36" s="2" t="str">
        <f t="shared" ref="A36:A90" si="1">IF(C36="ENCAR",CONCATENATE(B36," - ",C36),IF(C36="ZELAD",CONCATENATE(B36," - ",C36),CONCATENATE(B36," - ",(CONCATENATE(MID(C36,1,1),MID(D36,1,1),MID(E36,1,1),MID(F36,1,1),"/",MID(G36,1,1))))))</f>
        <v>MC002 - LD-B/U</v>
      </c>
      <c r="B36" s="2" t="s">
        <v>244</v>
      </c>
      <c r="C36" s="53" t="s">
        <v>28</v>
      </c>
      <c r="D36" s="53" t="s">
        <v>10</v>
      </c>
      <c r="E36" s="53" t="s">
        <v>49</v>
      </c>
      <c r="F36" s="53" t="s">
        <v>30</v>
      </c>
      <c r="G36" s="53" t="s">
        <v>13</v>
      </c>
      <c r="H36" s="54" t="str">
        <f t="shared" ref="H36:H90" si="2">IF(I36=0,"-",IF(J36=0,CONCATENATE("R",I36),CONCATENATE("R",I36,"/",J36)))</f>
        <v>-</v>
      </c>
      <c r="I36" s="55"/>
      <c r="J36" s="53"/>
      <c r="K36" s="2" t="e">
        <f>VLOOKUP(B36,#REF!,2,FALSE())</f>
        <v>#REF!</v>
      </c>
      <c r="L36" s="53" t="e">
        <f>VLOOKUP(B36,#REF!,7,FALSE())</f>
        <v>#REF!</v>
      </c>
      <c r="M36" s="56" t="s">
        <v>21</v>
      </c>
      <c r="N36" s="57" t="s">
        <v>7</v>
      </c>
      <c r="O36" s="54" t="s">
        <v>7</v>
      </c>
      <c r="P36" s="56" t="s">
        <v>60</v>
      </c>
      <c r="Q36" s="58" t="e">
        <f>VLOOKUP(B36,#REF!,10,FALSE())</f>
        <v>#REF!</v>
      </c>
      <c r="R36" s="27" t="s">
        <v>423</v>
      </c>
      <c r="S36" s="59">
        <f>U36+W36+Y36+AA36+AC36+AE36+AG36+AH36</f>
        <v>1.8333333333333333</v>
      </c>
      <c r="T36" s="17" t="s">
        <v>255</v>
      </c>
      <c r="U36" s="60">
        <v>0.375</v>
      </c>
      <c r="V36" s="17" t="s">
        <v>255</v>
      </c>
      <c r="W36" s="60">
        <v>0.375</v>
      </c>
      <c r="X36" s="17" t="s">
        <v>255</v>
      </c>
      <c r="Y36" s="60">
        <v>0.375</v>
      </c>
      <c r="Z36" s="17" t="s">
        <v>255</v>
      </c>
      <c r="AA36" s="60">
        <v>0.375</v>
      </c>
      <c r="AB36" s="17" t="s">
        <v>256</v>
      </c>
      <c r="AC36" s="60">
        <v>0.33333333333333331</v>
      </c>
      <c r="AD36" s="17" t="s">
        <v>125</v>
      </c>
      <c r="AE36" s="60"/>
      <c r="AF36" s="17" t="s">
        <v>37</v>
      </c>
      <c r="AG36" s="60"/>
      <c r="AH36" s="17"/>
      <c r="AI36" s="17"/>
      <c r="AJ36" s="17"/>
      <c r="AK36" s="17"/>
      <c r="AL36" s="17"/>
      <c r="AM36" s="17"/>
      <c r="AN36" s="17"/>
      <c r="AO36" s="17"/>
      <c r="AP36" s="17"/>
      <c r="AQ36" s="30"/>
      <c r="AR36" s="30"/>
      <c r="AS36" s="30"/>
      <c r="AT36" s="30"/>
      <c r="AU36" s="40"/>
      <c r="AV36" s="17"/>
      <c r="AW36" s="17"/>
      <c r="AX36" s="17"/>
      <c r="AY36" s="17"/>
      <c r="AZ36" s="17"/>
      <c r="BA36" s="17"/>
      <c r="BB36" s="17"/>
      <c r="BC36" s="17"/>
      <c r="BD36" s="31"/>
      <c r="BE36" s="17"/>
      <c r="BF36" s="17"/>
      <c r="BG36" s="17"/>
      <c r="BH36" s="40"/>
      <c r="BI36" s="17"/>
      <c r="BJ36" s="135" t="s">
        <v>2436</v>
      </c>
      <c r="BK36" s="135"/>
      <c r="BL36" s="135"/>
      <c r="BM36" s="135"/>
      <c r="BN36" s="135"/>
      <c r="BO36" s="135"/>
      <c r="BP36" s="135"/>
      <c r="BQ36" s="135"/>
      <c r="BR36" s="135"/>
      <c r="BS36" s="135"/>
      <c r="BT36" s="135"/>
      <c r="BU36" s="135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</row>
    <row r="37" spans="1:92" ht="26.25" customHeight="1">
      <c r="A37" s="2" t="str">
        <f t="shared" si="1"/>
        <v>MC002 - PN-A/1</v>
      </c>
      <c r="B37" s="2" t="s">
        <v>244</v>
      </c>
      <c r="C37" s="53" t="s">
        <v>9</v>
      </c>
      <c r="D37" s="53" t="s">
        <v>157</v>
      </c>
      <c r="E37" s="53" t="s">
        <v>49</v>
      </c>
      <c r="F37" s="53" t="s">
        <v>11</v>
      </c>
      <c r="G37" s="54">
        <v>1</v>
      </c>
      <c r="H37" s="54" t="str">
        <f t="shared" si="2"/>
        <v>-</v>
      </c>
      <c r="I37" s="55"/>
      <c r="J37" s="53"/>
      <c r="K37" s="2" t="e">
        <f>VLOOKUP(B37,#REF!,2,FALSE())</f>
        <v>#REF!</v>
      </c>
      <c r="L37" s="53" t="e">
        <f>VLOOKUP(B37,#REF!,7,FALSE())</f>
        <v>#REF!</v>
      </c>
      <c r="M37" s="56" t="s">
        <v>21</v>
      </c>
      <c r="N37" s="57" t="s">
        <v>7</v>
      </c>
      <c r="O37" s="54" t="s">
        <v>7</v>
      </c>
      <c r="P37" s="56" t="s">
        <v>22</v>
      </c>
      <c r="Q37" s="58" t="e">
        <f>VLOOKUP(B37,#REF!,10,FALSE())</f>
        <v>#REF!</v>
      </c>
      <c r="R37" s="27" t="s">
        <v>433</v>
      </c>
      <c r="S37" s="59">
        <v>1.8333333333333333</v>
      </c>
      <c r="T37" s="17" t="s">
        <v>434</v>
      </c>
      <c r="U37" s="60">
        <v>0.5</v>
      </c>
      <c r="V37" s="17"/>
      <c r="W37" s="60"/>
      <c r="X37" s="17" t="s">
        <v>434</v>
      </c>
      <c r="Y37" s="60">
        <v>0.5</v>
      </c>
      <c r="Z37" s="17"/>
      <c r="AA37" s="60"/>
      <c r="AB37" s="17" t="s">
        <v>434</v>
      </c>
      <c r="AC37" s="60">
        <v>0.5</v>
      </c>
      <c r="AD37" s="17"/>
      <c r="AE37" s="60"/>
      <c r="AF37" s="17" t="s">
        <v>434</v>
      </c>
      <c r="AG37" s="60">
        <v>0.5</v>
      </c>
      <c r="AH37" s="30"/>
      <c r="AI37" s="30" t="s">
        <v>43</v>
      </c>
      <c r="AJ37" s="30" t="s">
        <v>44</v>
      </c>
      <c r="AK37" s="30" t="s">
        <v>44</v>
      </c>
      <c r="AL37" s="30" t="s">
        <v>43</v>
      </c>
      <c r="AM37" s="30" t="s">
        <v>44</v>
      </c>
      <c r="AN37" s="30" t="s">
        <v>44</v>
      </c>
      <c r="AO37" s="30" t="s">
        <v>43</v>
      </c>
      <c r="AP37" s="30" t="s">
        <v>43</v>
      </c>
      <c r="AQ37" s="30" t="s">
        <v>44</v>
      </c>
      <c r="AR37" s="30" t="s">
        <v>43</v>
      </c>
      <c r="AS37" s="30" t="s">
        <v>44</v>
      </c>
      <c r="AT37" s="30" t="s">
        <v>43</v>
      </c>
      <c r="AU37" s="40"/>
      <c r="AV37" s="72"/>
      <c r="AW37" s="17"/>
      <c r="AX37" s="17"/>
      <c r="AY37" s="17"/>
      <c r="AZ37" s="17"/>
      <c r="BA37" s="17"/>
      <c r="BB37" s="17"/>
      <c r="BC37" s="17"/>
      <c r="BD37" s="63"/>
      <c r="BE37" s="17"/>
      <c r="BF37" s="17"/>
      <c r="BG37" s="17"/>
      <c r="BH37" s="40"/>
      <c r="BI37" s="72"/>
      <c r="BJ37" s="135" t="s">
        <v>2436</v>
      </c>
      <c r="BK37" s="164"/>
      <c r="BL37" s="164"/>
      <c r="BM37" s="164"/>
      <c r="BN37" s="164"/>
      <c r="BO37" s="164"/>
      <c r="BP37" s="147"/>
      <c r="BQ37" s="147"/>
      <c r="BR37" s="147"/>
      <c r="BS37" s="147"/>
      <c r="BT37" s="147"/>
      <c r="BU37" s="147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</row>
    <row r="38" spans="1:92" ht="26.25" customHeight="1">
      <c r="A38" s="2" t="str">
        <f t="shared" si="1"/>
        <v>MC002 - PN-A/2</v>
      </c>
      <c r="B38" s="2" t="s">
        <v>244</v>
      </c>
      <c r="C38" s="53" t="s">
        <v>9</v>
      </c>
      <c r="D38" s="53" t="s">
        <v>157</v>
      </c>
      <c r="E38" s="53" t="s">
        <v>49</v>
      </c>
      <c r="F38" s="53" t="s">
        <v>11</v>
      </c>
      <c r="G38" s="53">
        <v>2</v>
      </c>
      <c r="H38" s="54" t="str">
        <f t="shared" si="2"/>
        <v>-</v>
      </c>
      <c r="I38" s="55"/>
      <c r="J38" s="53"/>
      <c r="K38" s="2" t="e">
        <f>VLOOKUP(B38,#REF!,2,FALSE())</f>
        <v>#REF!</v>
      </c>
      <c r="L38" s="53" t="e">
        <f>VLOOKUP(B38,#REF!,7,FALSE())</f>
        <v>#REF!</v>
      </c>
      <c r="M38" s="56" t="s">
        <v>21</v>
      </c>
      <c r="N38" s="57" t="s">
        <v>7</v>
      </c>
      <c r="O38" s="54" t="s">
        <v>7</v>
      </c>
      <c r="P38" s="56" t="s">
        <v>22</v>
      </c>
      <c r="Q38" s="58" t="e">
        <f>VLOOKUP(B38,#REF!,10,FALSE())</f>
        <v>#REF!</v>
      </c>
      <c r="R38" s="27" t="s">
        <v>433</v>
      </c>
      <c r="S38" s="59">
        <v>1.8333333333333333</v>
      </c>
      <c r="T38" s="61"/>
      <c r="U38" s="62"/>
      <c r="V38" s="61" t="s">
        <v>434</v>
      </c>
      <c r="W38" s="62">
        <v>0.5</v>
      </c>
      <c r="X38" s="61"/>
      <c r="Y38" s="62"/>
      <c r="Z38" s="61" t="s">
        <v>434</v>
      </c>
      <c r="AA38" s="62">
        <v>0.5</v>
      </c>
      <c r="AB38" s="61"/>
      <c r="AC38" s="62"/>
      <c r="AD38" s="17" t="s">
        <v>434</v>
      </c>
      <c r="AE38" s="62">
        <v>0.5</v>
      </c>
      <c r="AF38" s="17"/>
      <c r="AG38" s="60"/>
      <c r="AH38" s="30"/>
      <c r="AI38" s="30" t="s">
        <v>44</v>
      </c>
      <c r="AJ38" s="30" t="s">
        <v>43</v>
      </c>
      <c r="AK38" s="30" t="s">
        <v>43</v>
      </c>
      <c r="AL38" s="30" t="s">
        <v>44</v>
      </c>
      <c r="AM38" s="30" t="s">
        <v>43</v>
      </c>
      <c r="AN38" s="30" t="s">
        <v>43</v>
      </c>
      <c r="AO38" s="30" t="s">
        <v>44</v>
      </c>
      <c r="AP38" s="30" t="s">
        <v>44</v>
      </c>
      <c r="AQ38" s="30" t="s">
        <v>43</v>
      </c>
      <c r="AR38" s="30" t="s">
        <v>44</v>
      </c>
      <c r="AS38" s="30" t="s">
        <v>43</v>
      </c>
      <c r="AT38" s="30" t="s">
        <v>44</v>
      </c>
      <c r="AU38" s="40"/>
      <c r="AV38" s="17"/>
      <c r="AW38" s="17"/>
      <c r="AX38" s="17"/>
      <c r="AY38" s="17"/>
      <c r="AZ38" s="17"/>
      <c r="BA38" s="17"/>
      <c r="BB38" s="17"/>
      <c r="BC38" s="17"/>
      <c r="BD38" s="31" t="s">
        <v>44</v>
      </c>
      <c r="BE38" s="17" t="s">
        <v>43</v>
      </c>
      <c r="BF38" s="17" t="s">
        <v>44</v>
      </c>
      <c r="BG38" s="17" t="s">
        <v>43</v>
      </c>
      <c r="BH38" s="40"/>
      <c r="BI38" s="17"/>
      <c r="BJ38" s="135" t="s">
        <v>2436</v>
      </c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</row>
    <row r="39" spans="1:92" ht="26.25" customHeight="1">
      <c r="A39" s="23" t="str">
        <f t="shared" si="1"/>
        <v>AG008 - PD-C/1</v>
      </c>
      <c r="B39" s="23" t="s">
        <v>2527</v>
      </c>
      <c r="C39" s="24" t="s">
        <v>9</v>
      </c>
      <c r="D39" s="24" t="s">
        <v>10</v>
      </c>
      <c r="E39" s="24" t="s">
        <v>49</v>
      </c>
      <c r="F39" s="24" t="s">
        <v>50</v>
      </c>
      <c r="G39" s="26">
        <v>1</v>
      </c>
      <c r="H39" s="26" t="str">
        <f t="shared" si="2"/>
        <v>R.15/6</v>
      </c>
      <c r="I39" s="32" t="s">
        <v>398</v>
      </c>
      <c r="J39" s="24">
        <v>6</v>
      </c>
      <c r="K39" s="23" t="e">
        <f>VLOOKUP(B39,#REF!,2,FALSE())</f>
        <v>#REF!</v>
      </c>
      <c r="L39" s="24" t="e">
        <f>VLOOKUP(B39,#REF!,7,FALSE())</f>
        <v>#REF!</v>
      </c>
      <c r="M39" s="35" t="s">
        <v>58</v>
      </c>
      <c r="N39" s="25" t="s">
        <v>7</v>
      </c>
      <c r="O39" s="26" t="s">
        <v>7</v>
      </c>
      <c r="P39" s="35" t="s">
        <v>621</v>
      </c>
      <c r="Q39" s="37" t="e">
        <f>VLOOKUP(B39,#REF!,10,FALSE())</f>
        <v>#REF!</v>
      </c>
      <c r="R39" s="38" t="s">
        <v>668</v>
      </c>
      <c r="S39" s="39">
        <f>U39+W39+Y39+AA39+AC39+AE39+AG39+AH39</f>
        <v>0.5</v>
      </c>
      <c r="T39" s="19"/>
      <c r="U39" s="18"/>
      <c r="V39" s="19"/>
      <c r="W39" s="18"/>
      <c r="X39" s="19"/>
      <c r="Y39" s="18"/>
      <c r="Z39" s="19"/>
      <c r="AA39" s="18"/>
      <c r="AB39" s="19"/>
      <c r="AC39" s="18"/>
      <c r="AD39" s="19"/>
      <c r="AE39" s="18"/>
      <c r="AF39" s="19" t="s">
        <v>142</v>
      </c>
      <c r="AG39" s="18">
        <v>0.5</v>
      </c>
      <c r="AH39" s="39"/>
      <c r="AI39" s="19"/>
      <c r="AJ39" s="19"/>
      <c r="AK39" s="19"/>
      <c r="AL39" s="19"/>
      <c r="AM39" s="19"/>
      <c r="AN39" s="19"/>
      <c r="AO39" s="19"/>
      <c r="AP39" s="19"/>
      <c r="AQ39" s="28" t="s">
        <v>43</v>
      </c>
      <c r="AR39" s="19" t="s">
        <v>43</v>
      </c>
      <c r="AS39" s="19" t="s">
        <v>43</v>
      </c>
      <c r="AT39" s="19" t="s">
        <v>43</v>
      </c>
      <c r="AU39" s="40"/>
      <c r="AV39" s="17"/>
      <c r="AW39" s="17"/>
      <c r="AX39" s="17"/>
      <c r="AY39" s="17"/>
      <c r="AZ39" s="17"/>
      <c r="BA39" s="17"/>
      <c r="BB39" s="17"/>
      <c r="BC39" s="17"/>
      <c r="BD39" s="31"/>
      <c r="BE39" s="17"/>
      <c r="BF39" s="17"/>
      <c r="BG39" s="17"/>
      <c r="BH39" s="40"/>
      <c r="BI39" s="17"/>
      <c r="BJ39" s="135"/>
      <c r="BK39" s="147" t="s">
        <v>2436</v>
      </c>
      <c r="BL39" s="147"/>
      <c r="BM39" s="147"/>
      <c r="BN39" s="147"/>
      <c r="BO39" s="147"/>
      <c r="BP39" s="147"/>
      <c r="BQ39" s="147"/>
      <c r="BR39" s="147"/>
      <c r="BS39" s="147"/>
      <c r="BT39" s="147"/>
      <c r="BU39" s="147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</row>
    <row r="40" spans="1:92" ht="26.25" customHeight="1">
      <c r="A40" s="3" t="str">
        <f t="shared" si="1"/>
        <v>AG008 - LD-B/U</v>
      </c>
      <c r="B40" s="3" t="s">
        <v>2527</v>
      </c>
      <c r="C40" s="5" t="s">
        <v>28</v>
      </c>
      <c r="D40" s="5" t="s">
        <v>10</v>
      </c>
      <c r="E40" s="5" t="s">
        <v>49</v>
      </c>
      <c r="F40" s="5" t="s">
        <v>30</v>
      </c>
      <c r="G40" s="5" t="s">
        <v>13</v>
      </c>
      <c r="H40" s="7" t="str">
        <f t="shared" si="2"/>
        <v>-</v>
      </c>
      <c r="I40" s="8"/>
      <c r="J40" s="5"/>
      <c r="K40" s="3" t="e">
        <f>VLOOKUP(B40,#REF!,2,FALSE())</f>
        <v>#REF!</v>
      </c>
      <c r="L40" s="5" t="e">
        <f>VLOOKUP(B40,#REF!,7,FALSE())</f>
        <v>#REF!</v>
      </c>
      <c r="M40" s="10" t="s">
        <v>21</v>
      </c>
      <c r="N40" s="11" t="s">
        <v>7</v>
      </c>
      <c r="O40" s="7" t="s">
        <v>7</v>
      </c>
      <c r="P40" s="10" t="s">
        <v>60</v>
      </c>
      <c r="Q40" s="12" t="e">
        <f>VLOOKUP(B40,#REF!,10,FALSE())</f>
        <v>#REF!</v>
      </c>
      <c r="R40" s="27" t="s">
        <v>655</v>
      </c>
      <c r="S40" s="14">
        <v>1.8333333333333333</v>
      </c>
      <c r="T40" s="15" t="s">
        <v>658</v>
      </c>
      <c r="U40" s="16">
        <v>0.33333333333333331</v>
      </c>
      <c r="V40" s="15" t="s">
        <v>658</v>
      </c>
      <c r="W40" s="16">
        <v>0.33333333333333331</v>
      </c>
      <c r="X40" s="15" t="s">
        <v>658</v>
      </c>
      <c r="Y40" s="16">
        <v>0.33333333333333331</v>
      </c>
      <c r="Z40" s="15" t="s">
        <v>658</v>
      </c>
      <c r="AA40" s="16">
        <v>0.33333333333333331</v>
      </c>
      <c r="AB40" s="15" t="s">
        <v>658</v>
      </c>
      <c r="AC40" s="16">
        <v>0.33333333333333331</v>
      </c>
      <c r="AD40" s="15" t="s">
        <v>625</v>
      </c>
      <c r="AE40" s="16">
        <v>0.16666666666666666</v>
      </c>
      <c r="AF40" s="17"/>
      <c r="AG40" s="18"/>
      <c r="AH40" s="19"/>
      <c r="AI40" s="20"/>
      <c r="AJ40" s="19"/>
      <c r="AK40" s="19"/>
      <c r="AL40" s="19"/>
      <c r="AM40" s="19"/>
      <c r="AN40" s="19"/>
      <c r="AO40" s="19"/>
      <c r="AP40" s="19"/>
      <c r="AQ40" s="21"/>
      <c r="AR40" s="19"/>
      <c r="AS40" s="19"/>
      <c r="AT40" s="19"/>
      <c r="AU40" s="22"/>
      <c r="AV40" s="20"/>
      <c r="AW40" s="19"/>
      <c r="AX40" s="19"/>
      <c r="AY40" s="19"/>
      <c r="AZ40" s="19"/>
      <c r="BA40" s="19"/>
      <c r="BB40" s="19"/>
      <c r="BC40" s="19"/>
      <c r="BD40" s="21"/>
      <c r="BE40" s="19"/>
      <c r="BF40" s="19"/>
      <c r="BG40" s="19"/>
      <c r="BH40" s="22"/>
      <c r="BI40" s="20"/>
      <c r="BJ40" s="165"/>
      <c r="BK40" s="136" t="s">
        <v>2436</v>
      </c>
      <c r="BL40" s="165"/>
      <c r="BM40" s="165"/>
      <c r="BN40" s="165"/>
      <c r="BO40" s="165"/>
      <c r="BP40" s="165"/>
      <c r="BQ40" s="165"/>
      <c r="BR40" s="165"/>
      <c r="BS40" s="165"/>
      <c r="BT40" s="165"/>
      <c r="BU40" s="165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</row>
    <row r="41" spans="1:92" ht="26.25" customHeight="1">
      <c r="A41" s="23" t="str">
        <f t="shared" si="1"/>
        <v>AG008 - PD-C/2</v>
      </c>
      <c r="B41" s="23" t="s">
        <v>2527</v>
      </c>
      <c r="C41" s="24" t="s">
        <v>9</v>
      </c>
      <c r="D41" s="24" t="s">
        <v>10</v>
      </c>
      <c r="E41" s="24" t="s">
        <v>49</v>
      </c>
      <c r="F41" s="24" t="s">
        <v>50</v>
      </c>
      <c r="G41" s="26">
        <v>2</v>
      </c>
      <c r="H41" s="26" t="str">
        <f t="shared" si="2"/>
        <v>R.15/2</v>
      </c>
      <c r="I41" s="32" t="s">
        <v>398</v>
      </c>
      <c r="J41" s="24">
        <v>2</v>
      </c>
      <c r="K41" s="23" t="e">
        <f>VLOOKUP(B41,#REF!,2,FALSE())</f>
        <v>#REF!</v>
      </c>
      <c r="L41" s="24" t="e">
        <f>VLOOKUP(B41,#REF!,7,FALSE())</f>
        <v>#REF!</v>
      </c>
      <c r="M41" s="35" t="s">
        <v>58</v>
      </c>
      <c r="N41" s="25" t="s">
        <v>7</v>
      </c>
      <c r="O41" s="26" t="s">
        <v>7</v>
      </c>
      <c r="P41" s="35" t="s">
        <v>621</v>
      </c>
      <c r="Q41" s="37" t="e">
        <f>VLOOKUP(B41,#REF!,10,FALSE())</f>
        <v>#REF!</v>
      </c>
      <c r="R41" s="38" t="s">
        <v>669</v>
      </c>
      <c r="S41" s="39">
        <f t="shared" ref="S41:S45" si="3">U41+W41+Y41+AA41+AC41+AE41+AG41+AH41</f>
        <v>1.6666666666666665</v>
      </c>
      <c r="T41" s="19" t="s">
        <v>609</v>
      </c>
      <c r="U41" s="18">
        <v>0.33333333333333331</v>
      </c>
      <c r="V41" s="19" t="s">
        <v>609</v>
      </c>
      <c r="W41" s="18">
        <v>0.33333333333333331</v>
      </c>
      <c r="X41" s="19" t="s">
        <v>609</v>
      </c>
      <c r="Y41" s="18">
        <v>0.33333333333333331</v>
      </c>
      <c r="Z41" s="19" t="s">
        <v>609</v>
      </c>
      <c r="AA41" s="18">
        <v>0.33333333333333331</v>
      </c>
      <c r="AB41" s="19" t="s">
        <v>609</v>
      </c>
      <c r="AC41" s="18">
        <v>0.33333333333333331</v>
      </c>
      <c r="AD41" s="19" t="s">
        <v>37</v>
      </c>
      <c r="AE41" s="18"/>
      <c r="AF41" s="19" t="s">
        <v>37</v>
      </c>
      <c r="AG41" s="19"/>
      <c r="AH41" s="39"/>
      <c r="AI41" s="19"/>
      <c r="AJ41" s="19"/>
      <c r="AK41" s="19"/>
      <c r="AL41" s="19"/>
      <c r="AM41" s="19"/>
      <c r="AN41" s="19"/>
      <c r="AO41" s="19"/>
      <c r="AP41" s="19"/>
      <c r="AQ41" s="28"/>
      <c r="AR41" s="19"/>
      <c r="AS41" s="19"/>
      <c r="AT41" s="19"/>
      <c r="AU41" s="40"/>
      <c r="AV41" s="17"/>
      <c r="AW41" s="17"/>
      <c r="AX41" s="17"/>
      <c r="AY41" s="17"/>
      <c r="AZ41" s="17"/>
      <c r="BA41" s="17"/>
      <c r="BB41" s="17"/>
      <c r="BC41" s="17"/>
      <c r="BD41" s="63"/>
      <c r="BE41" s="17"/>
      <c r="BF41" s="17"/>
      <c r="BG41" s="17"/>
      <c r="BH41" s="40"/>
      <c r="BI41" s="17"/>
      <c r="BJ41" s="166"/>
      <c r="BK41" s="137" t="s">
        <v>2436</v>
      </c>
      <c r="BL41" s="166"/>
      <c r="BM41" s="166"/>
      <c r="BN41" s="166"/>
      <c r="BO41" s="166"/>
      <c r="BP41" s="166"/>
      <c r="BQ41" s="166"/>
      <c r="BR41" s="166"/>
      <c r="BS41" s="166"/>
      <c r="BT41" s="166"/>
      <c r="BU41" s="166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</row>
    <row r="42" spans="1:92" ht="26.25" customHeight="1">
      <c r="A42" s="2" t="str">
        <f t="shared" si="1"/>
        <v>AG008 - PN-C/U</v>
      </c>
      <c r="B42" s="2" t="s">
        <v>2527</v>
      </c>
      <c r="C42" s="53" t="s">
        <v>9</v>
      </c>
      <c r="D42" s="53" t="s">
        <v>157</v>
      </c>
      <c r="E42" s="53" t="s">
        <v>49</v>
      </c>
      <c r="F42" s="53" t="s">
        <v>50</v>
      </c>
      <c r="G42" s="53" t="s">
        <v>13</v>
      </c>
      <c r="H42" s="54" t="str">
        <f t="shared" si="2"/>
        <v>Reduzido</v>
      </c>
      <c r="I42" s="55" t="s">
        <v>676</v>
      </c>
      <c r="J42" s="53"/>
      <c r="K42" s="2" t="e">
        <f>VLOOKUP(B42,#REF!,2,FALSE())</f>
        <v>#REF!</v>
      </c>
      <c r="L42" s="53" t="e">
        <f>VLOOKUP(B42,#REF!,7,FALSE())</f>
        <v>#REF!</v>
      </c>
      <c r="M42" s="56" t="s">
        <v>677</v>
      </c>
      <c r="N42" s="57" t="s">
        <v>7</v>
      </c>
      <c r="O42" s="54" t="s">
        <v>7</v>
      </c>
      <c r="P42" s="56" t="s">
        <v>621</v>
      </c>
      <c r="Q42" s="58" t="e">
        <f>VLOOKUP(B42,#REF!,10,FALSE())</f>
        <v>#REF!</v>
      </c>
      <c r="R42" s="27" t="s">
        <v>678</v>
      </c>
      <c r="S42" s="59">
        <f t="shared" si="3"/>
        <v>1.0416666666666665</v>
      </c>
      <c r="T42" s="17"/>
      <c r="U42" s="60"/>
      <c r="V42" s="17"/>
      <c r="W42" s="60"/>
      <c r="X42" s="17"/>
      <c r="Y42" s="60"/>
      <c r="Z42" s="17"/>
      <c r="AA42" s="60"/>
      <c r="AB42" s="17"/>
      <c r="AC42" s="60"/>
      <c r="AD42" s="17" t="s">
        <v>684</v>
      </c>
      <c r="AE42" s="60">
        <v>0.54166666666666663</v>
      </c>
      <c r="AF42" s="17" t="s">
        <v>163</v>
      </c>
      <c r="AG42" s="60">
        <v>0.5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30"/>
      <c r="AR42" s="30"/>
      <c r="AS42" s="30"/>
      <c r="AT42" s="30"/>
      <c r="AU42" s="40"/>
      <c r="AV42" s="17"/>
      <c r="AW42" s="17"/>
      <c r="AX42" s="17"/>
      <c r="AY42" s="17"/>
      <c r="AZ42" s="17"/>
      <c r="BA42" s="17"/>
      <c r="BB42" s="17"/>
      <c r="BC42" s="17"/>
      <c r="BD42" s="63"/>
      <c r="BE42" s="17"/>
      <c r="BF42" s="17"/>
      <c r="BG42" s="17"/>
      <c r="BH42" s="40"/>
      <c r="BI42" s="17"/>
      <c r="BJ42" s="147"/>
      <c r="BK42" s="147" t="s">
        <v>2436</v>
      </c>
      <c r="BL42" s="144"/>
      <c r="BM42" s="144"/>
      <c r="BN42" s="144"/>
      <c r="BO42" s="144"/>
      <c r="BP42" s="147"/>
      <c r="BQ42" s="147"/>
      <c r="BR42" s="147"/>
      <c r="BS42" s="147"/>
      <c r="BT42" s="147"/>
      <c r="BU42" s="147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</row>
    <row r="43" spans="1:92" ht="26.25" customHeight="1">
      <c r="A43" s="23" t="str">
        <f t="shared" si="1"/>
        <v>AG009a - LD-C/1</v>
      </c>
      <c r="B43" s="23" t="s">
        <v>2549</v>
      </c>
      <c r="C43" s="24" t="s">
        <v>28</v>
      </c>
      <c r="D43" s="24" t="s">
        <v>10</v>
      </c>
      <c r="E43" s="24" t="s">
        <v>49</v>
      </c>
      <c r="F43" s="24" t="s">
        <v>50</v>
      </c>
      <c r="G43" s="26">
        <v>1</v>
      </c>
      <c r="H43" s="26" t="str">
        <f t="shared" si="2"/>
        <v>R.01/3</v>
      </c>
      <c r="I43" s="32" t="s">
        <v>197</v>
      </c>
      <c r="J43" s="24">
        <v>3</v>
      </c>
      <c r="K43" s="23" t="e">
        <f>VLOOKUP(B43,#REF!,2,FALSE())</f>
        <v>#REF!</v>
      </c>
      <c r="L43" s="24" t="e">
        <f>VLOOKUP(B43,#REF!,7,FALSE())</f>
        <v>#REF!</v>
      </c>
      <c r="M43" s="35" t="s">
        <v>58</v>
      </c>
      <c r="N43" s="25" t="s">
        <v>693</v>
      </c>
      <c r="O43" s="26" t="s">
        <v>143</v>
      </c>
      <c r="P43" s="35" t="s">
        <v>60</v>
      </c>
      <c r="Q43" s="37" t="e">
        <f>VLOOKUP(B43,#REF!,10,FALSE())</f>
        <v>#REF!</v>
      </c>
      <c r="R43" s="38" t="s">
        <v>2553</v>
      </c>
      <c r="S43" s="39">
        <f t="shared" si="3"/>
        <v>0.41666666666666663</v>
      </c>
      <c r="T43" s="19" t="s">
        <v>695</v>
      </c>
      <c r="U43" s="18">
        <v>8.3333333333333329E-2</v>
      </c>
      <c r="V43" s="19" t="s">
        <v>695</v>
      </c>
      <c r="W43" s="18">
        <v>8.3333333333333329E-2</v>
      </c>
      <c r="X43" s="19" t="s">
        <v>695</v>
      </c>
      <c r="Y43" s="18">
        <v>8.3333333333333329E-2</v>
      </c>
      <c r="Z43" s="19" t="s">
        <v>695</v>
      </c>
      <c r="AA43" s="18">
        <v>8.3333333333333329E-2</v>
      </c>
      <c r="AB43" s="19" t="s">
        <v>695</v>
      </c>
      <c r="AC43" s="18">
        <v>8.3333333333333329E-2</v>
      </c>
      <c r="AD43" s="19" t="s">
        <v>37</v>
      </c>
      <c r="AE43" s="18"/>
      <c r="AF43" s="19" t="s">
        <v>37</v>
      </c>
      <c r="AG43" s="19"/>
      <c r="AH43" s="39"/>
      <c r="AI43" s="19"/>
      <c r="AJ43" s="19"/>
      <c r="AK43" s="19"/>
      <c r="AL43" s="19"/>
      <c r="AM43" s="19"/>
      <c r="AN43" s="19"/>
      <c r="AO43" s="19"/>
      <c r="AP43" s="19"/>
      <c r="AQ43" s="28"/>
      <c r="AR43" s="19"/>
      <c r="AS43" s="19"/>
      <c r="AT43" s="19"/>
      <c r="AU43" s="40"/>
      <c r="AV43" s="17"/>
      <c r="AW43" s="17"/>
      <c r="AX43" s="17"/>
      <c r="AY43" s="17"/>
      <c r="AZ43" s="17"/>
      <c r="BA43" s="17"/>
      <c r="BB43" s="17"/>
      <c r="BC43" s="17"/>
      <c r="BD43" s="31"/>
      <c r="BE43" s="17"/>
      <c r="BF43" s="17"/>
      <c r="BG43" s="17"/>
      <c r="BH43" s="40"/>
      <c r="BI43" s="17"/>
      <c r="BJ43" s="147"/>
      <c r="BK43" s="147" t="s">
        <v>2436</v>
      </c>
      <c r="BL43" s="144"/>
      <c r="BM43" s="147"/>
      <c r="BN43" s="147"/>
      <c r="BO43" s="147"/>
      <c r="BP43" s="147"/>
      <c r="BQ43" s="147"/>
      <c r="BR43" s="147"/>
      <c r="BS43" s="147"/>
      <c r="BT43" s="147"/>
      <c r="BU43" s="147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</row>
    <row r="44" spans="1:92" ht="26.25" customHeight="1">
      <c r="A44" s="2" t="str">
        <f t="shared" si="1"/>
        <v>AG009b - LD-B/U</v>
      </c>
      <c r="B44" s="2" t="s">
        <v>2558</v>
      </c>
      <c r="C44" s="53" t="s">
        <v>28</v>
      </c>
      <c r="D44" s="53" t="s">
        <v>10</v>
      </c>
      <c r="E44" s="53" t="s">
        <v>49</v>
      </c>
      <c r="F44" s="53" t="s">
        <v>30</v>
      </c>
      <c r="G44" s="53" t="s">
        <v>13</v>
      </c>
      <c r="H44" s="54" t="str">
        <f t="shared" si="2"/>
        <v>-</v>
      </c>
      <c r="I44" s="55"/>
      <c r="J44" s="53"/>
      <c r="K44" s="2" t="e">
        <f>VLOOKUP(B44,#REF!,2,FALSE())</f>
        <v>#REF!</v>
      </c>
      <c r="L44" s="53" t="e">
        <f>VLOOKUP(B44,#REF!,7,FALSE())</f>
        <v>#REF!</v>
      </c>
      <c r="M44" s="56" t="s">
        <v>21</v>
      </c>
      <c r="N44" s="57" t="s">
        <v>693</v>
      </c>
      <c r="O44" s="54" t="s">
        <v>143</v>
      </c>
      <c r="P44" s="56" t="s">
        <v>60</v>
      </c>
      <c r="Q44" s="58" t="e">
        <f>VLOOKUP(B44,#REF!,10,FALSE())</f>
        <v>#REF!</v>
      </c>
      <c r="R44" s="66" t="s">
        <v>716</v>
      </c>
      <c r="S44" s="67">
        <f t="shared" si="3"/>
        <v>1.8333333333333333</v>
      </c>
      <c r="T44" s="61" t="s">
        <v>256</v>
      </c>
      <c r="U44" s="62">
        <v>0.33333333333333331</v>
      </c>
      <c r="V44" s="61" t="s">
        <v>256</v>
      </c>
      <c r="W44" s="62">
        <v>0.33333333333333331</v>
      </c>
      <c r="X44" s="61" t="s">
        <v>256</v>
      </c>
      <c r="Y44" s="62">
        <v>0.33333333333333331</v>
      </c>
      <c r="Z44" s="61" t="s">
        <v>256</v>
      </c>
      <c r="AA44" s="62">
        <v>0.33333333333333331</v>
      </c>
      <c r="AB44" s="61" t="s">
        <v>256</v>
      </c>
      <c r="AC44" s="62">
        <v>0.33333333333333331</v>
      </c>
      <c r="AD44" s="61" t="s">
        <v>717</v>
      </c>
      <c r="AE44" s="62">
        <v>0.16666666666666666</v>
      </c>
      <c r="AF44" s="17" t="s">
        <v>125</v>
      </c>
      <c r="AG44" s="6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22"/>
      <c r="AV44" s="20"/>
      <c r="AW44" s="19"/>
      <c r="AX44" s="19"/>
      <c r="AY44" s="19"/>
      <c r="AZ44" s="19"/>
      <c r="BA44" s="19"/>
      <c r="BB44" s="19"/>
      <c r="BC44" s="19"/>
      <c r="BD44" s="21"/>
      <c r="BE44" s="19"/>
      <c r="BF44" s="19"/>
      <c r="BG44" s="19"/>
      <c r="BH44" s="22"/>
      <c r="BI44" s="20"/>
      <c r="BJ44" s="147"/>
      <c r="BK44" s="147" t="s">
        <v>2436</v>
      </c>
      <c r="BL44" s="144"/>
      <c r="BM44" s="147"/>
      <c r="BN44" s="147"/>
      <c r="BO44" s="147"/>
      <c r="BP44" s="147"/>
      <c r="BQ44" s="147"/>
      <c r="BR44" s="147"/>
      <c r="BS44" s="147"/>
      <c r="BT44" s="147"/>
      <c r="BU44" s="147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</row>
    <row r="45" spans="1:92" ht="26.25" customHeight="1">
      <c r="A45" s="2" t="str">
        <f t="shared" si="1"/>
        <v>AG009j - LD-B/U</v>
      </c>
      <c r="B45" s="2" t="s">
        <v>2563</v>
      </c>
      <c r="C45" s="53" t="s">
        <v>28</v>
      </c>
      <c r="D45" s="53" t="s">
        <v>10</v>
      </c>
      <c r="E45" s="53" t="s">
        <v>49</v>
      </c>
      <c r="F45" s="53" t="s">
        <v>30</v>
      </c>
      <c r="G45" s="53" t="s">
        <v>13</v>
      </c>
      <c r="H45" s="54" t="str">
        <f t="shared" si="2"/>
        <v>-</v>
      </c>
      <c r="I45" s="55"/>
      <c r="J45" s="53"/>
      <c r="K45" s="2" t="e">
        <f>VLOOKUP(B45,#REF!,2,FALSE())</f>
        <v>#REF!</v>
      </c>
      <c r="L45" s="53" t="s">
        <v>820</v>
      </c>
      <c r="M45" s="56" t="s">
        <v>21</v>
      </c>
      <c r="N45" s="57" t="s">
        <v>693</v>
      </c>
      <c r="O45" s="54" t="s">
        <v>143</v>
      </c>
      <c r="P45" s="56" t="s">
        <v>60</v>
      </c>
      <c r="Q45" s="58" t="e">
        <f>VLOOKUP(B45,#REF!,10,FALSE())</f>
        <v>#REF!</v>
      </c>
      <c r="R45" s="66" t="s">
        <v>2566</v>
      </c>
      <c r="S45" s="67">
        <f t="shared" si="3"/>
        <v>1.8333333333333333</v>
      </c>
      <c r="T45" s="61" t="s">
        <v>256</v>
      </c>
      <c r="U45" s="62">
        <v>0.33333333333333331</v>
      </c>
      <c r="V45" s="61" t="s">
        <v>256</v>
      </c>
      <c r="W45" s="62">
        <v>0.33333333333333331</v>
      </c>
      <c r="X45" s="61" t="s">
        <v>256</v>
      </c>
      <c r="Y45" s="62">
        <v>0.33333333333333331</v>
      </c>
      <c r="Z45" s="61" t="s">
        <v>256</v>
      </c>
      <c r="AA45" s="62">
        <v>0.33333333333333331</v>
      </c>
      <c r="AB45" s="61" t="s">
        <v>256</v>
      </c>
      <c r="AC45" s="62">
        <v>0.33333333333333331</v>
      </c>
      <c r="AD45" s="61" t="s">
        <v>717</v>
      </c>
      <c r="AE45" s="62">
        <v>0.16666666666666666</v>
      </c>
      <c r="AF45" s="17" t="s">
        <v>125</v>
      </c>
      <c r="AG45" s="6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22"/>
      <c r="AV45" s="20"/>
      <c r="AW45" s="19"/>
      <c r="AX45" s="19"/>
      <c r="AY45" s="19"/>
      <c r="AZ45" s="19"/>
      <c r="BA45" s="19"/>
      <c r="BB45" s="19"/>
      <c r="BC45" s="19"/>
      <c r="BD45" s="21"/>
      <c r="BE45" s="19"/>
      <c r="BF45" s="19"/>
      <c r="BG45" s="19"/>
      <c r="BH45" s="22"/>
      <c r="BI45" s="20"/>
      <c r="BJ45" s="147"/>
      <c r="BK45" s="147" t="s">
        <v>2436</v>
      </c>
      <c r="BL45" s="144"/>
      <c r="BM45" s="147"/>
      <c r="BN45" s="147"/>
      <c r="BO45" s="147"/>
      <c r="BP45" s="147"/>
      <c r="BQ45" s="147"/>
      <c r="BR45" s="147"/>
      <c r="BS45" s="147"/>
      <c r="BT45" s="147"/>
      <c r="BU45" s="147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</row>
    <row r="46" spans="1:92" ht="26.25" customHeight="1">
      <c r="A46" s="23" t="str">
        <f t="shared" si="1"/>
        <v>AG009c - LD-C/2</v>
      </c>
      <c r="B46" s="23" t="s">
        <v>2570</v>
      </c>
      <c r="C46" s="24" t="s">
        <v>28</v>
      </c>
      <c r="D46" s="24" t="s">
        <v>10</v>
      </c>
      <c r="E46" s="24" t="s">
        <v>49</v>
      </c>
      <c r="F46" s="24" t="s">
        <v>50</v>
      </c>
      <c r="G46" s="26">
        <v>2</v>
      </c>
      <c r="H46" s="26" t="str">
        <f t="shared" si="2"/>
        <v>R.13/2</v>
      </c>
      <c r="I46" s="32" t="s">
        <v>370</v>
      </c>
      <c r="J46" s="24">
        <v>2</v>
      </c>
      <c r="K46" s="23" t="e">
        <f>VLOOKUP(B46,#REF!,2,FALSE())</f>
        <v>#REF!</v>
      </c>
      <c r="L46" s="24" t="e">
        <f>VLOOKUP(B46,#REF!,7,FALSE())</f>
        <v>#REF!</v>
      </c>
      <c r="M46" s="35" t="s">
        <v>58</v>
      </c>
      <c r="N46" s="25" t="s">
        <v>693</v>
      </c>
      <c r="O46" s="26" t="s">
        <v>143</v>
      </c>
      <c r="P46" s="35" t="s">
        <v>60</v>
      </c>
      <c r="Q46" s="37" t="e">
        <f>VLOOKUP(B46,#REF!,10,FALSE())</f>
        <v>#REF!</v>
      </c>
      <c r="R46" s="38" t="s">
        <v>741</v>
      </c>
      <c r="S46" s="39">
        <v>8.3333333333333329E-2</v>
      </c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9" t="s">
        <v>745</v>
      </c>
      <c r="AE46" s="16">
        <v>8.3333333333333329E-2</v>
      </c>
      <c r="AF46" s="19" t="s">
        <v>37</v>
      </c>
      <c r="AG46" s="19"/>
      <c r="AH46" s="39"/>
      <c r="AI46" s="19"/>
      <c r="AJ46" s="19"/>
      <c r="AK46" s="19"/>
      <c r="AL46" s="19"/>
      <c r="AM46" s="19"/>
      <c r="AN46" s="19"/>
      <c r="AO46" s="19"/>
      <c r="AP46" s="19"/>
      <c r="AQ46" s="28"/>
      <c r="AR46" s="19"/>
      <c r="AS46" s="19"/>
      <c r="AT46" s="19"/>
      <c r="AU46" s="22"/>
      <c r="AV46" s="20"/>
      <c r="AW46" s="19"/>
      <c r="AX46" s="19"/>
      <c r="AY46" s="19"/>
      <c r="AZ46" s="19"/>
      <c r="BA46" s="19"/>
      <c r="BB46" s="19"/>
      <c r="BC46" s="19"/>
      <c r="BD46" s="21"/>
      <c r="BE46" s="19"/>
      <c r="BF46" s="19"/>
      <c r="BG46" s="19"/>
      <c r="BH46" s="22"/>
      <c r="BI46" s="20"/>
      <c r="BJ46" s="147"/>
      <c r="BK46" s="147" t="s">
        <v>2436</v>
      </c>
      <c r="BL46" s="144"/>
      <c r="BM46" s="147"/>
      <c r="BN46" s="147"/>
      <c r="BO46" s="147"/>
      <c r="BP46" s="147"/>
      <c r="BQ46" s="147"/>
      <c r="BR46" s="147"/>
      <c r="BS46" s="147"/>
      <c r="BT46" s="147"/>
      <c r="BU46" s="147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</row>
    <row r="47" spans="1:92" ht="26.25" customHeight="1">
      <c r="A47" s="23" t="str">
        <f t="shared" si="1"/>
        <v>AG009c - LD-C/1</v>
      </c>
      <c r="B47" s="23" t="s">
        <v>2570</v>
      </c>
      <c r="C47" s="24" t="s">
        <v>28</v>
      </c>
      <c r="D47" s="24" t="s">
        <v>10</v>
      </c>
      <c r="E47" s="24" t="s">
        <v>49</v>
      </c>
      <c r="F47" s="24" t="s">
        <v>50</v>
      </c>
      <c r="G47" s="26">
        <v>1</v>
      </c>
      <c r="H47" s="26" t="str">
        <f t="shared" si="2"/>
        <v>R.08/2</v>
      </c>
      <c r="I47" s="32" t="s">
        <v>303</v>
      </c>
      <c r="J47" s="24">
        <v>2</v>
      </c>
      <c r="K47" s="23" t="e">
        <f>VLOOKUP(B47,#REF!,2,FALSE())</f>
        <v>#REF!</v>
      </c>
      <c r="L47" s="24" t="e">
        <f>VLOOKUP(B47,#REF!,7,FALSE())</f>
        <v>#REF!</v>
      </c>
      <c r="M47" s="35" t="s">
        <v>58</v>
      </c>
      <c r="N47" s="25" t="s">
        <v>693</v>
      </c>
      <c r="O47" s="26" t="s">
        <v>143</v>
      </c>
      <c r="P47" s="35" t="s">
        <v>60</v>
      </c>
      <c r="Q47" s="37" t="e">
        <f>VLOOKUP(B47,#REF!,10,FALSE())</f>
        <v>#REF!</v>
      </c>
      <c r="R47" s="38" t="s">
        <v>732</v>
      </c>
      <c r="S47" s="39">
        <f t="shared" ref="S47:S51" si="4">U47+W47+Y47+AA47+AC47+AE47+AG47+AH47</f>
        <v>0.41666666666666663</v>
      </c>
      <c r="T47" s="19" t="s">
        <v>733</v>
      </c>
      <c r="U47" s="18">
        <v>8.3333333333333329E-2</v>
      </c>
      <c r="V47" s="19" t="s">
        <v>734</v>
      </c>
      <c r="W47" s="18">
        <v>8.3333333333333329E-2</v>
      </c>
      <c r="X47" s="19" t="s">
        <v>734</v>
      </c>
      <c r="Y47" s="18">
        <v>8.3333333333333329E-2</v>
      </c>
      <c r="Z47" s="19" t="s">
        <v>734</v>
      </c>
      <c r="AA47" s="18">
        <v>8.3333333333333329E-2</v>
      </c>
      <c r="AB47" s="19" t="s">
        <v>734</v>
      </c>
      <c r="AC47" s="18">
        <v>8.3333333333333329E-2</v>
      </c>
      <c r="AD47" s="19"/>
      <c r="AE47" s="18"/>
      <c r="AF47" s="19" t="s">
        <v>125</v>
      </c>
      <c r="AG47" s="19"/>
      <c r="AH47" s="39"/>
      <c r="AI47" s="19"/>
      <c r="AJ47" s="19"/>
      <c r="AK47" s="19"/>
      <c r="AL47" s="19"/>
      <c r="AM47" s="19"/>
      <c r="AN47" s="19"/>
      <c r="AO47" s="19"/>
      <c r="AP47" s="19"/>
      <c r="AQ47" s="28"/>
      <c r="AR47" s="19"/>
      <c r="AS47" s="19"/>
      <c r="AT47" s="19"/>
      <c r="AU47" s="22"/>
      <c r="AV47" s="19"/>
      <c r="AW47" s="19"/>
      <c r="AX47" s="19"/>
      <c r="AY47" s="19"/>
      <c r="AZ47" s="19"/>
      <c r="BA47" s="19"/>
      <c r="BB47" s="19"/>
      <c r="BC47" s="19"/>
      <c r="BD47" s="28"/>
      <c r="BE47" s="19"/>
      <c r="BF47" s="19"/>
      <c r="BG47" s="19"/>
      <c r="BH47" s="22"/>
      <c r="BI47" s="19"/>
      <c r="BJ47" s="147"/>
      <c r="BK47" s="147" t="s">
        <v>2436</v>
      </c>
      <c r="BL47" s="144"/>
      <c r="BM47" s="147"/>
      <c r="BN47" s="147"/>
      <c r="BO47" s="147"/>
      <c r="BP47" s="147"/>
      <c r="BQ47" s="147"/>
      <c r="BR47" s="147"/>
      <c r="BS47" s="147"/>
      <c r="BT47" s="147"/>
      <c r="BU47" s="147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</row>
    <row r="48" spans="1:92" ht="26.25" customHeight="1">
      <c r="A48" s="2" t="str">
        <f t="shared" si="1"/>
        <v>AG009r - LD-C/U</v>
      </c>
      <c r="B48" s="2" t="s">
        <v>2577</v>
      </c>
      <c r="C48" s="53" t="s">
        <v>28</v>
      </c>
      <c r="D48" s="53" t="s">
        <v>10</v>
      </c>
      <c r="E48" s="53" t="s">
        <v>49</v>
      </c>
      <c r="F48" s="53" t="s">
        <v>50</v>
      </c>
      <c r="G48" s="53" t="s">
        <v>13</v>
      </c>
      <c r="H48" s="54" t="str">
        <f t="shared" si="2"/>
        <v>Reduzido</v>
      </c>
      <c r="I48" s="55" t="s">
        <v>676</v>
      </c>
      <c r="J48" s="53"/>
      <c r="K48" s="2" t="e">
        <f>VLOOKUP(B48,#REF!,2,FALSE())</f>
        <v>#REF!</v>
      </c>
      <c r="L48" s="53" t="e">
        <f>VLOOKUP(B48,#REF!,7,FALSE())</f>
        <v>#REF!</v>
      </c>
      <c r="M48" s="56" t="s">
        <v>677</v>
      </c>
      <c r="N48" s="57" t="s">
        <v>693</v>
      </c>
      <c r="O48" s="54" t="s">
        <v>143</v>
      </c>
      <c r="P48" s="56" t="s">
        <v>60</v>
      </c>
      <c r="Q48" s="58" t="e">
        <f>VLOOKUP(B48,#REF!,10,FALSE())</f>
        <v>#REF!</v>
      </c>
      <c r="R48" s="27" t="s">
        <v>811</v>
      </c>
      <c r="S48" s="59">
        <f t="shared" si="4"/>
        <v>1.25</v>
      </c>
      <c r="T48" s="17" t="s">
        <v>812</v>
      </c>
      <c r="U48" s="60">
        <v>0.20833333333333334</v>
      </c>
      <c r="V48" s="17" t="s">
        <v>812</v>
      </c>
      <c r="W48" s="60">
        <v>0.20833333333333334</v>
      </c>
      <c r="X48" s="17" t="s">
        <v>812</v>
      </c>
      <c r="Y48" s="60">
        <v>0.20833333333333334</v>
      </c>
      <c r="Z48" s="17" t="s">
        <v>812</v>
      </c>
      <c r="AA48" s="60">
        <v>0.20833333333333334</v>
      </c>
      <c r="AB48" s="17" t="s">
        <v>812</v>
      </c>
      <c r="AC48" s="60">
        <v>0.20833333333333334</v>
      </c>
      <c r="AD48" s="17" t="s">
        <v>812</v>
      </c>
      <c r="AE48" s="60">
        <v>0.20833333333333334</v>
      </c>
      <c r="AF48" s="17" t="s">
        <v>37</v>
      </c>
      <c r="AG48" s="6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22"/>
      <c r="AV48" s="19" t="s">
        <v>44</v>
      </c>
      <c r="AW48" s="19" t="s">
        <v>43</v>
      </c>
      <c r="AX48" s="19" t="s">
        <v>43</v>
      </c>
      <c r="AY48" s="19" t="s">
        <v>44</v>
      </c>
      <c r="AZ48" s="19" t="s">
        <v>43</v>
      </c>
      <c r="BA48" s="19" t="s">
        <v>43</v>
      </c>
      <c r="BB48" s="19" t="s">
        <v>44</v>
      </c>
      <c r="BC48" s="19" t="s">
        <v>44</v>
      </c>
      <c r="BD48" s="28" t="s">
        <v>43</v>
      </c>
      <c r="BE48" s="19" t="s">
        <v>44</v>
      </c>
      <c r="BF48" s="19" t="s">
        <v>43</v>
      </c>
      <c r="BG48" s="19" t="s">
        <v>44</v>
      </c>
      <c r="BH48" s="22"/>
      <c r="BI48" s="19"/>
      <c r="BJ48" s="147"/>
      <c r="BK48" s="147" t="s">
        <v>2436</v>
      </c>
      <c r="BL48" s="144"/>
      <c r="BM48" s="147"/>
      <c r="BN48" s="147"/>
      <c r="BO48" s="147"/>
      <c r="BP48" s="147"/>
      <c r="BQ48" s="147"/>
      <c r="BR48" s="147"/>
      <c r="BS48" s="147"/>
      <c r="BT48" s="147"/>
      <c r="BU48" s="147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</row>
    <row r="49" spans="1:92" ht="26.25" customHeight="1">
      <c r="A49" s="23" t="str">
        <f t="shared" si="1"/>
        <v>AG009d - LD-C/U</v>
      </c>
      <c r="B49" s="23" t="s">
        <v>2579</v>
      </c>
      <c r="C49" s="24" t="s">
        <v>28</v>
      </c>
      <c r="D49" s="24" t="s">
        <v>10</v>
      </c>
      <c r="E49" s="24" t="s">
        <v>49</v>
      </c>
      <c r="F49" s="24" t="s">
        <v>50</v>
      </c>
      <c r="G49" s="26" t="s">
        <v>13</v>
      </c>
      <c r="H49" s="26" t="str">
        <f t="shared" si="2"/>
        <v>R.08/1</v>
      </c>
      <c r="I49" s="32" t="s">
        <v>303</v>
      </c>
      <c r="J49" s="24">
        <v>1</v>
      </c>
      <c r="K49" s="23" t="e">
        <f>VLOOKUP(B49,#REF!,2,FALSE())</f>
        <v>#REF!</v>
      </c>
      <c r="L49" s="24" t="e">
        <f>VLOOKUP(B49,#REF!,7,FALSE())</f>
        <v>#REF!</v>
      </c>
      <c r="M49" s="35" t="s">
        <v>58</v>
      </c>
      <c r="N49" s="25" t="s">
        <v>693</v>
      </c>
      <c r="O49" s="26" t="s">
        <v>143</v>
      </c>
      <c r="P49" s="35" t="s">
        <v>60</v>
      </c>
      <c r="Q49" s="37" t="e">
        <f>VLOOKUP(B49,#REF!,10,FALSE())</f>
        <v>#REF!</v>
      </c>
      <c r="R49" s="38" t="s">
        <v>2555</v>
      </c>
      <c r="S49" s="39">
        <f t="shared" si="4"/>
        <v>1.40625</v>
      </c>
      <c r="T49" s="19" t="s">
        <v>812</v>
      </c>
      <c r="U49" s="18">
        <v>0.20833333333333334</v>
      </c>
      <c r="V49" s="19" t="s">
        <v>812</v>
      </c>
      <c r="W49" s="18">
        <v>0.20833333333333334</v>
      </c>
      <c r="X49" s="19" t="s">
        <v>812</v>
      </c>
      <c r="Y49" s="18">
        <v>0.20833333333333334</v>
      </c>
      <c r="Z49" s="19" t="s">
        <v>812</v>
      </c>
      <c r="AA49" s="18">
        <v>0.20833333333333334</v>
      </c>
      <c r="AB49" s="19" t="s">
        <v>812</v>
      </c>
      <c r="AC49" s="18">
        <v>0.20833333333333334</v>
      </c>
      <c r="AD49" s="19" t="s">
        <v>812</v>
      </c>
      <c r="AE49" s="18">
        <v>0.20833333333333334</v>
      </c>
      <c r="AF49" s="19" t="s">
        <v>125</v>
      </c>
      <c r="AG49" s="19"/>
      <c r="AH49" s="39">
        <v>0.15625</v>
      </c>
      <c r="AI49" s="19"/>
      <c r="AJ49" s="19"/>
      <c r="AK49" s="19"/>
      <c r="AL49" s="19"/>
      <c r="AM49" s="19"/>
      <c r="AN49" s="19"/>
      <c r="AO49" s="19"/>
      <c r="AP49" s="19"/>
      <c r="AQ49" s="28"/>
      <c r="AR49" s="19"/>
      <c r="AS49" s="19"/>
      <c r="AT49" s="19"/>
      <c r="AU49" s="22"/>
      <c r="AV49" s="19" t="s">
        <v>43</v>
      </c>
      <c r="AW49" s="19" t="s">
        <v>44</v>
      </c>
      <c r="AX49" s="19" t="s">
        <v>44</v>
      </c>
      <c r="AY49" s="19" t="s">
        <v>43</v>
      </c>
      <c r="AZ49" s="19" t="s">
        <v>44</v>
      </c>
      <c r="BA49" s="19" t="s">
        <v>44</v>
      </c>
      <c r="BB49" s="19" t="s">
        <v>43</v>
      </c>
      <c r="BC49" s="19" t="s">
        <v>43</v>
      </c>
      <c r="BD49" s="28" t="s">
        <v>44</v>
      </c>
      <c r="BE49" s="19" t="s">
        <v>43</v>
      </c>
      <c r="BF49" s="19" t="s">
        <v>44</v>
      </c>
      <c r="BG49" s="19" t="s">
        <v>43</v>
      </c>
      <c r="BH49" s="22"/>
      <c r="BI49" s="19"/>
      <c r="BJ49" s="147"/>
      <c r="BK49" s="147" t="s">
        <v>2436</v>
      </c>
      <c r="BL49" s="144"/>
      <c r="BM49" s="147"/>
      <c r="BN49" s="147"/>
      <c r="BO49" s="147"/>
      <c r="BP49" s="147"/>
      <c r="BQ49" s="147"/>
      <c r="BR49" s="147"/>
      <c r="BS49" s="147"/>
      <c r="BT49" s="147"/>
      <c r="BU49" s="147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</row>
    <row r="50" spans="1:92" ht="26.25" customHeight="1">
      <c r="A50" s="2" t="str">
        <f t="shared" si="1"/>
        <v>AG009e - LD-B/1</v>
      </c>
      <c r="B50" s="2" t="s">
        <v>2580</v>
      </c>
      <c r="C50" s="53" t="s">
        <v>28</v>
      </c>
      <c r="D50" s="53" t="s">
        <v>10</v>
      </c>
      <c r="E50" s="53" t="s">
        <v>49</v>
      </c>
      <c r="F50" s="53" t="s">
        <v>30</v>
      </c>
      <c r="G50" s="53">
        <v>1</v>
      </c>
      <c r="H50" s="54" t="str">
        <f t="shared" si="2"/>
        <v>-</v>
      </c>
      <c r="I50" s="55"/>
      <c r="J50" s="53"/>
      <c r="K50" s="2" t="e">
        <f>VLOOKUP(B50,#REF!,2,FALSE())</f>
        <v>#REF!</v>
      </c>
      <c r="L50" s="53" t="e">
        <f>VLOOKUP(B50,#REF!,7,FALSE())</f>
        <v>#REF!</v>
      </c>
      <c r="M50" s="56" t="s">
        <v>21</v>
      </c>
      <c r="N50" s="57" t="s">
        <v>693</v>
      </c>
      <c r="O50" s="54" t="s">
        <v>143</v>
      </c>
      <c r="P50" s="56" t="s">
        <v>60</v>
      </c>
      <c r="Q50" s="58" t="e">
        <f>VLOOKUP(B50,#REF!,10,FALSE())</f>
        <v>#REF!</v>
      </c>
      <c r="R50" s="27" t="s">
        <v>1464</v>
      </c>
      <c r="S50" s="59">
        <f t="shared" si="4"/>
        <v>1.8333333333333333</v>
      </c>
      <c r="T50" s="61" t="s">
        <v>424</v>
      </c>
      <c r="U50" s="62">
        <v>0.33333333333333331</v>
      </c>
      <c r="V50" s="61" t="s">
        <v>424</v>
      </c>
      <c r="W50" s="62">
        <v>0.33333333333333331</v>
      </c>
      <c r="X50" s="61" t="s">
        <v>424</v>
      </c>
      <c r="Y50" s="62">
        <v>0.33333333333333331</v>
      </c>
      <c r="Z50" s="61" t="s">
        <v>424</v>
      </c>
      <c r="AA50" s="62">
        <v>0.33333333333333331</v>
      </c>
      <c r="AB50" s="61" t="s">
        <v>424</v>
      </c>
      <c r="AC50" s="62">
        <v>0.33333333333333331</v>
      </c>
      <c r="AD50" s="17" t="s">
        <v>717</v>
      </c>
      <c r="AE50" s="62">
        <v>0.16666666666666666</v>
      </c>
      <c r="AF50" s="17" t="s">
        <v>125</v>
      </c>
      <c r="AG50" s="6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40"/>
      <c r="AV50" s="17"/>
      <c r="AW50" s="17"/>
      <c r="AX50" s="17"/>
      <c r="AY50" s="17"/>
      <c r="AZ50" s="17"/>
      <c r="BA50" s="17"/>
      <c r="BB50" s="17"/>
      <c r="BC50" s="17"/>
      <c r="BD50" s="31"/>
      <c r="BE50" s="17"/>
      <c r="BF50" s="17"/>
      <c r="BG50" s="17"/>
      <c r="BH50" s="40"/>
      <c r="BI50" s="17"/>
      <c r="BJ50" s="147"/>
      <c r="BK50" s="147" t="s">
        <v>2436</v>
      </c>
      <c r="BL50" s="144"/>
      <c r="BM50" s="147"/>
      <c r="BN50" s="147"/>
      <c r="BO50" s="147"/>
      <c r="BP50" s="147"/>
      <c r="BQ50" s="147"/>
      <c r="BR50" s="147"/>
      <c r="BS50" s="147"/>
      <c r="BT50" s="147"/>
      <c r="BU50" s="147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</row>
    <row r="51" spans="1:92" ht="26.25" customHeight="1">
      <c r="A51" s="2" t="str">
        <f t="shared" si="1"/>
        <v>AG009e - LD-B/2</v>
      </c>
      <c r="B51" s="2" t="s">
        <v>2580</v>
      </c>
      <c r="C51" s="53" t="s">
        <v>28</v>
      </c>
      <c r="D51" s="53" t="s">
        <v>10</v>
      </c>
      <c r="E51" s="53" t="s">
        <v>49</v>
      </c>
      <c r="F51" s="53" t="s">
        <v>30</v>
      </c>
      <c r="G51" s="53">
        <v>2</v>
      </c>
      <c r="H51" s="54" t="str">
        <f t="shared" si="2"/>
        <v>-</v>
      </c>
      <c r="I51" s="55"/>
      <c r="J51" s="53"/>
      <c r="K51" s="2" t="e">
        <f>VLOOKUP(B51,#REF!,2,FALSE())</f>
        <v>#REF!</v>
      </c>
      <c r="L51" s="53" t="e">
        <f>VLOOKUP(B51,#REF!,7,FALSE())</f>
        <v>#REF!</v>
      </c>
      <c r="M51" s="56" t="s">
        <v>21</v>
      </c>
      <c r="N51" s="57" t="s">
        <v>693</v>
      </c>
      <c r="O51" s="54" t="s">
        <v>143</v>
      </c>
      <c r="P51" s="56" t="s">
        <v>60</v>
      </c>
      <c r="Q51" s="58" t="e">
        <f>VLOOKUP(B51,#REF!,10,FALSE())</f>
        <v>#REF!</v>
      </c>
      <c r="R51" s="73" t="s">
        <v>2216</v>
      </c>
      <c r="S51" s="59">
        <f t="shared" si="4"/>
        <v>1.8333333333333333</v>
      </c>
      <c r="T51" s="61" t="s">
        <v>609</v>
      </c>
      <c r="U51" s="62">
        <v>0.33333333333333331</v>
      </c>
      <c r="V51" s="61" t="s">
        <v>609</v>
      </c>
      <c r="W51" s="62">
        <v>0.33333333333333331</v>
      </c>
      <c r="X51" s="61" t="s">
        <v>609</v>
      </c>
      <c r="Y51" s="62">
        <v>0.33333333333333331</v>
      </c>
      <c r="Z51" s="61" t="s">
        <v>609</v>
      </c>
      <c r="AA51" s="62">
        <v>0.33333333333333331</v>
      </c>
      <c r="AB51" s="61" t="s">
        <v>609</v>
      </c>
      <c r="AC51" s="62">
        <v>0.33333333333333331</v>
      </c>
      <c r="AD51" s="17" t="s">
        <v>804</v>
      </c>
      <c r="AE51" s="62">
        <v>0.16666666666666666</v>
      </c>
      <c r="AF51" s="17" t="s">
        <v>125</v>
      </c>
      <c r="AG51" s="62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40"/>
      <c r="AV51" s="17"/>
      <c r="AW51" s="17"/>
      <c r="AX51" s="17"/>
      <c r="AY51" s="17"/>
      <c r="AZ51" s="17"/>
      <c r="BA51" s="17"/>
      <c r="BB51" s="17"/>
      <c r="BC51" s="17"/>
      <c r="BD51" s="31"/>
      <c r="BE51" s="17"/>
      <c r="BF51" s="17"/>
      <c r="BG51" s="17"/>
      <c r="BH51" s="40"/>
      <c r="BI51" s="17"/>
      <c r="BJ51" s="135"/>
      <c r="BK51" s="135" t="s">
        <v>2436</v>
      </c>
      <c r="BL51" s="144"/>
      <c r="BM51" s="135"/>
      <c r="BN51" s="135"/>
      <c r="BO51" s="135"/>
      <c r="BP51" s="135"/>
      <c r="BQ51" s="135"/>
      <c r="BR51" s="135"/>
      <c r="BS51" s="135"/>
      <c r="BT51" s="135"/>
      <c r="BU51" s="135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</row>
    <row r="52" spans="1:92" ht="26.25" customHeight="1">
      <c r="A52" s="3" t="str">
        <f t="shared" si="1"/>
        <v>FC073 - LD-C/U</v>
      </c>
      <c r="B52" s="3" t="s">
        <v>2585</v>
      </c>
      <c r="C52" s="5" t="s">
        <v>28</v>
      </c>
      <c r="D52" s="5" t="s">
        <v>10</v>
      </c>
      <c r="E52" s="5" t="s">
        <v>49</v>
      </c>
      <c r="F52" s="5" t="s">
        <v>50</v>
      </c>
      <c r="G52" s="5" t="s">
        <v>13</v>
      </c>
      <c r="H52" s="7" t="str">
        <f t="shared" si="2"/>
        <v>Reduzido</v>
      </c>
      <c r="I52" s="8" t="s">
        <v>676</v>
      </c>
      <c r="J52" s="5"/>
      <c r="K52" s="3" t="e">
        <f>VLOOKUP(B52,#REF!,2,FALSE())</f>
        <v>#REF!</v>
      </c>
      <c r="L52" s="5" t="e">
        <f>VLOOKUP(B52,#REF!,7,FALSE())</f>
        <v>#REF!</v>
      </c>
      <c r="M52" s="10" t="s">
        <v>677</v>
      </c>
      <c r="N52" s="70" t="s">
        <v>693</v>
      </c>
      <c r="O52" s="7" t="s">
        <v>143</v>
      </c>
      <c r="P52" s="10" t="s">
        <v>60</v>
      </c>
      <c r="Q52" s="12" t="s">
        <v>23</v>
      </c>
      <c r="R52" s="27" t="s">
        <v>785</v>
      </c>
      <c r="S52" s="21">
        <f>U52+W52+Y52+AA52+AC52+AE52</f>
        <v>1.25</v>
      </c>
      <c r="T52" s="61" t="s">
        <v>812</v>
      </c>
      <c r="U52" s="62">
        <v>0.20833333333333334</v>
      </c>
      <c r="V52" s="61" t="s">
        <v>812</v>
      </c>
      <c r="W52" s="62">
        <v>0.20833333333333334</v>
      </c>
      <c r="X52" s="61" t="s">
        <v>812</v>
      </c>
      <c r="Y52" s="62">
        <v>0.20833333333333334</v>
      </c>
      <c r="Z52" s="61" t="s">
        <v>812</v>
      </c>
      <c r="AA52" s="62">
        <v>0.20833333333333334</v>
      </c>
      <c r="AB52" s="61" t="s">
        <v>812</v>
      </c>
      <c r="AC52" s="62">
        <v>0.20833333333333334</v>
      </c>
      <c r="AD52" s="17" t="s">
        <v>812</v>
      </c>
      <c r="AE52" s="62">
        <v>0.20833333333333334</v>
      </c>
      <c r="AF52" s="17" t="s">
        <v>37</v>
      </c>
      <c r="AG52" s="18"/>
      <c r="AH52" s="19"/>
      <c r="AI52" s="20"/>
      <c r="AJ52" s="19"/>
      <c r="AK52" s="19"/>
      <c r="AL52" s="19"/>
      <c r="AM52" s="19"/>
      <c r="AN52" s="19"/>
      <c r="AO52" s="19"/>
      <c r="AP52" s="19"/>
      <c r="AQ52" s="21"/>
      <c r="AR52" s="19"/>
      <c r="AS52" s="19"/>
      <c r="AT52" s="19"/>
      <c r="AU52" s="40"/>
      <c r="AV52" s="17"/>
      <c r="AW52" s="17"/>
      <c r="AX52" s="17"/>
      <c r="AY52" s="17"/>
      <c r="AZ52" s="17"/>
      <c r="BA52" s="17"/>
      <c r="BB52" s="17"/>
      <c r="BC52" s="17"/>
      <c r="BD52" s="31"/>
      <c r="BE52" s="17"/>
      <c r="BF52" s="17"/>
      <c r="BG52" s="17"/>
      <c r="BH52" s="40"/>
      <c r="BI52" s="17"/>
      <c r="BJ52" s="147"/>
      <c r="BK52" s="147" t="s">
        <v>2436</v>
      </c>
      <c r="BL52" s="144"/>
      <c r="BM52" s="147"/>
      <c r="BN52" s="147"/>
      <c r="BO52" s="147"/>
      <c r="BP52" s="147"/>
      <c r="BQ52" s="147"/>
      <c r="BR52" s="147"/>
      <c r="BS52" s="147"/>
      <c r="BT52" s="147"/>
      <c r="BU52" s="147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</row>
    <row r="53" spans="1:92" ht="26.25" customHeight="1">
      <c r="A53" s="2" t="str">
        <f t="shared" si="1"/>
        <v>AG009h - LD-C/U</v>
      </c>
      <c r="B53" s="2" t="s">
        <v>2590</v>
      </c>
      <c r="C53" s="53" t="s">
        <v>28</v>
      </c>
      <c r="D53" s="53" t="s">
        <v>10</v>
      </c>
      <c r="E53" s="53" t="s">
        <v>49</v>
      </c>
      <c r="F53" s="53" t="s">
        <v>50</v>
      </c>
      <c r="G53" s="53" t="s">
        <v>13</v>
      </c>
      <c r="H53" s="54" t="str">
        <f t="shared" si="2"/>
        <v>Reduzido</v>
      </c>
      <c r="I53" s="55" t="s">
        <v>676</v>
      </c>
      <c r="J53" s="53"/>
      <c r="K53" s="2" t="e">
        <f>VLOOKUP(B53,#REF!,2,FALSE())</f>
        <v>#REF!</v>
      </c>
      <c r="L53" s="53" t="e">
        <f>VLOOKUP(B53,#REF!,7,FALSE())</f>
        <v>#REF!</v>
      </c>
      <c r="M53" s="56" t="s">
        <v>677</v>
      </c>
      <c r="N53" s="57" t="s">
        <v>693</v>
      </c>
      <c r="O53" s="54" t="s">
        <v>143</v>
      </c>
      <c r="P53" s="56" t="s">
        <v>60</v>
      </c>
      <c r="Q53" s="58" t="e">
        <f>VLOOKUP(B53,#REF!,10,FALSE())</f>
        <v>#REF!</v>
      </c>
      <c r="R53" s="27" t="s">
        <v>803</v>
      </c>
      <c r="S53" s="59">
        <f t="shared" ref="S53:S58" si="5">U53+W53+Y53+AA53+AC53+AE53+AG53+AH53</f>
        <v>0.91666666666666663</v>
      </c>
      <c r="T53" s="61" t="s">
        <v>804</v>
      </c>
      <c r="U53" s="62">
        <v>0.16666666666666666</v>
      </c>
      <c r="V53" s="61" t="s">
        <v>804</v>
      </c>
      <c r="W53" s="62">
        <v>0.16666666666666666</v>
      </c>
      <c r="X53" s="61" t="s">
        <v>804</v>
      </c>
      <c r="Y53" s="62">
        <v>0.16666666666666666</v>
      </c>
      <c r="Z53" s="61" t="s">
        <v>804</v>
      </c>
      <c r="AA53" s="62">
        <v>0.16666666666666666</v>
      </c>
      <c r="AB53" s="61" t="s">
        <v>804</v>
      </c>
      <c r="AC53" s="62">
        <v>0.16666666666666666</v>
      </c>
      <c r="AD53" s="61" t="s">
        <v>805</v>
      </c>
      <c r="AE53" s="62">
        <v>8.3333333333333329E-2</v>
      </c>
      <c r="AF53" s="17" t="s">
        <v>125</v>
      </c>
      <c r="AG53" s="6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22"/>
      <c r="AV53" s="20"/>
      <c r="AW53" s="19"/>
      <c r="AX53" s="19"/>
      <c r="AY53" s="19"/>
      <c r="AZ53" s="19"/>
      <c r="BA53" s="19"/>
      <c r="BB53" s="19"/>
      <c r="BC53" s="19"/>
      <c r="BD53" s="21"/>
      <c r="BE53" s="19"/>
      <c r="BF53" s="19"/>
      <c r="BG53" s="19"/>
      <c r="BH53" s="22"/>
      <c r="BI53" s="20"/>
      <c r="BJ53" s="147"/>
      <c r="BK53" s="147" t="s">
        <v>2436</v>
      </c>
      <c r="BL53" s="144"/>
      <c r="BM53" s="147"/>
      <c r="BN53" s="147"/>
      <c r="BO53" s="147"/>
      <c r="BP53" s="147"/>
      <c r="BQ53" s="147"/>
      <c r="BR53" s="147"/>
      <c r="BS53" s="147"/>
      <c r="BT53" s="147"/>
      <c r="BU53" s="147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</row>
    <row r="54" spans="1:92" ht="26.25" customHeight="1">
      <c r="A54" s="2" t="str">
        <f t="shared" si="1"/>
        <v>AG009i - LD-C/U</v>
      </c>
      <c r="B54" s="2" t="s">
        <v>2594</v>
      </c>
      <c r="C54" s="53" t="s">
        <v>28</v>
      </c>
      <c r="D54" s="53" t="s">
        <v>10</v>
      </c>
      <c r="E54" s="53" t="s">
        <v>49</v>
      </c>
      <c r="F54" s="53" t="s">
        <v>50</v>
      </c>
      <c r="G54" s="53" t="s">
        <v>13</v>
      </c>
      <c r="H54" s="54" t="str">
        <f t="shared" si="2"/>
        <v>Reduzido</v>
      </c>
      <c r="I54" s="55" t="s">
        <v>676</v>
      </c>
      <c r="J54" s="53"/>
      <c r="K54" s="2" t="e">
        <f>VLOOKUP(B54,#REF!,2,FALSE())</f>
        <v>#REF!</v>
      </c>
      <c r="L54" s="53" t="e">
        <f>VLOOKUP(B54,#REF!,7,FALSE())</f>
        <v>#REF!</v>
      </c>
      <c r="M54" s="56" t="s">
        <v>677</v>
      </c>
      <c r="N54" s="57" t="s">
        <v>693</v>
      </c>
      <c r="O54" s="54" t="s">
        <v>143</v>
      </c>
      <c r="P54" s="56" t="s">
        <v>60</v>
      </c>
      <c r="Q54" s="58" t="e">
        <f>VLOOKUP(B54,#REF!,10,FALSE())</f>
        <v>#REF!</v>
      </c>
      <c r="R54" s="27" t="s">
        <v>811</v>
      </c>
      <c r="S54" s="59">
        <f t="shared" si="5"/>
        <v>1.25</v>
      </c>
      <c r="T54" s="61" t="s">
        <v>812</v>
      </c>
      <c r="U54" s="62">
        <v>0.20833333333333334</v>
      </c>
      <c r="V54" s="61" t="s">
        <v>812</v>
      </c>
      <c r="W54" s="62">
        <v>0.20833333333333334</v>
      </c>
      <c r="X54" s="61" t="s">
        <v>812</v>
      </c>
      <c r="Y54" s="62">
        <v>0.20833333333333334</v>
      </c>
      <c r="Z54" s="61" t="s">
        <v>812</v>
      </c>
      <c r="AA54" s="62">
        <v>0.20833333333333334</v>
      </c>
      <c r="AB54" s="61" t="s">
        <v>812</v>
      </c>
      <c r="AC54" s="62">
        <v>0.20833333333333334</v>
      </c>
      <c r="AD54" s="17" t="s">
        <v>812</v>
      </c>
      <c r="AE54" s="62">
        <v>0.20833333333333334</v>
      </c>
      <c r="AF54" s="17" t="s">
        <v>37</v>
      </c>
      <c r="AG54" s="6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40"/>
      <c r="AV54" s="17"/>
      <c r="AW54" s="17"/>
      <c r="AX54" s="17"/>
      <c r="AY54" s="17"/>
      <c r="AZ54" s="17"/>
      <c r="BA54" s="17"/>
      <c r="BB54" s="17"/>
      <c r="BC54" s="17"/>
      <c r="BD54" s="31"/>
      <c r="BE54" s="17"/>
      <c r="BF54" s="17"/>
      <c r="BG54" s="17"/>
      <c r="BH54" s="40"/>
      <c r="BI54" s="17"/>
      <c r="BJ54" s="135"/>
      <c r="BK54" s="135" t="s">
        <v>2436</v>
      </c>
      <c r="BL54" s="144"/>
      <c r="BM54" s="135"/>
      <c r="BN54" s="135"/>
      <c r="BO54" s="135"/>
      <c r="BP54" s="135"/>
      <c r="BQ54" s="135"/>
      <c r="BR54" s="135"/>
      <c r="BS54" s="135"/>
      <c r="BT54" s="135"/>
      <c r="BU54" s="135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</row>
    <row r="55" spans="1:92" ht="26.25" customHeight="1">
      <c r="A55" s="2" t="str">
        <f t="shared" si="1"/>
        <v>AG009f - LD-C/U</v>
      </c>
      <c r="B55" s="2" t="s">
        <v>2597</v>
      </c>
      <c r="C55" s="53" t="s">
        <v>28</v>
      </c>
      <c r="D55" s="53" t="s">
        <v>10</v>
      </c>
      <c r="E55" s="53" t="s">
        <v>49</v>
      </c>
      <c r="F55" s="53" t="s">
        <v>50</v>
      </c>
      <c r="G55" s="53" t="s">
        <v>13</v>
      </c>
      <c r="H55" s="54" t="str">
        <f t="shared" si="2"/>
        <v>Reduzido</v>
      </c>
      <c r="I55" s="55" t="s">
        <v>676</v>
      </c>
      <c r="J55" s="53"/>
      <c r="K55" s="2" t="e">
        <f>VLOOKUP(B55,#REF!,2,FALSE())</f>
        <v>#REF!</v>
      </c>
      <c r="L55" s="53" t="e">
        <f>VLOOKUP(B55,#REF!,7,FALSE())</f>
        <v>#REF!</v>
      </c>
      <c r="M55" s="56" t="s">
        <v>784</v>
      </c>
      <c r="N55" s="57" t="s">
        <v>693</v>
      </c>
      <c r="O55" s="54" t="s">
        <v>143</v>
      </c>
      <c r="P55" s="56" t="s">
        <v>60</v>
      </c>
      <c r="Q55" s="58" t="e">
        <f>VLOOKUP(B55,#REF!,10,FALSE())</f>
        <v>#REF!</v>
      </c>
      <c r="R55" s="27" t="s">
        <v>785</v>
      </c>
      <c r="S55" s="59">
        <f t="shared" si="5"/>
        <v>1.8333333333333333</v>
      </c>
      <c r="T55" s="61" t="s">
        <v>256</v>
      </c>
      <c r="U55" s="62">
        <v>0.33333333333333331</v>
      </c>
      <c r="V55" s="61" t="s">
        <v>256</v>
      </c>
      <c r="W55" s="62">
        <v>0.33333333333333331</v>
      </c>
      <c r="X55" s="61" t="s">
        <v>256</v>
      </c>
      <c r="Y55" s="62">
        <v>0.33333333333333331</v>
      </c>
      <c r="Z55" s="61" t="s">
        <v>256</v>
      </c>
      <c r="AA55" s="62">
        <v>0.33333333333333331</v>
      </c>
      <c r="AB55" s="61" t="s">
        <v>256</v>
      </c>
      <c r="AC55" s="62">
        <v>0.33333333333333331</v>
      </c>
      <c r="AD55" s="17" t="s">
        <v>65</v>
      </c>
      <c r="AE55" s="62">
        <v>0.16666666666666666</v>
      </c>
      <c r="AF55" s="17" t="s">
        <v>125</v>
      </c>
      <c r="AG55" s="6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40"/>
      <c r="AV55" s="17"/>
      <c r="AW55" s="17"/>
      <c r="AX55" s="17"/>
      <c r="AY55" s="17"/>
      <c r="AZ55" s="17"/>
      <c r="BA55" s="17"/>
      <c r="BB55" s="17"/>
      <c r="BC55" s="17"/>
      <c r="BD55" s="31"/>
      <c r="BE55" s="17"/>
      <c r="BF55" s="17"/>
      <c r="BG55" s="17"/>
      <c r="BH55" s="40"/>
      <c r="BI55" s="17"/>
      <c r="BJ55" s="147"/>
      <c r="BK55" s="147" t="s">
        <v>2436</v>
      </c>
      <c r="BL55" s="144"/>
      <c r="BM55" s="147"/>
      <c r="BN55" s="147"/>
      <c r="BO55" s="147"/>
      <c r="BP55" s="147"/>
      <c r="BQ55" s="147"/>
      <c r="BR55" s="147"/>
      <c r="BS55" s="147"/>
      <c r="BT55" s="147"/>
      <c r="BU55" s="147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</row>
    <row r="56" spans="1:92" ht="26.25" customHeight="1">
      <c r="A56" s="2" t="str">
        <f t="shared" si="1"/>
        <v>AG009g - LD-B/U</v>
      </c>
      <c r="B56" s="2" t="s">
        <v>2604</v>
      </c>
      <c r="C56" s="53" t="s">
        <v>28</v>
      </c>
      <c r="D56" s="53" t="s">
        <v>10</v>
      </c>
      <c r="E56" s="53" t="s">
        <v>49</v>
      </c>
      <c r="F56" s="53" t="s">
        <v>30</v>
      </c>
      <c r="G56" s="53" t="s">
        <v>13</v>
      </c>
      <c r="H56" s="54" t="str">
        <f t="shared" si="2"/>
        <v>-</v>
      </c>
      <c r="I56" s="55"/>
      <c r="J56" s="53"/>
      <c r="K56" s="2" t="e">
        <f>VLOOKUP(B56,#REF!,2,FALSE())</f>
        <v>#REF!</v>
      </c>
      <c r="L56" s="53" t="e">
        <f>VLOOKUP(B56,#REF!,7,FALSE())</f>
        <v>#REF!</v>
      </c>
      <c r="M56" s="56" t="s">
        <v>784</v>
      </c>
      <c r="N56" s="57" t="s">
        <v>693</v>
      </c>
      <c r="O56" s="54" t="s">
        <v>143</v>
      </c>
      <c r="P56" s="56" t="s">
        <v>60</v>
      </c>
      <c r="Q56" s="58" t="e">
        <f>VLOOKUP(B56,#REF!,10,FALSE())</f>
        <v>#REF!</v>
      </c>
      <c r="R56" s="27" t="s">
        <v>793</v>
      </c>
      <c r="S56" s="59">
        <f t="shared" si="5"/>
        <v>1.8333333333333333</v>
      </c>
      <c r="T56" s="17" t="s">
        <v>256</v>
      </c>
      <c r="U56" s="60">
        <v>0.33333333333333331</v>
      </c>
      <c r="V56" s="17" t="s">
        <v>256</v>
      </c>
      <c r="W56" s="60">
        <v>0.33333333333333331</v>
      </c>
      <c r="X56" s="17" t="s">
        <v>256</v>
      </c>
      <c r="Y56" s="60">
        <v>0.33333333333333331</v>
      </c>
      <c r="Z56" s="17" t="s">
        <v>256</v>
      </c>
      <c r="AA56" s="60">
        <v>0.33333333333333331</v>
      </c>
      <c r="AB56" s="17" t="s">
        <v>794</v>
      </c>
      <c r="AC56" s="60">
        <v>0.33333333333333331</v>
      </c>
      <c r="AD56" s="17" t="s">
        <v>795</v>
      </c>
      <c r="AE56" s="60">
        <v>0.16666666666666666</v>
      </c>
      <c r="AF56" s="17" t="s">
        <v>125</v>
      </c>
      <c r="AG56" s="6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40"/>
      <c r="AV56" s="17"/>
      <c r="AW56" s="17"/>
      <c r="AX56" s="17"/>
      <c r="AY56" s="17"/>
      <c r="AZ56" s="17"/>
      <c r="BA56" s="17"/>
      <c r="BB56" s="17"/>
      <c r="BC56" s="17"/>
      <c r="BD56" s="31"/>
      <c r="BE56" s="17"/>
      <c r="BF56" s="17"/>
      <c r="BG56" s="17"/>
      <c r="BH56" s="40"/>
      <c r="BI56" s="17"/>
      <c r="BJ56" s="165"/>
      <c r="BK56" s="165" t="s">
        <v>2436</v>
      </c>
      <c r="BL56" s="144"/>
      <c r="BM56" s="165"/>
      <c r="BN56" s="165"/>
      <c r="BO56" s="165"/>
      <c r="BP56" s="165"/>
      <c r="BQ56" s="165"/>
      <c r="BR56" s="165"/>
      <c r="BS56" s="165"/>
      <c r="BT56" s="165"/>
      <c r="BU56" s="165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</row>
    <row r="57" spans="1:92" ht="26.25" customHeight="1">
      <c r="A57" s="2" t="str">
        <f t="shared" si="1"/>
        <v>FC070 - LD-C/U</v>
      </c>
      <c r="B57" s="2" t="s">
        <v>2611</v>
      </c>
      <c r="C57" s="53" t="s">
        <v>28</v>
      </c>
      <c r="D57" s="53" t="s">
        <v>10</v>
      </c>
      <c r="E57" s="53" t="s">
        <v>49</v>
      </c>
      <c r="F57" s="53" t="s">
        <v>50</v>
      </c>
      <c r="G57" s="53" t="s">
        <v>13</v>
      </c>
      <c r="H57" s="54" t="str">
        <f t="shared" si="2"/>
        <v>Reduzido</v>
      </c>
      <c r="I57" s="55" t="s">
        <v>676</v>
      </c>
      <c r="J57" s="53"/>
      <c r="K57" s="2" t="e">
        <f>VLOOKUP(B57,#REF!,2,FALSE())</f>
        <v>#REF!</v>
      </c>
      <c r="L57" s="53" t="e">
        <f>VLOOKUP(B57,#REF!,7,FALSE())</f>
        <v>#REF!</v>
      </c>
      <c r="M57" s="56" t="s">
        <v>677</v>
      </c>
      <c r="N57" s="57" t="s">
        <v>693</v>
      </c>
      <c r="O57" s="54" t="s">
        <v>143</v>
      </c>
      <c r="P57" s="56" t="s">
        <v>60</v>
      </c>
      <c r="Q57" s="58" t="e">
        <f>VLOOKUP(B57,#REF!,10,FALSE())</f>
        <v>#REF!</v>
      </c>
      <c r="R57" s="27" t="s">
        <v>811</v>
      </c>
      <c r="S57" s="59">
        <f t="shared" si="5"/>
        <v>1.25</v>
      </c>
      <c r="T57" s="17" t="s">
        <v>812</v>
      </c>
      <c r="U57" s="60">
        <v>0.20833333333333334</v>
      </c>
      <c r="V57" s="17" t="s">
        <v>812</v>
      </c>
      <c r="W57" s="60">
        <v>0.20833333333333334</v>
      </c>
      <c r="X57" s="17" t="s">
        <v>812</v>
      </c>
      <c r="Y57" s="60">
        <v>0.20833333333333334</v>
      </c>
      <c r="Z57" s="17" t="s">
        <v>812</v>
      </c>
      <c r="AA57" s="60">
        <v>0.20833333333333334</v>
      </c>
      <c r="AB57" s="17" t="s">
        <v>812</v>
      </c>
      <c r="AC57" s="60">
        <v>0.20833333333333334</v>
      </c>
      <c r="AD57" s="17" t="s">
        <v>812</v>
      </c>
      <c r="AE57" s="60">
        <v>0.20833333333333334</v>
      </c>
      <c r="AF57" s="17" t="s">
        <v>37</v>
      </c>
      <c r="AG57" s="6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29"/>
      <c r="AV57" s="30" t="s">
        <v>43</v>
      </c>
      <c r="AW57" s="30" t="s">
        <v>44</v>
      </c>
      <c r="AX57" s="30" t="s">
        <v>44</v>
      </c>
      <c r="AY57" s="30" t="s">
        <v>43</v>
      </c>
      <c r="AZ57" s="30" t="s">
        <v>44</v>
      </c>
      <c r="BA57" s="30" t="s">
        <v>44</v>
      </c>
      <c r="BB57" s="30" t="s">
        <v>43</v>
      </c>
      <c r="BC57" s="30" t="s">
        <v>43</v>
      </c>
      <c r="BD57" s="30" t="s">
        <v>44</v>
      </c>
      <c r="BE57" s="30" t="s">
        <v>43</v>
      </c>
      <c r="BF57" s="30" t="s">
        <v>44</v>
      </c>
      <c r="BG57" s="30" t="s">
        <v>43</v>
      </c>
      <c r="BH57" s="29"/>
      <c r="BI57" s="30"/>
      <c r="BJ57" s="147"/>
      <c r="BK57" s="147"/>
      <c r="BL57" s="144" t="s">
        <v>2436</v>
      </c>
      <c r="BM57" s="147"/>
      <c r="BN57" s="147"/>
      <c r="BO57" s="147"/>
      <c r="BP57" s="147"/>
      <c r="BQ57" s="147"/>
      <c r="BR57" s="147"/>
      <c r="BS57" s="147"/>
      <c r="BT57" s="147"/>
      <c r="BU57" s="147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</row>
    <row r="58" spans="1:92" ht="26.25" customHeight="1">
      <c r="A58" s="2" t="str">
        <f t="shared" si="1"/>
        <v>AG009k - LD-C/U</v>
      </c>
      <c r="B58" s="2" t="s">
        <v>2616</v>
      </c>
      <c r="C58" s="53" t="s">
        <v>28</v>
      </c>
      <c r="D58" s="53" t="s">
        <v>10</v>
      </c>
      <c r="E58" s="53" t="s">
        <v>49</v>
      </c>
      <c r="F58" s="53" t="s">
        <v>50</v>
      </c>
      <c r="G58" s="53" t="s">
        <v>13</v>
      </c>
      <c r="H58" s="54" t="str">
        <f t="shared" si="2"/>
        <v>Reduzido</v>
      </c>
      <c r="I58" s="55" t="s">
        <v>676</v>
      </c>
      <c r="J58" s="53"/>
      <c r="K58" s="2" t="e">
        <f>VLOOKUP(B58,#REF!,2,FALSE())</f>
        <v>#REF!</v>
      </c>
      <c r="L58" s="53" t="e">
        <f>VLOOKUP(B58,#REF!,7,FALSE())</f>
        <v>#REF!</v>
      </c>
      <c r="M58" s="56" t="s">
        <v>677</v>
      </c>
      <c r="N58" s="57" t="s">
        <v>693</v>
      </c>
      <c r="O58" s="54" t="s">
        <v>143</v>
      </c>
      <c r="P58" s="56" t="s">
        <v>60</v>
      </c>
      <c r="Q58" s="58" t="e">
        <f>VLOOKUP(B58,#REF!,10,FALSE())</f>
        <v>#REF!</v>
      </c>
      <c r="R58" s="27" t="s">
        <v>811</v>
      </c>
      <c r="S58" s="59">
        <f t="shared" si="5"/>
        <v>1.25</v>
      </c>
      <c r="T58" s="61" t="s">
        <v>812</v>
      </c>
      <c r="U58" s="62">
        <v>0.20833333333333334</v>
      </c>
      <c r="V58" s="61" t="s">
        <v>812</v>
      </c>
      <c r="W58" s="62">
        <v>0.20833333333333334</v>
      </c>
      <c r="X58" s="61" t="s">
        <v>812</v>
      </c>
      <c r="Y58" s="62">
        <v>0.20833333333333334</v>
      </c>
      <c r="Z58" s="61" t="s">
        <v>812</v>
      </c>
      <c r="AA58" s="62">
        <v>0.20833333333333334</v>
      </c>
      <c r="AB58" s="61" t="s">
        <v>812</v>
      </c>
      <c r="AC58" s="62">
        <v>0.20833333333333334</v>
      </c>
      <c r="AD58" s="17" t="s">
        <v>795</v>
      </c>
      <c r="AE58" s="62">
        <v>0.20833333333333334</v>
      </c>
      <c r="AF58" s="17" t="s">
        <v>37</v>
      </c>
      <c r="AG58" s="6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22"/>
      <c r="AV58" s="19" t="s">
        <v>44</v>
      </c>
      <c r="AW58" s="19" t="s">
        <v>43</v>
      </c>
      <c r="AX58" s="19" t="s">
        <v>43</v>
      </c>
      <c r="AY58" s="19" t="s">
        <v>44</v>
      </c>
      <c r="AZ58" s="19" t="s">
        <v>43</v>
      </c>
      <c r="BA58" s="19" t="s">
        <v>43</v>
      </c>
      <c r="BB58" s="19" t="s">
        <v>44</v>
      </c>
      <c r="BC58" s="19" t="s">
        <v>44</v>
      </c>
      <c r="BD58" s="28" t="s">
        <v>43</v>
      </c>
      <c r="BE58" s="19" t="s">
        <v>44</v>
      </c>
      <c r="BF58" s="19" t="s">
        <v>43</v>
      </c>
      <c r="BG58" s="19" t="s">
        <v>44</v>
      </c>
      <c r="BH58" s="22"/>
      <c r="BI58" s="19"/>
      <c r="BJ58" s="147"/>
      <c r="BK58" s="147"/>
      <c r="BL58" s="144" t="s">
        <v>2436</v>
      </c>
      <c r="BM58" s="147"/>
      <c r="BN58" s="147"/>
      <c r="BO58" s="147"/>
      <c r="BP58" s="147"/>
      <c r="BQ58" s="147"/>
      <c r="BR58" s="147"/>
      <c r="BS58" s="147"/>
      <c r="BT58" s="147"/>
      <c r="BU58" s="147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</row>
    <row r="59" spans="1:92" ht="26.25" customHeight="1">
      <c r="A59" s="23" t="str">
        <f t="shared" si="1"/>
        <v>AG009l - LD-C/U</v>
      </c>
      <c r="B59" s="23" t="s">
        <v>2623</v>
      </c>
      <c r="C59" s="24" t="s">
        <v>28</v>
      </c>
      <c r="D59" s="24" t="s">
        <v>10</v>
      </c>
      <c r="E59" s="24" t="s">
        <v>49</v>
      </c>
      <c r="F59" s="24" t="s">
        <v>50</v>
      </c>
      <c r="G59" s="26" t="s">
        <v>13</v>
      </c>
      <c r="H59" s="26" t="str">
        <f t="shared" si="2"/>
        <v>R.13/1</v>
      </c>
      <c r="I59" s="32" t="s">
        <v>370</v>
      </c>
      <c r="J59" s="24">
        <v>1</v>
      </c>
      <c r="K59" s="23" t="e">
        <f>VLOOKUP(B59,#REF!,2,FALSE())</f>
        <v>#REF!</v>
      </c>
      <c r="L59" s="24" t="e">
        <f>VLOOKUP(B59,#REF!,7,FALSE())</f>
        <v>#REF!</v>
      </c>
      <c r="M59" s="35" t="s">
        <v>58</v>
      </c>
      <c r="N59" s="25" t="s">
        <v>693</v>
      </c>
      <c r="O59" s="26" t="s">
        <v>143</v>
      </c>
      <c r="P59" s="35" t="s">
        <v>60</v>
      </c>
      <c r="Q59" s="37" t="e">
        <f>VLOOKUP(B59,#REF!,10,FALSE())</f>
        <v>#REF!</v>
      </c>
      <c r="R59" s="38" t="s">
        <v>840</v>
      </c>
      <c r="S59" s="39">
        <v>1.0416666666666667</v>
      </c>
      <c r="T59" s="15" t="s">
        <v>812</v>
      </c>
      <c r="U59" s="16">
        <v>0.20833333333333334</v>
      </c>
      <c r="V59" s="15" t="s">
        <v>812</v>
      </c>
      <c r="W59" s="16">
        <v>0.20833333333333334</v>
      </c>
      <c r="X59" s="15" t="s">
        <v>812</v>
      </c>
      <c r="Y59" s="16">
        <v>0.20833333333333334</v>
      </c>
      <c r="Z59" s="15" t="s">
        <v>812</v>
      </c>
      <c r="AA59" s="16">
        <v>0.20833333333333334</v>
      </c>
      <c r="AB59" s="15" t="s">
        <v>812</v>
      </c>
      <c r="AC59" s="16">
        <v>0.20833333333333334</v>
      </c>
      <c r="AD59" s="19" t="s">
        <v>37</v>
      </c>
      <c r="AE59" s="16" t="s">
        <v>49</v>
      </c>
      <c r="AF59" s="19" t="s">
        <v>37</v>
      </c>
      <c r="AG59" s="19"/>
      <c r="AH59" s="39"/>
      <c r="AI59" s="19"/>
      <c r="AJ59" s="19"/>
      <c r="AK59" s="19"/>
      <c r="AL59" s="19"/>
      <c r="AM59" s="19"/>
      <c r="AN59" s="19"/>
      <c r="AO59" s="19"/>
      <c r="AP59" s="19"/>
      <c r="AQ59" s="28"/>
      <c r="AR59" s="19"/>
      <c r="AS59" s="19"/>
      <c r="AT59" s="19"/>
      <c r="AU59" s="40"/>
      <c r="AV59" s="17"/>
      <c r="AW59" s="17"/>
      <c r="AX59" s="17"/>
      <c r="AY59" s="17"/>
      <c r="AZ59" s="17"/>
      <c r="BA59" s="17"/>
      <c r="BB59" s="17"/>
      <c r="BC59" s="17"/>
      <c r="BD59" s="31"/>
      <c r="BE59" s="17"/>
      <c r="BF59" s="17"/>
      <c r="BG59" s="17"/>
      <c r="BH59" s="40"/>
      <c r="BI59" s="17"/>
      <c r="BJ59" s="135"/>
      <c r="BK59" s="135"/>
      <c r="BL59" s="144" t="s">
        <v>2436</v>
      </c>
      <c r="BM59" s="135"/>
      <c r="BN59" s="135"/>
      <c r="BO59" s="135"/>
      <c r="BP59" s="135"/>
      <c r="BQ59" s="135"/>
      <c r="BR59" s="135"/>
      <c r="BS59" s="135"/>
      <c r="BT59" s="135"/>
      <c r="BU59" s="135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</row>
    <row r="60" spans="1:92" ht="26.25" customHeight="1">
      <c r="A60" s="23" t="str">
        <f t="shared" si="1"/>
        <v>AG009m - LD-C/U</v>
      </c>
      <c r="B60" s="23" t="s">
        <v>2630</v>
      </c>
      <c r="C60" s="24" t="s">
        <v>28</v>
      </c>
      <c r="D60" s="24" t="s">
        <v>10</v>
      </c>
      <c r="E60" s="24" t="s">
        <v>49</v>
      </c>
      <c r="F60" s="24" t="s">
        <v>50</v>
      </c>
      <c r="G60" s="26" t="s">
        <v>13</v>
      </c>
      <c r="H60" s="26" t="str">
        <f t="shared" si="2"/>
        <v>Reduzido</v>
      </c>
      <c r="I60" s="32" t="s">
        <v>676</v>
      </c>
      <c r="J60" s="24"/>
      <c r="K60" s="23" t="e">
        <f>VLOOKUP(B60,#REF!,2,FALSE())</f>
        <v>#REF!</v>
      </c>
      <c r="L60" s="24" t="e">
        <f>VLOOKUP(B60,#REF!,7,FALSE())</f>
        <v>#REF!</v>
      </c>
      <c r="M60" s="35" t="s">
        <v>58</v>
      </c>
      <c r="N60" s="25" t="s">
        <v>693</v>
      </c>
      <c r="O60" s="26" t="s">
        <v>143</v>
      </c>
      <c r="P60" s="35" t="s">
        <v>60</v>
      </c>
      <c r="Q60" s="37" t="e">
        <f>VLOOKUP(B60,#REF!,10,FALSE())</f>
        <v>#REF!</v>
      </c>
      <c r="R60" s="38" t="s">
        <v>2555</v>
      </c>
      <c r="S60" s="39">
        <f t="shared" ref="S60:S64" si="6">U60+W60+Y60+AA60+AC60+AE60+AG60+AH60</f>
        <v>1.25</v>
      </c>
      <c r="T60" s="19" t="s">
        <v>812</v>
      </c>
      <c r="U60" s="18">
        <v>0.20833333333333334</v>
      </c>
      <c r="V60" s="19" t="s">
        <v>812</v>
      </c>
      <c r="W60" s="18">
        <v>0.20833333333333334</v>
      </c>
      <c r="X60" s="19" t="s">
        <v>812</v>
      </c>
      <c r="Y60" s="18">
        <v>0.20833333333333334</v>
      </c>
      <c r="Z60" s="19" t="s">
        <v>812</v>
      </c>
      <c r="AA60" s="18">
        <v>0.20833333333333334</v>
      </c>
      <c r="AB60" s="19" t="s">
        <v>812</v>
      </c>
      <c r="AC60" s="18">
        <v>0.20833333333333334</v>
      </c>
      <c r="AD60" s="19" t="s">
        <v>812</v>
      </c>
      <c r="AE60" s="18">
        <v>0.20833333333333334</v>
      </c>
      <c r="AF60" s="19" t="s">
        <v>125</v>
      </c>
      <c r="AG60" s="19"/>
      <c r="AH60" s="39"/>
      <c r="AI60" s="19"/>
      <c r="AJ60" s="19"/>
      <c r="AK60" s="19"/>
      <c r="AL60" s="19"/>
      <c r="AM60" s="19"/>
      <c r="AN60" s="19"/>
      <c r="AO60" s="19"/>
      <c r="AP60" s="19"/>
      <c r="AQ60" s="28"/>
      <c r="AR60" s="19"/>
      <c r="AS60" s="19"/>
      <c r="AT60" s="19"/>
      <c r="AU60" s="40"/>
      <c r="AV60" s="17"/>
      <c r="AW60" s="17"/>
      <c r="AX60" s="17"/>
      <c r="AY60" s="17"/>
      <c r="AZ60" s="17"/>
      <c r="BA60" s="17"/>
      <c r="BB60" s="17"/>
      <c r="BC60" s="17"/>
      <c r="BD60" s="63"/>
      <c r="BE60" s="17"/>
      <c r="BF60" s="17"/>
      <c r="BG60" s="17"/>
      <c r="BH60" s="40"/>
      <c r="BI60" s="17"/>
      <c r="BJ60" s="135"/>
      <c r="BK60" s="135"/>
      <c r="BL60" s="144" t="s">
        <v>2436</v>
      </c>
      <c r="BM60" s="135"/>
      <c r="BN60" s="135"/>
      <c r="BO60" s="135"/>
      <c r="BP60" s="135"/>
      <c r="BQ60" s="135"/>
      <c r="BR60" s="135"/>
      <c r="BS60" s="135"/>
      <c r="BT60" s="135"/>
      <c r="BU60" s="135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</row>
    <row r="61" spans="1:92" ht="26.25" customHeight="1">
      <c r="A61" s="2" t="str">
        <f t="shared" si="1"/>
        <v>AG009n - LD-C/U</v>
      </c>
      <c r="B61" s="2" t="s">
        <v>2632</v>
      </c>
      <c r="C61" s="53" t="s">
        <v>28</v>
      </c>
      <c r="D61" s="53" t="s">
        <v>10</v>
      </c>
      <c r="E61" s="53" t="s">
        <v>49</v>
      </c>
      <c r="F61" s="53" t="s">
        <v>50</v>
      </c>
      <c r="G61" s="53" t="s">
        <v>13</v>
      </c>
      <c r="H61" s="54" t="str">
        <f t="shared" si="2"/>
        <v>Reduzido</v>
      </c>
      <c r="I61" s="55" t="s">
        <v>676</v>
      </c>
      <c r="J61" s="53"/>
      <c r="K61" s="2" t="e">
        <f>VLOOKUP(B61,#REF!,2,FALSE())</f>
        <v>#REF!</v>
      </c>
      <c r="L61" s="53" t="e">
        <f>VLOOKUP(B61,#REF!,7,FALSE())</f>
        <v>#REF!</v>
      </c>
      <c r="M61" s="56" t="s">
        <v>677</v>
      </c>
      <c r="N61" s="57" t="s">
        <v>693</v>
      </c>
      <c r="O61" s="54" t="s">
        <v>143</v>
      </c>
      <c r="P61" s="56" t="s">
        <v>60</v>
      </c>
      <c r="Q61" s="58" t="e">
        <f>VLOOKUP(B61,#REF!,10,FALSE())</f>
        <v>#REF!</v>
      </c>
      <c r="R61" s="27" t="s">
        <v>811</v>
      </c>
      <c r="S61" s="59">
        <f t="shared" si="6"/>
        <v>1.25</v>
      </c>
      <c r="T61" s="61" t="s">
        <v>812</v>
      </c>
      <c r="U61" s="62">
        <v>0.20833333333333334</v>
      </c>
      <c r="V61" s="61" t="s">
        <v>812</v>
      </c>
      <c r="W61" s="62">
        <v>0.20833333333333334</v>
      </c>
      <c r="X61" s="61" t="s">
        <v>812</v>
      </c>
      <c r="Y61" s="62">
        <v>0.20833333333333334</v>
      </c>
      <c r="Z61" s="61" t="s">
        <v>812</v>
      </c>
      <c r="AA61" s="62">
        <v>0.20833333333333334</v>
      </c>
      <c r="AB61" s="61" t="s">
        <v>812</v>
      </c>
      <c r="AC61" s="62">
        <v>0.20833333333333334</v>
      </c>
      <c r="AD61" s="17" t="s">
        <v>812</v>
      </c>
      <c r="AE61" s="62">
        <v>0.20833333333333334</v>
      </c>
      <c r="AF61" s="17" t="s">
        <v>37</v>
      </c>
      <c r="AG61" s="6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29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29"/>
      <c r="BI61" s="30"/>
      <c r="BJ61" s="135"/>
      <c r="BK61" s="135"/>
      <c r="BL61" s="144" t="s">
        <v>2436</v>
      </c>
      <c r="BM61" s="135"/>
      <c r="BN61" s="135"/>
      <c r="BO61" s="135"/>
      <c r="BP61" s="135"/>
      <c r="BQ61" s="135"/>
      <c r="BR61" s="135"/>
      <c r="BS61" s="135"/>
      <c r="BT61" s="135"/>
      <c r="BU61" s="135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</row>
    <row r="62" spans="1:92" ht="26.25" customHeight="1">
      <c r="A62" s="2" t="str">
        <f t="shared" si="1"/>
        <v>AG009p - LD-B/U</v>
      </c>
      <c r="B62" s="2" t="s">
        <v>2635</v>
      </c>
      <c r="C62" s="53" t="s">
        <v>28</v>
      </c>
      <c r="D62" s="53" t="s">
        <v>10</v>
      </c>
      <c r="E62" s="53" t="s">
        <v>49</v>
      </c>
      <c r="F62" s="53" t="s">
        <v>30</v>
      </c>
      <c r="G62" s="53" t="s">
        <v>13</v>
      </c>
      <c r="H62" s="54" t="str">
        <f t="shared" si="2"/>
        <v>-</v>
      </c>
      <c r="I62" s="55"/>
      <c r="J62" s="53"/>
      <c r="K62" s="2" t="e">
        <f>VLOOKUP(B62,#REF!,2,FALSE())</f>
        <v>#REF!</v>
      </c>
      <c r="L62" s="53" t="e">
        <f>VLOOKUP(B62,#REF!,7,FALSE())</f>
        <v>#REF!</v>
      </c>
      <c r="M62" s="56" t="s">
        <v>21</v>
      </c>
      <c r="N62" s="57" t="s">
        <v>693</v>
      </c>
      <c r="O62" s="54" t="s">
        <v>143</v>
      </c>
      <c r="P62" s="56" t="s">
        <v>916</v>
      </c>
      <c r="Q62" s="58" t="e">
        <f>VLOOKUP(B62,#REF!,10,FALSE())</f>
        <v>#REF!</v>
      </c>
      <c r="R62" s="27" t="s">
        <v>920</v>
      </c>
      <c r="S62" s="59">
        <f t="shared" si="6"/>
        <v>1.8333333333333335</v>
      </c>
      <c r="T62" s="61" t="s">
        <v>921</v>
      </c>
      <c r="U62" s="62">
        <v>0.30555555555555558</v>
      </c>
      <c r="V62" s="61" t="s">
        <v>921</v>
      </c>
      <c r="W62" s="62">
        <v>0.30555555555555558</v>
      </c>
      <c r="X62" s="61" t="s">
        <v>921</v>
      </c>
      <c r="Y62" s="62">
        <v>0.30555555555555558</v>
      </c>
      <c r="Z62" s="61" t="s">
        <v>921</v>
      </c>
      <c r="AA62" s="62">
        <v>0.30555555555555558</v>
      </c>
      <c r="AB62" s="61" t="s">
        <v>921</v>
      </c>
      <c r="AC62" s="62">
        <v>0.30555555555555558</v>
      </c>
      <c r="AD62" s="17" t="s">
        <v>922</v>
      </c>
      <c r="AE62" s="62">
        <v>0.30555555555555558</v>
      </c>
      <c r="AF62" s="17" t="s">
        <v>125</v>
      </c>
      <c r="AG62" s="6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29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29"/>
      <c r="BI62" s="30"/>
      <c r="BJ62" s="147"/>
      <c r="BK62" s="147"/>
      <c r="BL62" s="144" t="s">
        <v>2436</v>
      </c>
      <c r="BM62" s="147"/>
      <c r="BN62" s="147"/>
      <c r="BO62" s="147"/>
      <c r="BP62" s="147"/>
      <c r="BQ62" s="147"/>
      <c r="BR62" s="147"/>
      <c r="BS62" s="147"/>
      <c r="BT62" s="147"/>
      <c r="BU62" s="147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</row>
    <row r="63" spans="1:92" ht="26.25" customHeight="1">
      <c r="A63" s="2" t="str">
        <f t="shared" si="1"/>
        <v>AG009q - LD-C/U</v>
      </c>
      <c r="B63" s="2" t="s">
        <v>2639</v>
      </c>
      <c r="C63" s="53" t="s">
        <v>28</v>
      </c>
      <c r="D63" s="53" t="s">
        <v>10</v>
      </c>
      <c r="E63" s="53" t="s">
        <v>49</v>
      </c>
      <c r="F63" s="53" t="s">
        <v>50</v>
      </c>
      <c r="G63" s="53" t="s">
        <v>13</v>
      </c>
      <c r="H63" s="54" t="str">
        <f t="shared" si="2"/>
        <v>Reduzido</v>
      </c>
      <c r="I63" s="55" t="s">
        <v>676</v>
      </c>
      <c r="J63" s="53"/>
      <c r="K63" s="2" t="e">
        <f>VLOOKUP(B63,#REF!,2,FALSE())</f>
        <v>#REF!</v>
      </c>
      <c r="L63" s="53" t="e">
        <f>VLOOKUP(B63,#REF!,7,FALSE())</f>
        <v>#REF!</v>
      </c>
      <c r="M63" s="56" t="s">
        <v>677</v>
      </c>
      <c r="N63" s="57" t="s">
        <v>693</v>
      </c>
      <c r="O63" s="54" t="s">
        <v>143</v>
      </c>
      <c r="P63" s="56" t="s">
        <v>60</v>
      </c>
      <c r="Q63" s="58" t="e">
        <f>VLOOKUP(B63,#REF!,10,FALSE())</f>
        <v>#REF!</v>
      </c>
      <c r="R63" s="27" t="s">
        <v>2573</v>
      </c>
      <c r="S63" s="67">
        <f t="shared" si="6"/>
        <v>0.49999999999999994</v>
      </c>
      <c r="T63" s="61" t="s">
        <v>2644</v>
      </c>
      <c r="U63" s="62">
        <v>8.3333333333333329E-2</v>
      </c>
      <c r="V63" s="61" t="s">
        <v>2644</v>
      </c>
      <c r="W63" s="62">
        <v>8.3333333333333329E-2</v>
      </c>
      <c r="X63" s="61" t="s">
        <v>2644</v>
      </c>
      <c r="Y63" s="62">
        <v>8.3333333333333329E-2</v>
      </c>
      <c r="Z63" s="61" t="s">
        <v>2644</v>
      </c>
      <c r="AA63" s="62">
        <v>8.3333333333333329E-2</v>
      </c>
      <c r="AB63" s="61" t="s">
        <v>2644</v>
      </c>
      <c r="AC63" s="62">
        <v>8.3333333333333329E-2</v>
      </c>
      <c r="AD63" s="61" t="s">
        <v>706</v>
      </c>
      <c r="AE63" s="62">
        <v>8.3333333333333329E-2</v>
      </c>
      <c r="AF63" s="17" t="s">
        <v>37</v>
      </c>
      <c r="AG63" s="6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22"/>
      <c r="AV63" s="19"/>
      <c r="AW63" s="19"/>
      <c r="AX63" s="19"/>
      <c r="AY63" s="19"/>
      <c r="AZ63" s="19"/>
      <c r="BA63" s="19"/>
      <c r="BB63" s="19"/>
      <c r="BC63" s="19"/>
      <c r="BD63" s="28" t="s">
        <v>44</v>
      </c>
      <c r="BE63" s="19" t="s">
        <v>43</v>
      </c>
      <c r="BF63" s="19" t="s">
        <v>44</v>
      </c>
      <c r="BG63" s="19" t="s">
        <v>43</v>
      </c>
      <c r="BH63" s="22"/>
      <c r="BI63" s="19"/>
      <c r="BJ63" s="147"/>
      <c r="BK63" s="147"/>
      <c r="BL63" s="144" t="s">
        <v>2436</v>
      </c>
      <c r="BM63" s="147"/>
      <c r="BN63" s="147"/>
      <c r="BO63" s="147"/>
      <c r="BP63" s="147"/>
      <c r="BQ63" s="147"/>
      <c r="BR63" s="147"/>
      <c r="BS63" s="147"/>
      <c r="BT63" s="147"/>
      <c r="BU63" s="147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</row>
    <row r="64" spans="1:92" ht="26.25" customHeight="1">
      <c r="A64" s="23" t="str">
        <f t="shared" si="1"/>
        <v>AG010 - LD-C/1</v>
      </c>
      <c r="B64" s="23" t="s">
        <v>2645</v>
      </c>
      <c r="C64" s="24" t="s">
        <v>28</v>
      </c>
      <c r="D64" s="24" t="s">
        <v>10</v>
      </c>
      <c r="E64" s="24" t="s">
        <v>49</v>
      </c>
      <c r="F64" s="24" t="s">
        <v>50</v>
      </c>
      <c r="G64" s="26">
        <v>1</v>
      </c>
      <c r="H64" s="26" t="str">
        <f t="shared" si="2"/>
        <v>Reduzido</v>
      </c>
      <c r="I64" s="32" t="s">
        <v>676</v>
      </c>
      <c r="J64" s="24"/>
      <c r="K64" s="23" t="e">
        <f>VLOOKUP(B64,#REF!,2,FALSE())</f>
        <v>#REF!</v>
      </c>
      <c r="L64" s="24" t="e">
        <f>VLOOKUP(B64,#REF!,7,FALSE())</f>
        <v>#REF!</v>
      </c>
      <c r="M64" s="35" t="s">
        <v>58</v>
      </c>
      <c r="N64" s="25" t="s">
        <v>7</v>
      </c>
      <c r="O64" s="26" t="s">
        <v>7</v>
      </c>
      <c r="P64" s="35" t="s">
        <v>60</v>
      </c>
      <c r="Q64" s="37" t="e">
        <f>VLOOKUP(B64,#REF!,10,FALSE())</f>
        <v>#REF!</v>
      </c>
      <c r="R64" s="38" t="s">
        <v>2576</v>
      </c>
      <c r="S64" s="39">
        <f t="shared" si="6"/>
        <v>0.83333333333333326</v>
      </c>
      <c r="T64" s="15" t="s">
        <v>1014</v>
      </c>
      <c r="U64" s="16">
        <v>0.16666666666666666</v>
      </c>
      <c r="V64" s="15" t="s">
        <v>1014</v>
      </c>
      <c r="W64" s="16">
        <v>0.16666666666666666</v>
      </c>
      <c r="X64" s="15" t="s">
        <v>1014</v>
      </c>
      <c r="Y64" s="16">
        <v>0.16666666666666666</v>
      </c>
      <c r="Z64" s="15" t="s">
        <v>1014</v>
      </c>
      <c r="AA64" s="16">
        <v>0.16666666666666666</v>
      </c>
      <c r="AB64" s="15" t="s">
        <v>1014</v>
      </c>
      <c r="AC64" s="16">
        <v>0.16666666666666666</v>
      </c>
      <c r="AD64" s="19"/>
      <c r="AE64" s="16"/>
      <c r="AF64" s="19"/>
      <c r="AG64" s="19"/>
      <c r="AH64" s="39"/>
      <c r="AI64" s="19"/>
      <c r="AJ64" s="19"/>
      <c r="AK64" s="19"/>
      <c r="AL64" s="19"/>
      <c r="AM64" s="19"/>
      <c r="AN64" s="19"/>
      <c r="AO64" s="19"/>
      <c r="AP64" s="19"/>
      <c r="AQ64" s="28"/>
      <c r="AR64" s="19"/>
      <c r="AS64" s="19"/>
      <c r="AT64" s="19"/>
      <c r="AU64" s="40"/>
      <c r="AV64" s="17"/>
      <c r="AW64" s="17"/>
      <c r="AX64" s="17"/>
      <c r="AY64" s="17"/>
      <c r="AZ64" s="17"/>
      <c r="BA64" s="17"/>
      <c r="BB64" s="17"/>
      <c r="BC64" s="17"/>
      <c r="BD64" s="31"/>
      <c r="BE64" s="17"/>
      <c r="BF64" s="17"/>
      <c r="BG64" s="17"/>
      <c r="BH64" s="40"/>
      <c r="BI64" s="17"/>
      <c r="BJ64" s="147"/>
      <c r="BK64" s="147"/>
      <c r="BL64" s="144"/>
      <c r="BM64" s="147" t="s">
        <v>2436</v>
      </c>
      <c r="BN64" s="147"/>
      <c r="BO64" s="147"/>
      <c r="BP64" s="147"/>
      <c r="BQ64" s="147"/>
      <c r="BR64" s="147"/>
      <c r="BS64" s="147"/>
      <c r="BT64" s="147"/>
      <c r="BU64" s="147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</row>
    <row r="65" spans="1:92" ht="26.25" customHeight="1">
      <c r="A65" s="2" t="str">
        <f t="shared" si="1"/>
        <v>MC003 - PD-A/1</v>
      </c>
      <c r="B65" s="2" t="s">
        <v>1524</v>
      </c>
      <c r="C65" s="53" t="s">
        <v>9</v>
      </c>
      <c r="D65" s="53" t="s">
        <v>10</v>
      </c>
      <c r="E65" s="53" t="s">
        <v>49</v>
      </c>
      <c r="F65" s="53" t="s">
        <v>11</v>
      </c>
      <c r="G65" s="53">
        <v>1</v>
      </c>
      <c r="H65" s="54" t="str">
        <f t="shared" si="2"/>
        <v>-</v>
      </c>
      <c r="I65" s="55"/>
      <c r="J65" s="53"/>
      <c r="K65" s="2" t="e">
        <f>VLOOKUP(B65,#REF!,2,FALSE())</f>
        <v>#REF!</v>
      </c>
      <c r="L65" s="53" t="e">
        <f>VLOOKUP(B65,#REF!,7,FALSE())</f>
        <v>#REF!</v>
      </c>
      <c r="M65" s="56" t="s">
        <v>21</v>
      </c>
      <c r="N65" s="57" t="s">
        <v>7</v>
      </c>
      <c r="O65" s="54" t="s">
        <v>7</v>
      </c>
      <c r="P65" s="56" t="s">
        <v>22</v>
      </c>
      <c r="Q65" s="58" t="e">
        <f>VLOOKUP(B65,#REF!,10,FALSE())</f>
        <v>#REF!</v>
      </c>
      <c r="R65" s="27" t="s">
        <v>1392</v>
      </c>
      <c r="S65" s="59">
        <v>1.8333333333333333</v>
      </c>
      <c r="T65" s="61" t="s">
        <v>1211</v>
      </c>
      <c r="U65" s="62">
        <v>0.5</v>
      </c>
      <c r="V65" s="61"/>
      <c r="W65" s="62"/>
      <c r="X65" s="61" t="s">
        <v>1211</v>
      </c>
      <c r="Y65" s="62">
        <v>0.5</v>
      </c>
      <c r="Z65" s="61"/>
      <c r="AA65" s="62"/>
      <c r="AB65" s="61" t="s">
        <v>1211</v>
      </c>
      <c r="AC65" s="62">
        <v>0.5</v>
      </c>
      <c r="AD65" s="17"/>
      <c r="AE65" s="62"/>
      <c r="AF65" s="17" t="s">
        <v>1211</v>
      </c>
      <c r="AG65" s="60">
        <v>0.5</v>
      </c>
      <c r="AH65" s="17"/>
      <c r="AI65" s="17" t="s">
        <v>43</v>
      </c>
      <c r="AJ65" s="17" t="s">
        <v>44</v>
      </c>
      <c r="AK65" s="17" t="s">
        <v>44</v>
      </c>
      <c r="AL65" s="17" t="s">
        <v>43</v>
      </c>
      <c r="AM65" s="17" t="s">
        <v>44</v>
      </c>
      <c r="AN65" s="17" t="s">
        <v>44</v>
      </c>
      <c r="AO65" s="17" t="s">
        <v>43</v>
      </c>
      <c r="AP65" s="17" t="s">
        <v>43</v>
      </c>
      <c r="AQ65" s="63" t="s">
        <v>44</v>
      </c>
      <c r="AR65" s="17" t="s">
        <v>43</v>
      </c>
      <c r="AS65" s="17" t="s">
        <v>44</v>
      </c>
      <c r="AT65" s="17" t="s">
        <v>43</v>
      </c>
      <c r="AU65" s="40"/>
      <c r="AV65" s="17"/>
      <c r="AW65" s="17"/>
      <c r="AX65" s="17"/>
      <c r="AY65" s="17"/>
      <c r="AZ65" s="17"/>
      <c r="BA65" s="17"/>
      <c r="BB65" s="17"/>
      <c r="BC65" s="17"/>
      <c r="BD65" s="31"/>
      <c r="BE65" s="17"/>
      <c r="BF65" s="17"/>
      <c r="BG65" s="17"/>
      <c r="BH65" s="40"/>
      <c r="BI65" s="17"/>
      <c r="BJ65" s="147"/>
      <c r="BK65" s="147"/>
      <c r="BL65" s="144"/>
      <c r="BM65" s="147" t="s">
        <v>2436</v>
      </c>
      <c r="BN65" s="147"/>
      <c r="BO65" s="147"/>
      <c r="BP65" s="147"/>
      <c r="BQ65" s="147"/>
      <c r="BR65" s="147"/>
      <c r="BS65" s="147"/>
      <c r="BT65" s="147"/>
      <c r="BU65" s="147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</row>
    <row r="66" spans="1:92" ht="26.25" customHeight="1">
      <c r="A66" s="2" t="str">
        <f t="shared" si="1"/>
        <v>MC003 - PD-A/2</v>
      </c>
      <c r="B66" s="2" t="s">
        <v>1524</v>
      </c>
      <c r="C66" s="53" t="s">
        <v>9</v>
      </c>
      <c r="D66" s="53" t="s">
        <v>10</v>
      </c>
      <c r="E66" s="53" t="s">
        <v>49</v>
      </c>
      <c r="F66" s="53" t="s">
        <v>11</v>
      </c>
      <c r="G66" s="53">
        <v>2</v>
      </c>
      <c r="H66" s="54" t="str">
        <f t="shared" si="2"/>
        <v>-</v>
      </c>
      <c r="I66" s="55"/>
      <c r="J66" s="53"/>
      <c r="K66" s="2" t="e">
        <f>VLOOKUP(B66,#REF!,2,FALSE())</f>
        <v>#REF!</v>
      </c>
      <c r="L66" s="53" t="e">
        <f>VLOOKUP(B66,#REF!,7,FALSE())</f>
        <v>#REF!</v>
      </c>
      <c r="M66" s="56" t="s">
        <v>21</v>
      </c>
      <c r="N66" s="57" t="s">
        <v>7</v>
      </c>
      <c r="O66" s="54" t="s">
        <v>7</v>
      </c>
      <c r="P66" s="56" t="s">
        <v>22</v>
      </c>
      <c r="Q66" s="58" t="e">
        <f>VLOOKUP(B66,#REF!,10,FALSE())</f>
        <v>#REF!</v>
      </c>
      <c r="R66" s="27" t="s">
        <v>1392</v>
      </c>
      <c r="S66" s="59">
        <v>1.8333333333333333</v>
      </c>
      <c r="T66" s="61"/>
      <c r="U66" s="62"/>
      <c r="V66" s="61" t="s">
        <v>1211</v>
      </c>
      <c r="W66" s="62">
        <v>0.5</v>
      </c>
      <c r="X66" s="61"/>
      <c r="Y66" s="62"/>
      <c r="Z66" s="61" t="s">
        <v>1211</v>
      </c>
      <c r="AA66" s="62">
        <v>0.5</v>
      </c>
      <c r="AB66" s="61"/>
      <c r="AC66" s="62"/>
      <c r="AD66" s="17" t="s">
        <v>1211</v>
      </c>
      <c r="AE66" s="62">
        <v>0.5</v>
      </c>
      <c r="AF66" s="17"/>
      <c r="AG66" s="60"/>
      <c r="AH66" s="17"/>
      <c r="AI66" s="17" t="s">
        <v>44</v>
      </c>
      <c r="AJ66" s="17" t="s">
        <v>43</v>
      </c>
      <c r="AK66" s="17" t="s">
        <v>43</v>
      </c>
      <c r="AL66" s="17" t="s">
        <v>44</v>
      </c>
      <c r="AM66" s="17" t="s">
        <v>43</v>
      </c>
      <c r="AN66" s="17" t="s">
        <v>43</v>
      </c>
      <c r="AO66" s="17" t="s">
        <v>44</v>
      </c>
      <c r="AP66" s="17" t="s">
        <v>44</v>
      </c>
      <c r="AQ66" s="63" t="s">
        <v>43</v>
      </c>
      <c r="AR66" s="17" t="s">
        <v>44</v>
      </c>
      <c r="AS66" s="17" t="s">
        <v>43</v>
      </c>
      <c r="AT66" s="17" t="s">
        <v>44</v>
      </c>
      <c r="AU66" s="40"/>
      <c r="AV66" s="17"/>
      <c r="AW66" s="17"/>
      <c r="AX66" s="17"/>
      <c r="AY66" s="17"/>
      <c r="AZ66" s="17"/>
      <c r="BA66" s="17"/>
      <c r="BB66" s="17"/>
      <c r="BC66" s="17"/>
      <c r="BD66" s="31"/>
      <c r="BE66" s="17"/>
      <c r="BF66" s="17"/>
      <c r="BG66" s="17"/>
      <c r="BH66" s="40"/>
      <c r="BI66" s="17"/>
      <c r="BJ66" s="147"/>
      <c r="BK66" s="147"/>
      <c r="BL66" s="144"/>
      <c r="BM66" s="147" t="s">
        <v>2436</v>
      </c>
      <c r="BN66" s="147"/>
      <c r="BO66" s="147"/>
      <c r="BP66" s="147"/>
      <c r="BQ66" s="147"/>
      <c r="BR66" s="147"/>
      <c r="BS66" s="147"/>
      <c r="BT66" s="147"/>
      <c r="BU66" s="147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</row>
    <row r="67" spans="1:92" ht="26.25" customHeight="1">
      <c r="A67" s="2" t="str">
        <f t="shared" si="1"/>
        <v>MC003 - PN-A/1</v>
      </c>
      <c r="B67" s="2" t="s">
        <v>1524</v>
      </c>
      <c r="C67" s="53" t="s">
        <v>9</v>
      </c>
      <c r="D67" s="53" t="s">
        <v>157</v>
      </c>
      <c r="E67" s="53" t="s">
        <v>49</v>
      </c>
      <c r="F67" s="53" t="s">
        <v>11</v>
      </c>
      <c r="G67" s="53">
        <v>1</v>
      </c>
      <c r="H67" s="54" t="str">
        <f t="shared" si="2"/>
        <v>-</v>
      </c>
      <c r="I67" s="55"/>
      <c r="J67" s="53"/>
      <c r="K67" s="2" t="e">
        <f>VLOOKUP(B67,#REF!,2,FALSE())</f>
        <v>#REF!</v>
      </c>
      <c r="L67" s="53" t="e">
        <f>VLOOKUP(B67,#REF!,7,FALSE())</f>
        <v>#REF!</v>
      </c>
      <c r="M67" s="56" t="s">
        <v>21</v>
      </c>
      <c r="N67" s="57" t="s">
        <v>7</v>
      </c>
      <c r="O67" s="54" t="s">
        <v>7</v>
      </c>
      <c r="P67" s="56" t="s">
        <v>22</v>
      </c>
      <c r="Q67" s="58" t="e">
        <f>VLOOKUP(B67,#REF!,10,FALSE())</f>
        <v>#REF!</v>
      </c>
      <c r="R67" s="27" t="s">
        <v>1228</v>
      </c>
      <c r="S67" s="59">
        <v>1.8333333333333333</v>
      </c>
      <c r="T67" s="61" t="s">
        <v>434</v>
      </c>
      <c r="U67" s="62">
        <v>0.5</v>
      </c>
      <c r="V67" s="61"/>
      <c r="W67" s="62"/>
      <c r="X67" s="61" t="s">
        <v>434</v>
      </c>
      <c r="Y67" s="62">
        <v>0.5</v>
      </c>
      <c r="Z67" s="61"/>
      <c r="AA67" s="62"/>
      <c r="AB67" s="61" t="s">
        <v>434</v>
      </c>
      <c r="AC67" s="62">
        <v>0.5</v>
      </c>
      <c r="AD67" s="17"/>
      <c r="AE67" s="62"/>
      <c r="AF67" s="17" t="s">
        <v>434</v>
      </c>
      <c r="AG67" s="60">
        <v>0.5</v>
      </c>
      <c r="AH67" s="17"/>
      <c r="AI67" s="17" t="s">
        <v>43</v>
      </c>
      <c r="AJ67" s="17" t="s">
        <v>44</v>
      </c>
      <c r="AK67" s="17" t="s">
        <v>44</v>
      </c>
      <c r="AL67" s="17" t="s">
        <v>43</v>
      </c>
      <c r="AM67" s="17" t="s">
        <v>44</v>
      </c>
      <c r="AN67" s="17" t="s">
        <v>44</v>
      </c>
      <c r="AO67" s="17" t="s">
        <v>43</v>
      </c>
      <c r="AP67" s="17" t="s">
        <v>43</v>
      </c>
      <c r="AQ67" s="63" t="s">
        <v>44</v>
      </c>
      <c r="AR67" s="17" t="s">
        <v>43</v>
      </c>
      <c r="AS67" s="17" t="s">
        <v>44</v>
      </c>
      <c r="AT67" s="17" t="s">
        <v>43</v>
      </c>
      <c r="AU67" s="22"/>
      <c r="AV67" s="19" t="s">
        <v>43</v>
      </c>
      <c r="AW67" s="19" t="s">
        <v>44</v>
      </c>
      <c r="AX67" s="19" t="s">
        <v>44</v>
      </c>
      <c r="AY67" s="19" t="s">
        <v>43</v>
      </c>
      <c r="AZ67" s="19" t="s">
        <v>44</v>
      </c>
      <c r="BA67" s="19" t="s">
        <v>44</v>
      </c>
      <c r="BB67" s="19" t="s">
        <v>43</v>
      </c>
      <c r="BC67" s="19" t="s">
        <v>43</v>
      </c>
      <c r="BD67" s="28" t="s">
        <v>44</v>
      </c>
      <c r="BE67" s="19" t="s">
        <v>43</v>
      </c>
      <c r="BF67" s="19" t="s">
        <v>44</v>
      </c>
      <c r="BG67" s="19" t="s">
        <v>43</v>
      </c>
      <c r="BH67" s="22"/>
      <c r="BI67" s="19"/>
      <c r="BJ67" s="135"/>
      <c r="BK67" s="135"/>
      <c r="BL67" s="135"/>
      <c r="BM67" s="135" t="s">
        <v>2436</v>
      </c>
      <c r="BN67" s="135"/>
      <c r="BO67" s="135"/>
      <c r="BP67" s="135"/>
      <c r="BQ67" s="135"/>
      <c r="BR67" s="135"/>
      <c r="BS67" s="135"/>
      <c r="BT67" s="135"/>
      <c r="BU67" s="135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</row>
    <row r="68" spans="1:92" ht="26.25" customHeight="1">
      <c r="A68" s="2" t="str">
        <f t="shared" si="1"/>
        <v>MC003 - PN-A/2</v>
      </c>
      <c r="B68" s="2" t="s">
        <v>1524</v>
      </c>
      <c r="C68" s="53" t="s">
        <v>9</v>
      </c>
      <c r="D68" s="53" t="s">
        <v>157</v>
      </c>
      <c r="E68" s="53" t="s">
        <v>49</v>
      </c>
      <c r="F68" s="53" t="s">
        <v>11</v>
      </c>
      <c r="G68" s="53">
        <v>2</v>
      </c>
      <c r="H68" s="54" t="str">
        <f t="shared" si="2"/>
        <v>-</v>
      </c>
      <c r="I68" s="55"/>
      <c r="J68" s="53"/>
      <c r="K68" s="2" t="e">
        <f>VLOOKUP(B68,#REF!,2,FALSE())</f>
        <v>#REF!</v>
      </c>
      <c r="L68" s="53" t="e">
        <f>VLOOKUP(B68,#REF!,7,FALSE())</f>
        <v>#REF!</v>
      </c>
      <c r="M68" s="56" t="s">
        <v>21</v>
      </c>
      <c r="N68" s="57" t="s">
        <v>7</v>
      </c>
      <c r="O68" s="54" t="s">
        <v>7</v>
      </c>
      <c r="P68" s="56" t="s">
        <v>22</v>
      </c>
      <c r="Q68" s="58" t="e">
        <f>VLOOKUP(B68,#REF!,10,FALSE())</f>
        <v>#REF!</v>
      </c>
      <c r="R68" s="27" t="s">
        <v>1228</v>
      </c>
      <c r="S68" s="59">
        <v>1.8333333333333333</v>
      </c>
      <c r="T68" s="61"/>
      <c r="U68" s="62"/>
      <c r="V68" s="61" t="s">
        <v>434</v>
      </c>
      <c r="W68" s="62">
        <v>0.5</v>
      </c>
      <c r="X68" s="61"/>
      <c r="Y68" s="62"/>
      <c r="Z68" s="61" t="s">
        <v>434</v>
      </c>
      <c r="AA68" s="62">
        <v>0.5</v>
      </c>
      <c r="AB68" s="61"/>
      <c r="AC68" s="62"/>
      <c r="AD68" s="17" t="s">
        <v>434</v>
      </c>
      <c r="AE68" s="62">
        <v>0.5</v>
      </c>
      <c r="AF68" s="17"/>
      <c r="AG68" s="60"/>
      <c r="AH68" s="17"/>
      <c r="AI68" s="17" t="s">
        <v>44</v>
      </c>
      <c r="AJ68" s="17" t="s">
        <v>43</v>
      </c>
      <c r="AK68" s="17" t="s">
        <v>43</v>
      </c>
      <c r="AL68" s="17" t="s">
        <v>44</v>
      </c>
      <c r="AM68" s="17" t="s">
        <v>43</v>
      </c>
      <c r="AN68" s="17" t="s">
        <v>43</v>
      </c>
      <c r="AO68" s="17" t="s">
        <v>44</v>
      </c>
      <c r="AP68" s="17" t="s">
        <v>44</v>
      </c>
      <c r="AQ68" s="63" t="s">
        <v>43</v>
      </c>
      <c r="AR68" s="17" t="s">
        <v>44</v>
      </c>
      <c r="AS68" s="17" t="s">
        <v>43</v>
      </c>
      <c r="AT68" s="17" t="s">
        <v>44</v>
      </c>
      <c r="AU68" s="40"/>
      <c r="AV68" s="17"/>
      <c r="AW68" s="17"/>
      <c r="AX68" s="17"/>
      <c r="AY68" s="17"/>
      <c r="AZ68" s="17"/>
      <c r="BA68" s="17"/>
      <c r="BB68" s="17"/>
      <c r="BC68" s="17"/>
      <c r="BD68" s="31" t="s">
        <v>44</v>
      </c>
      <c r="BE68" s="17" t="s">
        <v>43</v>
      </c>
      <c r="BF68" s="17" t="s">
        <v>44</v>
      </c>
      <c r="BG68" s="17" t="s">
        <v>43</v>
      </c>
      <c r="BH68" s="40"/>
      <c r="BI68" s="17"/>
      <c r="BJ68" s="147"/>
      <c r="BK68" s="147"/>
      <c r="BL68" s="147"/>
      <c r="BM68" s="147" t="s">
        <v>2436</v>
      </c>
      <c r="BN68" s="147"/>
      <c r="BO68" s="147"/>
      <c r="BP68" s="147"/>
      <c r="BQ68" s="147"/>
      <c r="BR68" s="147"/>
      <c r="BS68" s="147"/>
      <c r="BT68" s="147"/>
      <c r="BU68" s="147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</row>
    <row r="69" spans="1:92" ht="26.25" customHeight="1">
      <c r="A69" s="2" t="str">
        <f t="shared" si="1"/>
        <v>AG019 - LD-B/U</v>
      </c>
      <c r="B69" s="2" t="s">
        <v>2675</v>
      </c>
      <c r="C69" s="53" t="s">
        <v>28</v>
      </c>
      <c r="D69" s="53" t="s">
        <v>10</v>
      </c>
      <c r="E69" s="53" t="s">
        <v>49</v>
      </c>
      <c r="F69" s="53" t="s">
        <v>30</v>
      </c>
      <c r="G69" s="53" t="s">
        <v>13</v>
      </c>
      <c r="H69" s="54" t="str">
        <f t="shared" si="2"/>
        <v>-</v>
      </c>
      <c r="I69" s="55"/>
      <c r="J69" s="53"/>
      <c r="K69" s="2" t="e">
        <f>VLOOKUP(B69,#REF!,2,FALSE())</f>
        <v>#REF!</v>
      </c>
      <c r="L69" s="53" t="e">
        <f>VLOOKUP(B69,#REF!,7,FALSE())</f>
        <v>#REF!</v>
      </c>
      <c r="M69" s="56" t="s">
        <v>21</v>
      </c>
      <c r="N69" s="57" t="s">
        <v>7</v>
      </c>
      <c r="O69" s="54" t="s">
        <v>7</v>
      </c>
      <c r="P69" s="56" t="s">
        <v>60</v>
      </c>
      <c r="Q69" s="58" t="e">
        <f>VLOOKUP(B69,#REF!,10,FALSE())</f>
        <v>#REF!</v>
      </c>
      <c r="R69" s="27" t="s">
        <v>1496</v>
      </c>
      <c r="S69" s="59">
        <v>1.8333333333333333</v>
      </c>
      <c r="T69" s="61" t="s">
        <v>124</v>
      </c>
      <c r="U69" s="62">
        <v>0.33333333333333331</v>
      </c>
      <c r="V69" s="61" t="s">
        <v>124</v>
      </c>
      <c r="W69" s="62">
        <v>0.33333333333333331</v>
      </c>
      <c r="X69" s="61" t="s">
        <v>124</v>
      </c>
      <c r="Y69" s="62">
        <v>0.33333333333333331</v>
      </c>
      <c r="Z69" s="61" t="s">
        <v>124</v>
      </c>
      <c r="AA69" s="62">
        <v>0.33333333333333331</v>
      </c>
      <c r="AB69" s="61" t="s">
        <v>124</v>
      </c>
      <c r="AC69" s="62">
        <v>0.33333333333333331</v>
      </c>
      <c r="AD69" s="17" t="s">
        <v>1391</v>
      </c>
      <c r="AE69" s="62">
        <v>0.16666666666666666</v>
      </c>
      <c r="AF69" s="17" t="s">
        <v>125</v>
      </c>
      <c r="AG69" s="60"/>
      <c r="AH69" s="17"/>
      <c r="AI69" s="17"/>
      <c r="AJ69" s="17"/>
      <c r="AK69" s="17"/>
      <c r="AL69" s="17"/>
      <c r="AM69" s="17"/>
      <c r="AN69" s="17"/>
      <c r="AO69" s="17"/>
      <c r="AP69" s="17"/>
      <c r="AQ69" s="63"/>
      <c r="AR69" s="17"/>
      <c r="AS69" s="17"/>
      <c r="AT69" s="17"/>
      <c r="AU69" s="22"/>
      <c r="AV69" s="20"/>
      <c r="AW69" s="19"/>
      <c r="AX69" s="19"/>
      <c r="AY69" s="19"/>
      <c r="AZ69" s="19"/>
      <c r="BA69" s="19"/>
      <c r="BB69" s="19"/>
      <c r="BC69" s="19"/>
      <c r="BD69" s="21"/>
      <c r="BE69" s="19"/>
      <c r="BF69" s="19"/>
      <c r="BG69" s="19"/>
      <c r="BH69" s="22"/>
      <c r="BI69" s="20"/>
      <c r="BJ69" s="147"/>
      <c r="BK69" s="147"/>
      <c r="BL69" s="147"/>
      <c r="BM69" s="147" t="s">
        <v>2436</v>
      </c>
      <c r="BN69" s="147"/>
      <c r="BO69" s="147"/>
      <c r="BP69" s="147"/>
      <c r="BQ69" s="147"/>
      <c r="BR69" s="147"/>
      <c r="BS69" s="147"/>
      <c r="BT69" s="147"/>
      <c r="BU69" s="147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</row>
    <row r="70" spans="1:92" ht="26.25" customHeight="1">
      <c r="A70" s="2" t="str">
        <f t="shared" si="1"/>
        <v>AG020 - LD-B/U</v>
      </c>
      <c r="B70" s="2" t="s">
        <v>2679</v>
      </c>
      <c r="C70" s="53" t="s">
        <v>28</v>
      </c>
      <c r="D70" s="53" t="s">
        <v>10</v>
      </c>
      <c r="E70" s="53" t="s">
        <v>49</v>
      </c>
      <c r="F70" s="53" t="s">
        <v>30</v>
      </c>
      <c r="G70" s="53" t="s">
        <v>13</v>
      </c>
      <c r="H70" s="54" t="str">
        <f t="shared" si="2"/>
        <v>-</v>
      </c>
      <c r="I70" s="55"/>
      <c r="J70" s="53"/>
      <c r="K70" s="2" t="e">
        <f>VLOOKUP(B70,#REF!,2,FALSE())</f>
        <v>#REF!</v>
      </c>
      <c r="L70" s="53" t="e">
        <f>VLOOKUP(B70,#REF!,7,FALSE())</f>
        <v>#REF!</v>
      </c>
      <c r="M70" s="56" t="s">
        <v>21</v>
      </c>
      <c r="N70" s="57" t="s">
        <v>7</v>
      </c>
      <c r="O70" s="54" t="s">
        <v>7</v>
      </c>
      <c r="P70" s="56" t="s">
        <v>621</v>
      </c>
      <c r="Q70" s="58" t="e">
        <f>VLOOKUP(B70,#REF!,10,FALSE())</f>
        <v>#REF!</v>
      </c>
      <c r="R70" s="27" t="s">
        <v>1155</v>
      </c>
      <c r="S70" s="59">
        <v>1.8333333333333333</v>
      </c>
      <c r="T70" s="61" t="s">
        <v>1157</v>
      </c>
      <c r="U70" s="62">
        <v>0.30555555555555558</v>
      </c>
      <c r="V70" s="61" t="s">
        <v>1157</v>
      </c>
      <c r="W70" s="62">
        <v>0.30555555555555558</v>
      </c>
      <c r="X70" s="61" t="s">
        <v>1157</v>
      </c>
      <c r="Y70" s="62">
        <v>0.30555555555555558</v>
      </c>
      <c r="Z70" s="61" t="s">
        <v>1157</v>
      </c>
      <c r="AA70" s="62">
        <v>0.30555555555555558</v>
      </c>
      <c r="AB70" s="61" t="s">
        <v>1157</v>
      </c>
      <c r="AC70" s="62">
        <v>0.30555555555555558</v>
      </c>
      <c r="AD70" s="17" t="s">
        <v>1157</v>
      </c>
      <c r="AE70" s="62">
        <v>0.30555555555555558</v>
      </c>
      <c r="AF70" s="17" t="s">
        <v>37</v>
      </c>
      <c r="AG70" s="60"/>
      <c r="AH70" s="17"/>
      <c r="AI70" s="17"/>
      <c r="AJ70" s="17"/>
      <c r="AK70" s="17"/>
      <c r="AL70" s="17"/>
      <c r="AM70" s="17"/>
      <c r="AN70" s="17"/>
      <c r="AO70" s="17"/>
      <c r="AP70" s="17"/>
      <c r="AQ70" s="63"/>
      <c r="AR70" s="17"/>
      <c r="AS70" s="17"/>
      <c r="AT70" s="17"/>
      <c r="AU70" s="40"/>
      <c r="AV70" s="17"/>
      <c r="AW70" s="17"/>
      <c r="AX70" s="17"/>
      <c r="AY70" s="17"/>
      <c r="AZ70" s="17"/>
      <c r="BA70" s="17"/>
      <c r="BB70" s="17"/>
      <c r="BC70" s="17"/>
      <c r="BD70" s="31" t="s">
        <v>43</v>
      </c>
      <c r="BE70" s="17" t="s">
        <v>43</v>
      </c>
      <c r="BF70" s="17" t="s">
        <v>43</v>
      </c>
      <c r="BG70" s="17" t="s">
        <v>43</v>
      </c>
      <c r="BH70" s="40"/>
      <c r="BI70" s="17"/>
      <c r="BJ70" s="147"/>
      <c r="BK70" s="147"/>
      <c r="BL70" s="147"/>
      <c r="BM70" s="147" t="s">
        <v>2436</v>
      </c>
      <c r="BN70" s="147"/>
      <c r="BO70" s="147"/>
      <c r="BP70" s="147"/>
      <c r="BQ70" s="147"/>
      <c r="BR70" s="147"/>
      <c r="BS70" s="147"/>
      <c r="BT70" s="147"/>
      <c r="BU70" s="147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</row>
    <row r="71" spans="1:92" ht="26.25" customHeight="1">
      <c r="A71" s="23" t="str">
        <f t="shared" si="1"/>
        <v>AG020 - LD-C/1</v>
      </c>
      <c r="B71" s="23" t="s">
        <v>2679</v>
      </c>
      <c r="C71" s="24" t="s">
        <v>28</v>
      </c>
      <c r="D71" s="24" t="s">
        <v>10</v>
      </c>
      <c r="E71" s="24" t="s">
        <v>49</v>
      </c>
      <c r="F71" s="24" t="s">
        <v>50</v>
      </c>
      <c r="G71" s="26">
        <v>1</v>
      </c>
      <c r="H71" s="26" t="str">
        <f t="shared" si="2"/>
        <v>R.05/6</v>
      </c>
      <c r="I71" s="32" t="s">
        <v>258</v>
      </c>
      <c r="J71" s="24">
        <v>6</v>
      </c>
      <c r="K71" s="23" t="e">
        <f>VLOOKUP(B71,#REF!,2,FALSE())</f>
        <v>#REF!</v>
      </c>
      <c r="L71" s="24" t="e">
        <f>VLOOKUP(B71,#REF!,7,FALSE())</f>
        <v>#REF!</v>
      </c>
      <c r="M71" s="35" t="s">
        <v>58</v>
      </c>
      <c r="N71" s="25" t="s">
        <v>7</v>
      </c>
      <c r="O71" s="26" t="s">
        <v>7</v>
      </c>
      <c r="P71" s="35" t="s">
        <v>621</v>
      </c>
      <c r="Q71" s="37" t="e">
        <f>VLOOKUP(B71,#REF!,10,FALSE())</f>
        <v>#REF!</v>
      </c>
      <c r="R71" s="38" t="s">
        <v>1165</v>
      </c>
      <c r="S71" s="39">
        <f>U71+W71+Y71+AA71+AC71+AE71+AG71+AH71</f>
        <v>0.30555555555555558</v>
      </c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9" t="s">
        <v>1157</v>
      </c>
      <c r="AE71" s="16">
        <v>0.30555555555555558</v>
      </c>
      <c r="AF71" s="19"/>
      <c r="AG71" s="19"/>
      <c r="AH71" s="39"/>
      <c r="AI71" s="19"/>
      <c r="AJ71" s="19"/>
      <c r="AK71" s="19"/>
      <c r="AL71" s="19"/>
      <c r="AM71" s="19"/>
      <c r="AN71" s="19"/>
      <c r="AO71" s="19"/>
      <c r="AP71" s="19"/>
      <c r="AQ71" s="28"/>
      <c r="AR71" s="19"/>
      <c r="AS71" s="19"/>
      <c r="AT71" s="19"/>
      <c r="AU71" s="29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29"/>
      <c r="BI71" s="30"/>
      <c r="BJ71" s="135"/>
      <c r="BK71" s="135"/>
      <c r="BL71" s="135"/>
      <c r="BM71" s="135" t="s">
        <v>2436</v>
      </c>
      <c r="BN71" s="135"/>
      <c r="BO71" s="135"/>
      <c r="BP71" s="135"/>
      <c r="BQ71" s="135"/>
      <c r="BR71" s="135"/>
      <c r="BS71" s="135"/>
      <c r="BT71" s="135"/>
      <c r="BU71" s="135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</row>
    <row r="72" spans="1:92" ht="26.25" customHeight="1">
      <c r="A72" s="3" t="str">
        <f t="shared" si="1"/>
        <v>FC074 - LD-A/1</v>
      </c>
      <c r="B72" s="3" t="s">
        <v>1507</v>
      </c>
      <c r="C72" s="5" t="s">
        <v>28</v>
      </c>
      <c r="D72" s="5" t="s">
        <v>10</v>
      </c>
      <c r="E72" s="5" t="s">
        <v>49</v>
      </c>
      <c r="F72" s="5" t="s">
        <v>11</v>
      </c>
      <c r="G72" s="5">
        <v>1</v>
      </c>
      <c r="H72" s="7" t="str">
        <f t="shared" si="2"/>
        <v>-</v>
      </c>
      <c r="I72" s="8"/>
      <c r="J72" s="5"/>
      <c r="K72" s="3" t="e">
        <f>VLOOKUP(B72,#REF!,2,FALSE())</f>
        <v>#REF!</v>
      </c>
      <c r="L72" s="5" t="e">
        <f>VLOOKUP(B72,#REF!,7,FALSE())</f>
        <v>#REF!</v>
      </c>
      <c r="M72" s="10" t="s">
        <v>21</v>
      </c>
      <c r="N72" s="11" t="s">
        <v>7</v>
      </c>
      <c r="O72" s="7" t="s">
        <v>7</v>
      </c>
      <c r="P72" s="10" t="s">
        <v>22</v>
      </c>
      <c r="Q72" s="12" t="s">
        <v>23</v>
      </c>
      <c r="R72" s="27" t="s">
        <v>1509</v>
      </c>
      <c r="S72" s="59">
        <v>1.8333333333333333</v>
      </c>
      <c r="T72" s="15" t="s">
        <v>1510</v>
      </c>
      <c r="U72" s="16">
        <v>0.5</v>
      </c>
      <c r="V72" s="15"/>
      <c r="W72" s="16"/>
      <c r="X72" s="15" t="s">
        <v>1510</v>
      </c>
      <c r="Y72" s="16">
        <v>0.5</v>
      </c>
      <c r="Z72" s="15"/>
      <c r="AA72" s="16"/>
      <c r="AB72" s="15" t="s">
        <v>1510</v>
      </c>
      <c r="AC72" s="16">
        <v>0.5</v>
      </c>
      <c r="AD72" s="19"/>
      <c r="AE72" s="16"/>
      <c r="AF72" s="19" t="s">
        <v>1510</v>
      </c>
      <c r="AG72" s="18">
        <v>0.5</v>
      </c>
      <c r="AH72" s="19"/>
      <c r="AI72" s="20"/>
      <c r="AJ72" s="19"/>
      <c r="AK72" s="19"/>
      <c r="AL72" s="19"/>
      <c r="AM72" s="19"/>
      <c r="AN72" s="19"/>
      <c r="AO72" s="19"/>
      <c r="AP72" s="19"/>
      <c r="AQ72" s="21"/>
      <c r="AR72" s="19"/>
      <c r="AS72" s="19"/>
      <c r="AT72" s="19"/>
      <c r="AU72" s="40"/>
      <c r="AV72" s="17"/>
      <c r="AW72" s="17"/>
      <c r="AX72" s="17"/>
      <c r="AY72" s="17"/>
      <c r="AZ72" s="17"/>
      <c r="BA72" s="17"/>
      <c r="BB72" s="17"/>
      <c r="BC72" s="17"/>
      <c r="BD72" s="31"/>
      <c r="BE72" s="17"/>
      <c r="BF72" s="17"/>
      <c r="BG72" s="17"/>
      <c r="BH72" s="40"/>
      <c r="BI72" s="17"/>
      <c r="BJ72" s="147"/>
      <c r="BK72" s="147"/>
      <c r="BL72" s="147"/>
      <c r="BM72" s="147" t="s">
        <v>2436</v>
      </c>
      <c r="BN72" s="147"/>
      <c r="BO72" s="147"/>
      <c r="BP72" s="147"/>
      <c r="BQ72" s="147"/>
      <c r="BR72" s="147"/>
      <c r="BS72" s="147"/>
      <c r="BT72" s="147"/>
      <c r="BU72" s="147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</row>
    <row r="73" spans="1:92" ht="26.25" customHeight="1">
      <c r="A73" s="3" t="str">
        <f t="shared" si="1"/>
        <v>FC074 - LD-A/2</v>
      </c>
      <c r="B73" s="3" t="s">
        <v>1507</v>
      </c>
      <c r="C73" s="5" t="s">
        <v>28</v>
      </c>
      <c r="D73" s="5" t="s">
        <v>10</v>
      </c>
      <c r="E73" s="5" t="s">
        <v>49</v>
      </c>
      <c r="F73" s="5" t="s">
        <v>11</v>
      </c>
      <c r="G73" s="5">
        <v>2</v>
      </c>
      <c r="H73" s="7" t="str">
        <f t="shared" si="2"/>
        <v>-</v>
      </c>
      <c r="I73" s="8"/>
      <c r="J73" s="5"/>
      <c r="K73" s="3" t="e">
        <f>VLOOKUP(B73,#REF!,2,FALSE())</f>
        <v>#REF!</v>
      </c>
      <c r="L73" s="5" t="e">
        <f>VLOOKUP(B73,#REF!,7,FALSE())</f>
        <v>#REF!</v>
      </c>
      <c r="M73" s="10" t="s">
        <v>21</v>
      </c>
      <c r="N73" s="11" t="s">
        <v>7</v>
      </c>
      <c r="O73" s="7" t="s">
        <v>7</v>
      </c>
      <c r="P73" s="10" t="s">
        <v>22</v>
      </c>
      <c r="Q73" s="12" t="s">
        <v>23</v>
      </c>
      <c r="R73" s="27" t="s">
        <v>1509</v>
      </c>
      <c r="S73" s="59">
        <v>1.8333333333333333</v>
      </c>
      <c r="T73" s="19"/>
      <c r="U73" s="18"/>
      <c r="V73" s="19" t="s">
        <v>1510</v>
      </c>
      <c r="W73" s="18">
        <v>0.5</v>
      </c>
      <c r="X73" s="19"/>
      <c r="Y73" s="18"/>
      <c r="Z73" s="19" t="s">
        <v>1510</v>
      </c>
      <c r="AA73" s="18">
        <v>0.5</v>
      </c>
      <c r="AB73" s="19"/>
      <c r="AC73" s="18"/>
      <c r="AD73" s="19" t="s">
        <v>1510</v>
      </c>
      <c r="AE73" s="18">
        <v>0.5</v>
      </c>
      <c r="AF73" s="17"/>
      <c r="AG73" s="18"/>
      <c r="AH73" s="19"/>
      <c r="AI73" s="20"/>
      <c r="AJ73" s="19"/>
      <c r="AK73" s="19"/>
      <c r="AL73" s="19"/>
      <c r="AM73" s="19"/>
      <c r="AN73" s="19"/>
      <c r="AO73" s="19"/>
      <c r="AP73" s="19"/>
      <c r="AQ73" s="21"/>
      <c r="AR73" s="19"/>
      <c r="AS73" s="19"/>
      <c r="AT73" s="19"/>
      <c r="AU73" s="29"/>
      <c r="AV73" s="30" t="s">
        <v>44</v>
      </c>
      <c r="AW73" s="30" t="s">
        <v>43</v>
      </c>
      <c r="AX73" s="30" t="s">
        <v>43</v>
      </c>
      <c r="AY73" s="30" t="s">
        <v>44</v>
      </c>
      <c r="AZ73" s="30" t="s">
        <v>43</v>
      </c>
      <c r="BA73" s="30" t="s">
        <v>43</v>
      </c>
      <c r="BB73" s="30" t="s">
        <v>44</v>
      </c>
      <c r="BC73" s="30" t="s">
        <v>44</v>
      </c>
      <c r="BD73" s="30" t="s">
        <v>43</v>
      </c>
      <c r="BE73" s="30" t="s">
        <v>44</v>
      </c>
      <c r="BF73" s="30" t="s">
        <v>43</v>
      </c>
      <c r="BG73" s="30" t="s">
        <v>44</v>
      </c>
      <c r="BH73" s="29"/>
      <c r="BI73" s="30"/>
      <c r="BJ73" s="135"/>
      <c r="BK73" s="135"/>
      <c r="BL73" s="135"/>
      <c r="BM73" s="135" t="s">
        <v>2436</v>
      </c>
      <c r="BN73" s="135"/>
      <c r="BO73" s="135"/>
      <c r="BP73" s="135"/>
      <c r="BQ73" s="147"/>
      <c r="BR73" s="135"/>
      <c r="BS73" s="135"/>
      <c r="BT73" s="135"/>
      <c r="BU73" s="135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</row>
    <row r="74" spans="1:92" ht="26.25" customHeight="1">
      <c r="A74" s="2" t="str">
        <f t="shared" si="1"/>
        <v>AG038 - PN-C/U</v>
      </c>
      <c r="B74" s="2" t="s">
        <v>2693</v>
      </c>
      <c r="C74" s="53" t="s">
        <v>9</v>
      </c>
      <c r="D74" s="53" t="s">
        <v>157</v>
      </c>
      <c r="E74" s="53" t="s">
        <v>49</v>
      </c>
      <c r="F74" s="53" t="s">
        <v>50</v>
      </c>
      <c r="G74" s="53" t="s">
        <v>13</v>
      </c>
      <c r="H74" s="54" t="str">
        <f t="shared" si="2"/>
        <v>Reduzido</v>
      </c>
      <c r="I74" s="55" t="s">
        <v>676</v>
      </c>
      <c r="J74" s="53"/>
      <c r="K74" s="2" t="e">
        <f>VLOOKUP(B74,#REF!,2,FALSE())</f>
        <v>#REF!</v>
      </c>
      <c r="L74" s="5" t="e">
        <f>VLOOKUP(B74,#REF!,7,FALSE())</f>
        <v>#REF!</v>
      </c>
      <c r="M74" s="56" t="s">
        <v>677</v>
      </c>
      <c r="N74" s="57" t="s">
        <v>7</v>
      </c>
      <c r="O74" s="54" t="s">
        <v>7</v>
      </c>
      <c r="P74" s="56" t="s">
        <v>621</v>
      </c>
      <c r="Q74" s="58" t="e">
        <f>VLOOKUP(B74,#REF!,10,FALSE())</f>
        <v>#REF!</v>
      </c>
      <c r="R74" s="27" t="s">
        <v>1315</v>
      </c>
      <c r="S74" s="59">
        <f>U74+W74+Y74+AA74+AC74+AE74+AG74+AH74</f>
        <v>1</v>
      </c>
      <c r="T74" s="61"/>
      <c r="U74" s="62"/>
      <c r="V74" s="61"/>
      <c r="W74" s="62"/>
      <c r="X74" s="61"/>
      <c r="Y74" s="62"/>
      <c r="Z74" s="61"/>
      <c r="AA74" s="62"/>
      <c r="AB74" s="61"/>
      <c r="AC74" s="62"/>
      <c r="AD74" s="17" t="s">
        <v>1311</v>
      </c>
      <c r="AE74" s="62">
        <v>0.5</v>
      </c>
      <c r="AF74" s="17" t="s">
        <v>1311</v>
      </c>
      <c r="AG74" s="60">
        <v>0.5</v>
      </c>
      <c r="AH74" s="17"/>
      <c r="AI74" s="17"/>
      <c r="AJ74" s="17"/>
      <c r="AK74" s="17"/>
      <c r="AL74" s="17"/>
      <c r="AM74" s="17"/>
      <c r="AN74" s="17"/>
      <c r="AO74" s="17"/>
      <c r="AP74" s="17"/>
      <c r="AQ74" s="63"/>
      <c r="AR74" s="17"/>
      <c r="AS74" s="17"/>
      <c r="AT74" s="17"/>
      <c r="AU74" s="40"/>
      <c r="AV74" s="17"/>
      <c r="AW74" s="17"/>
      <c r="AX74" s="17"/>
      <c r="AY74" s="17"/>
      <c r="AZ74" s="17"/>
      <c r="BA74" s="17"/>
      <c r="BB74" s="17"/>
      <c r="BC74" s="17"/>
      <c r="BD74" s="31"/>
      <c r="BE74" s="17"/>
      <c r="BF74" s="17"/>
      <c r="BG74" s="17"/>
      <c r="BH74" s="40"/>
      <c r="BI74" s="17"/>
      <c r="BJ74" s="135"/>
      <c r="BK74" s="135"/>
      <c r="BL74" s="135"/>
      <c r="BM74" s="135" t="s">
        <v>2436</v>
      </c>
      <c r="BN74" s="135"/>
      <c r="BO74" s="135"/>
      <c r="BP74" s="135"/>
      <c r="BQ74" s="135"/>
      <c r="BR74" s="135"/>
      <c r="BS74" s="135"/>
      <c r="BT74" s="135"/>
      <c r="BU74" s="135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</row>
    <row r="75" spans="1:92" ht="26.25" customHeight="1">
      <c r="A75" s="2" t="str">
        <f t="shared" si="1"/>
        <v>AG038 - PM-B/U</v>
      </c>
      <c r="B75" s="2" t="s">
        <v>2693</v>
      </c>
      <c r="C75" s="53" t="s">
        <v>9</v>
      </c>
      <c r="D75" s="53" t="s">
        <v>1293</v>
      </c>
      <c r="E75" s="53" t="s">
        <v>49</v>
      </c>
      <c r="F75" s="53" t="s">
        <v>30</v>
      </c>
      <c r="G75" s="53" t="s">
        <v>13</v>
      </c>
      <c r="H75" s="54" t="str">
        <f t="shared" si="2"/>
        <v>-</v>
      </c>
      <c r="I75" s="55"/>
      <c r="J75" s="53"/>
      <c r="K75" s="2" t="e">
        <f>VLOOKUP(B75,#REF!,2,FALSE())</f>
        <v>#REF!</v>
      </c>
      <c r="L75" s="5" t="e">
        <f>VLOOKUP(B75,#REF!,7,FALSE())</f>
        <v>#REF!</v>
      </c>
      <c r="M75" s="56" t="s">
        <v>21</v>
      </c>
      <c r="N75" s="57" t="s">
        <v>7</v>
      </c>
      <c r="O75" s="54" t="s">
        <v>7</v>
      </c>
      <c r="P75" s="56" t="s">
        <v>621</v>
      </c>
      <c r="Q75" s="58" t="e">
        <f>VLOOKUP(B75,#REF!,10,FALSE())</f>
        <v>#REF!</v>
      </c>
      <c r="R75" s="27" t="s">
        <v>1302</v>
      </c>
      <c r="S75" s="59">
        <v>1.8333333333333333</v>
      </c>
      <c r="T75" s="61" t="s">
        <v>1303</v>
      </c>
      <c r="U75" s="62">
        <v>0.30555555555555558</v>
      </c>
      <c r="V75" s="61" t="s">
        <v>1303</v>
      </c>
      <c r="W75" s="62">
        <v>0.30555555555555558</v>
      </c>
      <c r="X75" s="61" t="s">
        <v>1303</v>
      </c>
      <c r="Y75" s="62">
        <v>0.30555555555555558</v>
      </c>
      <c r="Z75" s="61" t="s">
        <v>1303</v>
      </c>
      <c r="AA75" s="62">
        <v>0.30555555555555558</v>
      </c>
      <c r="AB75" s="61" t="s">
        <v>125</v>
      </c>
      <c r="AC75" s="62"/>
      <c r="AD75" s="17" t="s">
        <v>1311</v>
      </c>
      <c r="AE75" s="62">
        <v>0.5</v>
      </c>
      <c r="AF75" s="17" t="s">
        <v>1311</v>
      </c>
      <c r="AG75" s="60">
        <v>0.5</v>
      </c>
      <c r="AH75" s="17"/>
      <c r="AI75" s="17"/>
      <c r="AJ75" s="17"/>
      <c r="AK75" s="17"/>
      <c r="AL75" s="17"/>
      <c r="AM75" s="17"/>
      <c r="AN75" s="17"/>
      <c r="AO75" s="17"/>
      <c r="AP75" s="17"/>
      <c r="AQ75" s="63"/>
      <c r="AR75" s="17"/>
      <c r="AS75" s="17"/>
      <c r="AT75" s="17"/>
      <c r="AU75" s="22"/>
      <c r="AV75" s="19" t="s">
        <v>43</v>
      </c>
      <c r="AW75" s="19" t="s">
        <v>44</v>
      </c>
      <c r="AX75" s="19" t="s">
        <v>44</v>
      </c>
      <c r="AY75" s="19" t="s">
        <v>43</v>
      </c>
      <c r="AZ75" s="19" t="s">
        <v>44</v>
      </c>
      <c r="BA75" s="19" t="s">
        <v>44</v>
      </c>
      <c r="BB75" s="19" t="s">
        <v>43</v>
      </c>
      <c r="BC75" s="19" t="s">
        <v>43</v>
      </c>
      <c r="BD75" s="28" t="s">
        <v>44</v>
      </c>
      <c r="BE75" s="19" t="s">
        <v>43</v>
      </c>
      <c r="BF75" s="19" t="s">
        <v>44</v>
      </c>
      <c r="BG75" s="19" t="s">
        <v>43</v>
      </c>
      <c r="BH75" s="22"/>
      <c r="BI75" s="19"/>
      <c r="BJ75" s="147"/>
      <c r="BK75" s="147"/>
      <c r="BL75" s="147"/>
      <c r="BM75" s="147" t="s">
        <v>2436</v>
      </c>
      <c r="BN75" s="147"/>
      <c r="BO75" s="147"/>
      <c r="BP75" s="147"/>
      <c r="BQ75" s="147"/>
      <c r="BR75" s="135"/>
      <c r="BS75" s="147"/>
      <c r="BT75" s="147"/>
      <c r="BU75" s="147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</row>
    <row r="76" spans="1:92" ht="26.25" customHeight="1">
      <c r="A76" s="2" t="str">
        <f t="shared" si="1"/>
        <v>AG045 - LD-B/1</v>
      </c>
      <c r="B76" s="2" t="s">
        <v>2702</v>
      </c>
      <c r="C76" s="53" t="s">
        <v>28</v>
      </c>
      <c r="D76" s="53" t="s">
        <v>10</v>
      </c>
      <c r="E76" s="53" t="s">
        <v>49</v>
      </c>
      <c r="F76" s="53" t="s">
        <v>30</v>
      </c>
      <c r="G76" s="54">
        <v>1</v>
      </c>
      <c r="H76" s="54" t="str">
        <f t="shared" si="2"/>
        <v>-</v>
      </c>
      <c r="I76" s="55"/>
      <c r="J76" s="53"/>
      <c r="K76" s="2" t="e">
        <f>VLOOKUP(B76,#REF!,2,FALSE())</f>
        <v>#REF!</v>
      </c>
      <c r="L76" s="53" t="e">
        <f>VLOOKUP(B76,#REF!,7,FALSE())</f>
        <v>#REF!</v>
      </c>
      <c r="M76" s="56" t="s">
        <v>21</v>
      </c>
      <c r="N76" s="57" t="s">
        <v>7</v>
      </c>
      <c r="O76" s="54" t="s">
        <v>7</v>
      </c>
      <c r="P76" s="56" t="s">
        <v>1049</v>
      </c>
      <c r="Q76" s="58" t="e">
        <f>VLOOKUP(B76,#REF!,10,FALSE())</f>
        <v>#REF!</v>
      </c>
      <c r="R76" s="27" t="s">
        <v>1378</v>
      </c>
      <c r="S76" s="63">
        <v>1.8333333333333333</v>
      </c>
      <c r="T76" s="17" t="s">
        <v>1379</v>
      </c>
      <c r="U76" s="60">
        <v>0.30555555555555558</v>
      </c>
      <c r="V76" s="17" t="s">
        <v>1379</v>
      </c>
      <c r="W76" s="60">
        <v>0.30555555555555558</v>
      </c>
      <c r="X76" s="17" t="s">
        <v>1379</v>
      </c>
      <c r="Y76" s="60">
        <v>0.30555555555555558</v>
      </c>
      <c r="Z76" s="17" t="s">
        <v>1379</v>
      </c>
      <c r="AA76" s="60">
        <v>0.30555555555555558</v>
      </c>
      <c r="AB76" s="17" t="s">
        <v>1379</v>
      </c>
      <c r="AC76" s="60">
        <v>0.30555555555555558</v>
      </c>
      <c r="AD76" s="17" t="s">
        <v>1379</v>
      </c>
      <c r="AE76" s="60">
        <v>0.30555555555555558</v>
      </c>
      <c r="AF76" s="17" t="s">
        <v>37</v>
      </c>
      <c r="AG76" s="60"/>
      <c r="AH76" s="17"/>
      <c r="AI76" s="17"/>
      <c r="AJ76" s="17"/>
      <c r="AK76" s="17"/>
      <c r="AL76" s="17"/>
      <c r="AM76" s="17"/>
      <c r="AN76" s="17"/>
      <c r="AO76" s="17"/>
      <c r="AP76" s="17"/>
      <c r="AQ76" s="31"/>
      <c r="AR76" s="17"/>
      <c r="AS76" s="17"/>
      <c r="AT76" s="17"/>
      <c r="AU76" s="40"/>
      <c r="AV76" s="17"/>
      <c r="AW76" s="17"/>
      <c r="AX76" s="17"/>
      <c r="AY76" s="17"/>
      <c r="AZ76" s="17"/>
      <c r="BA76" s="17"/>
      <c r="BB76" s="17"/>
      <c r="BC76" s="17"/>
      <c r="BD76" s="63"/>
      <c r="BE76" s="17"/>
      <c r="BF76" s="17"/>
      <c r="BG76" s="17"/>
      <c r="BH76" s="40"/>
      <c r="BI76" s="17"/>
      <c r="BJ76" s="165"/>
      <c r="BK76" s="165"/>
      <c r="BL76" s="165"/>
      <c r="BM76" s="165"/>
      <c r="BN76" s="136" t="s">
        <v>2436</v>
      </c>
      <c r="BO76" s="165"/>
      <c r="BP76" s="165"/>
      <c r="BQ76" s="165"/>
      <c r="BR76" s="135"/>
      <c r="BS76" s="165"/>
      <c r="BT76" s="165"/>
      <c r="BU76" s="165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</row>
    <row r="77" spans="1:92" ht="34.5" customHeight="1">
      <c r="A77" s="2" t="str">
        <f t="shared" si="1"/>
        <v>AG045 - LD-B/2</v>
      </c>
      <c r="B77" s="2" t="s">
        <v>2702</v>
      </c>
      <c r="C77" s="53" t="s">
        <v>28</v>
      </c>
      <c r="D77" s="53" t="s">
        <v>10</v>
      </c>
      <c r="E77" s="53" t="s">
        <v>49</v>
      </c>
      <c r="F77" s="53" t="s">
        <v>30</v>
      </c>
      <c r="G77" s="53">
        <v>2</v>
      </c>
      <c r="H77" s="54" t="str">
        <f t="shared" si="2"/>
        <v>-</v>
      </c>
      <c r="I77" s="55"/>
      <c r="J77" s="53"/>
      <c r="K77" s="2" t="e">
        <f>VLOOKUP(B77,#REF!,2,FALSE())</f>
        <v>#REF!</v>
      </c>
      <c r="L77" s="53" t="e">
        <f>VLOOKUP(B77,#REF!,7,FALSE())</f>
        <v>#REF!</v>
      </c>
      <c r="M77" s="56" t="s">
        <v>21</v>
      </c>
      <c r="N77" s="57" t="s">
        <v>7</v>
      </c>
      <c r="O77" s="54" t="s">
        <v>7</v>
      </c>
      <c r="P77" s="56" t="s">
        <v>1049</v>
      </c>
      <c r="Q77" s="58" t="e">
        <f>VLOOKUP(B77,#REF!,10,FALSE())</f>
        <v>#REF!</v>
      </c>
      <c r="R77" s="27" t="s">
        <v>1378</v>
      </c>
      <c r="S77" s="63">
        <v>1.8333333333333333</v>
      </c>
      <c r="T77" s="61" t="s">
        <v>1379</v>
      </c>
      <c r="U77" s="62">
        <v>0.30555555555555558</v>
      </c>
      <c r="V77" s="61" t="s">
        <v>1379</v>
      </c>
      <c r="W77" s="62">
        <v>0.30555555555555558</v>
      </c>
      <c r="X77" s="61" t="s">
        <v>1379</v>
      </c>
      <c r="Y77" s="62">
        <v>0.30555555555555558</v>
      </c>
      <c r="Z77" s="61" t="s">
        <v>1379</v>
      </c>
      <c r="AA77" s="62">
        <v>0.30555555555555558</v>
      </c>
      <c r="AB77" s="61" t="s">
        <v>1379</v>
      </c>
      <c r="AC77" s="62">
        <v>0.30555555555555558</v>
      </c>
      <c r="AD77" s="17" t="s">
        <v>1379</v>
      </c>
      <c r="AE77" s="62">
        <v>0.30555555555555558</v>
      </c>
      <c r="AF77" s="17" t="s">
        <v>37</v>
      </c>
      <c r="AG77" s="60"/>
      <c r="AH77" s="17"/>
      <c r="AI77" s="17"/>
      <c r="AJ77" s="17"/>
      <c r="AK77" s="17"/>
      <c r="AL77" s="17"/>
      <c r="AM77" s="17"/>
      <c r="AN77" s="17"/>
      <c r="AO77" s="17"/>
      <c r="AP77" s="17"/>
      <c r="AQ77" s="31"/>
      <c r="AR77" s="17"/>
      <c r="AS77" s="17"/>
      <c r="AT77" s="17"/>
      <c r="AU77" s="40"/>
      <c r="AV77" s="17"/>
      <c r="AW77" s="17"/>
      <c r="AX77" s="17"/>
      <c r="AY77" s="17"/>
      <c r="AZ77" s="17"/>
      <c r="BA77" s="17"/>
      <c r="BB77" s="17"/>
      <c r="BC77" s="17"/>
      <c r="BD77" s="31"/>
      <c r="BE77" s="17"/>
      <c r="BF77" s="17"/>
      <c r="BG77" s="17"/>
      <c r="BH77" s="40"/>
      <c r="BI77" s="17"/>
      <c r="BJ77" s="164"/>
      <c r="BK77" s="164"/>
      <c r="BL77" s="164"/>
      <c r="BM77" s="164"/>
      <c r="BN77" s="137" t="s">
        <v>2436</v>
      </c>
      <c r="BO77" s="164"/>
      <c r="BP77" s="147"/>
      <c r="BQ77" s="147"/>
      <c r="BR77" s="135"/>
      <c r="BS77" s="147"/>
      <c r="BT77" s="147"/>
      <c r="BU77" s="147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</row>
    <row r="78" spans="1:92" ht="28.5" customHeight="1">
      <c r="A78" s="2" t="str">
        <f t="shared" si="1"/>
        <v>AG045 - LD-B/3</v>
      </c>
      <c r="B78" s="2" t="s">
        <v>2702</v>
      </c>
      <c r="C78" s="53" t="s">
        <v>28</v>
      </c>
      <c r="D78" s="53" t="s">
        <v>10</v>
      </c>
      <c r="E78" s="53" t="s">
        <v>49</v>
      </c>
      <c r="F78" s="53" t="s">
        <v>30</v>
      </c>
      <c r="G78" s="53">
        <v>3</v>
      </c>
      <c r="H78" s="54" t="str">
        <f t="shared" si="2"/>
        <v>-</v>
      </c>
      <c r="I78" s="55"/>
      <c r="J78" s="53"/>
      <c r="K78" s="2" t="e">
        <f>VLOOKUP(B78,#REF!,2,FALSE())</f>
        <v>#REF!</v>
      </c>
      <c r="L78" s="53" t="e">
        <f>VLOOKUP(B78,#REF!,7,FALSE())</f>
        <v>#REF!</v>
      </c>
      <c r="M78" s="56" t="s">
        <v>21</v>
      </c>
      <c r="N78" s="57" t="s">
        <v>7</v>
      </c>
      <c r="O78" s="54" t="s">
        <v>7</v>
      </c>
      <c r="P78" s="56" t="s">
        <v>1049</v>
      </c>
      <c r="Q78" s="176" t="e">
        <f>VLOOKUP(B78,#REF!,10,FALSE())</f>
        <v>#REF!</v>
      </c>
      <c r="R78" s="27" t="s">
        <v>1387</v>
      </c>
      <c r="S78" s="63">
        <v>1.8333333333333333</v>
      </c>
      <c r="T78" s="17" t="s">
        <v>1379</v>
      </c>
      <c r="U78" s="60">
        <v>0.30555555555555558</v>
      </c>
      <c r="V78" s="17" t="s">
        <v>1379</v>
      </c>
      <c r="W78" s="60">
        <v>0.30555555555555558</v>
      </c>
      <c r="X78" s="17" t="s">
        <v>1379</v>
      </c>
      <c r="Y78" s="60">
        <v>0.30555555555555558</v>
      </c>
      <c r="Z78" s="17" t="s">
        <v>1379</v>
      </c>
      <c r="AA78" s="60">
        <v>0.30555555555555558</v>
      </c>
      <c r="AB78" s="17" t="s">
        <v>1379</v>
      </c>
      <c r="AC78" s="60">
        <v>0.30555555555555558</v>
      </c>
      <c r="AD78" s="17" t="s">
        <v>1379</v>
      </c>
      <c r="AE78" s="60">
        <v>0.30555555555555558</v>
      </c>
      <c r="AF78" s="17" t="s">
        <v>37</v>
      </c>
      <c r="AG78" s="60"/>
      <c r="AH78" s="17"/>
      <c r="AI78" s="17"/>
      <c r="AJ78" s="17"/>
      <c r="AK78" s="17"/>
      <c r="AL78" s="17"/>
      <c r="AM78" s="17"/>
      <c r="AN78" s="17"/>
      <c r="AO78" s="17"/>
      <c r="AP78" s="17"/>
      <c r="AQ78" s="31"/>
      <c r="AR78" s="17"/>
      <c r="AS78" s="17"/>
      <c r="AT78" s="17"/>
      <c r="AU78" s="40"/>
      <c r="AV78" s="17"/>
      <c r="AW78" s="17"/>
      <c r="AX78" s="17"/>
      <c r="AY78" s="17"/>
      <c r="AZ78" s="17"/>
      <c r="BA78" s="17"/>
      <c r="BB78" s="17"/>
      <c r="BC78" s="17"/>
      <c r="BD78" s="31"/>
      <c r="BE78" s="17"/>
      <c r="BF78" s="17"/>
      <c r="BG78" s="17"/>
      <c r="BH78" s="40"/>
      <c r="BI78" s="17"/>
      <c r="BJ78" s="147"/>
      <c r="BK78" s="147"/>
      <c r="BL78" s="147"/>
      <c r="BM78" s="147"/>
      <c r="BN78" s="147"/>
      <c r="BO78" s="147" t="s">
        <v>2436</v>
      </c>
      <c r="BP78" s="147"/>
      <c r="BQ78" s="147"/>
      <c r="BR78" s="147"/>
      <c r="BS78" s="147"/>
      <c r="BT78" s="147"/>
      <c r="BU78" s="147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</row>
    <row r="79" spans="1:92" ht="26.25" customHeight="1">
      <c r="A79" s="2" t="str">
        <f t="shared" si="1"/>
        <v>AG045 - LD-B/4</v>
      </c>
      <c r="B79" s="2" t="s">
        <v>2702</v>
      </c>
      <c r="C79" s="53" t="s">
        <v>28</v>
      </c>
      <c r="D79" s="53" t="s">
        <v>10</v>
      </c>
      <c r="E79" s="53" t="s">
        <v>49</v>
      </c>
      <c r="F79" s="53" t="s">
        <v>30</v>
      </c>
      <c r="G79" s="53">
        <v>4</v>
      </c>
      <c r="H79" s="54" t="str">
        <f t="shared" si="2"/>
        <v>-</v>
      </c>
      <c r="I79" s="55"/>
      <c r="J79" s="53"/>
      <c r="K79" s="2" t="e">
        <f>VLOOKUP(B79,#REF!,2,FALSE())</f>
        <v>#REF!</v>
      </c>
      <c r="L79" s="53" t="e">
        <f>VLOOKUP(B79,#REF!,7,FALSE())</f>
        <v>#REF!</v>
      </c>
      <c r="M79" s="56" t="s">
        <v>21</v>
      </c>
      <c r="N79" s="57" t="s">
        <v>7</v>
      </c>
      <c r="O79" s="54" t="s">
        <v>7</v>
      </c>
      <c r="P79" s="56" t="s">
        <v>1049</v>
      </c>
      <c r="Q79" s="58" t="e">
        <f>VLOOKUP(B79,#REF!,10,FALSE())</f>
        <v>#REF!</v>
      </c>
      <c r="R79" s="27" t="s">
        <v>1388</v>
      </c>
      <c r="S79" s="63">
        <v>1.8333333333333333</v>
      </c>
      <c r="T79" s="61" t="s">
        <v>1379</v>
      </c>
      <c r="U79" s="62">
        <v>0.30555555555555558</v>
      </c>
      <c r="V79" s="61" t="s">
        <v>1379</v>
      </c>
      <c r="W79" s="62">
        <v>0.30555555555555558</v>
      </c>
      <c r="X79" s="61" t="s">
        <v>1379</v>
      </c>
      <c r="Y79" s="62">
        <v>0.30555555555555558</v>
      </c>
      <c r="Z79" s="61" t="s">
        <v>1379</v>
      </c>
      <c r="AA79" s="62">
        <v>0.30555555555555558</v>
      </c>
      <c r="AB79" s="61" t="s">
        <v>1379</v>
      </c>
      <c r="AC79" s="62">
        <v>0.30555555555555558</v>
      </c>
      <c r="AD79" s="17" t="s">
        <v>1379</v>
      </c>
      <c r="AE79" s="62">
        <v>0.30555555555555558</v>
      </c>
      <c r="AF79" s="17" t="s">
        <v>37</v>
      </c>
      <c r="AG79" s="60"/>
      <c r="AH79" s="17"/>
      <c r="AI79" s="17"/>
      <c r="AJ79" s="17"/>
      <c r="AK79" s="17"/>
      <c r="AL79" s="17"/>
      <c r="AM79" s="17"/>
      <c r="AN79" s="17"/>
      <c r="AO79" s="17"/>
      <c r="AP79" s="17"/>
      <c r="AQ79" s="31"/>
      <c r="AR79" s="17"/>
      <c r="AS79" s="17"/>
      <c r="AT79" s="17"/>
      <c r="AU79" s="22"/>
      <c r="AV79" s="20"/>
      <c r="AW79" s="19"/>
      <c r="AX79" s="19"/>
      <c r="AY79" s="19"/>
      <c r="AZ79" s="19"/>
      <c r="BA79" s="19"/>
      <c r="BB79" s="19"/>
      <c r="BC79" s="19"/>
      <c r="BD79" s="21"/>
      <c r="BE79" s="19"/>
      <c r="BF79" s="19"/>
      <c r="BG79" s="19"/>
      <c r="BH79" s="22"/>
      <c r="BI79" s="20"/>
      <c r="BJ79" s="135"/>
      <c r="BK79" s="135"/>
      <c r="BL79" s="135"/>
      <c r="BM79" s="135"/>
      <c r="BN79" s="135"/>
      <c r="BO79" s="135"/>
      <c r="BP79" s="135" t="s">
        <v>2436</v>
      </c>
      <c r="BQ79" s="135"/>
      <c r="BR79" s="135"/>
      <c r="BS79" s="135"/>
      <c r="BT79" s="135"/>
      <c r="BU79" s="135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</row>
    <row r="80" spans="1:92" ht="26.25" customHeight="1">
      <c r="A80" s="2" t="str">
        <f t="shared" si="1"/>
        <v>AG045 - MD-B/1</v>
      </c>
      <c r="B80" s="2" t="s">
        <v>2702</v>
      </c>
      <c r="C80" s="53" t="s">
        <v>93</v>
      </c>
      <c r="D80" s="53" t="s">
        <v>10</v>
      </c>
      <c r="E80" s="53" t="s">
        <v>49</v>
      </c>
      <c r="F80" s="53" t="s">
        <v>30</v>
      </c>
      <c r="G80" s="53">
        <v>1</v>
      </c>
      <c r="H80" s="54" t="str">
        <f t="shared" si="2"/>
        <v>-</v>
      </c>
      <c r="I80" s="55"/>
      <c r="J80" s="53"/>
      <c r="K80" s="2" t="e">
        <f>VLOOKUP(B80,#REF!,2,FALSE())</f>
        <v>#REF!</v>
      </c>
      <c r="L80" s="53" t="e">
        <f>VLOOKUP(B80,#REF!,7,FALSE())</f>
        <v>#REF!</v>
      </c>
      <c r="M80" s="56" t="s">
        <v>21</v>
      </c>
      <c r="N80" s="57" t="s">
        <v>7</v>
      </c>
      <c r="O80" s="54" t="s">
        <v>949</v>
      </c>
      <c r="P80" s="56" t="s">
        <v>916</v>
      </c>
      <c r="Q80" s="58" t="e">
        <f>VLOOKUP(B80,#REF!,10,FALSE())</f>
        <v>#REF!</v>
      </c>
      <c r="R80" s="27" t="s">
        <v>1389</v>
      </c>
      <c r="S80" s="63">
        <v>1.8333333333333333</v>
      </c>
      <c r="T80" s="61" t="s">
        <v>1379</v>
      </c>
      <c r="U80" s="62">
        <v>0.30555555555555558</v>
      </c>
      <c r="V80" s="61" t="s">
        <v>1379</v>
      </c>
      <c r="W80" s="62">
        <v>0.30555555555555558</v>
      </c>
      <c r="X80" s="61" t="s">
        <v>1379</v>
      </c>
      <c r="Y80" s="62">
        <v>0.30555555555555558</v>
      </c>
      <c r="Z80" s="61" t="s">
        <v>1379</v>
      </c>
      <c r="AA80" s="62">
        <v>0.30555555555555558</v>
      </c>
      <c r="AB80" s="61" t="s">
        <v>1379</v>
      </c>
      <c r="AC80" s="62">
        <v>0.30555555555555558</v>
      </c>
      <c r="AD80" s="17" t="s">
        <v>1379</v>
      </c>
      <c r="AE80" s="62">
        <v>0.30555555555555558</v>
      </c>
      <c r="AF80" s="17" t="s">
        <v>37</v>
      </c>
      <c r="AG80" s="60"/>
      <c r="AH80" s="17"/>
      <c r="AI80" s="17"/>
      <c r="AJ80" s="17"/>
      <c r="AK80" s="17"/>
      <c r="AL80" s="17"/>
      <c r="AM80" s="17"/>
      <c r="AN80" s="17"/>
      <c r="AO80" s="17"/>
      <c r="AP80" s="17"/>
      <c r="AQ80" s="31"/>
      <c r="AR80" s="17"/>
      <c r="AS80" s="17"/>
      <c r="AT80" s="17"/>
      <c r="AU80" s="29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29"/>
      <c r="BI80" s="30"/>
      <c r="BJ80" s="135"/>
      <c r="BK80" s="135"/>
      <c r="BL80" s="135"/>
      <c r="BM80" s="135"/>
      <c r="BN80" s="135"/>
      <c r="BO80" s="135"/>
      <c r="BP80" s="135" t="s">
        <v>2436</v>
      </c>
      <c r="BQ80" s="135"/>
      <c r="BR80" s="135"/>
      <c r="BS80" s="135"/>
      <c r="BT80" s="135"/>
      <c r="BU80" s="135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</row>
    <row r="81" spans="1:92" ht="26.25" customHeight="1">
      <c r="A81" s="2" t="str">
        <f t="shared" si="1"/>
        <v>AG045 - MD-B/2</v>
      </c>
      <c r="B81" s="2" t="s">
        <v>2702</v>
      </c>
      <c r="C81" s="53" t="s">
        <v>93</v>
      </c>
      <c r="D81" s="53" t="s">
        <v>10</v>
      </c>
      <c r="E81" s="53" t="s">
        <v>49</v>
      </c>
      <c r="F81" s="53" t="s">
        <v>30</v>
      </c>
      <c r="G81" s="54">
        <v>2</v>
      </c>
      <c r="H81" s="54" t="str">
        <f t="shared" si="2"/>
        <v>-</v>
      </c>
      <c r="I81" s="55"/>
      <c r="J81" s="53"/>
      <c r="K81" s="2" t="e">
        <f>VLOOKUP(B81,#REF!,2,FALSE())</f>
        <v>#REF!</v>
      </c>
      <c r="L81" s="53" t="e">
        <f>VLOOKUP(B81,#REF!,7,FALSE())</f>
        <v>#REF!</v>
      </c>
      <c r="M81" s="56" t="s">
        <v>21</v>
      </c>
      <c r="N81" s="57" t="s">
        <v>7</v>
      </c>
      <c r="O81" s="54" t="s">
        <v>7</v>
      </c>
      <c r="P81" s="56" t="s">
        <v>916</v>
      </c>
      <c r="Q81" s="58" t="e">
        <f>VLOOKUP(B81,#REF!,10,FALSE())</f>
        <v>#REF!</v>
      </c>
      <c r="R81" s="27" t="s">
        <v>1389</v>
      </c>
      <c r="S81" s="63">
        <f>U81+W81+Y81+AA81+AC81+AE81</f>
        <v>1.8333333333333335</v>
      </c>
      <c r="T81" s="61" t="s">
        <v>1379</v>
      </c>
      <c r="U81" s="62">
        <v>0.30555555555555558</v>
      </c>
      <c r="V81" s="61" t="s">
        <v>1379</v>
      </c>
      <c r="W81" s="62">
        <v>0.30555555555555558</v>
      </c>
      <c r="X81" s="61" t="s">
        <v>1379</v>
      </c>
      <c r="Y81" s="62">
        <v>0.30555555555555558</v>
      </c>
      <c r="Z81" s="61" t="s">
        <v>1379</v>
      </c>
      <c r="AA81" s="62">
        <v>0.30555555555555558</v>
      </c>
      <c r="AB81" s="61" t="s">
        <v>1379</v>
      </c>
      <c r="AC81" s="62">
        <v>0.30555555555555558</v>
      </c>
      <c r="AD81" s="17" t="s">
        <v>1379</v>
      </c>
      <c r="AE81" s="62">
        <v>0.30555555555555558</v>
      </c>
      <c r="AF81" s="17" t="s">
        <v>37</v>
      </c>
      <c r="AG81" s="60"/>
      <c r="AH81" s="17"/>
      <c r="AI81" s="17"/>
      <c r="AJ81" s="17"/>
      <c r="AK81" s="17"/>
      <c r="AL81" s="17"/>
      <c r="AM81" s="17"/>
      <c r="AN81" s="17"/>
      <c r="AO81" s="17"/>
      <c r="AP81" s="17"/>
      <c r="AQ81" s="31"/>
      <c r="AR81" s="17"/>
      <c r="AS81" s="17"/>
      <c r="AT81" s="17"/>
      <c r="AU81" s="40"/>
      <c r="AV81" s="17"/>
      <c r="AW81" s="17"/>
      <c r="AX81" s="17"/>
      <c r="AY81" s="17"/>
      <c r="AZ81" s="17"/>
      <c r="BA81" s="17"/>
      <c r="BB81" s="17"/>
      <c r="BC81" s="17"/>
      <c r="BD81" s="31"/>
      <c r="BE81" s="17"/>
      <c r="BF81" s="17"/>
      <c r="BG81" s="17"/>
      <c r="BH81" s="40"/>
      <c r="BI81" s="17"/>
      <c r="BJ81" s="135"/>
      <c r="BK81" s="135"/>
      <c r="BL81" s="135"/>
      <c r="BM81" s="135"/>
      <c r="BN81" s="135"/>
      <c r="BO81" s="135"/>
      <c r="BP81" s="135"/>
      <c r="BQ81" s="135" t="s">
        <v>2436</v>
      </c>
      <c r="BR81" s="135"/>
      <c r="BS81" s="135"/>
      <c r="BT81" s="135"/>
      <c r="BU81" s="135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</row>
    <row r="82" spans="1:92" ht="26.25" customHeight="1">
      <c r="A82" s="2" t="str">
        <f t="shared" si="1"/>
        <v>AG045 - ZELAD</v>
      </c>
      <c r="B82" s="2" t="s">
        <v>2702</v>
      </c>
      <c r="C82" s="53" t="s">
        <v>1397</v>
      </c>
      <c r="D82" s="53" t="s">
        <v>10</v>
      </c>
      <c r="E82" s="53" t="s">
        <v>49</v>
      </c>
      <c r="F82" s="53" t="s">
        <v>30</v>
      </c>
      <c r="G82" s="53">
        <v>1</v>
      </c>
      <c r="H82" s="54" t="str">
        <f t="shared" si="2"/>
        <v>-</v>
      </c>
      <c r="I82" s="55"/>
      <c r="J82" s="53"/>
      <c r="K82" s="2" t="e">
        <f>VLOOKUP(B82,#REF!,2,FALSE())</f>
        <v>#REF!</v>
      </c>
      <c r="L82" s="53" t="e">
        <f>VLOOKUP(B82,#REF!,7,FALSE())</f>
        <v>#REF!</v>
      </c>
      <c r="M82" s="56" t="s">
        <v>21</v>
      </c>
      <c r="N82" s="57" t="s">
        <v>7</v>
      </c>
      <c r="O82" s="54" t="s">
        <v>7</v>
      </c>
      <c r="P82" s="56" t="s">
        <v>916</v>
      </c>
      <c r="Q82" s="58" t="e">
        <f>VLOOKUP(B82,#REF!,10,FALSE())</f>
        <v>#REF!</v>
      </c>
      <c r="R82" s="27" t="s">
        <v>1390</v>
      </c>
      <c r="S82" s="63">
        <v>1.8333333333333333</v>
      </c>
      <c r="T82" s="17" t="s">
        <v>609</v>
      </c>
      <c r="U82" s="60">
        <v>0.33333333333333331</v>
      </c>
      <c r="V82" s="17" t="s">
        <v>609</v>
      </c>
      <c r="W82" s="60">
        <v>0.33333333333333331</v>
      </c>
      <c r="X82" s="17" t="s">
        <v>609</v>
      </c>
      <c r="Y82" s="60">
        <v>0.33333333333333331</v>
      </c>
      <c r="Z82" s="17" t="s">
        <v>609</v>
      </c>
      <c r="AA82" s="60">
        <v>0.33333333333333331</v>
      </c>
      <c r="AB82" s="17" t="s">
        <v>609</v>
      </c>
      <c r="AC82" s="60">
        <v>0.33333333333333331</v>
      </c>
      <c r="AD82" s="17" t="s">
        <v>1391</v>
      </c>
      <c r="AE82" s="60">
        <v>0.16666666666666666</v>
      </c>
      <c r="AF82" s="17" t="s">
        <v>37</v>
      </c>
      <c r="AG82" s="60"/>
      <c r="AH82" s="17"/>
      <c r="AI82" s="17"/>
      <c r="AJ82" s="17"/>
      <c r="AK82" s="17"/>
      <c r="AL82" s="17"/>
      <c r="AM82" s="17"/>
      <c r="AN82" s="17"/>
      <c r="AO82" s="17"/>
      <c r="AP82" s="17"/>
      <c r="AQ82" s="31"/>
      <c r="AR82" s="17"/>
      <c r="AS82" s="17"/>
      <c r="AT82" s="17"/>
      <c r="AU82" s="40"/>
      <c r="AV82" s="17"/>
      <c r="AW82" s="17"/>
      <c r="AX82" s="17"/>
      <c r="AY82" s="17"/>
      <c r="AZ82" s="17"/>
      <c r="BA82" s="17"/>
      <c r="BB82" s="17"/>
      <c r="BC82" s="17"/>
      <c r="BD82" s="31"/>
      <c r="BE82" s="17"/>
      <c r="BF82" s="17"/>
      <c r="BG82" s="17"/>
      <c r="BH82" s="40"/>
      <c r="BI82" s="17"/>
      <c r="BJ82" s="135"/>
      <c r="BK82" s="135"/>
      <c r="BL82" s="135"/>
      <c r="BM82" s="135"/>
      <c r="BN82" s="135"/>
      <c r="BO82" s="135"/>
      <c r="BP82" s="135"/>
      <c r="BQ82" s="135"/>
      <c r="BR82" s="135" t="s">
        <v>2436</v>
      </c>
      <c r="BS82" s="135"/>
      <c r="BT82" s="135"/>
      <c r="BU82" s="135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</row>
    <row r="83" spans="1:92" ht="26.25" customHeight="1">
      <c r="A83" s="23" t="str">
        <f t="shared" si="1"/>
        <v>AG048 - LD-C/2</v>
      </c>
      <c r="B83" s="23" t="s">
        <v>2722</v>
      </c>
      <c r="C83" s="24" t="s">
        <v>28</v>
      </c>
      <c r="D83" s="24" t="s">
        <v>10</v>
      </c>
      <c r="E83" s="24" t="s">
        <v>49</v>
      </c>
      <c r="F83" s="24" t="s">
        <v>50</v>
      </c>
      <c r="G83" s="26">
        <v>2</v>
      </c>
      <c r="H83" s="26" t="str">
        <f t="shared" si="2"/>
        <v>R.14/2</v>
      </c>
      <c r="I83" s="32" t="s">
        <v>380</v>
      </c>
      <c r="J83" s="24">
        <v>2</v>
      </c>
      <c r="K83" s="23" t="e">
        <f>VLOOKUP(B83,#REF!,2,FALSE())</f>
        <v>#REF!</v>
      </c>
      <c r="L83" s="24" t="e">
        <f>VLOOKUP(B83,#REF!,7,FALSE())</f>
        <v>#REF!</v>
      </c>
      <c r="M83" s="35" t="s">
        <v>58</v>
      </c>
      <c r="N83" s="25" t="s">
        <v>7</v>
      </c>
      <c r="O83" s="26" t="s">
        <v>7</v>
      </c>
      <c r="P83" s="35" t="s">
        <v>60</v>
      </c>
      <c r="Q83" s="37" t="e">
        <f>VLOOKUP(B83,#REF!,10,FALSE())</f>
        <v>#REF!</v>
      </c>
      <c r="R83" s="38" t="s">
        <v>2711</v>
      </c>
      <c r="S83" s="39">
        <f>U83+W83+Y83+AA83+AC83+AE83+AG83+AH83</f>
        <v>0.33333333333333331</v>
      </c>
      <c r="T83" s="19"/>
      <c r="U83" s="18"/>
      <c r="V83" s="19"/>
      <c r="W83" s="18"/>
      <c r="X83" s="19" t="s">
        <v>124</v>
      </c>
      <c r="Y83" s="18">
        <v>0.33333333333333331</v>
      </c>
      <c r="Z83" s="19"/>
      <c r="AA83" s="18"/>
      <c r="AB83" s="19"/>
      <c r="AC83" s="18"/>
      <c r="AD83" s="19"/>
      <c r="AE83" s="18"/>
      <c r="AF83" s="19"/>
      <c r="AG83" s="19"/>
      <c r="AH83" s="39"/>
      <c r="AI83" s="19"/>
      <c r="AJ83" s="19"/>
      <c r="AK83" s="19"/>
      <c r="AL83" s="19"/>
      <c r="AM83" s="19"/>
      <c r="AN83" s="19"/>
      <c r="AO83" s="19"/>
      <c r="AP83" s="19"/>
      <c r="AQ83" s="28"/>
      <c r="AR83" s="19"/>
      <c r="AS83" s="19"/>
      <c r="AT83" s="19"/>
      <c r="AU83" s="40"/>
      <c r="AV83" s="17"/>
      <c r="AW83" s="17"/>
      <c r="AX83" s="17"/>
      <c r="AY83" s="17"/>
      <c r="AZ83" s="17"/>
      <c r="BA83" s="17"/>
      <c r="BB83" s="17"/>
      <c r="BC83" s="17"/>
      <c r="BD83" s="31"/>
      <c r="BE83" s="17"/>
      <c r="BF83" s="17"/>
      <c r="BG83" s="17"/>
      <c r="BH83" s="40"/>
      <c r="BI83" s="17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 t="s">
        <v>2436</v>
      </c>
      <c r="BT83" s="135"/>
      <c r="BU83" s="135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</row>
    <row r="84" spans="1:92" ht="26.25" customHeight="1">
      <c r="A84" s="2" t="str">
        <f t="shared" si="1"/>
        <v>AG048 - PD-A/2</v>
      </c>
      <c r="B84" s="2" t="s">
        <v>2722</v>
      </c>
      <c r="C84" s="53" t="s">
        <v>9</v>
      </c>
      <c r="D84" s="53" t="s">
        <v>10</v>
      </c>
      <c r="E84" s="53" t="s">
        <v>49</v>
      </c>
      <c r="F84" s="53" t="s">
        <v>11</v>
      </c>
      <c r="G84" s="53">
        <v>2</v>
      </c>
      <c r="H84" s="54" t="str">
        <f t="shared" si="2"/>
        <v>-</v>
      </c>
      <c r="I84" s="55"/>
      <c r="J84" s="53"/>
      <c r="K84" s="2" t="e">
        <f>VLOOKUP(B84,#REF!,2,FALSE())</f>
        <v>#REF!</v>
      </c>
      <c r="L84" s="53" t="e">
        <f>VLOOKUP(B84,#REF!,7,FALSE())</f>
        <v>#REF!</v>
      </c>
      <c r="M84" s="56" t="s">
        <v>21</v>
      </c>
      <c r="N84" s="57" t="s">
        <v>7</v>
      </c>
      <c r="O84" s="54" t="s">
        <v>7</v>
      </c>
      <c r="P84" s="56" t="s">
        <v>22</v>
      </c>
      <c r="Q84" s="58" t="e">
        <f>VLOOKUP(B84,#REF!,10,FALSE())</f>
        <v>#REF!</v>
      </c>
      <c r="R84" s="27" t="s">
        <v>1392</v>
      </c>
      <c r="S84" s="59">
        <v>1.8333333333333333</v>
      </c>
      <c r="T84" s="17"/>
      <c r="U84" s="60"/>
      <c r="V84" s="17" t="s">
        <v>1211</v>
      </c>
      <c r="W84" s="60">
        <v>0.5</v>
      </c>
      <c r="X84" s="17"/>
      <c r="Y84" s="60"/>
      <c r="Z84" s="17" t="s">
        <v>1211</v>
      </c>
      <c r="AA84" s="60">
        <v>0.5</v>
      </c>
      <c r="AB84" s="17"/>
      <c r="AC84" s="60"/>
      <c r="AD84" s="17" t="s">
        <v>1211</v>
      </c>
      <c r="AE84" s="60">
        <v>0.5</v>
      </c>
      <c r="AF84" s="17"/>
      <c r="AG84" s="60"/>
      <c r="AH84" s="17"/>
      <c r="AI84" s="17" t="s">
        <v>44</v>
      </c>
      <c r="AJ84" s="17" t="s">
        <v>43</v>
      </c>
      <c r="AK84" s="17" t="s">
        <v>43</v>
      </c>
      <c r="AL84" s="17" t="s">
        <v>44</v>
      </c>
      <c r="AM84" s="17" t="s">
        <v>43</v>
      </c>
      <c r="AN84" s="17" t="s">
        <v>43</v>
      </c>
      <c r="AO84" s="17" t="s">
        <v>44</v>
      </c>
      <c r="AP84" s="17" t="s">
        <v>44</v>
      </c>
      <c r="AQ84" s="63" t="s">
        <v>43</v>
      </c>
      <c r="AR84" s="17" t="s">
        <v>44</v>
      </c>
      <c r="AS84" s="17" t="s">
        <v>43</v>
      </c>
      <c r="AT84" s="17" t="s">
        <v>44</v>
      </c>
      <c r="AU84" s="22"/>
      <c r="AV84" s="19" t="s">
        <v>44</v>
      </c>
      <c r="AW84" s="19" t="s">
        <v>43</v>
      </c>
      <c r="AX84" s="19" t="s">
        <v>43</v>
      </c>
      <c r="AY84" s="19" t="s">
        <v>44</v>
      </c>
      <c r="AZ84" s="19" t="s">
        <v>43</v>
      </c>
      <c r="BA84" s="19" t="s">
        <v>43</v>
      </c>
      <c r="BB84" s="19" t="s">
        <v>44</v>
      </c>
      <c r="BC84" s="19" t="s">
        <v>44</v>
      </c>
      <c r="BD84" s="28" t="s">
        <v>43</v>
      </c>
      <c r="BE84" s="19" t="s">
        <v>44</v>
      </c>
      <c r="BF84" s="19" t="s">
        <v>43</v>
      </c>
      <c r="BG84" s="19" t="s">
        <v>44</v>
      </c>
      <c r="BH84" s="22"/>
      <c r="BI84" s="19"/>
      <c r="BJ84" s="147"/>
      <c r="BK84" s="147"/>
      <c r="BL84" s="147"/>
      <c r="BM84" s="147"/>
      <c r="BN84" s="147"/>
      <c r="BO84" s="147"/>
      <c r="BP84" s="147"/>
      <c r="BQ84" s="147"/>
      <c r="BR84" s="147"/>
      <c r="BS84" s="147" t="s">
        <v>2436</v>
      </c>
      <c r="BT84" s="147"/>
      <c r="BU84" s="147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</row>
    <row r="85" spans="1:92" ht="26.25" customHeight="1">
      <c r="A85" s="2" t="str">
        <f t="shared" si="1"/>
        <v>AG048 - PD-A/1</v>
      </c>
      <c r="B85" s="2" t="s">
        <v>2722</v>
      </c>
      <c r="C85" s="53" t="s">
        <v>9</v>
      </c>
      <c r="D85" s="53" t="s">
        <v>10</v>
      </c>
      <c r="E85" s="53" t="s">
        <v>49</v>
      </c>
      <c r="F85" s="53" t="s">
        <v>11</v>
      </c>
      <c r="G85" s="53">
        <v>1</v>
      </c>
      <c r="H85" s="54" t="str">
        <f t="shared" si="2"/>
        <v>-</v>
      </c>
      <c r="I85" s="55"/>
      <c r="J85" s="53"/>
      <c r="K85" s="2" t="e">
        <f>VLOOKUP(B85,#REF!,2,FALSE())</f>
        <v>#REF!</v>
      </c>
      <c r="L85" s="53" t="e">
        <f>VLOOKUP(B85,#REF!,7,FALSE())</f>
        <v>#REF!</v>
      </c>
      <c r="M85" s="56" t="s">
        <v>21</v>
      </c>
      <c r="N85" s="57" t="s">
        <v>7</v>
      </c>
      <c r="O85" s="54" t="s">
        <v>7</v>
      </c>
      <c r="P85" s="56" t="s">
        <v>22</v>
      </c>
      <c r="Q85" s="58" t="e">
        <f>VLOOKUP(B85,#REF!,10,FALSE())</f>
        <v>#REF!</v>
      </c>
      <c r="R85" s="73" t="s">
        <v>1392</v>
      </c>
      <c r="S85" s="59">
        <v>1.8333333333333333</v>
      </c>
      <c r="T85" s="61" t="s">
        <v>1211</v>
      </c>
      <c r="U85" s="62">
        <v>0.5</v>
      </c>
      <c r="V85" s="61"/>
      <c r="W85" s="62"/>
      <c r="X85" s="61" t="s">
        <v>1211</v>
      </c>
      <c r="Y85" s="62">
        <v>0.5</v>
      </c>
      <c r="Z85" s="61"/>
      <c r="AA85" s="62"/>
      <c r="AB85" s="61" t="s">
        <v>1211</v>
      </c>
      <c r="AC85" s="62">
        <v>0.5</v>
      </c>
      <c r="AD85" s="17"/>
      <c r="AE85" s="62"/>
      <c r="AF85" s="17" t="s">
        <v>1211</v>
      </c>
      <c r="AG85" s="62">
        <v>0.5</v>
      </c>
      <c r="AH85" s="17"/>
      <c r="AI85" s="17" t="s">
        <v>43</v>
      </c>
      <c r="AJ85" s="17" t="s">
        <v>44</v>
      </c>
      <c r="AK85" s="17" t="s">
        <v>44</v>
      </c>
      <c r="AL85" s="17" t="s">
        <v>43</v>
      </c>
      <c r="AM85" s="17" t="s">
        <v>44</v>
      </c>
      <c r="AN85" s="17" t="s">
        <v>44</v>
      </c>
      <c r="AO85" s="17" t="s">
        <v>43</v>
      </c>
      <c r="AP85" s="17" t="s">
        <v>43</v>
      </c>
      <c r="AQ85" s="63" t="s">
        <v>44</v>
      </c>
      <c r="AR85" s="17" t="s">
        <v>43</v>
      </c>
      <c r="AS85" s="17" t="s">
        <v>44</v>
      </c>
      <c r="AT85" s="17" t="s">
        <v>43</v>
      </c>
      <c r="AU85" s="40"/>
      <c r="AV85" s="17"/>
      <c r="AW85" s="17"/>
      <c r="AX85" s="17"/>
      <c r="AY85" s="17"/>
      <c r="AZ85" s="17"/>
      <c r="BA85" s="17"/>
      <c r="BB85" s="17"/>
      <c r="BC85" s="17"/>
      <c r="BD85" s="31"/>
      <c r="BE85" s="17"/>
      <c r="BF85" s="17"/>
      <c r="BG85" s="17"/>
      <c r="BH85" s="40"/>
      <c r="BI85" s="17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 t="s">
        <v>2436</v>
      </c>
      <c r="BU85" s="135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</row>
    <row r="86" spans="1:92" ht="26.25" customHeight="1">
      <c r="A86" s="23" t="str">
        <f t="shared" si="1"/>
        <v>AG048 - LD-C/1</v>
      </c>
      <c r="B86" s="23" t="s">
        <v>2722</v>
      </c>
      <c r="C86" s="24" t="s">
        <v>28</v>
      </c>
      <c r="D86" s="24" t="s">
        <v>10</v>
      </c>
      <c r="E86" s="24" t="s">
        <v>49</v>
      </c>
      <c r="F86" s="24" t="s">
        <v>50</v>
      </c>
      <c r="G86" s="26">
        <v>1</v>
      </c>
      <c r="H86" s="26" t="str">
        <f t="shared" si="2"/>
        <v>R.04/4</v>
      </c>
      <c r="I86" s="32" t="s">
        <v>234</v>
      </c>
      <c r="J86" s="24">
        <v>4</v>
      </c>
      <c r="K86" s="23" t="e">
        <f>VLOOKUP(B86,#REF!,2,FALSE())</f>
        <v>#REF!</v>
      </c>
      <c r="L86" s="24" t="e">
        <f>VLOOKUP(B86,#REF!,7,FALSE())</f>
        <v>#REF!</v>
      </c>
      <c r="M86" s="35" t="s">
        <v>58</v>
      </c>
      <c r="N86" s="25" t="s">
        <v>7</v>
      </c>
      <c r="O86" s="26" t="s">
        <v>7</v>
      </c>
      <c r="P86" s="35" t="s">
        <v>621</v>
      </c>
      <c r="Q86" s="37" t="e">
        <f>VLOOKUP(B86,#REF!,10,FALSE())</f>
        <v>#REF!</v>
      </c>
      <c r="R86" s="38" t="s">
        <v>1410</v>
      </c>
      <c r="S86" s="39">
        <f>U86+W86+Y86+AA86+AC86+AE86+AG86+AH86</f>
        <v>0.30555555555555558</v>
      </c>
      <c r="T86" s="19"/>
      <c r="U86" s="18"/>
      <c r="V86" s="19"/>
      <c r="W86" s="18"/>
      <c r="X86" s="19"/>
      <c r="Y86" s="18"/>
      <c r="Z86" s="19"/>
      <c r="AA86" s="18"/>
      <c r="AB86" s="19"/>
      <c r="AC86" s="18"/>
      <c r="AD86" s="19"/>
      <c r="AE86" s="18"/>
      <c r="AF86" s="19" t="s">
        <v>1408</v>
      </c>
      <c r="AG86" s="18">
        <v>0.30555555555555558</v>
      </c>
      <c r="AH86" s="39"/>
      <c r="AI86" s="19"/>
      <c r="AJ86" s="19"/>
      <c r="AK86" s="19"/>
      <c r="AL86" s="19"/>
      <c r="AM86" s="19"/>
      <c r="AN86" s="19"/>
      <c r="AO86" s="19"/>
      <c r="AP86" s="19"/>
      <c r="AQ86" s="28"/>
      <c r="AR86" s="19"/>
      <c r="AS86" s="19"/>
      <c r="AT86" s="19"/>
      <c r="AU86" s="22"/>
      <c r="AV86" s="19"/>
      <c r="AW86" s="19"/>
      <c r="AX86" s="19"/>
      <c r="AY86" s="19"/>
      <c r="AZ86" s="19"/>
      <c r="BA86" s="19"/>
      <c r="BB86" s="19"/>
      <c r="BC86" s="19"/>
      <c r="BD86" s="28"/>
      <c r="BE86" s="19"/>
      <c r="BF86" s="19"/>
      <c r="BG86" s="19"/>
      <c r="BH86" s="22"/>
      <c r="BI86" s="19"/>
      <c r="BJ86" s="147"/>
      <c r="BK86" s="147"/>
      <c r="BL86" s="147"/>
      <c r="BM86" s="147"/>
      <c r="BN86" s="147"/>
      <c r="BO86" s="147"/>
      <c r="BP86" s="147"/>
      <c r="BQ86" s="147"/>
      <c r="BR86" s="147"/>
      <c r="BS86" s="147"/>
      <c r="BT86" s="147" t="s">
        <v>2436</v>
      </c>
      <c r="BU86" s="147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</row>
    <row r="87" spans="1:92" ht="26.25" customHeight="1">
      <c r="A87" s="2" t="str">
        <f t="shared" si="1"/>
        <v>AG048 - LD-B/U</v>
      </c>
      <c r="B87" s="2" t="s">
        <v>2722</v>
      </c>
      <c r="C87" s="53" t="s">
        <v>28</v>
      </c>
      <c r="D87" s="53" t="s">
        <v>10</v>
      </c>
      <c r="E87" s="53" t="s">
        <v>49</v>
      </c>
      <c r="F87" s="53" t="s">
        <v>30</v>
      </c>
      <c r="G87" s="53" t="s">
        <v>13</v>
      </c>
      <c r="H87" s="54" t="str">
        <f t="shared" si="2"/>
        <v>-</v>
      </c>
      <c r="I87" s="55"/>
      <c r="J87" s="53"/>
      <c r="K87" s="2" t="e">
        <f>VLOOKUP(B87,#REF!,2,FALSE())</f>
        <v>#REF!</v>
      </c>
      <c r="L87" s="53" t="e">
        <f>VLOOKUP(B87,#REF!,7,FALSE())</f>
        <v>#REF!</v>
      </c>
      <c r="M87" s="56" t="s">
        <v>21</v>
      </c>
      <c r="N87" s="57" t="s">
        <v>7</v>
      </c>
      <c r="O87" s="54" t="s">
        <v>7</v>
      </c>
      <c r="P87" s="56" t="s">
        <v>621</v>
      </c>
      <c r="Q87" s="58" t="e">
        <f>VLOOKUP(B87,#REF!,10,FALSE())</f>
        <v>#REF!</v>
      </c>
      <c r="R87" s="27" t="s">
        <v>1407</v>
      </c>
      <c r="S87" s="59">
        <v>1.8333333333333333</v>
      </c>
      <c r="T87" s="17" t="s">
        <v>1408</v>
      </c>
      <c r="U87" s="60">
        <v>0.30555555555555558</v>
      </c>
      <c r="V87" s="17" t="s">
        <v>1408</v>
      </c>
      <c r="W87" s="60">
        <v>0.30555555555555558</v>
      </c>
      <c r="X87" s="17" t="s">
        <v>1408</v>
      </c>
      <c r="Y87" s="60">
        <v>0.30555555555555558</v>
      </c>
      <c r="Z87" s="17" t="s">
        <v>1408</v>
      </c>
      <c r="AA87" s="60">
        <v>0.30555555555555558</v>
      </c>
      <c r="AB87" s="17" t="s">
        <v>1408</v>
      </c>
      <c r="AC87" s="60">
        <v>0.30555555555555558</v>
      </c>
      <c r="AD87" s="17" t="s">
        <v>1408</v>
      </c>
      <c r="AE87" s="60">
        <v>0.30555555555555558</v>
      </c>
      <c r="AF87" s="17" t="s">
        <v>37</v>
      </c>
      <c r="AG87" s="60"/>
      <c r="AH87" s="17"/>
      <c r="AI87" s="17"/>
      <c r="AJ87" s="17"/>
      <c r="AK87" s="17"/>
      <c r="AL87" s="17"/>
      <c r="AM87" s="17"/>
      <c r="AN87" s="17"/>
      <c r="AO87" s="17"/>
      <c r="AP87" s="17"/>
      <c r="AQ87" s="63"/>
      <c r="AR87" s="17"/>
      <c r="AS87" s="17"/>
      <c r="AT87" s="17"/>
      <c r="AU87" s="40"/>
      <c r="AV87" s="17"/>
      <c r="AW87" s="17"/>
      <c r="AX87" s="17"/>
      <c r="AY87" s="17"/>
      <c r="AZ87" s="17"/>
      <c r="BA87" s="17"/>
      <c r="BB87" s="17"/>
      <c r="BC87" s="17"/>
      <c r="BD87" s="31"/>
      <c r="BE87" s="17"/>
      <c r="BF87" s="17"/>
      <c r="BG87" s="17"/>
      <c r="BH87" s="40"/>
      <c r="BI87" s="17"/>
      <c r="BJ87" s="135"/>
      <c r="BK87" s="135"/>
      <c r="BL87" s="135"/>
      <c r="BM87" s="135"/>
      <c r="BN87" s="135"/>
      <c r="BO87" s="135"/>
      <c r="BP87" s="135"/>
      <c r="BQ87" s="135"/>
      <c r="BR87" s="135"/>
      <c r="BS87" s="135"/>
      <c r="BT87" s="135" t="s">
        <v>2436</v>
      </c>
      <c r="BU87" s="135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</row>
    <row r="88" spans="1:92" ht="26.25" customHeight="1">
      <c r="A88" s="2" t="str">
        <f t="shared" si="1"/>
        <v>AG048 - PN-A/2</v>
      </c>
      <c r="B88" s="2" t="s">
        <v>2722</v>
      </c>
      <c r="C88" s="53" t="s">
        <v>9</v>
      </c>
      <c r="D88" s="53" t="s">
        <v>157</v>
      </c>
      <c r="E88" s="53" t="s">
        <v>49</v>
      </c>
      <c r="F88" s="53" t="s">
        <v>11</v>
      </c>
      <c r="G88" s="53">
        <v>2</v>
      </c>
      <c r="H88" s="54" t="str">
        <f t="shared" si="2"/>
        <v>-</v>
      </c>
      <c r="I88" s="55"/>
      <c r="J88" s="53"/>
      <c r="K88" s="2" t="e">
        <f>VLOOKUP(B88,#REF!,2,FALSE())</f>
        <v>#REF!</v>
      </c>
      <c r="L88" s="53" t="e">
        <f>VLOOKUP(B88,#REF!,7,FALSE())</f>
        <v>#REF!</v>
      </c>
      <c r="M88" s="56" t="s">
        <v>21</v>
      </c>
      <c r="N88" s="57" t="s">
        <v>7</v>
      </c>
      <c r="O88" s="54" t="s">
        <v>7</v>
      </c>
      <c r="P88" s="56" t="s">
        <v>22</v>
      </c>
      <c r="Q88" s="58" t="e">
        <f>VLOOKUP(B88,#REF!,10,FALSE())</f>
        <v>#REF!</v>
      </c>
      <c r="R88" s="27" t="s">
        <v>1228</v>
      </c>
      <c r="S88" s="59">
        <v>1.8333333333333333</v>
      </c>
      <c r="T88" s="17"/>
      <c r="U88" s="60"/>
      <c r="V88" s="17" t="s">
        <v>434</v>
      </c>
      <c r="W88" s="60">
        <v>0.5</v>
      </c>
      <c r="X88" s="17"/>
      <c r="Y88" s="60"/>
      <c r="Z88" s="17" t="s">
        <v>434</v>
      </c>
      <c r="AA88" s="60">
        <v>0.5</v>
      </c>
      <c r="AB88" s="17"/>
      <c r="AC88" s="60"/>
      <c r="AD88" s="17" t="s">
        <v>434</v>
      </c>
      <c r="AE88" s="60">
        <v>0.5</v>
      </c>
      <c r="AF88" s="17"/>
      <c r="AG88" s="60" t="s">
        <v>49</v>
      </c>
      <c r="AH88" s="17"/>
      <c r="AI88" s="17" t="s">
        <v>44</v>
      </c>
      <c r="AJ88" s="17" t="s">
        <v>43</v>
      </c>
      <c r="AK88" s="17" t="s">
        <v>43</v>
      </c>
      <c r="AL88" s="17" t="s">
        <v>44</v>
      </c>
      <c r="AM88" s="17" t="s">
        <v>43</v>
      </c>
      <c r="AN88" s="17" t="s">
        <v>43</v>
      </c>
      <c r="AO88" s="17" t="s">
        <v>44</v>
      </c>
      <c r="AP88" s="17" t="s">
        <v>44</v>
      </c>
      <c r="AQ88" s="63" t="s">
        <v>43</v>
      </c>
      <c r="AR88" s="17" t="s">
        <v>44</v>
      </c>
      <c r="AS88" s="17" t="s">
        <v>43</v>
      </c>
      <c r="AT88" s="17" t="s">
        <v>44</v>
      </c>
      <c r="AU88" s="40"/>
      <c r="AV88" s="17"/>
      <c r="AW88" s="17"/>
      <c r="AX88" s="17"/>
      <c r="AY88" s="17"/>
      <c r="AZ88" s="17"/>
      <c r="BA88" s="17"/>
      <c r="BB88" s="17"/>
      <c r="BC88" s="17"/>
      <c r="BD88" s="31"/>
      <c r="BE88" s="17"/>
      <c r="BF88" s="17"/>
      <c r="BG88" s="17"/>
      <c r="BH88" s="40"/>
      <c r="BI88" s="17"/>
      <c r="BJ88" s="135"/>
      <c r="BK88" s="135"/>
      <c r="BL88" s="135"/>
      <c r="BM88" s="135"/>
      <c r="BN88" s="135"/>
      <c r="BO88" s="135"/>
      <c r="BP88" s="135"/>
      <c r="BQ88" s="135"/>
      <c r="BR88" s="135"/>
      <c r="BS88" s="135"/>
      <c r="BT88" s="135" t="s">
        <v>2436</v>
      </c>
      <c r="BU88" s="135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</row>
    <row r="89" spans="1:92" ht="26.25" customHeight="1">
      <c r="A89" s="2" t="str">
        <f t="shared" si="1"/>
        <v>AG048 - PN-A/1</v>
      </c>
      <c r="B89" s="2" t="s">
        <v>2722</v>
      </c>
      <c r="C89" s="53" t="s">
        <v>9</v>
      </c>
      <c r="D89" s="53" t="s">
        <v>157</v>
      </c>
      <c r="E89" s="53" t="s">
        <v>49</v>
      </c>
      <c r="F89" s="53" t="s">
        <v>11</v>
      </c>
      <c r="G89" s="53">
        <v>1</v>
      </c>
      <c r="H89" s="54" t="str">
        <f t="shared" si="2"/>
        <v>-</v>
      </c>
      <c r="I89" s="55"/>
      <c r="J89" s="53"/>
      <c r="K89" s="2" t="e">
        <f>VLOOKUP(B89,#REF!,2,FALSE())</f>
        <v>#REF!</v>
      </c>
      <c r="L89" s="53" t="e">
        <f>VLOOKUP(B89,#REF!,7,FALSE())</f>
        <v>#REF!</v>
      </c>
      <c r="M89" s="56" t="s">
        <v>21</v>
      </c>
      <c r="N89" s="57" t="s">
        <v>7</v>
      </c>
      <c r="O89" s="54" t="s">
        <v>7</v>
      </c>
      <c r="P89" s="56" t="s">
        <v>22</v>
      </c>
      <c r="Q89" s="58" t="e">
        <f>VLOOKUP(B89,#REF!,10,FALSE())</f>
        <v>#REF!</v>
      </c>
      <c r="R89" s="27" t="s">
        <v>1228</v>
      </c>
      <c r="S89" s="59">
        <v>1.8333333333333333</v>
      </c>
      <c r="T89" s="61" t="s">
        <v>434</v>
      </c>
      <c r="U89" s="62">
        <v>0.5</v>
      </c>
      <c r="V89" s="61"/>
      <c r="W89" s="62"/>
      <c r="X89" s="61" t="s">
        <v>434</v>
      </c>
      <c r="Y89" s="62">
        <v>0.5</v>
      </c>
      <c r="Z89" s="61"/>
      <c r="AA89" s="62"/>
      <c r="AB89" s="61" t="s">
        <v>434</v>
      </c>
      <c r="AC89" s="62">
        <v>0.5</v>
      </c>
      <c r="AD89" s="17"/>
      <c r="AE89" s="62"/>
      <c r="AF89" s="17" t="s">
        <v>434</v>
      </c>
      <c r="AG89" s="60">
        <v>0.5</v>
      </c>
      <c r="AH89" s="17"/>
      <c r="AI89" s="17" t="s">
        <v>43</v>
      </c>
      <c r="AJ89" s="17" t="s">
        <v>44</v>
      </c>
      <c r="AK89" s="17" t="s">
        <v>44</v>
      </c>
      <c r="AL89" s="17" t="s">
        <v>43</v>
      </c>
      <c r="AM89" s="17" t="s">
        <v>44</v>
      </c>
      <c r="AN89" s="17" t="s">
        <v>44</v>
      </c>
      <c r="AO89" s="17" t="s">
        <v>43</v>
      </c>
      <c r="AP89" s="17" t="s">
        <v>43</v>
      </c>
      <c r="AQ89" s="63" t="s">
        <v>44</v>
      </c>
      <c r="AR89" s="17" t="s">
        <v>43</v>
      </c>
      <c r="AS89" s="17" t="s">
        <v>44</v>
      </c>
      <c r="AT89" s="17" t="s">
        <v>43</v>
      </c>
      <c r="AU89" s="29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29"/>
      <c r="BI89" s="30"/>
      <c r="BJ89" s="165"/>
      <c r="BK89" s="165"/>
      <c r="BL89" s="165"/>
      <c r="BM89" s="165"/>
      <c r="BN89" s="165"/>
      <c r="BO89" s="165"/>
      <c r="BP89" s="165"/>
      <c r="BQ89" s="165"/>
      <c r="BR89" s="165"/>
      <c r="BS89" s="165"/>
      <c r="BT89" s="165"/>
      <c r="BU89" s="136" t="s">
        <v>2436</v>
      </c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</row>
    <row r="90" spans="1:92" ht="26.25" customHeight="1">
      <c r="A90" s="23" t="str">
        <f t="shared" si="1"/>
        <v>AG055 - LD-C/U</v>
      </c>
      <c r="B90" s="23" t="s">
        <v>2723</v>
      </c>
      <c r="C90" s="24" t="s">
        <v>28</v>
      </c>
      <c r="D90" s="24" t="s">
        <v>10</v>
      </c>
      <c r="E90" s="24" t="s">
        <v>49</v>
      </c>
      <c r="F90" s="24" t="s">
        <v>50</v>
      </c>
      <c r="G90" s="26" t="s">
        <v>13</v>
      </c>
      <c r="H90" s="26" t="str">
        <f t="shared" si="2"/>
        <v>R.06/1</v>
      </c>
      <c r="I90" s="32" t="s">
        <v>55</v>
      </c>
      <c r="J90" s="24">
        <v>1</v>
      </c>
      <c r="K90" s="23" t="e">
        <f>VLOOKUP(B90,#REF!,2,FALSE())</f>
        <v>#REF!</v>
      </c>
      <c r="L90" s="24" t="e">
        <f>VLOOKUP(B90,#REF!,7,FALSE())</f>
        <v>#REF!</v>
      </c>
      <c r="M90" s="35" t="s">
        <v>58</v>
      </c>
      <c r="N90" s="25" t="s">
        <v>7</v>
      </c>
      <c r="O90" s="26" t="s">
        <v>7</v>
      </c>
      <c r="P90" s="35" t="s">
        <v>60</v>
      </c>
      <c r="Q90" s="37" t="e">
        <f>VLOOKUP(B90,#REF!,10,FALSE())</f>
        <v>#REF!</v>
      </c>
      <c r="R90" s="38" t="s">
        <v>63</v>
      </c>
      <c r="S90" s="39">
        <f>U90+W90+Y90+AA90+AC90+AE90+AG90+AH90</f>
        <v>0.5625</v>
      </c>
      <c r="T90" s="19" t="s">
        <v>64</v>
      </c>
      <c r="U90" s="18">
        <v>0.16666666666666666</v>
      </c>
      <c r="V90" s="19"/>
      <c r="W90" s="18"/>
      <c r="X90" s="19" t="s">
        <v>65</v>
      </c>
      <c r="Y90" s="18">
        <v>0.16666666666666666</v>
      </c>
      <c r="Z90" s="19"/>
      <c r="AA90" s="18"/>
      <c r="AB90" s="19" t="s">
        <v>65</v>
      </c>
      <c r="AC90" s="18">
        <v>0.16666666666666666</v>
      </c>
      <c r="AD90" s="19"/>
      <c r="AE90" s="18"/>
      <c r="AF90" s="19"/>
      <c r="AG90" s="19"/>
      <c r="AH90" s="39">
        <v>6.25E-2</v>
      </c>
      <c r="AI90" s="19"/>
      <c r="AJ90" s="19"/>
      <c r="AK90" s="19"/>
      <c r="AL90" s="19"/>
      <c r="AM90" s="19"/>
      <c r="AN90" s="19"/>
      <c r="AO90" s="19"/>
      <c r="AP90" s="19"/>
      <c r="AQ90" s="28"/>
      <c r="AR90" s="19"/>
      <c r="AS90" s="19"/>
      <c r="AT90" s="19"/>
      <c r="AU90" s="40"/>
      <c r="AV90" s="17"/>
      <c r="AW90" s="17"/>
      <c r="AX90" s="17"/>
      <c r="AY90" s="17"/>
      <c r="AZ90" s="17"/>
      <c r="BA90" s="17"/>
      <c r="BB90" s="17"/>
      <c r="BC90" s="17"/>
      <c r="BD90" s="31"/>
      <c r="BE90" s="17"/>
      <c r="BF90" s="17"/>
      <c r="BG90" s="17"/>
      <c r="BH90" s="40"/>
      <c r="BI90" s="17"/>
      <c r="BJ90" s="135"/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5" t="s">
        <v>2436</v>
      </c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</row>
  </sheetData>
  <autoFilter ref="A35:AT90" xr:uid="{00000000-0009-0000-0000-00000C000000}">
    <sortState xmlns:xlrd2="http://schemas.microsoft.com/office/spreadsheetml/2017/richdata2" ref="A35:AT90">
      <sortCondition ref="K35:K90"/>
      <sortCondition ref="T35:T90"/>
      <sortCondition ref="Q35:Q90"/>
      <sortCondition ref="H35:H90"/>
      <sortCondition ref="A35:A90"/>
      <sortCondition ref="F35:F90"/>
      <sortCondition ref="C35:C90"/>
      <sortCondition ref="I35:I90"/>
      <sortCondition ref="J35:J90"/>
      <sortCondition descending="1" ref="S35:S90"/>
      <sortCondition ref="AF35:AF90"/>
      <sortCondition ref="AA35:AA90"/>
      <sortCondition ref="Z35:Z90"/>
      <sortCondition ref="X35:X90"/>
      <sortCondition ref="W35:W90"/>
      <sortCondition ref="V35:V90"/>
      <sortCondition ref="U35:U90"/>
      <sortCondition ref="B35:B90"/>
    </sortState>
  </autoFilter>
  <dataValidations count="15">
    <dataValidation type="list" allowBlank="1" showErrorMessage="1" sqref="I9 I43" xr:uid="{00000000-0002-0000-0C00-000000000000}">
      <formula1>".01,..02,.03,.04,.05,.06,.07,.08,.09,.10,.11,.12,.13,.14,..15,.16,.17,.18,.19,.20,.21"</formula1>
    </dataValidation>
    <dataValidation type="list" allowBlank="1" showDropDown="1" showErrorMessage="1" sqref="N1 N13 N17 N21 N24:N25 N29 N36:N90" xr:uid="{00000000-0002-0000-0C00-000001000000}">
      <formula1>"N/A,20% INSALUB,40% INSALUB"</formula1>
    </dataValidation>
    <dataValidation type="list" allowBlank="1" showErrorMessage="1" sqref="G1 G13 G17 G21 G24:G25 G29 G36:G90" xr:uid="{00000000-0002-0000-0C00-000002000000}">
      <formula1>"UNICO,1,2,3,4,5,6,7,8,9,10"</formula1>
    </dataValidation>
    <dataValidation type="list" allowBlank="1" showErrorMessage="1" sqref="J1 J4:J34 J36:J90" xr:uid="{00000000-0002-0000-0C00-000003000000}">
      <formula1>"1,2,3,4,5,6,7,8,9,10"</formula1>
    </dataValidation>
    <dataValidation type="list" allowBlank="1" showErrorMessage="1" sqref="I1 I4:I8 I10:I34 I36:I42 I44:I90" xr:uid="{00000000-0002-0000-0C00-000004000000}">
      <formula1>".01,.02,.03,.04,.05,.06,.07,.08,.09,.10,.11,.12,.13,.14,.15,.16,.17,.18,.19,.20,.21,eduzido,.22,.23,.24"</formula1>
    </dataValidation>
    <dataValidation type="list" allowBlank="1" showInputMessage="1" showErrorMessage="1" prompt="Clique e digite um valor da lista de itens" sqref="P4:P12 P14:P16 P18:P20 P22:P23 P26:P28 P30:P34" xr:uid="{00000000-0002-0000-0C00-000005000000}">
      <formula1>"SEM COBERT,COB CONTRATO,COB EXTRA,COB ESCALA,COMPENSAÇÃO,COB ESCALA + EXTRA"</formula1>
    </dataValidation>
    <dataValidation type="list" allowBlank="1" showErrorMessage="1" sqref="F1 F13 F17 F21 F24:F25 F29 F36:F90" xr:uid="{00000000-0002-0000-0C00-000006000000}">
      <formula1>"A  - 12 por 36,B - 44 horas,C - menos de 44h"</formula1>
    </dataValidation>
    <dataValidation type="list" allowBlank="1" showDropDown="1" showErrorMessage="1" sqref="O1 O13 O17 O21 O24:O25 O29 O36:O90" xr:uid="{00000000-0002-0000-0C00-000007000000}">
      <formula1>"N/A,NR32,NR35"</formula1>
    </dataValidation>
    <dataValidation type="list" allowBlank="1" showErrorMessage="1" sqref="D1 D13 D17 D21 D24:D25 D29 D36:D90" xr:uid="{00000000-0002-0000-0C00-000008000000}">
      <formula1>"DIURNO,NOTURNO,MISTO"</formula1>
    </dataValidation>
    <dataValidation type="list" allowBlank="1" showInputMessage="1" showErrorMessage="1" prompt="Clique e digite um valor da lista de itens" sqref="P1 P13 P17 P21 P24:P25 P29 P36:P90" xr:uid="{00000000-0002-0000-0C00-000009000000}">
      <formula1>"SEM COBERT,COB CONTRATO,COB EXTRA,COB ESCALA,COMPENSAÇÃO,COB MISTA"</formula1>
    </dataValidation>
    <dataValidation type="list" allowBlank="1" showErrorMessage="1" sqref="C1 C13 C17 C21 C24:C25 C29 C36:C90" xr:uid="{00000000-0002-0000-0C00-00000A000000}">
      <formula1>"LIMPADOR,PORTEIRO,MANUTENCIONISTA,ZELAD,ENCAR,JARDINEIRO,COORDENADOR DE ENTREGAS"</formula1>
    </dataValidation>
    <dataValidation type="list" allowBlank="1" showErrorMessage="1" sqref="Q1 Q13 Q17 Q21 Q24:Q25 Q29 Q36:Q90" xr:uid="{00000000-0002-0000-0C00-00000B000000}">
      <formula1>"Alan,Bernardo,Flaviana,Coordenação,AVULSO"</formula1>
    </dataValidation>
    <dataValidation type="list" allowBlank="1" showErrorMessage="1" sqref="O4:O12 O14:O16 O18:O20 O22:O23 O26:O28 O30:O34" xr:uid="{00000000-0002-0000-0C00-00000C000000}">
      <formula1>"N/A,NR32,NR35"</formula1>
    </dataValidation>
    <dataValidation type="list" allowBlank="1" showErrorMessage="1" sqref="M1 M13 M17 M21 M24:M25 M29 M36:M90" xr:uid="{00000000-0002-0000-0C00-00000D000000}">
      <formula1>"Cesta Gd,Cesta Pq,Roteiro ou Contagem,Vale Refeição"</formula1>
    </dataValidation>
    <dataValidation type="list" allowBlank="1" showErrorMessage="1" sqref="E1 E13 E17 E21 E24:E25 E29 E36:E90" xr:uid="{00000000-0002-0000-0C00-00000E000000}">
      <formula1>"AVULSO,-,EXTRA"</formula1>
    </dataValidation>
  </dataValidations>
  <printOptions horizontalCentered="1"/>
  <pageMargins left="0.21520699483116765" right="0.25" top="0.2638739269015915" bottom="0.30510422797996523" header="0" footer="0"/>
  <pageSetup paperSize="9"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AN1106"/>
  <sheetViews>
    <sheetView workbookViewId="0">
      <pane ySplit="8" topLeftCell="A9" activePane="bottomLeft" state="frozen"/>
      <selection pane="bottomLeft" activeCell="B10" sqref="B10"/>
    </sheetView>
  </sheetViews>
  <sheetFormatPr defaultColWidth="12.5703125" defaultRowHeight="15" customHeight="1" outlineLevelCol="1"/>
  <cols>
    <col min="1" max="1" width="17.140625" customWidth="1"/>
    <col min="2" max="2" width="9.42578125" customWidth="1" outlineLevel="1"/>
    <col min="3" max="3" width="37" customWidth="1" outlineLevel="1"/>
    <col min="4" max="4" width="22.140625" customWidth="1"/>
    <col min="5" max="8" width="14.42578125" customWidth="1"/>
    <col min="9" max="9" width="48.28515625" customWidth="1" outlineLevel="1"/>
    <col min="10" max="13" width="6.42578125" customWidth="1"/>
    <col min="14" max="23" width="8.7109375" customWidth="1" outlineLevel="1"/>
    <col min="24" max="24" width="13.28515625" customWidth="1" outlineLevel="1"/>
    <col min="25" max="25" width="4.28515625" customWidth="1" collapsed="1"/>
    <col min="26" max="27" width="8.85546875" customWidth="1" outlineLevel="1"/>
    <col min="28" max="28" width="4.28515625" customWidth="1" collapsed="1"/>
    <col min="29" max="30" width="7.5703125" customWidth="1" outlineLevel="1"/>
    <col min="31" max="31" width="4.28515625" customWidth="1" collapsed="1"/>
    <col min="32" max="33" width="7.7109375" customWidth="1" outlineLevel="1"/>
    <col min="34" max="34" width="4.28515625" customWidth="1" collapsed="1"/>
    <col min="35" max="36" width="10.5703125" customWidth="1" outlineLevel="1"/>
    <col min="37" max="37" width="41.28515625" customWidth="1" outlineLevel="1"/>
    <col min="39" max="39" width="14.28515625" customWidth="1"/>
    <col min="40" max="40" width="20.140625" customWidth="1"/>
  </cols>
  <sheetData>
    <row r="1" spans="1:40" ht="26.25" hidden="1" customHeight="1">
      <c r="A1" s="148"/>
      <c r="B1" s="149" t="e">
        <f>VLOOKUP(A1,#REF!,8,FALSE())</f>
        <v>#REF!</v>
      </c>
      <c r="C1" s="150" t="e">
        <f>VLOOKUP(A1,#REF!,11,FALSE())</f>
        <v>#REF!</v>
      </c>
      <c r="D1" s="151"/>
      <c r="E1" s="151"/>
      <c r="F1" s="151"/>
      <c r="G1" s="151"/>
      <c r="H1" s="151"/>
      <c r="I1" s="152" t="e">
        <f>VLOOKUP(A1,#REF!,18,FALSE())</f>
        <v>#REF!</v>
      </c>
      <c r="J1" s="151"/>
      <c r="K1" s="151"/>
      <c r="L1" s="151"/>
      <c r="M1" s="151"/>
      <c r="N1" s="153"/>
      <c r="O1" s="153"/>
      <c r="P1" s="153"/>
      <c r="Q1" s="153"/>
      <c r="R1" s="153"/>
      <c r="S1" s="153"/>
      <c r="T1" s="153"/>
      <c r="U1" s="153"/>
      <c r="V1" s="153"/>
      <c r="W1" s="153" t="e">
        <f>VLOOKUP(A1,#REF!,34,FALSE())</f>
        <v>#REF!</v>
      </c>
      <c r="X1" s="152" t="e">
        <f>VLOOKUP(A1,#REF!,16,FALSE())</f>
        <v>#REF!</v>
      </c>
      <c r="Y1" s="151" t="e">
        <f>IF(Z1="N/A",,IF(Z1=AA1,"ok","X"))</f>
        <v>#REF!</v>
      </c>
      <c r="Z1" s="154" t="e">
        <f>VLOOKUP(A1,#REF!,15,FALSE())</f>
        <v>#REF!</v>
      </c>
      <c r="AA1" s="154" t="e">
        <f>VLOOKUP(#REF!,#REF!,29,FALSE())</f>
        <v>#REF!</v>
      </c>
      <c r="AB1" s="151" t="e">
        <f>IF(AD1=AC1,"-","X")</f>
        <v>#REF!</v>
      </c>
      <c r="AC1" s="154" t="str">
        <f>MID(A1,1,2)</f>
        <v/>
      </c>
      <c r="AD1" s="154" t="e">
        <f>MID(VLOOKUP(#REF!,#REF!,10,FALSE()),1,2)</f>
        <v>#REF!</v>
      </c>
      <c r="AE1" s="151" t="e">
        <f>IF(AG1=AF1,"-","X")</f>
        <v>#REF!</v>
      </c>
      <c r="AF1" s="155" t="e">
        <f>VLOOKUP(A1,#REF!,19,FALSE())</f>
        <v>#REF!</v>
      </c>
      <c r="AG1" s="156" t="e">
        <f>VLOOKUP(#REF!,#REF!,8,FALSE())</f>
        <v>#REF!</v>
      </c>
      <c r="AH1" s="157" t="e">
        <f>IF(AI1=0,"","F")</f>
        <v>#REF!</v>
      </c>
      <c r="AI1" s="158" t="e">
        <f>VLOOKUP(#REF!,#REF!,25,FALSE())</f>
        <v>#REF!</v>
      </c>
      <c r="AJ1" s="158" t="e">
        <f>IF(AI1=0,,(VLOOKUP(#REF!,#REF!,26,FALSE()))+1)</f>
        <v>#REF!</v>
      </c>
      <c r="AK1" s="159" t="e">
        <f>VLOOKUP(#REF!,#REF!,18,FALSE())</f>
        <v>#REF!</v>
      </c>
      <c r="AL1" s="160" t="e">
        <f>IF(AK1=0,0,AG1)</f>
        <v>#REF!</v>
      </c>
      <c r="AM1" s="159" t="e">
        <f>VLOOKUP(AK1,#REF!,10,FALSE())</f>
        <v>#REF!</v>
      </c>
      <c r="AN1" s="152" t="e">
        <f>IF(B1="-",VLOOKUP(A1,[1]velho!$A$28:$KE$243,19,FALSE()),VLOOKUP(M1,ROTEIRO!$D$3:$AI$202,6,FALSE()))</f>
        <v>#REF!</v>
      </c>
    </row>
    <row r="2" spans="1:40" ht="26.25" hidden="1" customHeight="1">
      <c r="A2" s="148" t="s">
        <v>2493</v>
      </c>
      <c r="B2" s="149" t="s">
        <v>2494</v>
      </c>
      <c r="C2" s="150" t="s">
        <v>2457</v>
      </c>
      <c r="D2" s="151"/>
      <c r="E2" s="151"/>
      <c r="F2" s="151"/>
      <c r="G2" s="151"/>
      <c r="H2" s="151"/>
      <c r="I2" s="152" t="s">
        <v>2495</v>
      </c>
      <c r="J2" s="151"/>
      <c r="K2" s="151"/>
      <c r="L2" s="151"/>
      <c r="M2" s="151"/>
      <c r="N2" s="161"/>
      <c r="O2" s="161"/>
      <c r="P2" s="161"/>
      <c r="Q2" s="161"/>
      <c r="R2" s="161"/>
      <c r="S2" s="161"/>
      <c r="T2" s="161"/>
      <c r="U2" s="161"/>
      <c r="V2" s="161">
        <v>8.3333333333333329E-2</v>
      </c>
      <c r="W2" s="161"/>
      <c r="X2" s="152" t="s">
        <v>60</v>
      </c>
      <c r="Y2" s="151"/>
      <c r="Z2" s="154" t="s">
        <v>7</v>
      </c>
      <c r="AA2" s="154" t="s">
        <v>143</v>
      </c>
      <c r="AB2" s="151" t="s">
        <v>49</v>
      </c>
      <c r="AC2" s="154" t="s">
        <v>2496</v>
      </c>
      <c r="AD2" s="154" t="s">
        <v>2496</v>
      </c>
      <c r="AE2" s="151" t="s">
        <v>2436</v>
      </c>
      <c r="AF2" s="155">
        <v>8.3333333333333329E-2</v>
      </c>
      <c r="AG2" s="156" t="s">
        <v>3</v>
      </c>
      <c r="AH2" s="157" t="s">
        <v>1036</v>
      </c>
      <c r="AI2" s="158"/>
      <c r="AJ2" s="158"/>
      <c r="AK2" s="159"/>
      <c r="AL2" s="160">
        <v>0</v>
      </c>
      <c r="AM2" s="159" t="e">
        <v>#N/A</v>
      </c>
      <c r="AN2" s="152" t="e">
        <v>#N/A</v>
      </c>
    </row>
    <row r="3" spans="1:40" ht="26.25" hidden="1" customHeight="1">
      <c r="A3" s="148" t="s">
        <v>2497</v>
      </c>
      <c r="B3" s="149" t="s">
        <v>2498</v>
      </c>
      <c r="C3" s="150" t="s">
        <v>2457</v>
      </c>
      <c r="D3" s="151"/>
      <c r="E3" s="151"/>
      <c r="F3" s="151"/>
      <c r="G3" s="151"/>
      <c r="H3" s="151"/>
      <c r="I3" s="152" t="s">
        <v>2499</v>
      </c>
      <c r="J3" s="151"/>
      <c r="K3" s="151"/>
      <c r="L3" s="151"/>
      <c r="M3" s="151"/>
      <c r="N3" s="161"/>
      <c r="O3" s="161"/>
      <c r="P3" s="161"/>
      <c r="Q3" s="161"/>
      <c r="R3" s="161"/>
      <c r="S3" s="161"/>
      <c r="T3" s="161"/>
      <c r="U3" s="161"/>
      <c r="V3" s="161">
        <v>0.625</v>
      </c>
      <c r="W3" s="162">
        <v>0.125</v>
      </c>
      <c r="X3" s="152" t="s">
        <v>60</v>
      </c>
      <c r="Y3" s="151"/>
      <c r="Z3" s="154" t="s">
        <v>7</v>
      </c>
      <c r="AA3" s="154" t="s">
        <v>7</v>
      </c>
      <c r="AB3" s="151" t="s">
        <v>49</v>
      </c>
      <c r="AC3" s="154" t="s">
        <v>2496</v>
      </c>
      <c r="AD3" s="154" t="s">
        <v>2496</v>
      </c>
      <c r="AE3" s="151" t="s">
        <v>2436</v>
      </c>
      <c r="AF3" s="155">
        <v>0.625</v>
      </c>
      <c r="AG3" s="156" t="s">
        <v>3</v>
      </c>
      <c r="AH3" s="157" t="s">
        <v>1036</v>
      </c>
      <c r="AI3" s="158"/>
      <c r="AJ3" s="158"/>
      <c r="AK3" s="159"/>
      <c r="AL3" s="160">
        <v>0</v>
      </c>
      <c r="AM3" s="159" t="e">
        <v>#N/A</v>
      </c>
      <c r="AN3" s="152" t="e">
        <v>#N/A</v>
      </c>
    </row>
    <row r="4" spans="1:40" ht="26.25" hidden="1" customHeight="1">
      <c r="A4" s="148" t="s">
        <v>2453</v>
      </c>
      <c r="B4" s="149" t="s">
        <v>2500</v>
      </c>
      <c r="C4" s="150" t="s">
        <v>2457</v>
      </c>
      <c r="D4" s="151"/>
      <c r="E4" s="151"/>
      <c r="F4" s="151"/>
      <c r="G4" s="151"/>
      <c r="H4" s="151"/>
      <c r="I4" s="152" t="s">
        <v>2501</v>
      </c>
      <c r="J4" s="151"/>
      <c r="K4" s="151"/>
      <c r="L4" s="151"/>
      <c r="M4" s="151"/>
      <c r="N4" s="163"/>
      <c r="O4" s="163"/>
      <c r="P4" s="163"/>
      <c r="Q4" s="163"/>
      <c r="R4" s="163"/>
      <c r="S4" s="163"/>
      <c r="T4" s="163"/>
      <c r="U4" s="163"/>
      <c r="V4" s="163">
        <v>0.27777777777777779</v>
      </c>
      <c r="W4" s="153"/>
      <c r="X4" s="152" t="s">
        <v>60</v>
      </c>
      <c r="Y4" s="151" t="s">
        <v>2436</v>
      </c>
      <c r="Z4" s="154"/>
      <c r="AA4" s="154" t="s">
        <v>7</v>
      </c>
      <c r="AB4" s="151" t="s">
        <v>49</v>
      </c>
      <c r="AC4" s="154" t="s">
        <v>2496</v>
      </c>
      <c r="AD4" s="154" t="s">
        <v>2496</v>
      </c>
      <c r="AE4" s="151" t="s">
        <v>2436</v>
      </c>
      <c r="AF4" s="155">
        <v>0.27777777777777779</v>
      </c>
      <c r="AG4" s="156" t="s">
        <v>3</v>
      </c>
      <c r="AH4" s="157" t="s">
        <v>1036</v>
      </c>
      <c r="AI4" s="158"/>
      <c r="AJ4" s="158"/>
      <c r="AK4" s="159"/>
      <c r="AL4" s="160">
        <v>0</v>
      </c>
      <c r="AM4" s="159" t="e">
        <v>#N/A</v>
      </c>
      <c r="AN4" s="152" t="e">
        <v>#N/A</v>
      </c>
    </row>
    <row r="5" spans="1:40" ht="37.5" hidden="1" customHeight="1">
      <c r="A5" s="148" t="s">
        <v>2456</v>
      </c>
      <c r="B5" s="149" t="s">
        <v>2502</v>
      </c>
      <c r="C5" s="150" t="s">
        <v>2457</v>
      </c>
      <c r="D5" s="151"/>
      <c r="E5" s="151"/>
      <c r="F5" s="151"/>
      <c r="G5" s="151"/>
      <c r="H5" s="151"/>
      <c r="I5" s="152" t="s">
        <v>552</v>
      </c>
      <c r="J5" s="151"/>
      <c r="K5" s="151"/>
      <c r="L5" s="151"/>
      <c r="M5" s="151"/>
      <c r="N5" s="153"/>
      <c r="O5" s="153"/>
      <c r="P5" s="153"/>
      <c r="Q5" s="153"/>
      <c r="R5" s="153"/>
      <c r="S5" s="153"/>
      <c r="T5" s="153"/>
      <c r="U5" s="153"/>
      <c r="V5" s="153"/>
      <c r="W5" s="161"/>
      <c r="X5" s="152" t="s">
        <v>60</v>
      </c>
      <c r="Y5" s="151"/>
      <c r="Z5" s="154" t="s">
        <v>7</v>
      </c>
      <c r="AA5" s="154" t="s">
        <v>949</v>
      </c>
      <c r="AB5" s="151" t="s">
        <v>49</v>
      </c>
      <c r="AC5" s="154" t="s">
        <v>2496</v>
      </c>
      <c r="AD5" s="154" t="s">
        <v>2496</v>
      </c>
      <c r="AE5" s="151" t="s">
        <v>2436</v>
      </c>
      <c r="AF5" s="155">
        <v>0.10416666666666667</v>
      </c>
      <c r="AG5" s="156" t="s">
        <v>404</v>
      </c>
      <c r="AH5" s="157" t="s">
        <v>1036</v>
      </c>
      <c r="AI5" s="158"/>
      <c r="AJ5" s="158"/>
      <c r="AK5" s="159"/>
      <c r="AL5" s="160">
        <v>0</v>
      </c>
      <c r="AM5" s="159" t="e">
        <v>#N/A</v>
      </c>
      <c r="AN5" s="152" t="e">
        <v>#N/A</v>
      </c>
    </row>
    <row r="6" spans="1:40" ht="26.25" hidden="1" customHeight="1">
      <c r="A6" s="148" t="s">
        <v>2503</v>
      </c>
      <c r="B6" s="149" t="s">
        <v>2504</v>
      </c>
      <c r="C6" s="150" t="s">
        <v>2457</v>
      </c>
      <c r="D6" s="151"/>
      <c r="E6" s="151"/>
      <c r="F6" s="151"/>
      <c r="G6" s="151"/>
      <c r="H6" s="151"/>
      <c r="I6" s="152" t="s">
        <v>524</v>
      </c>
      <c r="J6" s="151"/>
      <c r="K6" s="151"/>
      <c r="L6" s="151"/>
      <c r="M6" s="151"/>
      <c r="N6" s="163"/>
      <c r="O6" s="163"/>
      <c r="P6" s="163"/>
      <c r="Q6" s="163"/>
      <c r="R6" s="163"/>
      <c r="S6" s="163"/>
      <c r="T6" s="163"/>
      <c r="U6" s="163"/>
      <c r="V6" s="163">
        <v>0.66666666666666663</v>
      </c>
      <c r="W6" s="153"/>
      <c r="X6" s="152" t="s">
        <v>60</v>
      </c>
      <c r="Y6" s="151"/>
      <c r="Z6" s="154" t="s">
        <v>7</v>
      </c>
      <c r="AA6" s="154" t="s">
        <v>7</v>
      </c>
      <c r="AB6" s="151" t="s">
        <v>49</v>
      </c>
      <c r="AC6" s="154" t="s">
        <v>2496</v>
      </c>
      <c r="AD6" s="154" t="s">
        <v>2496</v>
      </c>
      <c r="AE6" s="151" t="s">
        <v>2436</v>
      </c>
      <c r="AF6" s="155">
        <v>0.66666666666666663</v>
      </c>
      <c r="AG6" s="156" t="s">
        <v>404</v>
      </c>
      <c r="AH6" s="157" t="s">
        <v>1036</v>
      </c>
      <c r="AI6" s="158"/>
      <c r="AJ6" s="158"/>
      <c r="AK6" s="159"/>
      <c r="AL6" s="160">
        <v>0</v>
      </c>
      <c r="AM6" s="159" t="e">
        <v>#N/A</v>
      </c>
      <c r="AN6" s="152" t="e">
        <v>#N/A</v>
      </c>
    </row>
    <row r="7" spans="1:40" ht="27.75" hidden="1" customHeight="1">
      <c r="A7" s="148" t="s">
        <v>2505</v>
      </c>
      <c r="B7" s="149" t="s">
        <v>2506</v>
      </c>
      <c r="C7" s="150" t="s">
        <v>2457</v>
      </c>
      <c r="D7" s="151"/>
      <c r="E7" s="151"/>
      <c r="F7" s="151"/>
      <c r="G7" s="151"/>
      <c r="H7" s="151"/>
      <c r="I7" s="152" t="s">
        <v>541</v>
      </c>
      <c r="J7" s="151"/>
      <c r="K7" s="151"/>
      <c r="L7" s="151"/>
      <c r="M7" s="151"/>
      <c r="N7" s="163"/>
      <c r="O7" s="163"/>
      <c r="P7" s="163"/>
      <c r="Q7" s="163"/>
      <c r="R7" s="163"/>
      <c r="S7" s="163"/>
      <c r="T7" s="163"/>
      <c r="U7" s="163"/>
      <c r="V7" s="163">
        <v>0.16666666666666666</v>
      </c>
      <c r="W7" s="153"/>
      <c r="X7" s="152" t="s">
        <v>60</v>
      </c>
      <c r="Y7" s="151"/>
      <c r="Z7" s="154" t="s">
        <v>7</v>
      </c>
      <c r="AA7" s="154" t="s">
        <v>7</v>
      </c>
      <c r="AB7" s="151" t="s">
        <v>49</v>
      </c>
      <c r="AC7" s="154" t="s">
        <v>2496</v>
      </c>
      <c r="AD7" s="154" t="s">
        <v>2496</v>
      </c>
      <c r="AE7" s="151" t="s">
        <v>2436</v>
      </c>
      <c r="AF7" s="155">
        <v>0.16666666666666666</v>
      </c>
      <c r="AG7" s="156" t="s">
        <v>404</v>
      </c>
      <c r="AH7" s="157" t="s">
        <v>1036</v>
      </c>
      <c r="AI7" s="158"/>
      <c r="AJ7" s="158"/>
      <c r="AK7" s="159"/>
      <c r="AL7" s="160">
        <v>0</v>
      </c>
      <c r="AM7" s="159" t="e">
        <v>#N/A</v>
      </c>
      <c r="AN7" s="152" t="e">
        <v>#N/A</v>
      </c>
    </row>
    <row r="8" spans="1:40" ht="54.75" customHeight="1">
      <c r="A8" s="75" t="str">
        <f>CONCATENATE(COUNTIF(A12:A1184,"&lt;&gt;0")," CÓDIGOS DO POSTO)")</f>
        <v>1173 CÓDIGOS DO POSTO)</v>
      </c>
      <c r="B8" s="75" t="s">
        <v>570</v>
      </c>
      <c r="C8" s="75" t="s">
        <v>2507</v>
      </c>
      <c r="D8" s="76" t="s">
        <v>1575</v>
      </c>
      <c r="E8" s="76" t="s">
        <v>2508</v>
      </c>
      <c r="F8" s="76" t="s">
        <v>2509</v>
      </c>
      <c r="G8" s="76" t="s">
        <v>2510</v>
      </c>
      <c r="H8" s="76" t="s">
        <v>2511</v>
      </c>
      <c r="I8" s="75" t="s">
        <v>1442</v>
      </c>
      <c r="J8" s="76" t="s">
        <v>2512</v>
      </c>
      <c r="K8" s="76"/>
      <c r="L8" s="76"/>
      <c r="M8" s="76" t="s">
        <v>1440</v>
      </c>
      <c r="N8" s="75"/>
      <c r="O8" s="75"/>
      <c r="P8" s="75"/>
      <c r="Q8" s="75"/>
      <c r="R8" s="75"/>
      <c r="S8" s="75"/>
      <c r="T8" s="75"/>
      <c r="U8" s="75"/>
      <c r="V8" s="75"/>
      <c r="W8" s="75" t="s">
        <v>1443</v>
      </c>
      <c r="X8" s="75" t="s">
        <v>1444</v>
      </c>
      <c r="Y8" s="76" t="s">
        <v>1445</v>
      </c>
      <c r="Z8" s="75" t="s">
        <v>1446</v>
      </c>
      <c r="AA8" s="75" t="s">
        <v>1447</v>
      </c>
      <c r="AB8" s="76" t="s">
        <v>1448</v>
      </c>
      <c r="AC8" s="75" t="s">
        <v>1449</v>
      </c>
      <c r="AD8" s="75" t="s">
        <v>1450</v>
      </c>
      <c r="AE8" s="76" t="s">
        <v>1452</v>
      </c>
      <c r="AF8" s="75" t="s">
        <v>1453</v>
      </c>
      <c r="AG8" s="75" t="s">
        <v>1454</v>
      </c>
      <c r="AH8" s="76" t="s">
        <v>6</v>
      </c>
      <c r="AI8" s="75" t="s">
        <v>1455</v>
      </c>
      <c r="AJ8" s="75" t="s">
        <v>1456</v>
      </c>
      <c r="AK8" s="75" t="s">
        <v>1457</v>
      </c>
      <c r="AL8" s="75"/>
      <c r="AM8" s="75"/>
      <c r="AN8" s="75"/>
    </row>
    <row r="9" spans="1:40" ht="26.25" customHeight="1">
      <c r="A9" s="148" t="s">
        <v>2460</v>
      </c>
      <c r="B9" s="149" t="s">
        <v>2513</v>
      </c>
      <c r="C9" s="150" t="s">
        <v>2514</v>
      </c>
      <c r="D9" s="152" t="s">
        <v>1588</v>
      </c>
      <c r="E9" s="152" t="s">
        <v>58</v>
      </c>
      <c r="F9" s="152" t="s">
        <v>7</v>
      </c>
      <c r="G9" s="152" t="s">
        <v>7</v>
      </c>
      <c r="H9" s="152" t="s">
        <v>60</v>
      </c>
      <c r="I9" s="152" t="s">
        <v>450</v>
      </c>
      <c r="J9" s="151" t="s">
        <v>2515</v>
      </c>
      <c r="K9" s="151"/>
      <c r="L9" s="151"/>
      <c r="M9" s="151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2" t="s">
        <v>60</v>
      </c>
      <c r="Y9" s="151"/>
      <c r="Z9" s="154" t="s">
        <v>7</v>
      </c>
      <c r="AA9" s="154" t="s">
        <v>7</v>
      </c>
      <c r="AB9" s="151" t="s">
        <v>2436</v>
      </c>
      <c r="AC9" s="154" t="s">
        <v>2516</v>
      </c>
      <c r="AD9" s="154" t="s">
        <v>2496</v>
      </c>
      <c r="AE9" s="151" t="s">
        <v>2436</v>
      </c>
      <c r="AF9" s="155">
        <v>0.33333333333333331</v>
      </c>
      <c r="AG9" s="156" t="s">
        <v>3</v>
      </c>
      <c r="AH9" s="157" t="s">
        <v>1036</v>
      </c>
      <c r="AI9" s="158"/>
      <c r="AJ9" s="158"/>
      <c r="AK9" s="159"/>
      <c r="AL9" s="160">
        <v>0</v>
      </c>
      <c r="AM9" s="159" t="e">
        <v>#N/A</v>
      </c>
      <c r="AN9" s="152" t="e">
        <v>#N/A</v>
      </c>
    </row>
    <row r="10" spans="1:40" ht="26.25" customHeight="1">
      <c r="A10" s="148" t="s">
        <v>1490</v>
      </c>
      <c r="B10" s="149" t="s">
        <v>49</v>
      </c>
      <c r="C10" s="150" t="s">
        <v>1491</v>
      </c>
      <c r="D10" s="152" t="s">
        <v>396</v>
      </c>
      <c r="E10" s="152" t="s">
        <v>21</v>
      </c>
      <c r="F10" s="152" t="s">
        <v>7</v>
      </c>
      <c r="G10" s="152" t="s">
        <v>7</v>
      </c>
      <c r="H10" s="152" t="s">
        <v>60</v>
      </c>
      <c r="I10" s="152" t="s">
        <v>423</v>
      </c>
      <c r="J10" s="151" t="s">
        <v>2515</v>
      </c>
      <c r="K10" s="151"/>
      <c r="L10" s="151"/>
      <c r="M10" s="151"/>
      <c r="N10" s="161"/>
      <c r="O10" s="161"/>
      <c r="P10" s="161"/>
      <c r="Q10" s="161"/>
      <c r="R10" s="161"/>
      <c r="S10" s="161"/>
      <c r="T10" s="161"/>
      <c r="U10" s="161"/>
      <c r="V10" s="161">
        <v>1.8333333333333333</v>
      </c>
      <c r="W10" s="153"/>
      <c r="X10" s="152" t="s">
        <v>60</v>
      </c>
      <c r="Y10" s="151"/>
      <c r="Z10" s="154" t="s">
        <v>7</v>
      </c>
      <c r="AA10" s="154" t="s">
        <v>7</v>
      </c>
      <c r="AB10" s="151" t="s">
        <v>49</v>
      </c>
      <c r="AC10" s="154" t="s">
        <v>2516</v>
      </c>
      <c r="AD10" s="154" t="s">
        <v>2516</v>
      </c>
      <c r="AE10" s="151" t="s">
        <v>2436</v>
      </c>
      <c r="AF10" s="155">
        <v>1.8333333333333333</v>
      </c>
      <c r="AG10" s="156" t="s">
        <v>3</v>
      </c>
      <c r="AH10" s="157" t="s">
        <v>1036</v>
      </c>
      <c r="AI10" s="158"/>
      <c r="AJ10" s="158"/>
      <c r="AK10" s="159"/>
      <c r="AL10" s="160">
        <v>0</v>
      </c>
      <c r="AM10" s="159" t="e">
        <v>#N/A</v>
      </c>
      <c r="AN10" s="152" t="e">
        <v>#REF!</v>
      </c>
    </row>
    <row r="11" spans="1:40" ht="26.25" customHeight="1">
      <c r="A11" s="148" t="s">
        <v>2517</v>
      </c>
      <c r="B11" s="149" t="s">
        <v>49</v>
      </c>
      <c r="C11" s="150" t="s">
        <v>1491</v>
      </c>
      <c r="D11" s="152" t="s">
        <v>396</v>
      </c>
      <c r="E11" s="152" t="s">
        <v>21</v>
      </c>
      <c r="F11" s="152" t="s">
        <v>7</v>
      </c>
      <c r="G11" s="152" t="s">
        <v>7</v>
      </c>
      <c r="H11" s="152" t="s">
        <v>22</v>
      </c>
      <c r="I11" s="152" t="s">
        <v>433</v>
      </c>
      <c r="J11" s="151" t="s">
        <v>2515</v>
      </c>
      <c r="K11" s="151"/>
      <c r="L11" s="151"/>
      <c r="M11" s="151"/>
      <c r="N11" s="161"/>
      <c r="O11" s="161"/>
      <c r="P11" s="161"/>
      <c r="Q11" s="161"/>
      <c r="R11" s="161"/>
      <c r="S11" s="161"/>
      <c r="T11" s="161"/>
      <c r="U11" s="161"/>
      <c r="V11" s="161">
        <v>1.8333333333333333</v>
      </c>
      <c r="W11" s="153"/>
      <c r="X11" s="152" t="s">
        <v>22</v>
      </c>
      <c r="Y11" s="151"/>
      <c r="Z11" s="154" t="s">
        <v>7</v>
      </c>
      <c r="AA11" s="154" t="s">
        <v>7</v>
      </c>
      <c r="AB11" s="151" t="s">
        <v>49</v>
      </c>
      <c r="AC11" s="154" t="s">
        <v>2516</v>
      </c>
      <c r="AD11" s="154" t="s">
        <v>2516</v>
      </c>
      <c r="AE11" s="151" t="s">
        <v>2436</v>
      </c>
      <c r="AF11" s="155">
        <v>1.8333333333333333</v>
      </c>
      <c r="AG11" s="156" t="s">
        <v>72</v>
      </c>
      <c r="AH11" s="157" t="s">
        <v>1036</v>
      </c>
      <c r="AI11" s="158"/>
      <c r="AJ11" s="158"/>
      <c r="AK11" s="159"/>
      <c r="AL11" s="160">
        <v>0</v>
      </c>
      <c r="AM11" s="159" t="e">
        <v>#N/A</v>
      </c>
      <c r="AN11" s="152" t="e">
        <v>#REF!</v>
      </c>
    </row>
    <row r="12" spans="1:40" ht="26.25" customHeight="1">
      <c r="A12" s="148" t="s">
        <v>2518</v>
      </c>
      <c r="B12" s="148"/>
      <c r="C12" s="150" t="s">
        <v>1491</v>
      </c>
      <c r="D12" s="152" t="s">
        <v>396</v>
      </c>
      <c r="E12" s="152" t="s">
        <v>21</v>
      </c>
      <c r="F12" s="152" t="s">
        <v>7</v>
      </c>
      <c r="G12" s="152" t="s">
        <v>7</v>
      </c>
      <c r="H12" s="152" t="s">
        <v>22</v>
      </c>
      <c r="I12" s="152" t="s">
        <v>433</v>
      </c>
      <c r="J12" s="151" t="s">
        <v>2515</v>
      </c>
      <c r="K12" s="151"/>
      <c r="L12" s="151"/>
      <c r="M12" s="151"/>
      <c r="N12" s="161"/>
      <c r="O12" s="161"/>
      <c r="P12" s="161"/>
      <c r="Q12" s="161"/>
      <c r="R12" s="161"/>
      <c r="S12" s="161"/>
      <c r="T12" s="161"/>
      <c r="U12" s="161"/>
      <c r="V12" s="161">
        <v>1.8333333333333333</v>
      </c>
      <c r="W12" s="153"/>
      <c r="X12" s="152" t="s">
        <v>22</v>
      </c>
      <c r="Y12" s="151"/>
      <c r="Z12" s="154" t="s">
        <v>7</v>
      </c>
      <c r="AA12" s="154" t="s">
        <v>7</v>
      </c>
      <c r="AB12" s="151" t="s">
        <v>49</v>
      </c>
      <c r="AC12" s="154" t="s">
        <v>2516</v>
      </c>
      <c r="AD12" s="154" t="s">
        <v>2516</v>
      </c>
      <c r="AE12" s="151" t="s">
        <v>2436</v>
      </c>
      <c r="AF12" s="155">
        <v>1.8333333333333333</v>
      </c>
      <c r="AG12" s="156" t="s">
        <v>72</v>
      </c>
      <c r="AH12" s="157" t="s">
        <v>1036</v>
      </c>
      <c r="AI12" s="158"/>
      <c r="AJ12" s="158"/>
      <c r="AK12" s="159"/>
      <c r="AL12" s="160">
        <v>0</v>
      </c>
      <c r="AM12" s="159" t="e">
        <v>#N/A</v>
      </c>
      <c r="AN12" s="152" t="e">
        <v>#N/A</v>
      </c>
    </row>
    <row r="13" spans="1:40" ht="26.25" customHeight="1">
      <c r="A13" s="148" t="s">
        <v>1556</v>
      </c>
      <c r="B13" s="149" t="s">
        <v>2519</v>
      </c>
      <c r="C13" s="150" t="s">
        <v>1909</v>
      </c>
      <c r="D13" s="152" t="s">
        <v>1588</v>
      </c>
      <c r="E13" s="152" t="s">
        <v>58</v>
      </c>
      <c r="F13" s="152" t="s">
        <v>7</v>
      </c>
      <c r="G13" s="152" t="s">
        <v>7</v>
      </c>
      <c r="H13" s="152" t="s">
        <v>60</v>
      </c>
      <c r="I13" s="152" t="s">
        <v>1503</v>
      </c>
      <c r="J13" s="151" t="s">
        <v>2515</v>
      </c>
      <c r="K13" s="151"/>
      <c r="L13" s="151"/>
      <c r="M13" s="151"/>
      <c r="N13" s="161"/>
      <c r="O13" s="161"/>
      <c r="P13" s="161"/>
      <c r="Q13" s="161"/>
      <c r="R13" s="161"/>
      <c r="S13" s="161"/>
      <c r="T13" s="161"/>
      <c r="U13" s="161"/>
      <c r="V13" s="161">
        <v>0.16666666666666666</v>
      </c>
      <c r="W13" s="161"/>
      <c r="X13" s="152" t="s">
        <v>60</v>
      </c>
      <c r="Y13" s="151"/>
      <c r="Z13" s="154" t="s">
        <v>7</v>
      </c>
      <c r="AA13" s="154" t="s">
        <v>7</v>
      </c>
      <c r="AB13" s="151" t="s">
        <v>2436</v>
      </c>
      <c r="AC13" s="154" t="s">
        <v>2520</v>
      </c>
      <c r="AD13" s="154" t="s">
        <v>2496</v>
      </c>
      <c r="AE13" s="151" t="s">
        <v>2436</v>
      </c>
      <c r="AF13" s="155">
        <v>0.16666666666666666</v>
      </c>
      <c r="AG13" s="156" t="s">
        <v>3</v>
      </c>
      <c r="AH13" s="157" t="s">
        <v>1036</v>
      </c>
      <c r="AI13" s="158"/>
      <c r="AJ13" s="158"/>
      <c r="AK13" s="159"/>
      <c r="AL13" s="160">
        <v>0</v>
      </c>
      <c r="AM13" s="159" t="e">
        <v>#N/A</v>
      </c>
      <c r="AN13" s="152" t="e">
        <v>#N/A</v>
      </c>
    </row>
    <row r="14" spans="1:40" ht="26.25" customHeight="1">
      <c r="A14" s="148" t="s">
        <v>2521</v>
      </c>
      <c r="B14" s="149" t="s">
        <v>2522</v>
      </c>
      <c r="C14" s="150" t="s">
        <v>1582</v>
      </c>
      <c r="D14" s="152" t="s">
        <v>1588</v>
      </c>
      <c r="E14" s="152" t="s">
        <v>58</v>
      </c>
      <c r="F14" s="152" t="s">
        <v>7</v>
      </c>
      <c r="G14" s="152" t="s">
        <v>7</v>
      </c>
      <c r="H14" s="152" t="s">
        <v>60</v>
      </c>
      <c r="I14" s="152" t="s">
        <v>608</v>
      </c>
      <c r="J14" s="151" t="s">
        <v>2515</v>
      </c>
      <c r="K14" s="151"/>
      <c r="L14" s="151"/>
      <c r="M14" s="151"/>
      <c r="N14" s="161"/>
      <c r="O14" s="161"/>
      <c r="P14" s="161"/>
      <c r="Q14" s="161"/>
      <c r="R14" s="161"/>
      <c r="S14" s="161"/>
      <c r="T14" s="161"/>
      <c r="U14" s="161"/>
      <c r="V14" s="161">
        <v>1</v>
      </c>
      <c r="W14" s="161"/>
      <c r="X14" s="152" t="s">
        <v>60</v>
      </c>
      <c r="Y14" s="151"/>
      <c r="Z14" s="154" t="s">
        <v>7</v>
      </c>
      <c r="AA14" s="154" t="s">
        <v>7</v>
      </c>
      <c r="AB14" s="151" t="s">
        <v>49</v>
      </c>
      <c r="AC14" s="154" t="s">
        <v>2496</v>
      </c>
      <c r="AD14" s="154" t="s">
        <v>2496</v>
      </c>
      <c r="AE14" s="151" t="s">
        <v>2436</v>
      </c>
      <c r="AF14" s="155">
        <v>1</v>
      </c>
      <c r="AG14" s="156" t="s">
        <v>3</v>
      </c>
      <c r="AH14" s="157" t="s">
        <v>1036</v>
      </c>
      <c r="AI14" s="158"/>
      <c r="AJ14" s="158"/>
      <c r="AK14" s="159"/>
      <c r="AL14" s="160">
        <v>0</v>
      </c>
      <c r="AM14" s="159" t="e">
        <v>#N/A</v>
      </c>
      <c r="AN14" s="152" t="e">
        <v>#N/A</v>
      </c>
    </row>
    <row r="15" spans="1:40" ht="26.25" customHeight="1">
      <c r="A15" s="148" t="s">
        <v>2523</v>
      </c>
      <c r="B15" s="149" t="s">
        <v>49</v>
      </c>
      <c r="C15" s="150" t="s">
        <v>2524</v>
      </c>
      <c r="D15" s="152" t="s">
        <v>1588</v>
      </c>
      <c r="E15" s="152" t="s">
        <v>58</v>
      </c>
      <c r="F15" s="152" t="s">
        <v>7</v>
      </c>
      <c r="G15" s="152" t="s">
        <v>7</v>
      </c>
      <c r="H15" s="152" t="s">
        <v>60</v>
      </c>
      <c r="I15" s="152" t="s">
        <v>389</v>
      </c>
      <c r="J15" s="151" t="s">
        <v>2515</v>
      </c>
      <c r="K15" s="151"/>
      <c r="L15" s="151"/>
      <c r="M15" s="151"/>
      <c r="N15" s="161"/>
      <c r="O15" s="161"/>
      <c r="P15" s="161"/>
      <c r="Q15" s="161"/>
      <c r="R15" s="161"/>
      <c r="S15" s="161"/>
      <c r="T15" s="161"/>
      <c r="U15" s="161"/>
      <c r="V15" s="161">
        <v>0.33333333333333331</v>
      </c>
      <c r="W15" s="161"/>
      <c r="X15" s="152" t="s">
        <v>60</v>
      </c>
      <c r="Y15" s="151"/>
      <c r="Z15" s="154" t="s">
        <v>7</v>
      </c>
      <c r="AA15" s="154" t="s">
        <v>949</v>
      </c>
      <c r="AB15" s="151" t="s">
        <v>49</v>
      </c>
      <c r="AC15" s="154" t="s">
        <v>2496</v>
      </c>
      <c r="AD15" s="154" t="s">
        <v>2496</v>
      </c>
      <c r="AE15" s="151" t="s">
        <v>2436</v>
      </c>
      <c r="AF15" s="155">
        <v>0.33333333333333331</v>
      </c>
      <c r="AG15" s="156" t="s">
        <v>404</v>
      </c>
      <c r="AH15" s="157" t="s">
        <v>1036</v>
      </c>
      <c r="AI15" s="158"/>
      <c r="AJ15" s="158"/>
      <c r="AK15" s="159"/>
      <c r="AL15" s="160">
        <v>0</v>
      </c>
      <c r="AM15" s="159" t="e">
        <v>#N/A</v>
      </c>
      <c r="AN15" s="152" t="e">
        <v>#REF!</v>
      </c>
    </row>
    <row r="16" spans="1:40" ht="26.25" customHeight="1">
      <c r="A16" s="148" t="s">
        <v>2525</v>
      </c>
      <c r="B16" s="149" t="s">
        <v>2526</v>
      </c>
      <c r="C16" s="150" t="s">
        <v>1593</v>
      </c>
      <c r="D16" s="152" t="s">
        <v>1588</v>
      </c>
      <c r="E16" s="152" t="s">
        <v>58</v>
      </c>
      <c r="F16" s="152" t="s">
        <v>7</v>
      </c>
      <c r="G16" s="152" t="s">
        <v>7</v>
      </c>
      <c r="H16" s="152" t="s">
        <v>621</v>
      </c>
      <c r="I16" s="152" t="s">
        <v>623</v>
      </c>
      <c r="J16" s="151" t="s">
        <v>2515</v>
      </c>
      <c r="K16" s="151"/>
      <c r="L16" s="151"/>
      <c r="M16" s="151"/>
      <c r="N16" s="163"/>
      <c r="O16" s="163"/>
      <c r="P16" s="163"/>
      <c r="Q16" s="163"/>
      <c r="R16" s="163"/>
      <c r="S16" s="163"/>
      <c r="T16" s="163"/>
      <c r="U16" s="163"/>
      <c r="V16" s="163">
        <v>0.33333333333333331</v>
      </c>
      <c r="W16" s="153"/>
      <c r="X16" s="152" t="s">
        <v>621</v>
      </c>
      <c r="Y16" s="151"/>
      <c r="Z16" s="154" t="s">
        <v>7</v>
      </c>
      <c r="AA16" s="154" t="s">
        <v>7</v>
      </c>
      <c r="AB16" s="151" t="s">
        <v>2436</v>
      </c>
      <c r="AC16" s="154" t="s">
        <v>2496</v>
      </c>
      <c r="AD16" s="154" t="s">
        <v>2520</v>
      </c>
      <c r="AE16" s="151" t="s">
        <v>2436</v>
      </c>
      <c r="AF16" s="155">
        <v>0.33333333333333331</v>
      </c>
      <c r="AG16" s="156" t="s">
        <v>3</v>
      </c>
      <c r="AH16" s="157" t="e">
        <v>#N/A</v>
      </c>
      <c r="AI16" s="158" t="e">
        <v>#N/A</v>
      </c>
      <c r="AJ16" s="158" t="e">
        <v>#N/A</v>
      </c>
      <c r="AK16" s="159" t="e">
        <v>#N/A</v>
      </c>
      <c r="AL16" s="160" t="e">
        <v>#N/A</v>
      </c>
      <c r="AM16" s="159" t="e">
        <v>#N/A</v>
      </c>
      <c r="AN16" s="152" t="e">
        <v>#N/A</v>
      </c>
    </row>
    <row r="17" spans="1:40" ht="26.25" customHeight="1">
      <c r="A17" s="148" t="s">
        <v>2528</v>
      </c>
      <c r="B17" s="149" t="s">
        <v>49</v>
      </c>
      <c r="C17" s="150" t="s">
        <v>1605</v>
      </c>
      <c r="D17" s="152" t="s">
        <v>2529</v>
      </c>
      <c r="E17" s="152" t="s">
        <v>21</v>
      </c>
      <c r="F17" s="152" t="s">
        <v>7</v>
      </c>
      <c r="G17" s="152" t="s">
        <v>7</v>
      </c>
      <c r="H17" s="152" t="s">
        <v>621</v>
      </c>
      <c r="I17" s="152" t="s">
        <v>637</v>
      </c>
      <c r="J17" s="151" t="s">
        <v>2515</v>
      </c>
      <c r="K17" s="151"/>
      <c r="L17" s="151"/>
      <c r="M17" s="151"/>
      <c r="N17" s="161"/>
      <c r="O17" s="161"/>
      <c r="P17" s="161"/>
      <c r="Q17" s="161"/>
      <c r="R17" s="161"/>
      <c r="S17" s="161"/>
      <c r="T17" s="161"/>
      <c r="U17" s="161"/>
      <c r="V17" s="161">
        <v>1.8333333333333335</v>
      </c>
      <c r="W17" s="153"/>
      <c r="X17" s="152" t="s">
        <v>621</v>
      </c>
      <c r="Y17" s="151"/>
      <c r="Z17" s="154" t="s">
        <v>7</v>
      </c>
      <c r="AA17" s="154" t="s">
        <v>7</v>
      </c>
      <c r="AB17" s="151" t="s">
        <v>2436</v>
      </c>
      <c r="AC17" s="154" t="s">
        <v>2496</v>
      </c>
      <c r="AD17" s="154" t="s">
        <v>2520</v>
      </c>
      <c r="AE17" s="151" t="s">
        <v>2436</v>
      </c>
      <c r="AF17" s="155">
        <v>1.8333333333333335</v>
      </c>
      <c r="AG17" s="156" t="s">
        <v>72</v>
      </c>
      <c r="AH17" s="157" t="s">
        <v>1036</v>
      </c>
      <c r="AI17" s="158"/>
      <c r="AJ17" s="158"/>
      <c r="AK17" s="159"/>
      <c r="AL17" s="160">
        <v>0</v>
      </c>
      <c r="AM17" s="159" t="e">
        <v>#N/A</v>
      </c>
      <c r="AN17" s="152" t="e">
        <v>#REF!</v>
      </c>
    </row>
    <row r="18" spans="1:40" ht="27.75" customHeight="1">
      <c r="A18" s="148" t="s">
        <v>2530</v>
      </c>
      <c r="B18" s="149" t="s">
        <v>2531</v>
      </c>
      <c r="C18" s="150" t="s">
        <v>1605</v>
      </c>
      <c r="D18" s="152" t="s">
        <v>2529</v>
      </c>
      <c r="E18" s="152" t="s">
        <v>58</v>
      </c>
      <c r="F18" s="152" t="s">
        <v>7</v>
      </c>
      <c r="G18" s="152" t="s">
        <v>7</v>
      </c>
      <c r="H18" s="152" t="s">
        <v>621</v>
      </c>
      <c r="I18" s="152" t="s">
        <v>649</v>
      </c>
      <c r="J18" s="151" t="s">
        <v>2515</v>
      </c>
      <c r="K18" s="151"/>
      <c r="L18" s="151"/>
      <c r="M18" s="151"/>
      <c r="N18" s="161"/>
      <c r="O18" s="161"/>
      <c r="P18" s="161"/>
      <c r="Q18" s="161"/>
      <c r="R18" s="161"/>
      <c r="S18" s="161"/>
      <c r="T18" s="161"/>
      <c r="U18" s="161"/>
      <c r="V18" s="161">
        <v>0.30555555555555558</v>
      </c>
      <c r="W18" s="161"/>
      <c r="X18" s="152" t="s">
        <v>621</v>
      </c>
      <c r="Y18" s="151"/>
      <c r="Z18" s="154" t="s">
        <v>7</v>
      </c>
      <c r="AA18" s="154" t="s">
        <v>7</v>
      </c>
      <c r="AB18" s="151" t="s">
        <v>49</v>
      </c>
      <c r="AC18" s="154" t="s">
        <v>2496</v>
      </c>
      <c r="AD18" s="154" t="s">
        <v>2496</v>
      </c>
      <c r="AE18" s="151" t="s">
        <v>2436</v>
      </c>
      <c r="AF18" s="155">
        <v>0.30555555555555558</v>
      </c>
      <c r="AG18" s="156" t="s">
        <v>72</v>
      </c>
      <c r="AH18" s="157" t="s">
        <v>1036</v>
      </c>
      <c r="AI18" s="158"/>
      <c r="AJ18" s="158"/>
      <c r="AK18" s="159"/>
      <c r="AL18" s="160">
        <v>0</v>
      </c>
      <c r="AM18" s="159" t="e">
        <v>#N/A</v>
      </c>
      <c r="AN18" s="152" t="e">
        <v>#N/A</v>
      </c>
    </row>
    <row r="19" spans="1:40" ht="26.25" customHeight="1">
      <c r="A19" s="148" t="s">
        <v>2532</v>
      </c>
      <c r="B19" s="149" t="s">
        <v>2533</v>
      </c>
      <c r="C19" s="150" t="s">
        <v>1605</v>
      </c>
      <c r="D19" s="152" t="s">
        <v>2529</v>
      </c>
      <c r="E19" s="152" t="s">
        <v>58</v>
      </c>
      <c r="F19" s="152" t="s">
        <v>7</v>
      </c>
      <c r="G19" s="152" t="s">
        <v>7</v>
      </c>
      <c r="H19" s="152" t="s">
        <v>621</v>
      </c>
      <c r="I19" s="152" t="s">
        <v>635</v>
      </c>
      <c r="J19" s="151" t="s">
        <v>2515</v>
      </c>
      <c r="K19" s="151"/>
      <c r="L19" s="151"/>
      <c r="M19" s="151"/>
      <c r="N19" s="161"/>
      <c r="O19" s="161"/>
      <c r="P19" s="161"/>
      <c r="Q19" s="161"/>
      <c r="R19" s="161"/>
      <c r="S19" s="161"/>
      <c r="T19" s="161"/>
      <c r="U19" s="161"/>
      <c r="V19" s="161">
        <v>0.54166666666666663</v>
      </c>
      <c r="W19" s="161"/>
      <c r="X19" s="152" t="s">
        <v>621</v>
      </c>
      <c r="Y19" s="151"/>
      <c r="Z19" s="154" t="s">
        <v>7</v>
      </c>
      <c r="AA19" s="154" t="s">
        <v>7</v>
      </c>
      <c r="AB19" s="151" t="s">
        <v>49</v>
      </c>
      <c r="AC19" s="154" t="s">
        <v>2496</v>
      </c>
      <c r="AD19" s="154" t="s">
        <v>2496</v>
      </c>
      <c r="AE19" s="151" t="s">
        <v>2436</v>
      </c>
      <c r="AF19" s="155">
        <v>0.54166666666666663</v>
      </c>
      <c r="AG19" s="156" t="s">
        <v>72</v>
      </c>
      <c r="AH19" s="157" t="s">
        <v>1036</v>
      </c>
      <c r="AI19" s="158"/>
      <c r="AJ19" s="158"/>
      <c r="AK19" s="159"/>
      <c r="AL19" s="160">
        <v>0</v>
      </c>
      <c r="AM19" s="159" t="e">
        <v>#N/A</v>
      </c>
      <c r="AN19" s="152" t="e">
        <v>#N/A</v>
      </c>
    </row>
    <row r="20" spans="1:40" ht="26.25" customHeight="1">
      <c r="A20" s="148" t="s">
        <v>1989</v>
      </c>
      <c r="B20" s="149" t="s">
        <v>49</v>
      </c>
      <c r="C20" s="150" t="s">
        <v>1902</v>
      </c>
      <c r="D20" s="152" t="s">
        <v>1588</v>
      </c>
      <c r="E20" s="152" t="s">
        <v>21</v>
      </c>
      <c r="F20" s="152" t="s">
        <v>7</v>
      </c>
      <c r="G20" s="152" t="s">
        <v>7</v>
      </c>
      <c r="H20" s="152" t="s">
        <v>60</v>
      </c>
      <c r="I20" s="152" t="s">
        <v>2438</v>
      </c>
      <c r="J20" s="151" t="s">
        <v>2515</v>
      </c>
      <c r="K20" s="151"/>
      <c r="L20" s="151"/>
      <c r="M20" s="151"/>
      <c r="N20" s="161"/>
      <c r="O20" s="161"/>
      <c r="P20" s="161"/>
      <c r="Q20" s="161"/>
      <c r="R20" s="161"/>
      <c r="S20" s="161"/>
      <c r="T20" s="161"/>
      <c r="U20" s="161"/>
      <c r="V20" s="161">
        <v>1.8333333333333333</v>
      </c>
      <c r="W20" s="153"/>
      <c r="X20" s="152" t="s">
        <v>60</v>
      </c>
      <c r="Y20" s="151"/>
      <c r="Z20" s="154" t="s">
        <v>7</v>
      </c>
      <c r="AA20" s="154" t="s">
        <v>7</v>
      </c>
      <c r="AB20" s="151" t="s">
        <v>49</v>
      </c>
      <c r="AC20" s="154" t="s">
        <v>2520</v>
      </c>
      <c r="AD20" s="154" t="s">
        <v>2520</v>
      </c>
      <c r="AE20" s="151" t="s">
        <v>2436</v>
      </c>
      <c r="AF20" s="155">
        <v>1.8333333333333333</v>
      </c>
      <c r="AG20" s="156" t="s">
        <v>404</v>
      </c>
      <c r="AH20" s="157" t="s">
        <v>1036</v>
      </c>
      <c r="AI20" s="158"/>
      <c r="AJ20" s="158"/>
      <c r="AK20" s="159"/>
      <c r="AL20" s="160"/>
      <c r="AM20" s="159"/>
      <c r="AN20" s="152" t="e">
        <v>#REF!</v>
      </c>
    </row>
    <row r="21" spans="1:40" ht="26.25" customHeight="1">
      <c r="A21" s="148" t="s">
        <v>2485</v>
      </c>
      <c r="B21" s="149" t="s">
        <v>49</v>
      </c>
      <c r="C21" s="150" t="s">
        <v>1616</v>
      </c>
      <c r="D21" s="152" t="s">
        <v>1588</v>
      </c>
      <c r="E21" s="152" t="s">
        <v>21</v>
      </c>
      <c r="F21" s="152" t="s">
        <v>7</v>
      </c>
      <c r="G21" s="152" t="s">
        <v>7</v>
      </c>
      <c r="H21" s="152" t="s">
        <v>60</v>
      </c>
      <c r="I21" s="152" t="s">
        <v>655</v>
      </c>
      <c r="J21" s="151" t="s">
        <v>2515</v>
      </c>
      <c r="K21" s="151"/>
      <c r="L21" s="151"/>
      <c r="M21" s="151"/>
      <c r="N21" s="163"/>
      <c r="O21" s="163"/>
      <c r="P21" s="163"/>
      <c r="Q21" s="163"/>
      <c r="R21" s="163"/>
      <c r="S21" s="163"/>
      <c r="T21" s="163"/>
      <c r="U21" s="163"/>
      <c r="V21" s="163">
        <v>1.8333333333333333</v>
      </c>
      <c r="W21" s="153"/>
      <c r="X21" s="152" t="s">
        <v>60</v>
      </c>
      <c r="Y21" s="151"/>
      <c r="Z21" s="154" t="s">
        <v>7</v>
      </c>
      <c r="AA21" s="154" t="s">
        <v>7</v>
      </c>
      <c r="AB21" s="151" t="s">
        <v>2436</v>
      </c>
      <c r="AC21" s="154" t="s">
        <v>2496</v>
      </c>
      <c r="AD21" s="154" t="s">
        <v>2520</v>
      </c>
      <c r="AE21" s="151" t="s">
        <v>2436</v>
      </c>
      <c r="AF21" s="155">
        <v>1.8333333333333333</v>
      </c>
      <c r="AG21" s="156" t="s">
        <v>3</v>
      </c>
      <c r="AH21" s="157" t="s">
        <v>1036</v>
      </c>
      <c r="AI21" s="158"/>
      <c r="AJ21" s="158"/>
      <c r="AK21" s="159"/>
      <c r="AL21" s="160">
        <v>0</v>
      </c>
      <c r="AM21" s="159" t="e">
        <v>#N/A</v>
      </c>
      <c r="AN21" s="152" t="e">
        <v>#REF!</v>
      </c>
    </row>
    <row r="22" spans="1:40" ht="26.25" customHeight="1">
      <c r="A22" s="148" t="s">
        <v>2534</v>
      </c>
      <c r="B22" s="149" t="s">
        <v>2535</v>
      </c>
      <c r="C22" s="150" t="s">
        <v>1616</v>
      </c>
      <c r="D22" s="152" t="s">
        <v>1588</v>
      </c>
      <c r="E22" s="152" t="s">
        <v>58</v>
      </c>
      <c r="F22" s="152" t="s">
        <v>7</v>
      </c>
      <c r="G22" s="152" t="s">
        <v>7</v>
      </c>
      <c r="H22" s="152" t="s">
        <v>621</v>
      </c>
      <c r="I22" s="152" t="s">
        <v>668</v>
      </c>
      <c r="J22" s="151" t="s">
        <v>2515</v>
      </c>
      <c r="K22" s="151"/>
      <c r="L22" s="151"/>
      <c r="M22" s="151"/>
      <c r="N22" s="161"/>
      <c r="O22" s="161"/>
      <c r="P22" s="161"/>
      <c r="Q22" s="161"/>
      <c r="R22" s="161"/>
      <c r="S22" s="161"/>
      <c r="T22" s="161"/>
      <c r="U22" s="161"/>
      <c r="V22" s="161">
        <v>0.5</v>
      </c>
      <c r="W22" s="161"/>
      <c r="X22" s="152" t="s">
        <v>621</v>
      </c>
      <c r="Y22" s="151"/>
      <c r="Z22" s="154" t="s">
        <v>7</v>
      </c>
      <c r="AA22" s="154" t="s">
        <v>7</v>
      </c>
      <c r="AB22" s="151" t="s">
        <v>2436</v>
      </c>
      <c r="AC22" s="154" t="s">
        <v>2496</v>
      </c>
      <c r="AD22" s="154" t="s">
        <v>2520</v>
      </c>
      <c r="AE22" s="151" t="s">
        <v>2436</v>
      </c>
      <c r="AF22" s="155">
        <v>0.5</v>
      </c>
      <c r="AG22" s="156" t="s">
        <v>72</v>
      </c>
      <c r="AH22" s="157" t="s">
        <v>1036</v>
      </c>
      <c r="AI22" s="158"/>
      <c r="AJ22" s="158"/>
      <c r="AK22" s="159"/>
      <c r="AL22" s="160">
        <v>0</v>
      </c>
      <c r="AM22" s="159" t="e">
        <v>#N/A</v>
      </c>
      <c r="AN22" s="152" t="e">
        <v>#N/A</v>
      </c>
    </row>
    <row r="23" spans="1:40" ht="26.25" customHeight="1">
      <c r="A23" s="148" t="s">
        <v>2536</v>
      </c>
      <c r="B23" s="149" t="s">
        <v>2537</v>
      </c>
      <c r="C23" s="150" t="s">
        <v>1616</v>
      </c>
      <c r="D23" s="152" t="s">
        <v>1588</v>
      </c>
      <c r="E23" s="152" t="s">
        <v>58</v>
      </c>
      <c r="F23" s="152" t="s">
        <v>7</v>
      </c>
      <c r="G23" s="152" t="s">
        <v>7</v>
      </c>
      <c r="H23" s="152" t="s">
        <v>621</v>
      </c>
      <c r="I23" s="152" t="s">
        <v>669</v>
      </c>
      <c r="J23" s="151" t="s">
        <v>2515</v>
      </c>
      <c r="K23" s="151"/>
      <c r="L23" s="151"/>
      <c r="M23" s="151"/>
      <c r="N23" s="161"/>
      <c r="O23" s="161"/>
      <c r="P23" s="161"/>
      <c r="Q23" s="161"/>
      <c r="R23" s="161"/>
      <c r="S23" s="161"/>
      <c r="T23" s="161"/>
      <c r="U23" s="161"/>
      <c r="V23" s="161">
        <v>1.6666666666666665</v>
      </c>
      <c r="W23" s="161"/>
      <c r="X23" s="152" t="s">
        <v>621</v>
      </c>
      <c r="Y23" s="151"/>
      <c r="Z23" s="154" t="s">
        <v>7</v>
      </c>
      <c r="AA23" s="154" t="s">
        <v>7</v>
      </c>
      <c r="AB23" s="151" t="s">
        <v>2436</v>
      </c>
      <c r="AC23" s="154" t="s">
        <v>2496</v>
      </c>
      <c r="AD23" s="154" t="s">
        <v>2520</v>
      </c>
      <c r="AE23" s="151" t="s">
        <v>2436</v>
      </c>
      <c r="AF23" s="155">
        <v>1.6666666666666665</v>
      </c>
      <c r="AG23" s="156" t="s">
        <v>72</v>
      </c>
      <c r="AH23" s="157" t="s">
        <v>1036</v>
      </c>
      <c r="AI23" s="158"/>
      <c r="AJ23" s="158"/>
      <c r="AK23" s="159"/>
      <c r="AL23" s="160">
        <v>0</v>
      </c>
      <c r="AM23" s="159" t="e">
        <v>#N/A</v>
      </c>
      <c r="AN23" s="152" t="e">
        <v>#N/A</v>
      </c>
    </row>
    <row r="24" spans="1:40" ht="26.25" customHeight="1">
      <c r="A24" s="148" t="s">
        <v>2009</v>
      </c>
      <c r="B24" s="149" t="s">
        <v>2052</v>
      </c>
      <c r="C24" s="150" t="s">
        <v>1616</v>
      </c>
      <c r="D24" s="152" t="s">
        <v>1588</v>
      </c>
      <c r="E24" s="152" t="s">
        <v>677</v>
      </c>
      <c r="F24" s="152" t="s">
        <v>7</v>
      </c>
      <c r="G24" s="152" t="s">
        <v>7</v>
      </c>
      <c r="H24" s="152" t="s">
        <v>621</v>
      </c>
      <c r="I24" s="152" t="s">
        <v>678</v>
      </c>
      <c r="J24" s="151" t="s">
        <v>2515</v>
      </c>
      <c r="K24" s="151"/>
      <c r="L24" s="151"/>
      <c r="M24" s="151"/>
      <c r="N24" s="161"/>
      <c r="O24" s="161"/>
      <c r="P24" s="161"/>
      <c r="Q24" s="161"/>
      <c r="R24" s="161"/>
      <c r="S24" s="161"/>
      <c r="T24" s="161"/>
      <c r="U24" s="161"/>
      <c r="V24" s="161">
        <v>1.0416666666666665</v>
      </c>
      <c r="W24" s="153"/>
      <c r="X24" s="152" t="s">
        <v>621</v>
      </c>
      <c r="Y24" s="151"/>
      <c r="Z24" s="154" t="s">
        <v>7</v>
      </c>
      <c r="AA24" s="154" t="s">
        <v>7</v>
      </c>
      <c r="AB24" s="151" t="s">
        <v>2436</v>
      </c>
      <c r="AC24" s="154" t="s">
        <v>2496</v>
      </c>
      <c r="AD24" s="154" t="s">
        <v>2520</v>
      </c>
      <c r="AE24" s="151" t="s">
        <v>2436</v>
      </c>
      <c r="AF24" s="155">
        <v>1.0416666666666665</v>
      </c>
      <c r="AG24" s="156" t="s">
        <v>72</v>
      </c>
      <c r="AH24" s="157" t="s">
        <v>1036</v>
      </c>
      <c r="AI24" s="158"/>
      <c r="AJ24" s="158"/>
      <c r="AK24" s="159"/>
      <c r="AL24" s="160"/>
      <c r="AM24" s="159"/>
      <c r="AN24" s="152" t="e">
        <v>#N/A</v>
      </c>
    </row>
    <row r="25" spans="1:40" ht="26.25" customHeight="1">
      <c r="A25" s="148" t="s">
        <v>2014</v>
      </c>
      <c r="B25" s="149" t="s">
        <v>49</v>
      </c>
      <c r="C25" s="150" t="s">
        <v>1938</v>
      </c>
      <c r="D25" s="152" t="s">
        <v>2538</v>
      </c>
      <c r="E25" s="152" t="s">
        <v>58</v>
      </c>
      <c r="F25" s="152" t="s">
        <v>7</v>
      </c>
      <c r="G25" s="152" t="s">
        <v>7</v>
      </c>
      <c r="H25" s="152" t="s">
        <v>60</v>
      </c>
      <c r="I25" s="152" t="s">
        <v>2539</v>
      </c>
      <c r="J25" s="151" t="s">
        <v>2515</v>
      </c>
      <c r="K25" s="151"/>
      <c r="L25" s="151"/>
      <c r="M25" s="151"/>
      <c r="N25" s="163"/>
      <c r="O25" s="163"/>
      <c r="P25" s="163"/>
      <c r="Q25" s="163"/>
      <c r="R25" s="163"/>
      <c r="S25" s="163"/>
      <c r="T25" s="163"/>
      <c r="U25" s="163"/>
      <c r="V25" s="163">
        <v>0.33333333333333331</v>
      </c>
      <c r="W25" s="153"/>
      <c r="X25" s="152" t="s">
        <v>60</v>
      </c>
      <c r="Y25" s="151"/>
      <c r="Z25" s="154" t="s">
        <v>7</v>
      </c>
      <c r="AA25" s="154" t="e">
        <v>#N/A</v>
      </c>
      <c r="AB25" s="151" t="e">
        <v>#N/A</v>
      </c>
      <c r="AC25" s="154" t="s">
        <v>2520</v>
      </c>
      <c r="AD25" s="154" t="e">
        <v>#N/A</v>
      </c>
      <c r="AE25" s="151" t="e">
        <v>#N/A</v>
      </c>
      <c r="AF25" s="155">
        <v>0.33333333333333331</v>
      </c>
      <c r="AG25" s="156" t="e">
        <v>#N/A</v>
      </c>
      <c r="AH25" s="157" t="e">
        <v>#N/A</v>
      </c>
      <c r="AI25" s="158" t="e">
        <v>#N/A</v>
      </c>
      <c r="AJ25" s="158" t="e">
        <v>#N/A</v>
      </c>
      <c r="AK25" s="159" t="e">
        <v>#N/A</v>
      </c>
      <c r="AL25" s="160" t="e">
        <v>#N/A</v>
      </c>
      <c r="AM25" s="159" t="e">
        <v>#N/A</v>
      </c>
      <c r="AN25" s="152" t="e">
        <v>#REF!</v>
      </c>
    </row>
    <row r="26" spans="1:40" ht="27" customHeight="1">
      <c r="A26" s="148" t="s">
        <v>2540</v>
      </c>
      <c r="B26" s="149" t="s">
        <v>2541</v>
      </c>
      <c r="C26" s="150" t="s">
        <v>1623</v>
      </c>
      <c r="D26" s="152" t="s">
        <v>2542</v>
      </c>
      <c r="E26" s="152" t="s">
        <v>58</v>
      </c>
      <c r="F26" s="152" t="s">
        <v>693</v>
      </c>
      <c r="G26" s="152" t="s">
        <v>143</v>
      </c>
      <c r="H26" s="152" t="s">
        <v>60</v>
      </c>
      <c r="I26" s="152" t="s">
        <v>694</v>
      </c>
      <c r="J26" s="151" t="s">
        <v>2515</v>
      </c>
      <c r="K26" s="151"/>
      <c r="L26" s="151"/>
      <c r="M26" s="151"/>
      <c r="N26" s="163"/>
      <c r="O26" s="163"/>
      <c r="P26" s="163"/>
      <c r="Q26" s="163"/>
      <c r="R26" s="163"/>
      <c r="S26" s="163"/>
      <c r="T26" s="163"/>
      <c r="U26" s="163"/>
      <c r="V26" s="163">
        <v>0.41666666666666663</v>
      </c>
      <c r="W26" s="161"/>
      <c r="X26" s="152" t="s">
        <v>60</v>
      </c>
      <c r="Y26" s="151" t="s">
        <v>2436</v>
      </c>
      <c r="Z26" s="154" t="s">
        <v>143</v>
      </c>
      <c r="AA26" s="154" t="s">
        <v>7</v>
      </c>
      <c r="AB26" s="151" t="s">
        <v>2436</v>
      </c>
      <c r="AC26" s="154" t="s">
        <v>2496</v>
      </c>
      <c r="AD26" s="154" t="s">
        <v>2520</v>
      </c>
      <c r="AE26" s="151" t="s">
        <v>2436</v>
      </c>
      <c r="AF26" s="155">
        <v>0.41666666666666663</v>
      </c>
      <c r="AG26" s="156" t="s">
        <v>3</v>
      </c>
      <c r="AH26" s="157" t="s">
        <v>1036</v>
      </c>
      <c r="AI26" s="158"/>
      <c r="AJ26" s="158"/>
      <c r="AK26" s="159"/>
      <c r="AL26" s="160">
        <v>0</v>
      </c>
      <c r="AM26" s="159" t="e">
        <v>#N/A</v>
      </c>
      <c r="AN26" s="152" t="e">
        <v>#N/A</v>
      </c>
    </row>
    <row r="27" spans="1:40" ht="26.25" customHeight="1">
      <c r="A27" s="148" t="s">
        <v>2543</v>
      </c>
      <c r="B27" s="149" t="s">
        <v>2544</v>
      </c>
      <c r="C27" s="150" t="s">
        <v>1623</v>
      </c>
      <c r="D27" s="152" t="s">
        <v>2542</v>
      </c>
      <c r="E27" s="152" t="s">
        <v>58</v>
      </c>
      <c r="F27" s="152" t="s">
        <v>693</v>
      </c>
      <c r="G27" s="152" t="s">
        <v>143</v>
      </c>
      <c r="H27" s="152" t="s">
        <v>60</v>
      </c>
      <c r="I27" s="152" t="s">
        <v>699</v>
      </c>
      <c r="J27" s="151" t="s">
        <v>2515</v>
      </c>
      <c r="K27" s="151"/>
      <c r="L27" s="151"/>
      <c r="M27" s="151"/>
      <c r="N27" s="163"/>
      <c r="O27" s="163"/>
      <c r="P27" s="163"/>
      <c r="Q27" s="163"/>
      <c r="R27" s="163"/>
      <c r="S27" s="163"/>
      <c r="T27" s="163"/>
      <c r="U27" s="163"/>
      <c r="V27" s="163">
        <v>8.3333333333333329E-2</v>
      </c>
      <c r="W27" s="153"/>
      <c r="X27" s="152" t="s">
        <v>60</v>
      </c>
      <c r="Y27" s="151" t="s">
        <v>2515</v>
      </c>
      <c r="Z27" s="154" t="s">
        <v>143</v>
      </c>
      <c r="AA27" s="154" t="s">
        <v>143</v>
      </c>
      <c r="AB27" s="151" t="s">
        <v>49</v>
      </c>
      <c r="AC27" s="154" t="s">
        <v>2496</v>
      </c>
      <c r="AD27" s="154" t="s">
        <v>2496</v>
      </c>
      <c r="AE27" s="151" t="s">
        <v>2436</v>
      </c>
      <c r="AF27" s="155">
        <v>8.3333333333333329E-2</v>
      </c>
      <c r="AG27" s="156" t="s">
        <v>3</v>
      </c>
      <c r="AH27" s="157" t="s">
        <v>1036</v>
      </c>
      <c r="AI27" s="158"/>
      <c r="AJ27" s="158"/>
      <c r="AK27" s="159"/>
      <c r="AL27" s="160">
        <v>0</v>
      </c>
      <c r="AM27" s="159" t="e">
        <v>#N/A</v>
      </c>
      <c r="AN27" s="152" t="e">
        <v>#N/A</v>
      </c>
    </row>
    <row r="28" spans="1:40" ht="26.25" customHeight="1">
      <c r="A28" s="148" t="s">
        <v>2454</v>
      </c>
      <c r="B28" s="149" t="s">
        <v>49</v>
      </c>
      <c r="C28" s="150" t="s">
        <v>1629</v>
      </c>
      <c r="D28" s="152" t="s">
        <v>2538</v>
      </c>
      <c r="E28" s="152" t="s">
        <v>21</v>
      </c>
      <c r="F28" s="152" t="s">
        <v>693</v>
      </c>
      <c r="G28" s="152" t="s">
        <v>143</v>
      </c>
      <c r="H28" s="152" t="s">
        <v>60</v>
      </c>
      <c r="I28" s="152" t="s">
        <v>716</v>
      </c>
      <c r="J28" s="151" t="s">
        <v>2515</v>
      </c>
      <c r="K28" s="151"/>
      <c r="L28" s="151"/>
      <c r="M28" s="151"/>
      <c r="N28" s="161"/>
      <c r="O28" s="161"/>
      <c r="P28" s="161"/>
      <c r="Q28" s="161"/>
      <c r="R28" s="161"/>
      <c r="S28" s="161"/>
      <c r="T28" s="161"/>
      <c r="U28" s="161"/>
      <c r="V28" s="161">
        <v>1.8333333333333333</v>
      </c>
      <c r="W28" s="153"/>
      <c r="X28" s="152" t="s">
        <v>60</v>
      </c>
      <c r="Y28" s="151" t="s">
        <v>2515</v>
      </c>
      <c r="Z28" s="154" t="s">
        <v>143</v>
      </c>
      <c r="AA28" s="154" t="s">
        <v>143</v>
      </c>
      <c r="AB28" s="151" t="s">
        <v>49</v>
      </c>
      <c r="AC28" s="154" t="s">
        <v>2496</v>
      </c>
      <c r="AD28" s="154" t="s">
        <v>2496</v>
      </c>
      <c r="AE28" s="151" t="s">
        <v>2436</v>
      </c>
      <c r="AF28" s="155">
        <v>1.8333333333333333</v>
      </c>
      <c r="AG28" s="156" t="s">
        <v>3</v>
      </c>
      <c r="AH28" s="157" t="s">
        <v>2548</v>
      </c>
      <c r="AI28" s="158">
        <v>45884</v>
      </c>
      <c r="AJ28" s="158">
        <v>45914</v>
      </c>
      <c r="AK28" s="159" t="s">
        <v>2001</v>
      </c>
      <c r="AL28" s="160" t="s">
        <v>3</v>
      </c>
      <c r="AM28" s="159" t="s">
        <v>1142</v>
      </c>
      <c r="AN28" s="152" t="e">
        <v>#REF!</v>
      </c>
    </row>
    <row r="29" spans="1:40" ht="26.25" customHeight="1">
      <c r="A29" s="148" t="s">
        <v>2015</v>
      </c>
      <c r="B29" s="149" t="s">
        <v>49</v>
      </c>
      <c r="C29" s="150" t="s">
        <v>1664</v>
      </c>
      <c r="D29" s="152" t="s">
        <v>820</v>
      </c>
      <c r="E29" s="152" t="s">
        <v>21</v>
      </c>
      <c r="F29" s="152" t="s">
        <v>693</v>
      </c>
      <c r="G29" s="152" t="s">
        <v>143</v>
      </c>
      <c r="H29" s="152" t="s">
        <v>60</v>
      </c>
      <c r="I29" s="152" t="s">
        <v>821</v>
      </c>
      <c r="J29" s="151" t="s">
        <v>2515</v>
      </c>
      <c r="K29" s="151"/>
      <c r="L29" s="151"/>
      <c r="M29" s="151"/>
      <c r="N29" s="161"/>
      <c r="O29" s="161"/>
      <c r="P29" s="161"/>
      <c r="Q29" s="161"/>
      <c r="R29" s="161"/>
      <c r="S29" s="161"/>
      <c r="T29" s="161"/>
      <c r="U29" s="161"/>
      <c r="V29" s="161">
        <v>1.8333333333333333</v>
      </c>
      <c r="W29" s="153"/>
      <c r="X29" s="152" t="s">
        <v>60</v>
      </c>
      <c r="Y29" s="151" t="s">
        <v>2515</v>
      </c>
      <c r="Z29" s="154" t="s">
        <v>143</v>
      </c>
      <c r="AA29" s="154" t="s">
        <v>143</v>
      </c>
      <c r="AB29" s="151" t="s">
        <v>2436</v>
      </c>
      <c r="AC29" s="154" t="s">
        <v>2496</v>
      </c>
      <c r="AD29" s="154" t="s">
        <v>2520</v>
      </c>
      <c r="AE29" s="151" t="s">
        <v>2436</v>
      </c>
      <c r="AF29" s="167">
        <v>1.8333333333333333</v>
      </c>
      <c r="AG29" s="156" t="s">
        <v>3</v>
      </c>
      <c r="AH29" s="157" t="s">
        <v>2548</v>
      </c>
      <c r="AI29" s="158">
        <v>45950</v>
      </c>
      <c r="AJ29" s="158">
        <v>45980</v>
      </c>
      <c r="AK29" s="159"/>
      <c r="AL29" s="152">
        <v>0</v>
      </c>
      <c r="AM29" s="159" t="e">
        <v>#N/A</v>
      </c>
      <c r="AN29" s="152" t="e">
        <v>#REF!</v>
      </c>
    </row>
    <row r="30" spans="1:40" ht="26.25" customHeight="1">
      <c r="A30" s="148" t="s">
        <v>1405</v>
      </c>
      <c r="B30" s="149" t="s">
        <v>2550</v>
      </c>
      <c r="C30" s="150" t="s">
        <v>1635</v>
      </c>
      <c r="D30" s="152" t="s">
        <v>2538</v>
      </c>
      <c r="E30" s="152" t="s">
        <v>58</v>
      </c>
      <c r="F30" s="152" t="s">
        <v>693</v>
      </c>
      <c r="G30" s="152" t="s">
        <v>143</v>
      </c>
      <c r="H30" s="152" t="s">
        <v>60</v>
      </c>
      <c r="I30" s="152" t="s">
        <v>732</v>
      </c>
      <c r="J30" s="151" t="s">
        <v>2515</v>
      </c>
      <c r="K30" s="151"/>
      <c r="L30" s="151"/>
      <c r="M30" s="151"/>
      <c r="N30" s="161"/>
      <c r="O30" s="161"/>
      <c r="P30" s="161"/>
      <c r="Q30" s="161"/>
      <c r="R30" s="161"/>
      <c r="S30" s="161"/>
      <c r="T30" s="161"/>
      <c r="U30" s="161"/>
      <c r="V30" s="161">
        <v>0.41666666666666663</v>
      </c>
      <c r="W30" s="161"/>
      <c r="X30" s="152" t="s">
        <v>60</v>
      </c>
      <c r="Y30" s="151" t="s">
        <v>2515</v>
      </c>
      <c r="Z30" s="154" t="s">
        <v>143</v>
      </c>
      <c r="AA30" s="154" t="s">
        <v>143</v>
      </c>
      <c r="AB30" s="151" t="s">
        <v>49</v>
      </c>
      <c r="AC30" s="154" t="s">
        <v>2496</v>
      </c>
      <c r="AD30" s="154" t="s">
        <v>2496</v>
      </c>
      <c r="AE30" s="151" t="s">
        <v>2436</v>
      </c>
      <c r="AF30" s="155">
        <v>0.41666666666666663</v>
      </c>
      <c r="AG30" s="156" t="s">
        <v>3</v>
      </c>
      <c r="AH30" s="157" t="s">
        <v>2548</v>
      </c>
      <c r="AI30" s="158">
        <v>45922</v>
      </c>
      <c r="AJ30" s="158">
        <v>45952</v>
      </c>
      <c r="AK30" s="159"/>
      <c r="AL30" s="160">
        <v>0</v>
      </c>
      <c r="AM30" s="159" t="e">
        <v>#N/A</v>
      </c>
      <c r="AN30" s="152" t="e">
        <v>#N/A</v>
      </c>
    </row>
    <row r="31" spans="1:40" ht="26.25" customHeight="1">
      <c r="A31" s="148" t="s">
        <v>2551</v>
      </c>
      <c r="B31" s="149" t="s">
        <v>2552</v>
      </c>
      <c r="C31" s="150" t="s">
        <v>1635</v>
      </c>
      <c r="D31" s="152" t="s">
        <v>2538</v>
      </c>
      <c r="E31" s="152" t="s">
        <v>58</v>
      </c>
      <c r="F31" s="152" t="s">
        <v>693</v>
      </c>
      <c r="G31" s="152" t="s">
        <v>143</v>
      </c>
      <c r="H31" s="152" t="s">
        <v>60</v>
      </c>
      <c r="I31" s="152" t="s">
        <v>741</v>
      </c>
      <c r="J31" s="151" t="s">
        <v>2515</v>
      </c>
      <c r="K31" s="151"/>
      <c r="L31" s="151"/>
      <c r="M31" s="151"/>
      <c r="N31" s="161"/>
      <c r="O31" s="161"/>
      <c r="P31" s="161"/>
      <c r="Q31" s="161"/>
      <c r="R31" s="161"/>
      <c r="S31" s="161"/>
      <c r="T31" s="161"/>
      <c r="U31" s="161"/>
      <c r="V31" s="161">
        <v>8.3333333333333329E-2</v>
      </c>
      <c r="W31" s="161"/>
      <c r="X31" s="152" t="s">
        <v>60</v>
      </c>
      <c r="Y31" s="151" t="s">
        <v>2515</v>
      </c>
      <c r="Z31" s="154" t="s">
        <v>143</v>
      </c>
      <c r="AA31" s="154" t="s">
        <v>143</v>
      </c>
      <c r="AB31" s="151" t="s">
        <v>49</v>
      </c>
      <c r="AC31" s="154" t="s">
        <v>2496</v>
      </c>
      <c r="AD31" s="154" t="s">
        <v>2496</v>
      </c>
      <c r="AE31" s="151" t="s">
        <v>2436</v>
      </c>
      <c r="AF31" s="155">
        <v>8.3333333333333329E-2</v>
      </c>
      <c r="AG31" s="156" t="s">
        <v>3</v>
      </c>
      <c r="AH31" s="157" t="s">
        <v>1036</v>
      </c>
      <c r="AI31" s="158"/>
      <c r="AJ31" s="158"/>
      <c r="AK31" s="159"/>
      <c r="AL31" s="160">
        <v>0</v>
      </c>
      <c r="AM31" s="159" t="e">
        <v>#N/A</v>
      </c>
      <c r="AN31" s="152" t="e">
        <v>#N/A</v>
      </c>
    </row>
    <row r="32" spans="1:40" ht="26.25" customHeight="1">
      <c r="A32" s="148" t="s">
        <v>2554</v>
      </c>
      <c r="B32" s="149" t="s">
        <v>2449</v>
      </c>
      <c r="C32" s="150" t="s">
        <v>1700</v>
      </c>
      <c r="D32" s="152" t="s">
        <v>1588</v>
      </c>
      <c r="E32" s="152" t="s">
        <v>677</v>
      </c>
      <c r="F32" s="152" t="s">
        <v>693</v>
      </c>
      <c r="G32" s="152" t="s">
        <v>143</v>
      </c>
      <c r="H32" s="152" t="s">
        <v>60</v>
      </c>
      <c r="I32" s="152" t="s">
        <v>811</v>
      </c>
      <c r="J32" s="151" t="s">
        <v>2515</v>
      </c>
      <c r="K32" s="151"/>
      <c r="L32" s="151"/>
      <c r="M32" s="151"/>
      <c r="N32" s="161"/>
      <c r="O32" s="161"/>
      <c r="P32" s="161"/>
      <c r="Q32" s="161"/>
      <c r="R32" s="161"/>
      <c r="S32" s="161"/>
      <c r="T32" s="161"/>
      <c r="U32" s="161"/>
      <c r="V32" s="161">
        <v>1.2708333333333333</v>
      </c>
      <c r="W32" s="162">
        <v>2.0833333333333332E-2</v>
      </c>
      <c r="X32" s="152" t="s">
        <v>60</v>
      </c>
      <c r="Y32" s="151" t="s">
        <v>2436</v>
      </c>
      <c r="Z32" s="154" t="s">
        <v>143</v>
      </c>
      <c r="AA32" s="154" t="s">
        <v>7</v>
      </c>
      <c r="AB32" s="151" t="s">
        <v>2436</v>
      </c>
      <c r="AC32" s="154" t="s">
        <v>2496</v>
      </c>
      <c r="AD32" s="154" t="s">
        <v>2520</v>
      </c>
      <c r="AE32" s="151" t="s">
        <v>2436</v>
      </c>
      <c r="AF32" s="155">
        <v>1.2708333333333333</v>
      </c>
      <c r="AG32" s="156" t="s">
        <v>3</v>
      </c>
      <c r="AH32" s="157" t="s">
        <v>1036</v>
      </c>
      <c r="AI32" s="158"/>
      <c r="AJ32" s="158"/>
      <c r="AK32" s="159"/>
      <c r="AL32" s="160">
        <v>0</v>
      </c>
      <c r="AM32" s="159" t="e">
        <v>#N/A</v>
      </c>
      <c r="AN32" s="152" t="e">
        <v>#N/A</v>
      </c>
    </row>
    <row r="33" spans="1:40" ht="26.25" customHeight="1">
      <c r="A33" s="148" t="s">
        <v>1432</v>
      </c>
      <c r="B33" s="149" t="s">
        <v>2483</v>
      </c>
      <c r="C33" s="150" t="s">
        <v>1639</v>
      </c>
      <c r="D33" s="152" t="s">
        <v>2538</v>
      </c>
      <c r="E33" s="152" t="s">
        <v>58</v>
      </c>
      <c r="F33" s="152" t="s">
        <v>693</v>
      </c>
      <c r="G33" s="152" t="s">
        <v>143</v>
      </c>
      <c r="H33" s="152" t="s">
        <v>60</v>
      </c>
      <c r="I33" s="152" t="s">
        <v>2555</v>
      </c>
      <c r="J33" s="151" t="s">
        <v>2515</v>
      </c>
      <c r="K33" s="151"/>
      <c r="L33" s="151"/>
      <c r="M33" s="151"/>
      <c r="N33" s="161"/>
      <c r="O33" s="161"/>
      <c r="P33" s="161"/>
      <c r="Q33" s="161"/>
      <c r="R33" s="161"/>
      <c r="S33" s="161"/>
      <c r="T33" s="161"/>
      <c r="U33" s="161"/>
      <c r="V33" s="161">
        <v>1.40625</v>
      </c>
      <c r="W33" s="161">
        <v>0.15625</v>
      </c>
      <c r="X33" s="152" t="s">
        <v>60</v>
      </c>
      <c r="Y33" s="151" t="s">
        <v>2515</v>
      </c>
      <c r="Z33" s="154" t="s">
        <v>143</v>
      </c>
      <c r="AA33" s="154" t="s">
        <v>143</v>
      </c>
      <c r="AB33" s="151" t="s">
        <v>49</v>
      </c>
      <c r="AC33" s="154" t="s">
        <v>2496</v>
      </c>
      <c r="AD33" s="154" t="s">
        <v>2496</v>
      </c>
      <c r="AE33" s="151" t="s">
        <v>2436</v>
      </c>
      <c r="AF33" s="155">
        <v>1.40625</v>
      </c>
      <c r="AG33" s="156" t="s">
        <v>3</v>
      </c>
      <c r="AH33" s="157" t="s">
        <v>2548</v>
      </c>
      <c r="AI33" s="158">
        <v>45922</v>
      </c>
      <c r="AJ33" s="158">
        <v>45952</v>
      </c>
      <c r="AK33" s="159"/>
      <c r="AL33" s="160">
        <v>0</v>
      </c>
      <c r="AM33" s="159" t="e">
        <v>#N/A</v>
      </c>
      <c r="AN33" s="152" t="e">
        <v>#N/A</v>
      </c>
    </row>
    <row r="34" spans="1:40" ht="26.25" customHeight="1">
      <c r="A34" s="148" t="s">
        <v>2353</v>
      </c>
      <c r="B34" s="149" t="s">
        <v>49</v>
      </c>
      <c r="C34" s="150" t="s">
        <v>1474</v>
      </c>
      <c r="D34" s="152" t="s">
        <v>2556</v>
      </c>
      <c r="E34" s="152" t="s">
        <v>21</v>
      </c>
      <c r="F34" s="152" t="s">
        <v>693</v>
      </c>
      <c r="G34" s="152" t="s">
        <v>143</v>
      </c>
      <c r="H34" s="152" t="s">
        <v>60</v>
      </c>
      <c r="I34" s="152" t="s">
        <v>2557</v>
      </c>
      <c r="J34" s="151" t="s">
        <v>2515</v>
      </c>
      <c r="K34" s="151"/>
      <c r="L34" s="151"/>
      <c r="M34" s="151"/>
      <c r="N34" s="161"/>
      <c r="O34" s="161"/>
      <c r="P34" s="161"/>
      <c r="Q34" s="161"/>
      <c r="R34" s="161"/>
      <c r="S34" s="161"/>
      <c r="T34" s="161"/>
      <c r="U34" s="161"/>
      <c r="V34" s="161">
        <v>1.8333333333333333</v>
      </c>
      <c r="W34" s="153"/>
      <c r="X34" s="152" t="s">
        <v>60</v>
      </c>
      <c r="Y34" s="151" t="s">
        <v>2436</v>
      </c>
      <c r="Z34" s="154" t="s">
        <v>143</v>
      </c>
      <c r="AA34" s="154" t="s">
        <v>7</v>
      </c>
      <c r="AB34" s="151" t="s">
        <v>49</v>
      </c>
      <c r="AC34" s="154" t="s">
        <v>2496</v>
      </c>
      <c r="AD34" s="154" t="s">
        <v>2496</v>
      </c>
      <c r="AE34" s="151" t="s">
        <v>2436</v>
      </c>
      <c r="AF34" s="155">
        <v>1.8333333333333333</v>
      </c>
      <c r="AG34" s="156" t="s">
        <v>3</v>
      </c>
      <c r="AH34" s="157" t="s">
        <v>1036</v>
      </c>
      <c r="AI34" s="158"/>
      <c r="AJ34" s="158"/>
      <c r="AK34" s="159"/>
      <c r="AL34" s="160">
        <v>0</v>
      </c>
      <c r="AM34" s="159" t="e">
        <v>#N/A</v>
      </c>
      <c r="AN34" s="152" t="e">
        <v>#REF!</v>
      </c>
    </row>
    <row r="35" spans="1:40" ht="26.25" customHeight="1">
      <c r="A35" s="148" t="s">
        <v>2215</v>
      </c>
      <c r="B35" s="149" t="s">
        <v>49</v>
      </c>
      <c r="C35" s="150" t="s">
        <v>1474</v>
      </c>
      <c r="D35" s="152" t="s">
        <v>2556</v>
      </c>
      <c r="E35" s="152" t="s">
        <v>21</v>
      </c>
      <c r="F35" s="152" t="s">
        <v>693</v>
      </c>
      <c r="G35" s="152" t="s">
        <v>143</v>
      </c>
      <c r="H35" s="152" t="s">
        <v>60</v>
      </c>
      <c r="I35" s="152" t="s">
        <v>775</v>
      </c>
      <c r="J35" s="151" t="s">
        <v>2515</v>
      </c>
      <c r="K35" s="151"/>
      <c r="L35" s="151"/>
      <c r="M35" s="151"/>
      <c r="N35" s="161"/>
      <c r="O35" s="161"/>
      <c r="P35" s="161"/>
      <c r="Q35" s="161"/>
      <c r="R35" s="161"/>
      <c r="S35" s="161"/>
      <c r="T35" s="161"/>
      <c r="U35" s="161"/>
      <c r="V35" s="161">
        <v>1.8333333333333333</v>
      </c>
      <c r="W35" s="153"/>
      <c r="X35" s="152" t="s">
        <v>60</v>
      </c>
      <c r="Y35" s="151" t="s">
        <v>2436</v>
      </c>
      <c r="Z35" s="154" t="s">
        <v>143</v>
      </c>
      <c r="AA35" s="154" t="s">
        <v>7</v>
      </c>
      <c r="AB35" s="151" t="s">
        <v>49</v>
      </c>
      <c r="AC35" s="154" t="s">
        <v>2496</v>
      </c>
      <c r="AD35" s="154" t="s">
        <v>2496</v>
      </c>
      <c r="AE35" s="151" t="s">
        <v>2436</v>
      </c>
      <c r="AF35" s="155">
        <v>1.8333333333333333</v>
      </c>
      <c r="AG35" s="156" t="s">
        <v>3</v>
      </c>
      <c r="AH35" s="157" t="s">
        <v>1036</v>
      </c>
      <c r="AI35" s="158"/>
      <c r="AJ35" s="158"/>
      <c r="AK35" s="159"/>
      <c r="AL35" s="160">
        <v>0</v>
      </c>
      <c r="AM35" s="159" t="e">
        <v>#N/A</v>
      </c>
      <c r="AN35" s="152" t="e">
        <v>#REF!</v>
      </c>
    </row>
    <row r="36" spans="1:40" ht="26.25" customHeight="1">
      <c r="A36" s="148" t="s">
        <v>2559</v>
      </c>
      <c r="B36" s="149" t="s">
        <v>2052</v>
      </c>
      <c r="C36" s="150" t="s">
        <v>1684</v>
      </c>
      <c r="D36" s="152" t="s">
        <v>2560</v>
      </c>
      <c r="E36" s="152" t="s">
        <v>677</v>
      </c>
      <c r="F36" s="152" t="s">
        <v>693</v>
      </c>
      <c r="G36" s="152" t="s">
        <v>143</v>
      </c>
      <c r="H36" s="152" t="s">
        <v>60</v>
      </c>
      <c r="I36" s="152" t="s">
        <v>785</v>
      </c>
      <c r="J36" s="151" t="s">
        <v>2515</v>
      </c>
      <c r="K36" s="151"/>
      <c r="L36" s="151"/>
      <c r="M36" s="151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2" t="s">
        <v>60</v>
      </c>
      <c r="Y36" s="151" t="s">
        <v>2436</v>
      </c>
      <c r="Z36" s="154" t="s">
        <v>143</v>
      </c>
      <c r="AA36" s="154" t="s">
        <v>7</v>
      </c>
      <c r="AB36" s="151" t="s">
        <v>49</v>
      </c>
      <c r="AC36" s="154" t="s">
        <v>2520</v>
      </c>
      <c r="AD36" s="154" t="s">
        <v>2520</v>
      </c>
      <c r="AE36" s="151" t="s">
        <v>2436</v>
      </c>
      <c r="AF36" s="155">
        <v>1.25</v>
      </c>
      <c r="AG36" s="156" t="s">
        <v>3</v>
      </c>
      <c r="AH36" s="157" t="s">
        <v>1036</v>
      </c>
      <c r="AI36" s="158"/>
      <c r="AJ36" s="158"/>
      <c r="AK36" s="159"/>
      <c r="AL36" s="160">
        <v>0</v>
      </c>
      <c r="AM36" s="159" t="e">
        <v>#N/A</v>
      </c>
      <c r="AN36" s="152" t="e">
        <v>#N/A</v>
      </c>
    </row>
    <row r="37" spans="1:40" ht="26.25" customHeight="1">
      <c r="A37" s="148" t="s">
        <v>1999</v>
      </c>
      <c r="B37" s="149" t="s">
        <v>2052</v>
      </c>
      <c r="C37" s="150" t="s">
        <v>1655</v>
      </c>
      <c r="D37" s="152" t="s">
        <v>48</v>
      </c>
      <c r="E37" s="152" t="s">
        <v>677</v>
      </c>
      <c r="F37" s="152" t="s">
        <v>693</v>
      </c>
      <c r="G37" s="152" t="s">
        <v>143</v>
      </c>
      <c r="H37" s="152" t="s">
        <v>60</v>
      </c>
      <c r="I37" s="152" t="s">
        <v>803</v>
      </c>
      <c r="J37" s="151" t="s">
        <v>2515</v>
      </c>
      <c r="K37" s="151"/>
      <c r="L37" s="151"/>
      <c r="M37" s="151"/>
      <c r="N37" s="161"/>
      <c r="O37" s="161"/>
      <c r="P37" s="161"/>
      <c r="Q37" s="161"/>
      <c r="R37" s="161"/>
      <c r="S37" s="161"/>
      <c r="T37" s="161"/>
      <c r="U37" s="161"/>
      <c r="V37" s="161">
        <v>0.91666666666666663</v>
      </c>
      <c r="W37" s="153"/>
      <c r="X37" s="152" t="s">
        <v>60</v>
      </c>
      <c r="Y37" s="151" t="s">
        <v>2436</v>
      </c>
      <c r="Z37" s="154" t="s">
        <v>143</v>
      </c>
      <c r="AA37" s="154" t="s">
        <v>7</v>
      </c>
      <c r="AB37" s="151" t="s">
        <v>2436</v>
      </c>
      <c r="AC37" s="154" t="s">
        <v>2496</v>
      </c>
      <c r="AD37" s="154" t="s">
        <v>2520</v>
      </c>
      <c r="AE37" s="151" t="s">
        <v>2436</v>
      </c>
      <c r="AF37" s="155">
        <v>0.91666666666666663</v>
      </c>
      <c r="AG37" s="156" t="s">
        <v>3</v>
      </c>
      <c r="AH37" s="157" t="s">
        <v>1036</v>
      </c>
      <c r="AI37" s="158"/>
      <c r="AJ37" s="158"/>
      <c r="AK37" s="159"/>
      <c r="AL37" s="160">
        <v>0</v>
      </c>
      <c r="AM37" s="159" t="e">
        <v>#N/A</v>
      </c>
      <c r="AN37" s="152" t="e">
        <v>#N/A</v>
      </c>
    </row>
    <row r="38" spans="1:40" ht="26.25" customHeight="1">
      <c r="A38" s="148" t="s">
        <v>2439</v>
      </c>
      <c r="B38" s="149" t="s">
        <v>2052</v>
      </c>
      <c r="C38" s="150" t="s">
        <v>1660</v>
      </c>
      <c r="D38" s="152" t="s">
        <v>48</v>
      </c>
      <c r="E38" s="152" t="s">
        <v>677</v>
      </c>
      <c r="F38" s="152" t="s">
        <v>693</v>
      </c>
      <c r="G38" s="152" t="s">
        <v>143</v>
      </c>
      <c r="H38" s="152" t="s">
        <v>60</v>
      </c>
      <c r="I38" s="152" t="s">
        <v>811</v>
      </c>
      <c r="J38" s="151" t="s">
        <v>2515</v>
      </c>
      <c r="K38" s="151"/>
      <c r="L38" s="151"/>
      <c r="M38" s="151"/>
      <c r="N38" s="161"/>
      <c r="O38" s="161"/>
      <c r="P38" s="161"/>
      <c r="Q38" s="161"/>
      <c r="R38" s="161"/>
      <c r="S38" s="161"/>
      <c r="T38" s="161"/>
      <c r="U38" s="161"/>
      <c r="V38" s="161">
        <v>1.25</v>
      </c>
      <c r="W38" s="153"/>
      <c r="X38" s="152" t="s">
        <v>60</v>
      </c>
      <c r="Y38" s="151" t="s">
        <v>2436</v>
      </c>
      <c r="Z38" s="154" t="s">
        <v>143</v>
      </c>
      <c r="AA38" s="154" t="s">
        <v>7</v>
      </c>
      <c r="AB38" s="151" t="s">
        <v>2436</v>
      </c>
      <c r="AC38" s="154" t="s">
        <v>2496</v>
      </c>
      <c r="AD38" s="154" t="s">
        <v>2520</v>
      </c>
      <c r="AE38" s="151" t="s">
        <v>2436</v>
      </c>
      <c r="AF38" s="155">
        <v>1.25</v>
      </c>
      <c r="AG38" s="156" t="s">
        <v>3</v>
      </c>
      <c r="AH38" s="157" t="s">
        <v>1036</v>
      </c>
      <c r="AI38" s="158"/>
      <c r="AJ38" s="158"/>
      <c r="AK38" s="159"/>
      <c r="AL38" s="160">
        <v>0</v>
      </c>
      <c r="AM38" s="159" t="e">
        <v>#N/A</v>
      </c>
      <c r="AN38" s="152" t="e">
        <v>#N/A</v>
      </c>
    </row>
    <row r="39" spans="1:40" ht="26.25" customHeight="1">
      <c r="A39" s="148" t="s">
        <v>2478</v>
      </c>
      <c r="B39" s="149" t="s">
        <v>2052</v>
      </c>
      <c r="C39" s="150" t="s">
        <v>1647</v>
      </c>
      <c r="D39" s="152" t="s">
        <v>2562</v>
      </c>
      <c r="E39" s="152" t="s">
        <v>784</v>
      </c>
      <c r="F39" s="152" t="s">
        <v>693</v>
      </c>
      <c r="G39" s="152" t="s">
        <v>143</v>
      </c>
      <c r="H39" s="152" t="s">
        <v>60</v>
      </c>
      <c r="I39" s="152" t="s">
        <v>785</v>
      </c>
      <c r="J39" s="151" t="s">
        <v>2515</v>
      </c>
      <c r="K39" s="151"/>
      <c r="L39" s="151"/>
      <c r="M39" s="151"/>
      <c r="N39" s="161"/>
      <c r="O39" s="161"/>
      <c r="P39" s="161"/>
      <c r="Q39" s="161"/>
      <c r="R39" s="161"/>
      <c r="S39" s="161"/>
      <c r="T39" s="161"/>
      <c r="U39" s="161"/>
      <c r="V39" s="161">
        <v>1.8333333333333333</v>
      </c>
      <c r="W39" s="153"/>
      <c r="X39" s="152" t="s">
        <v>60</v>
      </c>
      <c r="Y39" s="151" t="s">
        <v>2515</v>
      </c>
      <c r="Z39" s="154" t="s">
        <v>143</v>
      </c>
      <c r="AA39" s="154" t="s">
        <v>143</v>
      </c>
      <c r="AB39" s="151" t="s">
        <v>49</v>
      </c>
      <c r="AC39" s="154" t="s">
        <v>2496</v>
      </c>
      <c r="AD39" s="154" t="s">
        <v>2496</v>
      </c>
      <c r="AE39" s="151" t="s">
        <v>2436</v>
      </c>
      <c r="AF39" s="155">
        <v>1.8333333333333333</v>
      </c>
      <c r="AG39" s="156" t="s">
        <v>3</v>
      </c>
      <c r="AH39" s="157" t="s">
        <v>1036</v>
      </c>
      <c r="AI39" s="158"/>
      <c r="AJ39" s="158"/>
      <c r="AK39" s="159"/>
      <c r="AL39" s="160">
        <v>0</v>
      </c>
      <c r="AM39" s="159" t="e">
        <v>#N/A</v>
      </c>
      <c r="AN39" s="152" t="e">
        <v>#N/A</v>
      </c>
    </row>
    <row r="40" spans="1:40" ht="26.25" customHeight="1">
      <c r="A40" s="148" t="s">
        <v>2480</v>
      </c>
      <c r="B40" s="149" t="s">
        <v>49</v>
      </c>
      <c r="C40" s="150" t="s">
        <v>1651</v>
      </c>
      <c r="D40" s="152" t="s">
        <v>2562</v>
      </c>
      <c r="E40" s="152" t="s">
        <v>784</v>
      </c>
      <c r="F40" s="152" t="s">
        <v>693</v>
      </c>
      <c r="G40" s="152" t="s">
        <v>143</v>
      </c>
      <c r="H40" s="152" t="s">
        <v>60</v>
      </c>
      <c r="I40" s="152" t="s">
        <v>793</v>
      </c>
      <c r="J40" s="151" t="s">
        <v>2515</v>
      </c>
      <c r="K40" s="151"/>
      <c r="L40" s="151"/>
      <c r="M40" s="151"/>
      <c r="N40" s="161"/>
      <c r="O40" s="161"/>
      <c r="P40" s="161"/>
      <c r="Q40" s="161"/>
      <c r="R40" s="161"/>
      <c r="S40" s="161"/>
      <c r="T40" s="161"/>
      <c r="U40" s="161"/>
      <c r="V40" s="161">
        <v>1.8333333333333333</v>
      </c>
      <c r="W40" s="153"/>
      <c r="X40" s="152" t="s">
        <v>60</v>
      </c>
      <c r="Y40" s="151" t="s">
        <v>2515</v>
      </c>
      <c r="Z40" s="154" t="s">
        <v>143</v>
      </c>
      <c r="AA40" s="154" t="s">
        <v>143</v>
      </c>
      <c r="AB40" s="151" t="s">
        <v>49</v>
      </c>
      <c r="AC40" s="154" t="s">
        <v>2496</v>
      </c>
      <c r="AD40" s="154" t="s">
        <v>2496</v>
      </c>
      <c r="AE40" s="151" t="s">
        <v>2436</v>
      </c>
      <c r="AF40" s="155">
        <v>1.8333333333333333</v>
      </c>
      <c r="AG40" s="156" t="s">
        <v>3</v>
      </c>
      <c r="AH40" s="157" t="s">
        <v>1036</v>
      </c>
      <c r="AI40" s="158"/>
      <c r="AJ40" s="158"/>
      <c r="AK40" s="159"/>
      <c r="AL40" s="160">
        <v>0</v>
      </c>
      <c r="AM40" s="159" t="e">
        <v>#N/A</v>
      </c>
      <c r="AN40" s="152" t="e">
        <v>#REF!</v>
      </c>
    </row>
    <row r="41" spans="1:40" ht="26.25" customHeight="1">
      <c r="A41" s="148" t="s">
        <v>2471</v>
      </c>
      <c r="B41" s="149" t="s">
        <v>2052</v>
      </c>
      <c r="C41" s="150" t="s">
        <v>1714</v>
      </c>
      <c r="D41" s="152" t="s">
        <v>2564</v>
      </c>
      <c r="E41" s="152" t="s">
        <v>677</v>
      </c>
      <c r="F41" s="152" t="s">
        <v>693</v>
      </c>
      <c r="G41" s="152" t="s">
        <v>143</v>
      </c>
      <c r="H41" s="152" t="s">
        <v>60</v>
      </c>
      <c r="I41" s="152" t="s">
        <v>811</v>
      </c>
      <c r="J41" s="151" t="s">
        <v>2515</v>
      </c>
      <c r="K41" s="151"/>
      <c r="L41" s="151"/>
      <c r="M41" s="151"/>
      <c r="N41" s="161"/>
      <c r="O41" s="161"/>
      <c r="P41" s="161"/>
      <c r="Q41" s="161"/>
      <c r="R41" s="161"/>
      <c r="S41" s="161"/>
      <c r="T41" s="161"/>
      <c r="U41" s="161"/>
      <c r="V41" s="161">
        <v>1.25</v>
      </c>
      <c r="W41" s="153"/>
      <c r="X41" s="152" t="s">
        <v>60</v>
      </c>
      <c r="Y41" s="151" t="s">
        <v>2436</v>
      </c>
      <c r="Z41" s="154" t="s">
        <v>143</v>
      </c>
      <c r="AA41" s="154" t="s">
        <v>7</v>
      </c>
      <c r="AB41" s="151" t="s">
        <v>2436</v>
      </c>
      <c r="AC41" s="154" t="s">
        <v>2520</v>
      </c>
      <c r="AD41" s="154" t="s">
        <v>2516</v>
      </c>
      <c r="AE41" s="151" t="s">
        <v>2436</v>
      </c>
      <c r="AF41" s="155">
        <v>1.25</v>
      </c>
      <c r="AG41" s="156" t="s">
        <v>3</v>
      </c>
      <c r="AH41" s="157" t="s">
        <v>1036</v>
      </c>
      <c r="AI41" s="158"/>
      <c r="AJ41" s="158"/>
      <c r="AK41" s="159"/>
      <c r="AL41" s="160">
        <v>0</v>
      </c>
      <c r="AM41" s="159" t="e">
        <v>#N/A</v>
      </c>
      <c r="AN41" s="152" t="e">
        <v>#N/A</v>
      </c>
    </row>
    <row r="42" spans="1:40" ht="26.25" customHeight="1">
      <c r="A42" s="148" t="s">
        <v>2051</v>
      </c>
      <c r="B42" s="149" t="s">
        <v>2052</v>
      </c>
      <c r="C42" s="150" t="s">
        <v>1666</v>
      </c>
      <c r="D42" s="152" t="s">
        <v>2565</v>
      </c>
      <c r="E42" s="152" t="s">
        <v>677</v>
      </c>
      <c r="F42" s="152" t="s">
        <v>693</v>
      </c>
      <c r="G42" s="152" t="s">
        <v>143</v>
      </c>
      <c r="H42" s="152" t="s">
        <v>60</v>
      </c>
      <c r="I42" s="152" t="s">
        <v>811</v>
      </c>
      <c r="J42" s="151" t="s">
        <v>2515</v>
      </c>
      <c r="K42" s="151"/>
      <c r="L42" s="151"/>
      <c r="M42" s="151"/>
      <c r="N42" s="161"/>
      <c r="O42" s="161"/>
      <c r="P42" s="161"/>
      <c r="Q42" s="161"/>
      <c r="R42" s="161"/>
      <c r="S42" s="161"/>
      <c r="T42" s="161"/>
      <c r="U42" s="161"/>
      <c r="V42" s="161">
        <v>1.25</v>
      </c>
      <c r="W42" s="153"/>
      <c r="X42" s="152" t="s">
        <v>60</v>
      </c>
      <c r="Y42" s="151" t="s">
        <v>2515</v>
      </c>
      <c r="Z42" s="154" t="s">
        <v>143</v>
      </c>
      <c r="AA42" s="154" t="s">
        <v>143</v>
      </c>
      <c r="AB42" s="151" t="s">
        <v>49</v>
      </c>
      <c r="AC42" s="154" t="s">
        <v>2496</v>
      </c>
      <c r="AD42" s="154" t="s">
        <v>2496</v>
      </c>
      <c r="AE42" s="151" t="s">
        <v>2436</v>
      </c>
      <c r="AF42" s="155">
        <v>1.25</v>
      </c>
      <c r="AG42" s="156" t="s">
        <v>3</v>
      </c>
      <c r="AH42" s="157" t="s">
        <v>1036</v>
      </c>
      <c r="AI42" s="158"/>
      <c r="AJ42" s="158"/>
      <c r="AK42" s="159"/>
      <c r="AL42" s="160">
        <v>0</v>
      </c>
      <c r="AM42" s="159" t="e">
        <v>#N/A</v>
      </c>
      <c r="AN42" s="152" t="e">
        <v>#N/A</v>
      </c>
    </row>
    <row r="43" spans="1:40" ht="26.25" customHeight="1">
      <c r="A43" s="148" t="s">
        <v>1423</v>
      </c>
      <c r="B43" s="149" t="s">
        <v>2567</v>
      </c>
      <c r="C43" s="150" t="s">
        <v>1424</v>
      </c>
      <c r="D43" s="152" t="s">
        <v>2538</v>
      </c>
      <c r="E43" s="152" t="s">
        <v>58</v>
      </c>
      <c r="F43" s="152" t="s">
        <v>693</v>
      </c>
      <c r="G43" s="152" t="s">
        <v>143</v>
      </c>
      <c r="H43" s="152" t="s">
        <v>60</v>
      </c>
      <c r="I43" s="152" t="s">
        <v>840</v>
      </c>
      <c r="J43" s="151" t="s">
        <v>2515</v>
      </c>
      <c r="K43" s="151"/>
      <c r="L43" s="151"/>
      <c r="M43" s="151"/>
      <c r="N43" s="161"/>
      <c r="O43" s="161"/>
      <c r="P43" s="161"/>
      <c r="Q43" s="161"/>
      <c r="R43" s="161"/>
      <c r="S43" s="161"/>
      <c r="T43" s="161"/>
      <c r="U43" s="161"/>
      <c r="V43" s="161">
        <v>1.0416666666666667</v>
      </c>
      <c r="W43" s="161"/>
      <c r="X43" s="152" t="s">
        <v>60</v>
      </c>
      <c r="Y43" s="151" t="s">
        <v>2515</v>
      </c>
      <c r="Z43" s="154" t="s">
        <v>143</v>
      </c>
      <c r="AA43" s="154" t="s">
        <v>143</v>
      </c>
      <c r="AB43" s="151" t="s">
        <v>49</v>
      </c>
      <c r="AC43" s="154" t="s">
        <v>2496</v>
      </c>
      <c r="AD43" s="154" t="s">
        <v>2496</v>
      </c>
      <c r="AE43" s="151" t="s">
        <v>2436</v>
      </c>
      <c r="AF43" s="155">
        <v>1.0416666666666667</v>
      </c>
      <c r="AG43" s="156" t="s">
        <v>3</v>
      </c>
      <c r="AH43" s="157" t="s">
        <v>1036</v>
      </c>
      <c r="AI43" s="158"/>
      <c r="AJ43" s="158"/>
      <c r="AK43" s="159"/>
      <c r="AL43" s="160">
        <v>0</v>
      </c>
      <c r="AM43" s="159" t="e">
        <v>#N/A</v>
      </c>
      <c r="AN43" s="152" t="e">
        <v>#N/A</v>
      </c>
    </row>
    <row r="44" spans="1:40" ht="26.25" customHeight="1">
      <c r="A44" s="148" t="s">
        <v>2568</v>
      </c>
      <c r="B44" s="149" t="s">
        <v>2052</v>
      </c>
      <c r="C44" s="150" t="s">
        <v>1674</v>
      </c>
      <c r="D44" s="152" t="s">
        <v>2569</v>
      </c>
      <c r="E44" s="152" t="s">
        <v>58</v>
      </c>
      <c r="F44" s="152" t="s">
        <v>693</v>
      </c>
      <c r="G44" s="152" t="s">
        <v>143</v>
      </c>
      <c r="H44" s="152" t="s">
        <v>60</v>
      </c>
      <c r="I44" s="152" t="s">
        <v>2555</v>
      </c>
      <c r="J44" s="151" t="s">
        <v>2515</v>
      </c>
      <c r="K44" s="151"/>
      <c r="L44" s="151"/>
      <c r="M44" s="151"/>
      <c r="N44" s="161"/>
      <c r="O44" s="161"/>
      <c r="P44" s="161"/>
      <c r="Q44" s="161"/>
      <c r="R44" s="161"/>
      <c r="S44" s="161"/>
      <c r="T44" s="161"/>
      <c r="U44" s="161"/>
      <c r="V44" s="161">
        <v>1.25</v>
      </c>
      <c r="W44" s="161"/>
      <c r="X44" s="152" t="s">
        <v>60</v>
      </c>
      <c r="Y44" s="151" t="s">
        <v>2515</v>
      </c>
      <c r="Z44" s="154" t="s">
        <v>143</v>
      </c>
      <c r="AA44" s="154" t="s">
        <v>143</v>
      </c>
      <c r="AB44" s="151" t="s">
        <v>49</v>
      </c>
      <c r="AC44" s="154" t="s">
        <v>2496</v>
      </c>
      <c r="AD44" s="154" t="s">
        <v>2496</v>
      </c>
      <c r="AE44" s="151" t="s">
        <v>2436</v>
      </c>
      <c r="AF44" s="155">
        <v>1.25</v>
      </c>
      <c r="AG44" s="156" t="s">
        <v>3</v>
      </c>
      <c r="AH44" s="157" t="s">
        <v>1036</v>
      </c>
      <c r="AI44" s="158"/>
      <c r="AJ44" s="158"/>
      <c r="AK44" s="159"/>
      <c r="AL44" s="160">
        <v>0</v>
      </c>
      <c r="AM44" s="159" t="e">
        <v>#N/A</v>
      </c>
      <c r="AN44" s="152" t="e">
        <v>#N/A</v>
      </c>
    </row>
    <row r="45" spans="1:40" ht="26.25" customHeight="1">
      <c r="A45" s="148" t="s">
        <v>2253</v>
      </c>
      <c r="B45" s="149" t="s">
        <v>2052</v>
      </c>
      <c r="C45" s="150" t="s">
        <v>1680</v>
      </c>
      <c r="D45" s="152" t="s">
        <v>2571</v>
      </c>
      <c r="E45" s="152" t="s">
        <v>677</v>
      </c>
      <c r="F45" s="152" t="s">
        <v>693</v>
      </c>
      <c r="G45" s="152" t="s">
        <v>143</v>
      </c>
      <c r="H45" s="152" t="s">
        <v>60</v>
      </c>
      <c r="I45" s="152" t="s">
        <v>811</v>
      </c>
      <c r="J45" s="151" t="s">
        <v>2515</v>
      </c>
      <c r="K45" s="151"/>
      <c r="L45" s="151"/>
      <c r="M45" s="151"/>
      <c r="N45" s="161"/>
      <c r="O45" s="161"/>
      <c r="P45" s="161"/>
      <c r="Q45" s="161"/>
      <c r="R45" s="161"/>
      <c r="S45" s="161"/>
      <c r="T45" s="161"/>
      <c r="U45" s="161"/>
      <c r="V45" s="161">
        <v>1.25</v>
      </c>
      <c r="W45" s="153"/>
      <c r="X45" s="152" t="s">
        <v>60</v>
      </c>
      <c r="Y45" s="151" t="s">
        <v>2436</v>
      </c>
      <c r="Z45" s="154" t="s">
        <v>143</v>
      </c>
      <c r="AA45" s="154" t="s">
        <v>7</v>
      </c>
      <c r="AB45" s="151" t="s">
        <v>2436</v>
      </c>
      <c r="AC45" s="154" t="s">
        <v>2496</v>
      </c>
      <c r="AD45" s="154" t="s">
        <v>2520</v>
      </c>
      <c r="AE45" s="151" t="s">
        <v>2436</v>
      </c>
      <c r="AF45" s="155">
        <v>1.25</v>
      </c>
      <c r="AG45" s="156" t="s">
        <v>3</v>
      </c>
      <c r="AH45" s="157" t="s">
        <v>1036</v>
      </c>
      <c r="AI45" s="158"/>
      <c r="AJ45" s="158"/>
      <c r="AK45" s="159"/>
      <c r="AL45" s="160">
        <v>0</v>
      </c>
      <c r="AM45" s="159" t="e">
        <v>#N/A</v>
      </c>
      <c r="AN45" s="152" t="e">
        <v>#N/A</v>
      </c>
    </row>
    <row r="46" spans="1:40" ht="26.25" customHeight="1">
      <c r="A46" s="148" t="s">
        <v>2301</v>
      </c>
      <c r="B46" s="149" t="s">
        <v>49</v>
      </c>
      <c r="C46" s="150" t="s">
        <v>1689</v>
      </c>
      <c r="D46" s="152" t="s">
        <v>2538</v>
      </c>
      <c r="E46" s="152" t="s">
        <v>21</v>
      </c>
      <c r="F46" s="152" t="s">
        <v>693</v>
      </c>
      <c r="G46" s="152" t="s">
        <v>143</v>
      </c>
      <c r="H46" s="152" t="s">
        <v>916</v>
      </c>
      <c r="I46" s="152" t="s">
        <v>920</v>
      </c>
      <c r="J46" s="151" t="s">
        <v>2515</v>
      </c>
      <c r="K46" s="151"/>
      <c r="L46" s="151"/>
      <c r="M46" s="151"/>
      <c r="N46" s="161"/>
      <c r="O46" s="161"/>
      <c r="P46" s="161"/>
      <c r="Q46" s="161"/>
      <c r="R46" s="161"/>
      <c r="S46" s="161"/>
      <c r="T46" s="161"/>
      <c r="U46" s="161"/>
      <c r="V46" s="161">
        <v>1.8333333333333335</v>
      </c>
      <c r="W46" s="153"/>
      <c r="X46" s="152" t="s">
        <v>916</v>
      </c>
      <c r="Y46" s="151" t="s">
        <v>2515</v>
      </c>
      <c r="Z46" s="154" t="s">
        <v>143</v>
      </c>
      <c r="AA46" s="154" t="s">
        <v>143</v>
      </c>
      <c r="AB46" s="151" t="s">
        <v>49</v>
      </c>
      <c r="AC46" s="154" t="s">
        <v>2496</v>
      </c>
      <c r="AD46" s="154" t="s">
        <v>2496</v>
      </c>
      <c r="AE46" s="151" t="s">
        <v>2436</v>
      </c>
      <c r="AF46" s="155">
        <v>1.8333333333333335</v>
      </c>
      <c r="AG46" s="156" t="s">
        <v>3</v>
      </c>
      <c r="AH46" s="157" t="s">
        <v>1036</v>
      </c>
      <c r="AI46" s="158"/>
      <c r="AJ46" s="158"/>
      <c r="AK46" s="159"/>
      <c r="AL46" s="160">
        <v>0</v>
      </c>
      <c r="AM46" s="159" t="e">
        <v>#N/A</v>
      </c>
      <c r="AN46" s="152" t="e">
        <v>#REF!</v>
      </c>
    </row>
    <row r="47" spans="1:40" ht="26.25" customHeight="1">
      <c r="A47" s="148" t="s">
        <v>2002</v>
      </c>
      <c r="B47" s="149" t="s">
        <v>2052</v>
      </c>
      <c r="C47" s="150" t="s">
        <v>1693</v>
      </c>
      <c r="D47" s="152" t="s">
        <v>2572</v>
      </c>
      <c r="E47" s="152" t="s">
        <v>677</v>
      </c>
      <c r="F47" s="152" t="s">
        <v>693</v>
      </c>
      <c r="G47" s="152" t="s">
        <v>143</v>
      </c>
      <c r="H47" s="152" t="s">
        <v>60</v>
      </c>
      <c r="I47" s="152" t="s">
        <v>2573</v>
      </c>
      <c r="J47" s="151" t="s">
        <v>2515</v>
      </c>
      <c r="K47" s="151"/>
      <c r="L47" s="151"/>
      <c r="M47" s="151"/>
      <c r="N47" s="161"/>
      <c r="O47" s="161"/>
      <c r="P47" s="161"/>
      <c r="Q47" s="161"/>
      <c r="R47" s="161"/>
      <c r="S47" s="161"/>
      <c r="T47" s="161"/>
      <c r="U47" s="161"/>
      <c r="V47" s="161">
        <v>0.49999999999999994</v>
      </c>
      <c r="W47" s="153"/>
      <c r="X47" s="152" t="s">
        <v>60</v>
      </c>
      <c r="Y47" s="151" t="s">
        <v>2436</v>
      </c>
      <c r="Z47" s="154" t="s">
        <v>143</v>
      </c>
      <c r="AA47" s="154" t="s">
        <v>7</v>
      </c>
      <c r="AB47" s="151" t="s">
        <v>2436</v>
      </c>
      <c r="AC47" s="154" t="s">
        <v>2496</v>
      </c>
      <c r="AD47" s="154" t="s">
        <v>2520</v>
      </c>
      <c r="AE47" s="151" t="s">
        <v>2436</v>
      </c>
      <c r="AF47" s="155">
        <v>0.49999999999999994</v>
      </c>
      <c r="AG47" s="156" t="s">
        <v>3</v>
      </c>
      <c r="AH47" s="157" t="s">
        <v>1036</v>
      </c>
      <c r="AI47" s="158"/>
      <c r="AJ47" s="158"/>
      <c r="AK47" s="159"/>
      <c r="AL47" s="160">
        <v>0</v>
      </c>
      <c r="AM47" s="159" t="e">
        <v>#N/A</v>
      </c>
      <c r="AN47" s="152" t="e">
        <v>#N/A</v>
      </c>
    </row>
    <row r="48" spans="1:40" ht="26.25" customHeight="1">
      <c r="A48" s="148" t="s">
        <v>2574</v>
      </c>
      <c r="B48" s="149" t="s">
        <v>2052</v>
      </c>
      <c r="C48" s="150" t="s">
        <v>1718</v>
      </c>
      <c r="D48" s="152" t="s">
        <v>2575</v>
      </c>
      <c r="E48" s="152" t="s">
        <v>58</v>
      </c>
      <c r="F48" s="152" t="s">
        <v>7</v>
      </c>
      <c r="G48" s="152" t="s">
        <v>7</v>
      </c>
      <c r="H48" s="152" t="s">
        <v>60</v>
      </c>
      <c r="I48" s="152" t="s">
        <v>2576</v>
      </c>
      <c r="J48" s="151" t="s">
        <v>2515</v>
      </c>
      <c r="K48" s="151"/>
      <c r="L48" s="151"/>
      <c r="M48" s="151"/>
      <c r="N48" s="161"/>
      <c r="O48" s="161"/>
      <c r="P48" s="161"/>
      <c r="Q48" s="161"/>
      <c r="R48" s="161"/>
      <c r="S48" s="161"/>
      <c r="T48" s="161"/>
      <c r="U48" s="161"/>
      <c r="V48" s="161">
        <v>0.83333333333333326</v>
      </c>
      <c r="W48" s="161"/>
      <c r="X48" s="152" t="s">
        <v>60</v>
      </c>
      <c r="Y48" s="151"/>
      <c r="Z48" s="154" t="s">
        <v>7</v>
      </c>
      <c r="AA48" s="154" t="s">
        <v>7</v>
      </c>
      <c r="AB48" s="151" t="s">
        <v>2436</v>
      </c>
      <c r="AC48" s="154" t="s">
        <v>2496</v>
      </c>
      <c r="AD48" s="154" t="s">
        <v>2520</v>
      </c>
      <c r="AE48" s="151" t="s">
        <v>2436</v>
      </c>
      <c r="AF48" s="155">
        <v>0.83333333333333326</v>
      </c>
      <c r="AG48" s="156" t="s">
        <v>3</v>
      </c>
      <c r="AH48" s="157" t="s">
        <v>1036</v>
      </c>
      <c r="AI48" s="158"/>
      <c r="AJ48" s="158"/>
      <c r="AK48" s="159"/>
      <c r="AL48" s="160">
        <v>0</v>
      </c>
      <c r="AM48" s="159" t="e">
        <v>#N/A</v>
      </c>
      <c r="AN48" s="152" t="e">
        <v>#N/A</v>
      </c>
    </row>
    <row r="49" spans="1:40" ht="26.25" customHeight="1">
      <c r="A49" s="148" t="s">
        <v>2068</v>
      </c>
      <c r="B49" s="149" t="s">
        <v>49</v>
      </c>
      <c r="C49" s="150" t="s">
        <v>1891</v>
      </c>
      <c r="D49" s="152" t="s">
        <v>1588</v>
      </c>
      <c r="E49" s="152" t="s">
        <v>21</v>
      </c>
      <c r="F49" s="152" t="s">
        <v>7</v>
      </c>
      <c r="G49" s="152" t="s">
        <v>7</v>
      </c>
      <c r="H49" s="152" t="s">
        <v>2367</v>
      </c>
      <c r="I49" s="152" t="s">
        <v>1051</v>
      </c>
      <c r="J49" s="151" t="s">
        <v>2515</v>
      </c>
      <c r="K49" s="151"/>
      <c r="L49" s="151"/>
      <c r="M49" s="151"/>
      <c r="N49" s="163"/>
      <c r="O49" s="163"/>
      <c r="P49" s="163"/>
      <c r="Q49" s="163"/>
      <c r="R49" s="163"/>
      <c r="S49" s="163"/>
      <c r="T49" s="163"/>
      <c r="U49" s="163"/>
      <c r="V49" s="163">
        <v>1.8333333333333333</v>
      </c>
      <c r="W49" s="153"/>
      <c r="X49" s="152" t="s">
        <v>2367</v>
      </c>
      <c r="Y49" s="151"/>
      <c r="Z49" s="154" t="s">
        <v>7</v>
      </c>
      <c r="AA49" s="154" t="s">
        <v>7</v>
      </c>
      <c r="AB49" s="151" t="s">
        <v>2436</v>
      </c>
      <c r="AC49" s="154" t="s">
        <v>2496</v>
      </c>
      <c r="AD49" s="154" t="s">
        <v>2520</v>
      </c>
      <c r="AE49" s="151" t="s">
        <v>2436</v>
      </c>
      <c r="AF49" s="155">
        <v>1.8333333333333333</v>
      </c>
      <c r="AG49" s="156" t="s">
        <v>522</v>
      </c>
      <c r="AH49" s="157" t="s">
        <v>1036</v>
      </c>
      <c r="AI49" s="158"/>
      <c r="AJ49" s="158"/>
      <c r="AK49" s="159"/>
      <c r="AL49" s="160">
        <v>0</v>
      </c>
      <c r="AM49" s="159" t="e">
        <v>#N/A</v>
      </c>
      <c r="AN49" s="152" t="e">
        <v>#REF!</v>
      </c>
    </row>
    <row r="50" spans="1:40" ht="26.25" customHeight="1">
      <c r="A50" s="148" t="s">
        <v>2383</v>
      </c>
      <c r="B50" s="149" t="s">
        <v>49</v>
      </c>
      <c r="C50" s="150" t="s">
        <v>1891</v>
      </c>
      <c r="D50" s="152" t="s">
        <v>1588</v>
      </c>
      <c r="E50" s="152" t="s">
        <v>21</v>
      </c>
      <c r="F50" s="152" t="s">
        <v>7</v>
      </c>
      <c r="G50" s="152" t="s">
        <v>7</v>
      </c>
      <c r="H50" s="152" t="s">
        <v>2367</v>
      </c>
      <c r="I50" s="152" t="s">
        <v>1051</v>
      </c>
      <c r="J50" s="151" t="s">
        <v>2515</v>
      </c>
      <c r="K50" s="151"/>
      <c r="L50" s="151"/>
      <c r="M50" s="151"/>
      <c r="N50" s="163"/>
      <c r="O50" s="163"/>
      <c r="P50" s="163"/>
      <c r="Q50" s="163"/>
      <c r="R50" s="163"/>
      <c r="S50" s="163"/>
      <c r="T50" s="163"/>
      <c r="U50" s="163"/>
      <c r="V50" s="163">
        <v>1.8333333333333333</v>
      </c>
      <c r="W50" s="153"/>
      <c r="X50" s="152" t="s">
        <v>2367</v>
      </c>
      <c r="Y50" s="151"/>
      <c r="Z50" s="154" t="s">
        <v>7</v>
      </c>
      <c r="AA50" s="154" t="e">
        <v>#N/A</v>
      </c>
      <c r="AB50" s="151" t="e">
        <v>#N/A</v>
      </c>
      <c r="AC50" s="154" t="s">
        <v>2496</v>
      </c>
      <c r="AD50" s="154" t="e">
        <v>#N/A</v>
      </c>
      <c r="AE50" s="151" t="e">
        <v>#N/A</v>
      </c>
      <c r="AF50" s="155">
        <v>1.8333333333333333</v>
      </c>
      <c r="AG50" s="156" t="e">
        <v>#N/A</v>
      </c>
      <c r="AH50" s="157" t="e">
        <v>#N/A</v>
      </c>
      <c r="AI50" s="158" t="e">
        <v>#N/A</v>
      </c>
      <c r="AJ50" s="158" t="e">
        <v>#N/A</v>
      </c>
      <c r="AK50" s="159" t="e">
        <v>#N/A</v>
      </c>
      <c r="AL50" s="160" t="e">
        <v>#N/A</v>
      </c>
      <c r="AM50" s="159" t="e">
        <v>#N/A</v>
      </c>
      <c r="AN50" s="152" t="e">
        <v>#REF!</v>
      </c>
    </row>
    <row r="51" spans="1:40" ht="26.25" customHeight="1">
      <c r="A51" s="148" t="s">
        <v>2443</v>
      </c>
      <c r="B51" s="149" t="s">
        <v>49</v>
      </c>
      <c r="C51" s="150" t="s">
        <v>1891</v>
      </c>
      <c r="D51" s="152" t="s">
        <v>1588</v>
      </c>
      <c r="E51" s="152" t="s">
        <v>21</v>
      </c>
      <c r="F51" s="152" t="s">
        <v>7</v>
      </c>
      <c r="G51" s="152" t="s">
        <v>7</v>
      </c>
      <c r="H51" s="152" t="s">
        <v>2367</v>
      </c>
      <c r="I51" s="152" t="s">
        <v>1051</v>
      </c>
      <c r="J51" s="151" t="s">
        <v>2515</v>
      </c>
      <c r="K51" s="151"/>
      <c r="L51" s="151"/>
      <c r="M51" s="151"/>
      <c r="N51" s="163"/>
      <c r="O51" s="163"/>
      <c r="P51" s="163"/>
      <c r="Q51" s="163"/>
      <c r="R51" s="163"/>
      <c r="S51" s="163"/>
      <c r="T51" s="163"/>
      <c r="U51" s="163"/>
      <c r="V51" s="163">
        <v>1.8333333333333333</v>
      </c>
      <c r="W51" s="153"/>
      <c r="X51" s="152" t="s">
        <v>2367</v>
      </c>
      <c r="Y51" s="151"/>
      <c r="Z51" s="154" t="s">
        <v>7</v>
      </c>
      <c r="AA51" s="154" t="s">
        <v>7</v>
      </c>
      <c r="AB51" s="151" t="s">
        <v>2436</v>
      </c>
      <c r="AC51" s="154" t="s">
        <v>2496</v>
      </c>
      <c r="AD51" s="154" t="s">
        <v>2520</v>
      </c>
      <c r="AE51" s="151" t="s">
        <v>2436</v>
      </c>
      <c r="AF51" s="155">
        <v>1.8333333333333333</v>
      </c>
      <c r="AG51" s="156" t="s">
        <v>404</v>
      </c>
      <c r="AH51" s="157" t="s">
        <v>1036</v>
      </c>
      <c r="AI51" s="158"/>
      <c r="AJ51" s="158"/>
      <c r="AK51" s="159"/>
      <c r="AL51" s="160">
        <v>0</v>
      </c>
      <c r="AM51" s="159" t="e">
        <v>#N/A</v>
      </c>
      <c r="AN51" s="152" t="e">
        <v>#REF!</v>
      </c>
    </row>
    <row r="52" spans="1:40" ht="26.25" customHeight="1">
      <c r="A52" s="148" t="s">
        <v>1499</v>
      </c>
      <c r="B52" s="149" t="s">
        <v>49</v>
      </c>
      <c r="C52" s="150" t="s">
        <v>1891</v>
      </c>
      <c r="D52" s="152" t="s">
        <v>1588</v>
      </c>
      <c r="E52" s="152" t="s">
        <v>21</v>
      </c>
      <c r="F52" s="152" t="s">
        <v>7</v>
      </c>
      <c r="G52" s="152" t="s">
        <v>7</v>
      </c>
      <c r="H52" s="152" t="s">
        <v>2367</v>
      </c>
      <c r="I52" s="152" t="s">
        <v>1480</v>
      </c>
      <c r="J52" s="151" t="s">
        <v>2515</v>
      </c>
      <c r="K52" s="151"/>
      <c r="L52" s="151"/>
      <c r="M52" s="151"/>
      <c r="N52" s="163"/>
      <c r="O52" s="163"/>
      <c r="P52" s="163"/>
      <c r="Q52" s="163"/>
      <c r="R52" s="163"/>
      <c r="S52" s="163"/>
      <c r="T52" s="163"/>
      <c r="U52" s="163"/>
      <c r="V52" s="163">
        <v>1.8333333333333333</v>
      </c>
      <c r="W52" s="153"/>
      <c r="X52" s="152" t="s">
        <v>2367</v>
      </c>
      <c r="Y52" s="151"/>
      <c r="Z52" s="154" t="s">
        <v>7</v>
      </c>
      <c r="AA52" s="154" t="s">
        <v>7</v>
      </c>
      <c r="AB52" s="151" t="s">
        <v>2436</v>
      </c>
      <c r="AC52" s="154" t="s">
        <v>2496</v>
      </c>
      <c r="AD52" s="154" t="s">
        <v>2520</v>
      </c>
      <c r="AE52" s="151" t="s">
        <v>2436</v>
      </c>
      <c r="AF52" s="155">
        <v>1.8333333333333333</v>
      </c>
      <c r="AG52" s="156" t="s">
        <v>3</v>
      </c>
      <c r="AH52" s="157" t="s">
        <v>2548</v>
      </c>
      <c r="AI52" s="158">
        <v>45915</v>
      </c>
      <c r="AJ52" s="158">
        <v>45945</v>
      </c>
      <c r="AK52" s="159"/>
      <c r="AL52" s="160">
        <v>0</v>
      </c>
      <c r="AM52" s="159" t="e">
        <v>#N/A</v>
      </c>
      <c r="AN52" s="152" t="e">
        <v>#REF!</v>
      </c>
    </row>
    <row r="53" spans="1:40" ht="26.25" customHeight="1">
      <c r="A53" s="148" t="s">
        <v>1549</v>
      </c>
      <c r="B53" s="149" t="s">
        <v>49</v>
      </c>
      <c r="C53" s="150" t="s">
        <v>1891</v>
      </c>
      <c r="D53" s="152" t="s">
        <v>1588</v>
      </c>
      <c r="E53" s="152" t="s">
        <v>21</v>
      </c>
      <c r="F53" s="152" t="s">
        <v>7</v>
      </c>
      <c r="G53" s="152" t="s">
        <v>7</v>
      </c>
      <c r="H53" s="152" t="s">
        <v>2367</v>
      </c>
      <c r="I53" s="152" t="s">
        <v>1051</v>
      </c>
      <c r="J53" s="151" t="s">
        <v>2515</v>
      </c>
      <c r="K53" s="151"/>
      <c r="L53" s="151"/>
      <c r="M53" s="151"/>
      <c r="N53" s="163"/>
      <c r="O53" s="163"/>
      <c r="P53" s="163"/>
      <c r="Q53" s="163"/>
      <c r="R53" s="163"/>
      <c r="S53" s="163"/>
      <c r="T53" s="163"/>
      <c r="U53" s="163"/>
      <c r="V53" s="163">
        <v>1.8333333333333333</v>
      </c>
      <c r="W53" s="153"/>
      <c r="X53" s="152" t="s">
        <v>2367</v>
      </c>
      <c r="Y53" s="151"/>
      <c r="Z53" s="154" t="s">
        <v>7</v>
      </c>
      <c r="AA53" s="154" t="s">
        <v>7</v>
      </c>
      <c r="AB53" s="151" t="s">
        <v>2436</v>
      </c>
      <c r="AC53" s="154" t="s">
        <v>2496</v>
      </c>
      <c r="AD53" s="154" t="s">
        <v>2520</v>
      </c>
      <c r="AE53" s="151" t="s">
        <v>2436</v>
      </c>
      <c r="AF53" s="155">
        <v>1.8333333333333333</v>
      </c>
      <c r="AG53" s="156" t="s">
        <v>3</v>
      </c>
      <c r="AH53" s="157" t="e">
        <v>#N/A</v>
      </c>
      <c r="AI53" s="158" t="e">
        <v>#N/A</v>
      </c>
      <c r="AJ53" s="158" t="e">
        <v>#N/A</v>
      </c>
      <c r="AK53" s="159" t="e">
        <v>#N/A</v>
      </c>
      <c r="AL53" s="160" t="e">
        <v>#N/A</v>
      </c>
      <c r="AM53" s="159" t="e">
        <v>#N/A</v>
      </c>
      <c r="AN53" s="152" t="e">
        <v>#REF!</v>
      </c>
    </row>
    <row r="54" spans="1:40" ht="26.25" customHeight="1">
      <c r="A54" s="148" t="s">
        <v>2219</v>
      </c>
      <c r="B54" s="149" t="s">
        <v>49</v>
      </c>
      <c r="C54" s="150" t="s">
        <v>1891</v>
      </c>
      <c r="D54" s="152" t="s">
        <v>1588</v>
      </c>
      <c r="E54" s="152" t="s">
        <v>21</v>
      </c>
      <c r="F54" s="152" t="s">
        <v>7</v>
      </c>
      <c r="G54" s="152" t="s">
        <v>7</v>
      </c>
      <c r="H54" s="152" t="s">
        <v>2367</v>
      </c>
      <c r="I54" s="152" t="s">
        <v>1051</v>
      </c>
      <c r="J54" s="151" t="s">
        <v>2515</v>
      </c>
      <c r="K54" s="151"/>
      <c r="L54" s="151"/>
      <c r="M54" s="151"/>
      <c r="N54" s="161"/>
      <c r="O54" s="161"/>
      <c r="P54" s="161"/>
      <c r="Q54" s="161"/>
      <c r="R54" s="161"/>
      <c r="S54" s="161"/>
      <c r="T54" s="161"/>
      <c r="U54" s="161"/>
      <c r="V54" s="161">
        <v>1.8333333333333333</v>
      </c>
      <c r="W54" s="153"/>
      <c r="X54" s="152" t="s">
        <v>2367</v>
      </c>
      <c r="Y54" s="151"/>
      <c r="Z54" s="154" t="s">
        <v>7</v>
      </c>
      <c r="AA54" s="154" t="s">
        <v>7</v>
      </c>
      <c r="AB54" s="151" t="s">
        <v>2436</v>
      </c>
      <c r="AC54" s="154" t="s">
        <v>2496</v>
      </c>
      <c r="AD54" s="154" t="s">
        <v>2520</v>
      </c>
      <c r="AE54" s="151" t="s">
        <v>2436</v>
      </c>
      <c r="AF54" s="155">
        <v>1.8333333333333333</v>
      </c>
      <c r="AG54" s="156" t="s">
        <v>3</v>
      </c>
      <c r="AH54" s="157" t="s">
        <v>1036</v>
      </c>
      <c r="AI54" s="158"/>
      <c r="AJ54" s="158"/>
      <c r="AK54" s="159"/>
      <c r="AL54" s="160">
        <v>0</v>
      </c>
      <c r="AM54" s="159" t="e">
        <v>#N/A</v>
      </c>
      <c r="AN54" s="152" t="e">
        <v>#REF!</v>
      </c>
    </row>
    <row r="55" spans="1:40" ht="26.25" customHeight="1">
      <c r="A55" s="148" t="s">
        <v>2385</v>
      </c>
      <c r="B55" s="149" t="s">
        <v>49</v>
      </c>
      <c r="C55" s="150" t="s">
        <v>1891</v>
      </c>
      <c r="D55" s="152" t="s">
        <v>1588</v>
      </c>
      <c r="E55" s="152" t="s">
        <v>21</v>
      </c>
      <c r="F55" s="152" t="s">
        <v>7</v>
      </c>
      <c r="G55" s="152" t="s">
        <v>7</v>
      </c>
      <c r="H55" s="152" t="s">
        <v>2367</v>
      </c>
      <c r="I55" s="152" t="s">
        <v>1051</v>
      </c>
      <c r="J55" s="151" t="s">
        <v>2515</v>
      </c>
      <c r="K55" s="151"/>
      <c r="L55" s="151"/>
      <c r="M55" s="151"/>
      <c r="N55" s="163"/>
      <c r="O55" s="163"/>
      <c r="P55" s="163"/>
      <c r="Q55" s="163"/>
      <c r="R55" s="163"/>
      <c r="S55" s="163"/>
      <c r="T55" s="163"/>
      <c r="U55" s="163"/>
      <c r="V55" s="163">
        <v>1.8333333333333333</v>
      </c>
      <c r="W55" s="153"/>
      <c r="X55" s="152" t="s">
        <v>2367</v>
      </c>
      <c r="Y55" s="151"/>
      <c r="Z55" s="154" t="s">
        <v>7</v>
      </c>
      <c r="AA55" s="154" t="s">
        <v>7</v>
      </c>
      <c r="AB55" s="151" t="s">
        <v>2436</v>
      </c>
      <c r="AC55" s="154" t="s">
        <v>2496</v>
      </c>
      <c r="AD55" s="154" t="s">
        <v>2520</v>
      </c>
      <c r="AE55" s="151" t="s">
        <v>2436</v>
      </c>
      <c r="AF55" s="155">
        <v>1.8333333333333333</v>
      </c>
      <c r="AG55" s="156" t="s">
        <v>3</v>
      </c>
      <c r="AH55" s="157" t="s">
        <v>1036</v>
      </c>
      <c r="AI55" s="158"/>
      <c r="AJ55" s="158"/>
      <c r="AK55" s="159"/>
      <c r="AL55" s="160">
        <v>0</v>
      </c>
      <c r="AM55" s="159" t="e">
        <v>#N/A</v>
      </c>
      <c r="AN55" s="152" t="e">
        <v>#REF!</v>
      </c>
    </row>
    <row r="56" spans="1:40" ht="26.25" customHeight="1">
      <c r="A56" s="148" t="s">
        <v>1993</v>
      </c>
      <c r="B56" s="149" t="s">
        <v>49</v>
      </c>
      <c r="C56" s="150" t="s">
        <v>1891</v>
      </c>
      <c r="D56" s="152" t="s">
        <v>1588</v>
      </c>
      <c r="E56" s="152" t="s">
        <v>21</v>
      </c>
      <c r="F56" s="152" t="s">
        <v>7</v>
      </c>
      <c r="G56" s="152" t="s">
        <v>7</v>
      </c>
      <c r="H56" s="152" t="s">
        <v>2367</v>
      </c>
      <c r="I56" s="152" t="s">
        <v>1051</v>
      </c>
      <c r="J56" s="151" t="s">
        <v>2515</v>
      </c>
      <c r="K56" s="151"/>
      <c r="L56" s="151"/>
      <c r="M56" s="151"/>
      <c r="N56" s="163"/>
      <c r="O56" s="163"/>
      <c r="P56" s="163"/>
      <c r="Q56" s="163"/>
      <c r="R56" s="163"/>
      <c r="S56" s="163"/>
      <c r="T56" s="163"/>
      <c r="U56" s="163"/>
      <c r="V56" s="163">
        <v>1.8333333333333333</v>
      </c>
      <c r="W56" s="153"/>
      <c r="X56" s="152" t="s">
        <v>2367</v>
      </c>
      <c r="Y56" s="151"/>
      <c r="Z56" s="154" t="s">
        <v>7</v>
      </c>
      <c r="AA56" s="154" t="s">
        <v>7</v>
      </c>
      <c r="AB56" s="151" t="s">
        <v>2436</v>
      </c>
      <c r="AC56" s="154" t="s">
        <v>2496</v>
      </c>
      <c r="AD56" s="154" t="s">
        <v>2520</v>
      </c>
      <c r="AE56" s="151" t="s">
        <v>2436</v>
      </c>
      <c r="AF56" s="155">
        <v>1.8333333333333333</v>
      </c>
      <c r="AG56" s="156" t="s">
        <v>3</v>
      </c>
      <c r="AH56" s="157" t="s">
        <v>1036</v>
      </c>
      <c r="AI56" s="158"/>
      <c r="AJ56" s="158"/>
      <c r="AK56" s="159"/>
      <c r="AL56" s="160">
        <v>0</v>
      </c>
      <c r="AM56" s="159" t="e">
        <v>#N/A</v>
      </c>
      <c r="AN56" s="152" t="e">
        <v>#REF!</v>
      </c>
    </row>
    <row r="57" spans="1:40" ht="26.25" customHeight="1">
      <c r="A57" s="148" t="s">
        <v>1487</v>
      </c>
      <c r="B57" s="149" t="s">
        <v>49</v>
      </c>
      <c r="C57" s="150" t="s">
        <v>1891</v>
      </c>
      <c r="D57" s="152" t="s">
        <v>1588</v>
      </c>
      <c r="E57" s="152" t="s">
        <v>21</v>
      </c>
      <c r="F57" s="152" t="s">
        <v>7</v>
      </c>
      <c r="G57" s="152" t="s">
        <v>7</v>
      </c>
      <c r="H57" s="152" t="s">
        <v>2367</v>
      </c>
      <c r="I57" s="152" t="s">
        <v>1051</v>
      </c>
      <c r="J57" s="151" t="s">
        <v>2515</v>
      </c>
      <c r="K57" s="151"/>
      <c r="L57" s="151"/>
      <c r="M57" s="151"/>
      <c r="N57" s="161"/>
      <c r="O57" s="161"/>
      <c r="P57" s="161"/>
      <c r="Q57" s="161"/>
      <c r="R57" s="161"/>
      <c r="S57" s="161"/>
      <c r="T57" s="161"/>
      <c r="U57" s="161"/>
      <c r="V57" s="161">
        <v>1.8333333333333333</v>
      </c>
      <c r="W57" s="153"/>
      <c r="X57" s="152" t="s">
        <v>2367</v>
      </c>
      <c r="Y57" s="151"/>
      <c r="Z57" s="154" t="s">
        <v>7</v>
      </c>
      <c r="AA57" s="154" t="s">
        <v>7</v>
      </c>
      <c r="AB57" s="151" t="s">
        <v>2436</v>
      </c>
      <c r="AC57" s="154" t="s">
        <v>2496</v>
      </c>
      <c r="AD57" s="154" t="s">
        <v>2520</v>
      </c>
      <c r="AE57" s="151" t="s">
        <v>2436</v>
      </c>
      <c r="AF57" s="155">
        <v>1.8333333333333333</v>
      </c>
      <c r="AG57" s="156" t="s">
        <v>3</v>
      </c>
      <c r="AH57" s="157" t="s">
        <v>1036</v>
      </c>
      <c r="AI57" s="158"/>
      <c r="AJ57" s="158"/>
      <c r="AK57" s="159"/>
      <c r="AL57" s="160">
        <v>0</v>
      </c>
      <c r="AM57" s="159" t="e">
        <v>#N/A</v>
      </c>
      <c r="AN57" s="152" t="e">
        <v>#REF!</v>
      </c>
    </row>
    <row r="58" spans="1:40" ht="26.25" customHeight="1">
      <c r="A58" s="148" t="s">
        <v>2581</v>
      </c>
      <c r="B58" s="149" t="s">
        <v>2582</v>
      </c>
      <c r="C58" s="150" t="s">
        <v>1891</v>
      </c>
      <c r="D58" s="152" t="s">
        <v>1588</v>
      </c>
      <c r="E58" s="152"/>
      <c r="F58" s="152"/>
      <c r="G58" s="152"/>
      <c r="H58" s="152"/>
      <c r="I58" s="152" t="s">
        <v>2583</v>
      </c>
      <c r="J58" s="151" t="s">
        <v>2515</v>
      </c>
      <c r="K58" s="151"/>
      <c r="L58" s="151"/>
      <c r="M58" s="151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2"/>
      <c r="Y58" s="151" t="s">
        <v>2436</v>
      </c>
      <c r="Z58" s="154"/>
      <c r="AA58" s="154" t="s">
        <v>7</v>
      </c>
      <c r="AB58" s="151" t="s">
        <v>49</v>
      </c>
      <c r="AC58" s="154" t="s">
        <v>2496</v>
      </c>
      <c r="AD58" s="154" t="s">
        <v>2496</v>
      </c>
      <c r="AE58" s="151" t="s">
        <v>2436</v>
      </c>
      <c r="AF58" s="155">
        <v>0.27083333333333331</v>
      </c>
      <c r="AG58" s="156" t="s">
        <v>3</v>
      </c>
      <c r="AH58" s="157" t="s">
        <v>1036</v>
      </c>
      <c r="AI58" s="158"/>
      <c r="AJ58" s="158"/>
      <c r="AK58" s="159"/>
      <c r="AL58" s="160">
        <v>0</v>
      </c>
      <c r="AM58" s="159" t="e">
        <v>#N/A</v>
      </c>
      <c r="AN58" s="152" t="e">
        <v>#N/A</v>
      </c>
    </row>
    <row r="59" spans="1:40" ht="26.25" customHeight="1">
      <c r="A59" s="148" t="s">
        <v>2584</v>
      </c>
      <c r="B59" s="149" t="s">
        <v>49</v>
      </c>
      <c r="C59" s="150" t="s">
        <v>1727</v>
      </c>
      <c r="D59" s="152" t="s">
        <v>1588</v>
      </c>
      <c r="E59" s="152" t="s">
        <v>21</v>
      </c>
      <c r="F59" s="152" t="s">
        <v>7</v>
      </c>
      <c r="G59" s="152" t="s">
        <v>7</v>
      </c>
      <c r="H59" s="152" t="s">
        <v>1049</v>
      </c>
      <c r="I59" s="152" t="s">
        <v>1051</v>
      </c>
      <c r="J59" s="151" t="s">
        <v>2515</v>
      </c>
      <c r="K59" s="151"/>
      <c r="L59" s="151"/>
      <c r="M59" s="151"/>
      <c r="N59" s="163"/>
      <c r="O59" s="163"/>
      <c r="P59" s="163"/>
      <c r="Q59" s="163"/>
      <c r="R59" s="163"/>
      <c r="S59" s="163"/>
      <c r="T59" s="163"/>
      <c r="U59" s="163"/>
      <c r="V59" s="163">
        <v>1.8333333333333333</v>
      </c>
      <c r="W59" s="153"/>
      <c r="X59" s="152" t="s">
        <v>1049</v>
      </c>
      <c r="Y59" s="151"/>
      <c r="Z59" s="154" t="s">
        <v>7</v>
      </c>
      <c r="AA59" s="154" t="s">
        <v>143</v>
      </c>
      <c r="AB59" s="151" t="s">
        <v>49</v>
      </c>
      <c r="AC59" s="154" t="s">
        <v>2496</v>
      </c>
      <c r="AD59" s="154" t="s">
        <v>2496</v>
      </c>
      <c r="AE59" s="151" t="s">
        <v>2436</v>
      </c>
      <c r="AF59" s="155">
        <v>1.8333333333333333</v>
      </c>
      <c r="AG59" s="156" t="s">
        <v>3</v>
      </c>
      <c r="AH59" s="157" t="s">
        <v>2548</v>
      </c>
      <c r="AI59" s="158">
        <v>45945</v>
      </c>
      <c r="AJ59" s="158">
        <v>45975</v>
      </c>
      <c r="AK59" s="159"/>
      <c r="AL59" s="160">
        <v>0</v>
      </c>
      <c r="AM59" s="159" t="e">
        <v>#N/A</v>
      </c>
      <c r="AN59" s="152" t="e">
        <v>#REF!</v>
      </c>
    </row>
    <row r="60" spans="1:40" ht="26.25" customHeight="1">
      <c r="A60" s="148" t="s">
        <v>1463</v>
      </c>
      <c r="B60" s="149" t="s">
        <v>49</v>
      </c>
      <c r="C60" s="150" t="s">
        <v>1727</v>
      </c>
      <c r="D60" s="152" t="s">
        <v>1588</v>
      </c>
      <c r="E60" s="152" t="s">
        <v>21</v>
      </c>
      <c r="F60" s="152" t="s">
        <v>7</v>
      </c>
      <c r="G60" s="152" t="s">
        <v>7</v>
      </c>
      <c r="H60" s="152" t="s">
        <v>1049</v>
      </c>
      <c r="I60" s="152" t="s">
        <v>1051</v>
      </c>
      <c r="J60" s="151" t="s">
        <v>2515</v>
      </c>
      <c r="K60" s="151"/>
      <c r="L60" s="151"/>
      <c r="M60" s="151"/>
      <c r="N60" s="163"/>
      <c r="O60" s="163"/>
      <c r="P60" s="163"/>
      <c r="Q60" s="163"/>
      <c r="R60" s="163"/>
      <c r="S60" s="163"/>
      <c r="T60" s="163"/>
      <c r="U60" s="163"/>
      <c r="V60" s="163">
        <v>1.8333333333333333</v>
      </c>
      <c r="W60" s="153"/>
      <c r="X60" s="152" t="s">
        <v>1049</v>
      </c>
      <c r="Y60" s="151"/>
      <c r="Z60" s="154" t="s">
        <v>7</v>
      </c>
      <c r="AA60" s="154" t="s">
        <v>7</v>
      </c>
      <c r="AB60" s="151" t="s">
        <v>49</v>
      </c>
      <c r="AC60" s="154" t="s">
        <v>2496</v>
      </c>
      <c r="AD60" s="154" t="s">
        <v>2496</v>
      </c>
      <c r="AE60" s="151" t="s">
        <v>2436</v>
      </c>
      <c r="AF60" s="155">
        <v>1.8333333333333333</v>
      </c>
      <c r="AG60" s="156" t="s">
        <v>3</v>
      </c>
      <c r="AH60" s="157" t="s">
        <v>2548</v>
      </c>
      <c r="AI60" s="158">
        <v>45915</v>
      </c>
      <c r="AJ60" s="158">
        <v>45945</v>
      </c>
      <c r="AK60" s="159" t="s">
        <v>1520</v>
      </c>
      <c r="AL60" s="160" t="s">
        <v>3</v>
      </c>
      <c r="AM60" s="159" t="s">
        <v>1113</v>
      </c>
      <c r="AN60" s="152" t="e">
        <v>#REF!</v>
      </c>
    </row>
    <row r="61" spans="1:40" ht="26.25" customHeight="1">
      <c r="A61" s="148" t="s">
        <v>1512</v>
      </c>
      <c r="B61" s="149" t="s">
        <v>49</v>
      </c>
      <c r="C61" s="150" t="s">
        <v>1727</v>
      </c>
      <c r="D61" s="152" t="s">
        <v>1588</v>
      </c>
      <c r="E61" s="152" t="s">
        <v>21</v>
      </c>
      <c r="F61" s="152" t="s">
        <v>7</v>
      </c>
      <c r="G61" s="152" t="s">
        <v>7</v>
      </c>
      <c r="H61" s="152" t="s">
        <v>1049</v>
      </c>
      <c r="I61" s="152" t="s">
        <v>1051</v>
      </c>
      <c r="J61" s="151" t="s">
        <v>2515</v>
      </c>
      <c r="K61" s="151"/>
      <c r="L61" s="151"/>
      <c r="M61" s="151"/>
      <c r="N61" s="163"/>
      <c r="O61" s="163"/>
      <c r="P61" s="163"/>
      <c r="Q61" s="163"/>
      <c r="R61" s="163"/>
      <c r="S61" s="163"/>
      <c r="T61" s="163"/>
      <c r="U61" s="163"/>
      <c r="V61" s="163">
        <v>1.8333333333333333</v>
      </c>
      <c r="W61" s="153"/>
      <c r="X61" s="152" t="s">
        <v>1049</v>
      </c>
      <c r="Y61" s="151"/>
      <c r="Z61" s="154" t="s">
        <v>7</v>
      </c>
      <c r="AA61" s="154" t="s">
        <v>7</v>
      </c>
      <c r="AB61" s="151" t="s">
        <v>2436</v>
      </c>
      <c r="AC61" s="154" t="s">
        <v>2496</v>
      </c>
      <c r="AD61" s="154" t="s">
        <v>2520</v>
      </c>
      <c r="AE61" s="151" t="s">
        <v>2436</v>
      </c>
      <c r="AF61" s="155">
        <v>1.8333333333333333</v>
      </c>
      <c r="AG61" s="156" t="s">
        <v>3</v>
      </c>
      <c r="AH61" s="157" t="s">
        <v>1036</v>
      </c>
      <c r="AI61" s="158"/>
      <c r="AJ61" s="158"/>
      <c r="AK61" s="159"/>
      <c r="AL61" s="160">
        <v>0</v>
      </c>
      <c r="AM61" s="159" t="e">
        <v>#N/A</v>
      </c>
      <c r="AN61" s="152" t="e">
        <v>#REF!</v>
      </c>
    </row>
    <row r="62" spans="1:40" ht="26.25" customHeight="1">
      <c r="A62" s="148" t="s">
        <v>1398</v>
      </c>
      <c r="B62" s="149" t="s">
        <v>49</v>
      </c>
      <c r="C62" s="150" t="s">
        <v>1727</v>
      </c>
      <c r="D62" s="152" t="s">
        <v>1588</v>
      </c>
      <c r="E62" s="152" t="s">
        <v>21</v>
      </c>
      <c r="F62" s="152" t="s">
        <v>7</v>
      </c>
      <c r="G62" s="152" t="s">
        <v>7</v>
      </c>
      <c r="H62" s="152" t="s">
        <v>1049</v>
      </c>
      <c r="I62" s="152" t="s">
        <v>1051</v>
      </c>
      <c r="J62" s="151" t="s">
        <v>2515</v>
      </c>
      <c r="K62" s="151"/>
      <c r="L62" s="151"/>
      <c r="M62" s="151"/>
      <c r="N62" s="163"/>
      <c r="O62" s="163"/>
      <c r="P62" s="163"/>
      <c r="Q62" s="163"/>
      <c r="R62" s="163"/>
      <c r="S62" s="163"/>
      <c r="T62" s="163"/>
      <c r="U62" s="163"/>
      <c r="V62" s="163">
        <v>1.8333333333333333</v>
      </c>
      <c r="W62" s="153"/>
      <c r="X62" s="152" t="s">
        <v>1049</v>
      </c>
      <c r="Y62" s="151"/>
      <c r="Z62" s="154" t="s">
        <v>7</v>
      </c>
      <c r="AA62" s="154" t="s">
        <v>7</v>
      </c>
      <c r="AB62" s="151" t="s">
        <v>49</v>
      </c>
      <c r="AC62" s="154" t="s">
        <v>2496</v>
      </c>
      <c r="AD62" s="154" t="s">
        <v>2496</v>
      </c>
      <c r="AE62" s="151" t="s">
        <v>2436</v>
      </c>
      <c r="AF62" s="155">
        <v>1.8333333333333333</v>
      </c>
      <c r="AG62" s="156" t="s">
        <v>3</v>
      </c>
      <c r="AH62" s="157" t="s">
        <v>1036</v>
      </c>
      <c r="AI62" s="158"/>
      <c r="AJ62" s="158"/>
      <c r="AK62" s="159"/>
      <c r="AL62" s="160">
        <v>0</v>
      </c>
      <c r="AM62" s="159" t="e">
        <v>#N/A</v>
      </c>
      <c r="AN62" s="152" t="e">
        <v>#REF!</v>
      </c>
    </row>
    <row r="63" spans="1:40" ht="26.25" customHeight="1">
      <c r="A63" s="148" t="s">
        <v>1420</v>
      </c>
      <c r="B63" s="149" t="s">
        <v>49</v>
      </c>
      <c r="C63" s="150" t="s">
        <v>1414</v>
      </c>
      <c r="D63" s="152" t="s">
        <v>1588</v>
      </c>
      <c r="E63" s="152" t="s">
        <v>21</v>
      </c>
      <c r="F63" s="152" t="s">
        <v>7</v>
      </c>
      <c r="G63" s="152" t="s">
        <v>7</v>
      </c>
      <c r="H63" s="152" t="s">
        <v>22</v>
      </c>
      <c r="I63" s="152" t="s">
        <v>1392</v>
      </c>
      <c r="J63" s="151" t="s">
        <v>2515</v>
      </c>
      <c r="K63" s="151"/>
      <c r="L63" s="151"/>
      <c r="M63" s="151"/>
      <c r="N63" s="161"/>
      <c r="O63" s="161"/>
      <c r="P63" s="161"/>
      <c r="Q63" s="161"/>
      <c r="R63" s="161"/>
      <c r="S63" s="161"/>
      <c r="T63" s="161"/>
      <c r="U63" s="161"/>
      <c r="V63" s="161">
        <v>1.8333333333333333</v>
      </c>
      <c r="W63" s="153"/>
      <c r="X63" s="152" t="s">
        <v>22</v>
      </c>
      <c r="Y63" s="151"/>
      <c r="Z63" s="154" t="s">
        <v>7</v>
      </c>
      <c r="AA63" s="154" t="s">
        <v>7</v>
      </c>
      <c r="AB63" s="151" t="s">
        <v>49</v>
      </c>
      <c r="AC63" s="154" t="s">
        <v>2516</v>
      </c>
      <c r="AD63" s="154" t="s">
        <v>2516</v>
      </c>
      <c r="AE63" s="151" t="s">
        <v>2436</v>
      </c>
      <c r="AF63" s="155">
        <v>1.8333333333333333</v>
      </c>
      <c r="AG63" s="156" t="s">
        <v>72</v>
      </c>
      <c r="AH63" s="157" t="s">
        <v>1036</v>
      </c>
      <c r="AI63" s="158"/>
      <c r="AJ63" s="158"/>
      <c r="AK63" s="159"/>
      <c r="AL63" s="160">
        <v>0</v>
      </c>
      <c r="AM63" s="159" t="e">
        <v>#N/A</v>
      </c>
      <c r="AN63" s="152" t="e">
        <v>#REF!</v>
      </c>
    </row>
    <row r="64" spans="1:40" ht="26.25" customHeight="1">
      <c r="A64" s="148" t="s">
        <v>1413</v>
      </c>
      <c r="B64" s="149" t="s">
        <v>49</v>
      </c>
      <c r="C64" s="150" t="s">
        <v>1414</v>
      </c>
      <c r="D64" s="152" t="s">
        <v>1588</v>
      </c>
      <c r="E64" s="152" t="s">
        <v>21</v>
      </c>
      <c r="F64" s="152" t="s">
        <v>7</v>
      </c>
      <c r="G64" s="152" t="s">
        <v>7</v>
      </c>
      <c r="H64" s="152" t="s">
        <v>22</v>
      </c>
      <c r="I64" s="152" t="s">
        <v>1228</v>
      </c>
      <c r="J64" s="151" t="s">
        <v>2515</v>
      </c>
      <c r="K64" s="151"/>
      <c r="L64" s="151"/>
      <c r="M64" s="151"/>
      <c r="N64" s="161"/>
      <c r="O64" s="161"/>
      <c r="P64" s="161"/>
      <c r="Q64" s="161"/>
      <c r="R64" s="161"/>
      <c r="S64" s="161"/>
      <c r="T64" s="161"/>
      <c r="U64" s="161"/>
      <c r="V64" s="161">
        <v>1.8333333333333333</v>
      </c>
      <c r="W64" s="153"/>
      <c r="X64" s="152" t="s">
        <v>22</v>
      </c>
      <c r="Y64" s="151"/>
      <c r="Z64" s="154" t="s">
        <v>7</v>
      </c>
      <c r="AA64" s="154" t="s">
        <v>7</v>
      </c>
      <c r="AB64" s="151" t="s">
        <v>49</v>
      </c>
      <c r="AC64" s="154" t="s">
        <v>2516</v>
      </c>
      <c r="AD64" s="154" t="s">
        <v>2516</v>
      </c>
      <c r="AE64" s="151" t="s">
        <v>2436</v>
      </c>
      <c r="AF64" s="155">
        <v>1.8333333333333333</v>
      </c>
      <c r="AG64" s="156" t="s">
        <v>72</v>
      </c>
      <c r="AH64" s="157" t="s">
        <v>1036</v>
      </c>
      <c r="AI64" s="158"/>
      <c r="AJ64" s="158"/>
      <c r="AK64" s="159"/>
      <c r="AL64" s="160">
        <v>0</v>
      </c>
      <c r="AM64" s="159" t="e">
        <v>#N/A</v>
      </c>
      <c r="AN64" s="152" t="e">
        <v>#REF!</v>
      </c>
    </row>
    <row r="65" spans="1:40" ht="26.25" customHeight="1">
      <c r="A65" s="148" t="s">
        <v>1877</v>
      </c>
      <c r="B65" s="149" t="s">
        <v>49</v>
      </c>
      <c r="C65" s="150" t="s">
        <v>1414</v>
      </c>
      <c r="D65" s="152" t="s">
        <v>1588</v>
      </c>
      <c r="E65" s="152" t="s">
        <v>21</v>
      </c>
      <c r="F65" s="152" t="s">
        <v>7</v>
      </c>
      <c r="G65" s="152" t="s">
        <v>7</v>
      </c>
      <c r="H65" s="152" t="s">
        <v>22</v>
      </c>
      <c r="I65" s="152" t="s">
        <v>1392</v>
      </c>
      <c r="J65" s="151" t="s">
        <v>2515</v>
      </c>
      <c r="K65" s="151"/>
      <c r="L65" s="151"/>
      <c r="M65" s="151"/>
      <c r="N65" s="161"/>
      <c r="O65" s="161"/>
      <c r="P65" s="161"/>
      <c r="Q65" s="161"/>
      <c r="R65" s="161"/>
      <c r="S65" s="161"/>
      <c r="T65" s="161"/>
      <c r="U65" s="161"/>
      <c r="V65" s="161">
        <v>1.8333333333333333</v>
      </c>
      <c r="W65" s="153"/>
      <c r="X65" s="152" t="s">
        <v>22</v>
      </c>
      <c r="Y65" s="151"/>
      <c r="Z65" s="154" t="s">
        <v>7</v>
      </c>
      <c r="AA65" s="154" t="s">
        <v>7</v>
      </c>
      <c r="AB65" s="151" t="s">
        <v>49</v>
      </c>
      <c r="AC65" s="154" t="s">
        <v>2516</v>
      </c>
      <c r="AD65" s="154" t="s">
        <v>2516</v>
      </c>
      <c r="AE65" s="151" t="s">
        <v>2436</v>
      </c>
      <c r="AF65" s="155">
        <v>1.8333333333333333</v>
      </c>
      <c r="AG65" s="156" t="s">
        <v>72</v>
      </c>
      <c r="AH65" s="157" t="s">
        <v>1036</v>
      </c>
      <c r="AI65" s="158"/>
      <c r="AJ65" s="158"/>
      <c r="AK65" s="159"/>
      <c r="AL65" s="160">
        <v>0</v>
      </c>
      <c r="AM65" s="159" t="e">
        <v>#N/A</v>
      </c>
      <c r="AN65" s="152" t="e">
        <v>#REF!</v>
      </c>
    </row>
    <row r="66" spans="1:40" ht="26.25" customHeight="1">
      <c r="A66" s="148" t="s">
        <v>1742</v>
      </c>
      <c r="B66" s="149" t="s">
        <v>49</v>
      </c>
      <c r="C66" s="150" t="s">
        <v>1414</v>
      </c>
      <c r="D66" s="152" t="s">
        <v>1588</v>
      </c>
      <c r="E66" s="152" t="s">
        <v>21</v>
      </c>
      <c r="F66" s="152" t="s">
        <v>7</v>
      </c>
      <c r="G66" s="152" t="s">
        <v>7</v>
      </c>
      <c r="H66" s="152" t="s">
        <v>22</v>
      </c>
      <c r="I66" s="152" t="s">
        <v>1228</v>
      </c>
      <c r="J66" s="151" t="s">
        <v>2515</v>
      </c>
      <c r="K66" s="151"/>
      <c r="L66" s="151"/>
      <c r="M66" s="151"/>
      <c r="N66" s="161"/>
      <c r="O66" s="161"/>
      <c r="P66" s="161"/>
      <c r="Q66" s="161"/>
      <c r="R66" s="161"/>
      <c r="S66" s="161"/>
      <c r="T66" s="161"/>
      <c r="U66" s="161"/>
      <c r="V66" s="161">
        <v>1.8333333333333333</v>
      </c>
      <c r="W66" s="153"/>
      <c r="X66" s="152" t="s">
        <v>22</v>
      </c>
      <c r="Y66" s="151"/>
      <c r="Z66" s="154" t="s">
        <v>7</v>
      </c>
      <c r="AA66" s="154" t="s">
        <v>7</v>
      </c>
      <c r="AB66" s="151" t="s">
        <v>49</v>
      </c>
      <c r="AC66" s="154" t="s">
        <v>2516</v>
      </c>
      <c r="AD66" s="154" t="s">
        <v>2516</v>
      </c>
      <c r="AE66" s="151" t="s">
        <v>2436</v>
      </c>
      <c r="AF66" s="155">
        <v>1.8333333333333333</v>
      </c>
      <c r="AG66" s="156" t="s">
        <v>72</v>
      </c>
      <c r="AH66" s="157" t="s">
        <v>1036</v>
      </c>
      <c r="AI66" s="158"/>
      <c r="AJ66" s="158"/>
      <c r="AK66" s="159"/>
      <c r="AL66" s="160">
        <v>0</v>
      </c>
      <c r="AM66" s="159" t="e">
        <v>#N/A</v>
      </c>
      <c r="AN66" s="152" t="e">
        <v>#REF!</v>
      </c>
    </row>
    <row r="67" spans="1:40" ht="26.25" customHeight="1">
      <c r="A67" s="148" t="s">
        <v>2261</v>
      </c>
      <c r="B67" s="149" t="s">
        <v>49</v>
      </c>
      <c r="C67" s="150" t="s">
        <v>2546</v>
      </c>
      <c r="D67" s="152" t="s">
        <v>274</v>
      </c>
      <c r="E67" s="152" t="s">
        <v>784</v>
      </c>
      <c r="F67" s="152" t="s">
        <v>7</v>
      </c>
      <c r="G67" s="152" t="s">
        <v>7</v>
      </c>
      <c r="H67" s="152" t="s">
        <v>60</v>
      </c>
      <c r="I67" s="152" t="s">
        <v>2586</v>
      </c>
      <c r="J67" s="151" t="s">
        <v>2515</v>
      </c>
      <c r="K67" s="151"/>
      <c r="L67" s="151"/>
      <c r="M67" s="151"/>
      <c r="N67" s="161"/>
      <c r="O67" s="161"/>
      <c r="P67" s="161"/>
      <c r="Q67" s="161"/>
      <c r="R67" s="161"/>
      <c r="S67" s="161"/>
      <c r="T67" s="161"/>
      <c r="U67" s="161"/>
      <c r="V67" s="161">
        <v>1.8333333333333333</v>
      </c>
      <c r="W67" s="153"/>
      <c r="X67" s="152" t="s">
        <v>60</v>
      </c>
      <c r="Y67" s="151"/>
      <c r="Z67" s="154" t="s">
        <v>7</v>
      </c>
      <c r="AA67" s="154" t="s">
        <v>7</v>
      </c>
      <c r="AB67" s="151" t="s">
        <v>49</v>
      </c>
      <c r="AC67" s="154" t="s">
        <v>2496</v>
      </c>
      <c r="AD67" s="154" t="s">
        <v>2496</v>
      </c>
      <c r="AE67" s="151" t="s">
        <v>2436</v>
      </c>
      <c r="AF67" s="155">
        <v>1.8333333333333333</v>
      </c>
      <c r="AG67" s="156" t="s">
        <v>529</v>
      </c>
      <c r="AH67" s="157" t="s">
        <v>1036</v>
      </c>
      <c r="AI67" s="158"/>
      <c r="AJ67" s="158"/>
      <c r="AK67" s="159"/>
      <c r="AL67" s="160">
        <v>0</v>
      </c>
      <c r="AM67" s="159" t="e">
        <v>#N/A</v>
      </c>
      <c r="AN67" s="152" t="e">
        <v>#REF!</v>
      </c>
    </row>
    <row r="68" spans="1:40" ht="26.25" customHeight="1">
      <c r="A68" s="148" t="s">
        <v>2587</v>
      </c>
      <c r="B68" s="149" t="s">
        <v>49</v>
      </c>
      <c r="C68" s="150" t="s">
        <v>2546</v>
      </c>
      <c r="D68" s="152" t="s">
        <v>274</v>
      </c>
      <c r="E68" s="152" t="s">
        <v>784</v>
      </c>
      <c r="F68" s="152" t="s">
        <v>7</v>
      </c>
      <c r="G68" s="152" t="s">
        <v>7</v>
      </c>
      <c r="H68" s="152" t="s">
        <v>60</v>
      </c>
      <c r="I68" s="152" t="s">
        <v>2588</v>
      </c>
      <c r="J68" s="151" t="s">
        <v>2515</v>
      </c>
      <c r="K68" s="151"/>
      <c r="L68" s="151"/>
      <c r="M68" s="151"/>
      <c r="N68" s="161"/>
      <c r="O68" s="161"/>
      <c r="P68" s="161"/>
      <c r="Q68" s="161"/>
      <c r="R68" s="161"/>
      <c r="S68" s="161"/>
      <c r="T68" s="161"/>
      <c r="U68" s="161"/>
      <c r="V68" s="161">
        <v>1.8333333333333333</v>
      </c>
      <c r="W68" s="153"/>
      <c r="X68" s="152" t="s">
        <v>60</v>
      </c>
      <c r="Y68" s="151"/>
      <c r="Z68" s="154" t="s">
        <v>7</v>
      </c>
      <c r="AA68" s="154" t="s">
        <v>7</v>
      </c>
      <c r="AB68" s="151" t="s">
        <v>49</v>
      </c>
      <c r="AC68" s="154" t="s">
        <v>2496</v>
      </c>
      <c r="AD68" s="154" t="s">
        <v>2496</v>
      </c>
      <c r="AE68" s="151" t="s">
        <v>2436</v>
      </c>
      <c r="AF68" s="155">
        <v>1.8333333333333333</v>
      </c>
      <c r="AG68" s="156" t="s">
        <v>529</v>
      </c>
      <c r="AH68" s="157" t="s">
        <v>1036</v>
      </c>
      <c r="AI68" s="158"/>
      <c r="AJ68" s="158"/>
      <c r="AK68" s="159"/>
      <c r="AL68" s="160">
        <v>0</v>
      </c>
      <c r="AM68" s="159" t="e">
        <v>#N/A</v>
      </c>
      <c r="AN68" s="152" t="e">
        <v>#REF!</v>
      </c>
    </row>
    <row r="69" spans="1:40" ht="26.25" customHeight="1">
      <c r="A69" s="148" t="s">
        <v>1563</v>
      </c>
      <c r="B69" s="149" t="s">
        <v>49</v>
      </c>
      <c r="C69" s="150" t="s">
        <v>2546</v>
      </c>
      <c r="D69" s="152" t="s">
        <v>274</v>
      </c>
      <c r="E69" s="152" t="s">
        <v>784</v>
      </c>
      <c r="F69" s="152" t="s">
        <v>7</v>
      </c>
      <c r="G69" s="152" t="s">
        <v>7</v>
      </c>
      <c r="H69" s="152" t="s">
        <v>60</v>
      </c>
      <c r="I69" s="152" t="s">
        <v>2589</v>
      </c>
      <c r="J69" s="151" t="s">
        <v>2515</v>
      </c>
      <c r="K69" s="151"/>
      <c r="L69" s="151"/>
      <c r="M69" s="151"/>
      <c r="N69" s="161"/>
      <c r="O69" s="161"/>
      <c r="P69" s="161"/>
      <c r="Q69" s="161"/>
      <c r="R69" s="161"/>
      <c r="S69" s="161"/>
      <c r="T69" s="161"/>
      <c r="U69" s="161"/>
      <c r="V69" s="161">
        <v>1.8333333333333333</v>
      </c>
      <c r="W69" s="153"/>
      <c r="X69" s="152" t="s">
        <v>60</v>
      </c>
      <c r="Y69" s="151"/>
      <c r="Z69" s="154" t="s">
        <v>7</v>
      </c>
      <c r="AA69" s="154" t="s">
        <v>7</v>
      </c>
      <c r="AB69" s="151" t="s">
        <v>49</v>
      </c>
      <c r="AC69" s="154" t="s">
        <v>2496</v>
      </c>
      <c r="AD69" s="154" t="s">
        <v>2496</v>
      </c>
      <c r="AE69" s="151" t="s">
        <v>2436</v>
      </c>
      <c r="AF69" s="155">
        <v>1.8333333333333333</v>
      </c>
      <c r="AG69" s="156" t="s">
        <v>3</v>
      </c>
      <c r="AH69" s="157" t="s">
        <v>1036</v>
      </c>
      <c r="AI69" s="158"/>
      <c r="AJ69" s="158"/>
      <c r="AK69" s="159"/>
      <c r="AL69" s="160">
        <v>0</v>
      </c>
      <c r="AM69" s="159" t="e">
        <v>#N/A</v>
      </c>
      <c r="AN69" s="152" t="e">
        <v>#REF!</v>
      </c>
    </row>
    <row r="70" spans="1:40" ht="26.25" customHeight="1">
      <c r="A70" s="148" t="s">
        <v>2591</v>
      </c>
      <c r="B70" s="149" t="s">
        <v>49</v>
      </c>
      <c r="C70" s="150" t="s">
        <v>2546</v>
      </c>
      <c r="D70" s="152" t="s">
        <v>274</v>
      </c>
      <c r="E70" s="152" t="s">
        <v>784</v>
      </c>
      <c r="F70" s="152" t="s">
        <v>7</v>
      </c>
      <c r="G70" s="152" t="s">
        <v>7</v>
      </c>
      <c r="H70" s="152" t="s">
        <v>60</v>
      </c>
      <c r="I70" s="152" t="s">
        <v>2592</v>
      </c>
      <c r="J70" s="151" t="s">
        <v>2515</v>
      </c>
      <c r="K70" s="151"/>
      <c r="L70" s="151"/>
      <c r="M70" s="151"/>
      <c r="N70" s="161"/>
      <c r="O70" s="161"/>
      <c r="P70" s="161"/>
      <c r="Q70" s="161"/>
      <c r="R70" s="161"/>
      <c r="S70" s="161"/>
      <c r="T70" s="161"/>
      <c r="U70" s="161"/>
      <c r="V70" s="161">
        <v>1.8333333333333333</v>
      </c>
      <c r="W70" s="153"/>
      <c r="X70" s="152" t="s">
        <v>60</v>
      </c>
      <c r="Y70" s="151"/>
      <c r="Z70" s="154" t="s">
        <v>7</v>
      </c>
      <c r="AA70" s="154" t="s">
        <v>7</v>
      </c>
      <c r="AB70" s="151" t="s">
        <v>49</v>
      </c>
      <c r="AC70" s="154" t="s">
        <v>2496</v>
      </c>
      <c r="AD70" s="154" t="s">
        <v>2496</v>
      </c>
      <c r="AE70" s="151" t="s">
        <v>2436</v>
      </c>
      <c r="AF70" s="155">
        <v>1.8333333333333333</v>
      </c>
      <c r="AG70" s="156" t="s">
        <v>522</v>
      </c>
      <c r="AH70" s="157" t="s">
        <v>2548</v>
      </c>
      <c r="AI70" s="158">
        <v>45915</v>
      </c>
      <c r="AJ70" s="158">
        <v>45945</v>
      </c>
      <c r="AK70" s="159"/>
      <c r="AL70" s="160">
        <v>0</v>
      </c>
      <c r="AM70" s="159" t="e">
        <v>#N/A</v>
      </c>
      <c r="AN70" s="152" t="e">
        <v>#REF!</v>
      </c>
    </row>
    <row r="71" spans="1:40" ht="26.25" customHeight="1">
      <c r="A71" s="148" t="s">
        <v>2545</v>
      </c>
      <c r="B71" s="149" t="s">
        <v>49</v>
      </c>
      <c r="C71" s="150" t="s">
        <v>2546</v>
      </c>
      <c r="D71" s="152" t="s">
        <v>274</v>
      </c>
      <c r="E71" s="152" t="s">
        <v>784</v>
      </c>
      <c r="F71" s="152" t="s">
        <v>7</v>
      </c>
      <c r="G71" s="152" t="s">
        <v>7</v>
      </c>
      <c r="H71" s="152" t="s">
        <v>60</v>
      </c>
      <c r="I71" s="152" t="s">
        <v>2547</v>
      </c>
      <c r="J71" s="151" t="s">
        <v>2515</v>
      </c>
      <c r="K71" s="151"/>
      <c r="L71" s="151"/>
      <c r="M71" s="151"/>
      <c r="N71" s="161"/>
      <c r="O71" s="161"/>
      <c r="P71" s="161"/>
      <c r="Q71" s="161"/>
      <c r="R71" s="161"/>
      <c r="S71" s="161"/>
      <c r="T71" s="161"/>
      <c r="U71" s="161"/>
      <c r="V71" s="161">
        <v>1.8333333333333333</v>
      </c>
      <c r="W71" s="153"/>
      <c r="X71" s="152" t="s">
        <v>60</v>
      </c>
      <c r="Y71" s="151"/>
      <c r="Z71" s="154" t="s">
        <v>7</v>
      </c>
      <c r="AA71" s="154" t="s">
        <v>7</v>
      </c>
      <c r="AB71" s="151" t="s">
        <v>2436</v>
      </c>
      <c r="AC71" s="154" t="s">
        <v>2496</v>
      </c>
      <c r="AD71" s="154" t="s">
        <v>2520</v>
      </c>
      <c r="AE71" s="151" t="s">
        <v>2436</v>
      </c>
      <c r="AF71" s="155">
        <v>1.8333333333333333</v>
      </c>
      <c r="AG71" s="156" t="s">
        <v>3</v>
      </c>
      <c r="AH71" s="157" t="s">
        <v>1036</v>
      </c>
      <c r="AI71" s="158"/>
      <c r="AJ71" s="158"/>
      <c r="AK71" s="159"/>
      <c r="AL71" s="160">
        <v>0</v>
      </c>
      <c r="AM71" s="159" t="e">
        <v>#N/A</v>
      </c>
      <c r="AN71" s="152" t="e">
        <v>#REF!</v>
      </c>
    </row>
    <row r="72" spans="1:40" ht="26.25" customHeight="1">
      <c r="A72" s="148" t="s">
        <v>1409</v>
      </c>
      <c r="B72" s="149" t="s">
        <v>49</v>
      </c>
      <c r="C72" s="150" t="s">
        <v>2546</v>
      </c>
      <c r="D72" s="152" t="s">
        <v>274</v>
      </c>
      <c r="E72" s="152" t="s">
        <v>784</v>
      </c>
      <c r="F72" s="152" t="s">
        <v>693</v>
      </c>
      <c r="G72" s="152" t="s">
        <v>7</v>
      </c>
      <c r="H72" s="152" t="s">
        <v>916</v>
      </c>
      <c r="I72" s="152" t="s">
        <v>2593</v>
      </c>
      <c r="J72" s="151" t="s">
        <v>2515</v>
      </c>
      <c r="K72" s="151"/>
      <c r="L72" s="151"/>
      <c r="M72" s="151"/>
      <c r="N72" s="161"/>
      <c r="O72" s="161"/>
      <c r="P72" s="161"/>
      <c r="Q72" s="161"/>
      <c r="R72" s="161"/>
      <c r="S72" s="161"/>
      <c r="T72" s="161"/>
      <c r="U72" s="161"/>
      <c r="V72" s="161">
        <v>1.8333333333333333</v>
      </c>
      <c r="W72" s="153"/>
      <c r="X72" s="152" t="s">
        <v>916</v>
      </c>
      <c r="Y72" s="151"/>
      <c r="Z72" s="154" t="s">
        <v>7</v>
      </c>
      <c r="AA72" s="154" t="s">
        <v>7</v>
      </c>
      <c r="AB72" s="151" t="s">
        <v>49</v>
      </c>
      <c r="AC72" s="154" t="s">
        <v>2496</v>
      </c>
      <c r="AD72" s="154" t="s">
        <v>2496</v>
      </c>
      <c r="AE72" s="151" t="s">
        <v>2436</v>
      </c>
      <c r="AF72" s="155">
        <v>1.8333333333333333</v>
      </c>
      <c r="AG72" s="156" t="s">
        <v>3</v>
      </c>
      <c r="AH72" s="157" t="s">
        <v>1036</v>
      </c>
      <c r="AI72" s="158"/>
      <c r="AJ72" s="158"/>
      <c r="AK72" s="159"/>
      <c r="AL72" s="160">
        <v>0</v>
      </c>
      <c r="AM72" s="159" t="e">
        <v>#N/A</v>
      </c>
      <c r="AN72" s="152" t="e">
        <v>#REF!</v>
      </c>
    </row>
    <row r="73" spans="1:40" ht="26.25" customHeight="1">
      <c r="A73" s="148" t="s">
        <v>2595</v>
      </c>
      <c r="B73" s="149" t="s">
        <v>49</v>
      </c>
      <c r="C73" s="150" t="s">
        <v>2546</v>
      </c>
      <c r="D73" s="152" t="s">
        <v>274</v>
      </c>
      <c r="E73" s="152" t="s">
        <v>784</v>
      </c>
      <c r="F73" s="152" t="s">
        <v>7</v>
      </c>
      <c r="G73" s="152" t="s">
        <v>7</v>
      </c>
      <c r="H73" s="152" t="s">
        <v>60</v>
      </c>
      <c r="I73" s="152" t="s">
        <v>2596</v>
      </c>
      <c r="J73" s="151" t="s">
        <v>2515</v>
      </c>
      <c r="K73" s="151"/>
      <c r="L73" s="151"/>
      <c r="M73" s="151"/>
      <c r="N73" s="161"/>
      <c r="O73" s="161"/>
      <c r="P73" s="161"/>
      <c r="Q73" s="161"/>
      <c r="R73" s="161"/>
      <c r="S73" s="161"/>
      <c r="T73" s="161"/>
      <c r="U73" s="161"/>
      <c r="V73" s="161">
        <v>1.8333333333333333</v>
      </c>
      <c r="W73" s="153"/>
      <c r="X73" s="152" t="s">
        <v>60</v>
      </c>
      <c r="Y73" s="151"/>
      <c r="Z73" s="154" t="s">
        <v>7</v>
      </c>
      <c r="AA73" s="154" t="s">
        <v>7</v>
      </c>
      <c r="AB73" s="151" t="s">
        <v>49</v>
      </c>
      <c r="AC73" s="154" t="s">
        <v>2496</v>
      </c>
      <c r="AD73" s="154" t="s">
        <v>2496</v>
      </c>
      <c r="AE73" s="151" t="s">
        <v>2436</v>
      </c>
      <c r="AF73" s="155">
        <v>1.8333333333333333</v>
      </c>
      <c r="AG73" s="156" t="s">
        <v>529</v>
      </c>
      <c r="AH73" s="157" t="s">
        <v>1036</v>
      </c>
      <c r="AI73" s="158"/>
      <c r="AJ73" s="158"/>
      <c r="AK73" s="159"/>
      <c r="AL73" s="160">
        <v>0</v>
      </c>
      <c r="AM73" s="159" t="e">
        <v>#N/A</v>
      </c>
      <c r="AN73" s="152" t="e">
        <v>#REF!</v>
      </c>
    </row>
    <row r="74" spans="1:40" ht="26.25" customHeight="1">
      <c r="A74" s="148" t="s">
        <v>2261</v>
      </c>
      <c r="B74" s="149" t="s">
        <v>49</v>
      </c>
      <c r="C74" s="150" t="s">
        <v>2546</v>
      </c>
      <c r="D74" s="152" t="s">
        <v>274</v>
      </c>
      <c r="E74" s="152" t="s">
        <v>784</v>
      </c>
      <c r="F74" s="152" t="s">
        <v>7</v>
      </c>
      <c r="G74" s="152" t="s">
        <v>7</v>
      </c>
      <c r="H74" s="152" t="s">
        <v>60</v>
      </c>
      <c r="I74" s="152" t="s">
        <v>2586</v>
      </c>
      <c r="J74" s="151" t="s">
        <v>2515</v>
      </c>
      <c r="K74" s="151"/>
      <c r="L74" s="151"/>
      <c r="M74" s="151"/>
      <c r="N74" s="161"/>
      <c r="O74" s="161"/>
      <c r="P74" s="161"/>
      <c r="Q74" s="161"/>
      <c r="R74" s="161"/>
      <c r="S74" s="161"/>
      <c r="T74" s="161"/>
      <c r="U74" s="161"/>
      <c r="V74" s="161">
        <v>1.8333333333333333</v>
      </c>
      <c r="W74" s="153"/>
      <c r="X74" s="152" t="s">
        <v>60</v>
      </c>
      <c r="Y74" s="151"/>
      <c r="Z74" s="154" t="s">
        <v>7</v>
      </c>
      <c r="AA74" s="154" t="s">
        <v>7</v>
      </c>
      <c r="AB74" s="151" t="s">
        <v>49</v>
      </c>
      <c r="AC74" s="154" t="s">
        <v>2496</v>
      </c>
      <c r="AD74" s="154" t="s">
        <v>2496</v>
      </c>
      <c r="AE74" s="151" t="s">
        <v>2436</v>
      </c>
      <c r="AF74" s="155">
        <v>1.8333333333333333</v>
      </c>
      <c r="AG74" s="156" t="s">
        <v>3</v>
      </c>
      <c r="AH74" s="157" t="s">
        <v>1036</v>
      </c>
      <c r="AI74" s="158"/>
      <c r="AJ74" s="158"/>
      <c r="AK74" s="159"/>
      <c r="AL74" s="160">
        <v>0</v>
      </c>
      <c r="AM74" s="159" t="e">
        <v>#N/A</v>
      </c>
      <c r="AN74" s="152" t="e">
        <v>#REF!</v>
      </c>
    </row>
    <row r="75" spans="1:40" ht="26.25" customHeight="1">
      <c r="A75" s="148" t="s">
        <v>1393</v>
      </c>
      <c r="B75" s="148"/>
      <c r="C75" s="150" t="s">
        <v>2546</v>
      </c>
      <c r="D75" s="152" t="s">
        <v>274</v>
      </c>
      <c r="E75" s="152" t="s">
        <v>784</v>
      </c>
      <c r="F75" s="152" t="s">
        <v>7</v>
      </c>
      <c r="G75" s="152" t="s">
        <v>7</v>
      </c>
      <c r="H75" s="152" t="s">
        <v>60</v>
      </c>
      <c r="I75" s="152" t="s">
        <v>1394</v>
      </c>
      <c r="J75" s="151" t="s">
        <v>2515</v>
      </c>
      <c r="K75" s="151"/>
      <c r="L75" s="151"/>
      <c r="M75" s="151"/>
      <c r="N75" s="161"/>
      <c r="O75" s="161"/>
      <c r="P75" s="161"/>
      <c r="Q75" s="161"/>
      <c r="R75" s="161"/>
      <c r="S75" s="161"/>
      <c r="T75" s="161"/>
      <c r="U75" s="161"/>
      <c r="V75" s="161">
        <v>1.8333333333333333</v>
      </c>
      <c r="W75" s="153"/>
      <c r="X75" s="152" t="s">
        <v>60</v>
      </c>
      <c r="Y75" s="151"/>
      <c r="Z75" s="154" t="s">
        <v>7</v>
      </c>
      <c r="AA75" s="154" t="s">
        <v>7</v>
      </c>
      <c r="AB75" s="151" t="s">
        <v>49</v>
      </c>
      <c r="AC75" s="154" t="s">
        <v>2496</v>
      </c>
      <c r="AD75" s="154" t="s">
        <v>2496</v>
      </c>
      <c r="AE75" s="151" t="s">
        <v>2436</v>
      </c>
      <c r="AF75" s="155">
        <v>1.8333333333333333</v>
      </c>
      <c r="AG75" s="156" t="s">
        <v>3</v>
      </c>
      <c r="AH75" s="157" t="s">
        <v>1036</v>
      </c>
      <c r="AI75" s="158"/>
      <c r="AJ75" s="158"/>
      <c r="AK75" s="159"/>
      <c r="AL75" s="160">
        <v>0</v>
      </c>
      <c r="AM75" s="159" t="e">
        <v>#N/A</v>
      </c>
      <c r="AN75" s="152" t="e">
        <v>#N/A</v>
      </c>
    </row>
    <row r="76" spans="1:40" ht="26.25" customHeight="1">
      <c r="A76" s="148" t="s">
        <v>2598</v>
      </c>
      <c r="B76" s="148"/>
      <c r="C76" s="150" t="s">
        <v>2546</v>
      </c>
      <c r="D76" s="152" t="s">
        <v>274</v>
      </c>
      <c r="E76" s="152" t="s">
        <v>784</v>
      </c>
      <c r="F76" s="152" t="s">
        <v>7</v>
      </c>
      <c r="G76" s="152" t="s">
        <v>7</v>
      </c>
      <c r="H76" s="152" t="s">
        <v>60</v>
      </c>
      <c r="I76" s="152" t="s">
        <v>2599</v>
      </c>
      <c r="J76" s="151" t="s">
        <v>2515</v>
      </c>
      <c r="K76" s="151"/>
      <c r="L76" s="151"/>
      <c r="M76" s="151"/>
      <c r="N76" s="161"/>
      <c r="O76" s="161"/>
      <c r="P76" s="161"/>
      <c r="Q76" s="161"/>
      <c r="R76" s="161"/>
      <c r="S76" s="161"/>
      <c r="T76" s="161"/>
      <c r="U76" s="161"/>
      <c r="V76" s="161">
        <v>1.8333333333333333</v>
      </c>
      <c r="W76" s="153"/>
      <c r="X76" s="152" t="s">
        <v>60</v>
      </c>
      <c r="Y76" s="151"/>
      <c r="Z76" s="154" t="s">
        <v>7</v>
      </c>
      <c r="AA76" s="154" t="s">
        <v>7</v>
      </c>
      <c r="AB76" s="151" t="s">
        <v>49</v>
      </c>
      <c r="AC76" s="154" t="s">
        <v>2496</v>
      </c>
      <c r="AD76" s="154" t="s">
        <v>2496</v>
      </c>
      <c r="AE76" s="151" t="s">
        <v>2436</v>
      </c>
      <c r="AF76" s="155">
        <v>1.8333333333333333</v>
      </c>
      <c r="AG76" s="156" t="s">
        <v>3</v>
      </c>
      <c r="AH76" s="157" t="s">
        <v>2548</v>
      </c>
      <c r="AI76" s="158">
        <v>45945</v>
      </c>
      <c r="AJ76" s="158">
        <v>45975</v>
      </c>
      <c r="AK76" s="159"/>
      <c r="AL76" s="160">
        <v>0</v>
      </c>
      <c r="AM76" s="159" t="e">
        <v>#N/A</v>
      </c>
      <c r="AN76" s="152" t="e">
        <v>#N/A</v>
      </c>
    </row>
    <row r="77" spans="1:40" ht="26.25" customHeight="1">
      <c r="A77" s="148" t="s">
        <v>2600</v>
      </c>
      <c r="B77" s="149" t="s">
        <v>2601</v>
      </c>
      <c r="C77" s="150" t="s">
        <v>1736</v>
      </c>
      <c r="D77" s="152" t="s">
        <v>2602</v>
      </c>
      <c r="E77" s="152" t="s">
        <v>58</v>
      </c>
      <c r="F77" s="152" t="s">
        <v>7</v>
      </c>
      <c r="G77" s="152" t="s">
        <v>7</v>
      </c>
      <c r="H77" s="152" t="s">
        <v>60</v>
      </c>
      <c r="I77" s="152" t="s">
        <v>2603</v>
      </c>
      <c r="J77" s="151" t="s">
        <v>2515</v>
      </c>
      <c r="K77" s="151"/>
      <c r="L77" s="151"/>
      <c r="M77" s="151"/>
      <c r="N77" s="163"/>
      <c r="O77" s="163"/>
      <c r="P77" s="163"/>
      <c r="Q77" s="163"/>
      <c r="R77" s="163"/>
      <c r="S77" s="163"/>
      <c r="T77" s="163"/>
      <c r="U77" s="163"/>
      <c r="V77" s="163">
        <v>0.1875</v>
      </c>
      <c r="W77" s="161"/>
      <c r="X77" s="152" t="s">
        <v>60</v>
      </c>
      <c r="Y77" s="151"/>
      <c r="Z77" s="154" t="s">
        <v>7</v>
      </c>
      <c r="AA77" s="154" t="s">
        <v>949</v>
      </c>
      <c r="AB77" s="151" t="s">
        <v>49</v>
      </c>
      <c r="AC77" s="154" t="s">
        <v>2496</v>
      </c>
      <c r="AD77" s="154" t="s">
        <v>2496</v>
      </c>
      <c r="AE77" s="151" t="s">
        <v>2436</v>
      </c>
      <c r="AF77" s="155">
        <v>0.1875</v>
      </c>
      <c r="AG77" s="156" t="s">
        <v>404</v>
      </c>
      <c r="AH77" s="157" t="s">
        <v>1036</v>
      </c>
      <c r="AI77" s="158"/>
      <c r="AJ77" s="158"/>
      <c r="AK77" s="159"/>
      <c r="AL77" s="160">
        <v>0</v>
      </c>
      <c r="AM77" s="159" t="e">
        <v>#N/A</v>
      </c>
      <c r="AN77" s="152" t="e">
        <v>#N/A</v>
      </c>
    </row>
    <row r="78" spans="1:40" ht="26.25" customHeight="1">
      <c r="A78" s="148" t="s">
        <v>2605</v>
      </c>
      <c r="B78" s="149" t="s">
        <v>2052</v>
      </c>
      <c r="C78" s="150" t="s">
        <v>1736</v>
      </c>
      <c r="D78" s="152" t="s">
        <v>2602</v>
      </c>
      <c r="E78" s="152" t="s">
        <v>58</v>
      </c>
      <c r="F78" s="152" t="s">
        <v>7</v>
      </c>
      <c r="G78" s="152" t="s">
        <v>7</v>
      </c>
      <c r="H78" s="152" t="s">
        <v>60</v>
      </c>
      <c r="I78" s="152" t="s">
        <v>2606</v>
      </c>
      <c r="J78" s="151" t="s">
        <v>2515</v>
      </c>
      <c r="K78" s="151"/>
      <c r="L78" s="151"/>
      <c r="M78" s="151"/>
      <c r="N78" s="153"/>
      <c r="O78" s="153"/>
      <c r="P78" s="153"/>
      <c r="Q78" s="153"/>
      <c r="R78" s="153"/>
      <c r="S78" s="153"/>
      <c r="T78" s="153"/>
      <c r="U78" s="153"/>
      <c r="V78" s="153"/>
      <c r="W78" s="162"/>
      <c r="X78" s="152" t="s">
        <v>60</v>
      </c>
      <c r="Y78" s="151"/>
      <c r="Z78" s="154" t="s">
        <v>7</v>
      </c>
      <c r="AA78" s="154" t="s">
        <v>7</v>
      </c>
      <c r="AB78" s="151" t="s">
        <v>2436</v>
      </c>
      <c r="AC78" s="154" t="s">
        <v>2496</v>
      </c>
      <c r="AD78" s="154" t="s">
        <v>2520</v>
      </c>
      <c r="AE78" s="151" t="s">
        <v>2436</v>
      </c>
      <c r="AF78" s="155">
        <v>0.91666666666666674</v>
      </c>
      <c r="AG78" s="156" t="s">
        <v>3</v>
      </c>
      <c r="AH78" s="157" t="s">
        <v>1036</v>
      </c>
      <c r="AI78" s="158"/>
      <c r="AJ78" s="158"/>
      <c r="AK78" s="159"/>
      <c r="AL78" s="160">
        <v>0</v>
      </c>
      <c r="AM78" s="159" t="e">
        <v>#N/A</v>
      </c>
      <c r="AN78" s="152" t="e">
        <v>#N/A</v>
      </c>
    </row>
    <row r="79" spans="1:40" ht="26.25" customHeight="1">
      <c r="A79" s="148" t="s">
        <v>1476</v>
      </c>
      <c r="B79" s="149" t="s">
        <v>2607</v>
      </c>
      <c r="C79" s="150" t="s">
        <v>1895</v>
      </c>
      <c r="D79" s="152" t="s">
        <v>1588</v>
      </c>
      <c r="E79" s="152" t="s">
        <v>58</v>
      </c>
      <c r="F79" s="152" t="s">
        <v>7</v>
      </c>
      <c r="G79" s="152" t="s">
        <v>7</v>
      </c>
      <c r="H79" s="152" t="s">
        <v>60</v>
      </c>
      <c r="I79" s="152" t="s">
        <v>2608</v>
      </c>
      <c r="J79" s="151" t="s">
        <v>2515</v>
      </c>
      <c r="K79" s="151"/>
      <c r="L79" s="151"/>
      <c r="M79" s="151"/>
      <c r="N79" s="161"/>
      <c r="O79" s="161"/>
      <c r="P79" s="161"/>
      <c r="Q79" s="161"/>
      <c r="R79" s="161"/>
      <c r="S79" s="161"/>
      <c r="T79" s="161"/>
      <c r="U79" s="161"/>
      <c r="V79" s="161">
        <v>0.34375</v>
      </c>
      <c r="W79" s="161"/>
      <c r="X79" s="152" t="s">
        <v>60</v>
      </c>
      <c r="Y79" s="151"/>
      <c r="Z79" s="154" t="s">
        <v>7</v>
      </c>
      <c r="AA79" s="154" t="s">
        <v>7</v>
      </c>
      <c r="AB79" s="151" t="s">
        <v>49</v>
      </c>
      <c r="AC79" s="154" t="s">
        <v>2496</v>
      </c>
      <c r="AD79" s="154" t="s">
        <v>2496</v>
      </c>
      <c r="AE79" s="151" t="s">
        <v>2436</v>
      </c>
      <c r="AF79" s="155">
        <v>0.34375</v>
      </c>
      <c r="AG79" s="156" t="s">
        <v>3</v>
      </c>
      <c r="AH79" s="157" t="s">
        <v>1036</v>
      </c>
      <c r="AI79" s="158"/>
      <c r="AJ79" s="158"/>
      <c r="AK79" s="159"/>
      <c r="AL79" s="160">
        <v>0</v>
      </c>
      <c r="AM79" s="159" t="e">
        <v>#N/A</v>
      </c>
      <c r="AN79" s="152" t="e">
        <v>#N/A</v>
      </c>
    </row>
    <row r="80" spans="1:40" ht="26.25" customHeight="1">
      <c r="A80" s="148" t="s">
        <v>2609</v>
      </c>
      <c r="B80" s="149" t="s">
        <v>2610</v>
      </c>
      <c r="C80" s="150" t="s">
        <v>1743</v>
      </c>
      <c r="D80" s="152" t="s">
        <v>1588</v>
      </c>
      <c r="E80" s="152" t="s">
        <v>58</v>
      </c>
      <c r="F80" s="152" t="s">
        <v>7</v>
      </c>
      <c r="G80" s="152" t="s">
        <v>7</v>
      </c>
      <c r="H80" s="152" t="s">
        <v>60</v>
      </c>
      <c r="I80" s="152" t="s">
        <v>2612</v>
      </c>
      <c r="J80" s="151" t="s">
        <v>2515</v>
      </c>
      <c r="K80" s="151"/>
      <c r="L80" s="151"/>
      <c r="M80" s="151"/>
      <c r="N80" s="161"/>
      <c r="O80" s="161"/>
      <c r="P80" s="161"/>
      <c r="Q80" s="161"/>
      <c r="R80" s="161"/>
      <c r="S80" s="161"/>
      <c r="T80" s="161"/>
      <c r="U80" s="161"/>
      <c r="V80" s="161">
        <v>0.45833333333333331</v>
      </c>
      <c r="W80" s="162">
        <v>0.125</v>
      </c>
      <c r="X80" s="152" t="s">
        <v>60</v>
      </c>
      <c r="Y80" s="151"/>
      <c r="Z80" s="154" t="s">
        <v>7</v>
      </c>
      <c r="AA80" s="154" t="s">
        <v>7</v>
      </c>
      <c r="AB80" s="151" t="s">
        <v>49</v>
      </c>
      <c r="AC80" s="154" t="s">
        <v>2496</v>
      </c>
      <c r="AD80" s="154" t="s">
        <v>2496</v>
      </c>
      <c r="AE80" s="151" t="s">
        <v>2436</v>
      </c>
      <c r="AF80" s="155">
        <v>0.45833333333333331</v>
      </c>
      <c r="AG80" s="156" t="s">
        <v>3</v>
      </c>
      <c r="AH80" s="157" t="s">
        <v>1036</v>
      </c>
      <c r="AI80" s="158"/>
      <c r="AJ80" s="158"/>
      <c r="AK80" s="159"/>
      <c r="AL80" s="160">
        <v>0</v>
      </c>
      <c r="AM80" s="159" t="e">
        <v>#N/A</v>
      </c>
      <c r="AN80" s="152" t="e">
        <v>#N/A</v>
      </c>
    </row>
    <row r="81" spans="1:40" ht="26.25" customHeight="1">
      <c r="A81" s="148" t="s">
        <v>2613</v>
      </c>
      <c r="B81" s="149" t="s">
        <v>2614</v>
      </c>
      <c r="C81" s="150" t="s">
        <v>1743</v>
      </c>
      <c r="D81" s="152" t="s">
        <v>1588</v>
      </c>
      <c r="E81" s="152" t="s">
        <v>58</v>
      </c>
      <c r="F81" s="152" t="s">
        <v>7</v>
      </c>
      <c r="G81" s="152" t="s">
        <v>7</v>
      </c>
      <c r="H81" s="152" t="s">
        <v>60</v>
      </c>
      <c r="I81" s="152" t="s">
        <v>1115</v>
      </c>
      <c r="J81" s="151" t="s">
        <v>2515</v>
      </c>
      <c r="K81" s="151"/>
      <c r="L81" s="151"/>
      <c r="M81" s="151"/>
      <c r="N81" s="163"/>
      <c r="O81" s="163"/>
      <c r="P81" s="163"/>
      <c r="Q81" s="163"/>
      <c r="R81" s="163"/>
      <c r="S81" s="163"/>
      <c r="T81" s="163"/>
      <c r="U81" s="163"/>
      <c r="V81" s="163">
        <v>0.20833333333333331</v>
      </c>
      <c r="W81" s="161">
        <v>4.1666666666666664E-2</v>
      </c>
      <c r="X81" s="152" t="s">
        <v>60</v>
      </c>
      <c r="Y81" s="151"/>
      <c r="Z81" s="154" t="s">
        <v>7</v>
      </c>
      <c r="AA81" s="154" t="s">
        <v>949</v>
      </c>
      <c r="AB81" s="151" t="s">
        <v>49</v>
      </c>
      <c r="AC81" s="154" t="s">
        <v>2496</v>
      </c>
      <c r="AD81" s="154" t="s">
        <v>2496</v>
      </c>
      <c r="AE81" s="151" t="s">
        <v>2436</v>
      </c>
      <c r="AF81" s="155">
        <v>0.20833333333333331</v>
      </c>
      <c r="AG81" s="156" t="s">
        <v>404</v>
      </c>
      <c r="AH81" s="157" t="s">
        <v>1036</v>
      </c>
      <c r="AI81" s="158"/>
      <c r="AJ81" s="158"/>
      <c r="AK81" s="159"/>
      <c r="AL81" s="160">
        <v>0</v>
      </c>
      <c r="AM81" s="159" t="e">
        <v>#N/A</v>
      </c>
      <c r="AN81" s="152" t="e">
        <v>#N/A</v>
      </c>
    </row>
    <row r="82" spans="1:40" ht="26.25" customHeight="1">
      <c r="A82" s="148" t="s">
        <v>1477</v>
      </c>
      <c r="B82" s="149" t="s">
        <v>2615</v>
      </c>
      <c r="C82" s="150" t="s">
        <v>1751</v>
      </c>
      <c r="D82" s="152" t="s">
        <v>1588</v>
      </c>
      <c r="E82" s="152" t="s">
        <v>58</v>
      </c>
      <c r="F82" s="152" t="s">
        <v>7</v>
      </c>
      <c r="G82" s="152" t="s">
        <v>7</v>
      </c>
      <c r="H82" s="152" t="s">
        <v>60</v>
      </c>
      <c r="I82" s="152" t="s">
        <v>2444</v>
      </c>
      <c r="J82" s="151" t="s">
        <v>2515</v>
      </c>
      <c r="K82" s="151"/>
      <c r="L82" s="151"/>
      <c r="M82" s="151"/>
      <c r="N82" s="161"/>
      <c r="O82" s="161"/>
      <c r="P82" s="161"/>
      <c r="Q82" s="161"/>
      <c r="R82" s="161"/>
      <c r="S82" s="161"/>
      <c r="T82" s="161"/>
      <c r="U82" s="161"/>
      <c r="V82" s="161">
        <v>0.99999999999999989</v>
      </c>
      <c r="W82" s="161"/>
      <c r="X82" s="152" t="s">
        <v>60</v>
      </c>
      <c r="Y82" s="151"/>
      <c r="Z82" s="154" t="s">
        <v>7</v>
      </c>
      <c r="AA82" s="154" t="s">
        <v>7</v>
      </c>
      <c r="AB82" s="151" t="s">
        <v>49</v>
      </c>
      <c r="AC82" s="154" t="s">
        <v>2496</v>
      </c>
      <c r="AD82" s="154" t="s">
        <v>2496</v>
      </c>
      <c r="AE82" s="151" t="s">
        <v>2436</v>
      </c>
      <c r="AF82" s="155">
        <v>0.99999999999999989</v>
      </c>
      <c r="AG82" s="156" t="s">
        <v>3</v>
      </c>
      <c r="AH82" s="157" t="s">
        <v>1036</v>
      </c>
      <c r="AI82" s="158"/>
      <c r="AJ82" s="158"/>
      <c r="AK82" s="159"/>
      <c r="AL82" s="160">
        <v>0</v>
      </c>
      <c r="AM82" s="159" t="e">
        <v>#N/A</v>
      </c>
      <c r="AN82" s="152" t="e">
        <v>#N/A</v>
      </c>
    </row>
    <row r="83" spans="1:40" ht="26.25" customHeight="1">
      <c r="A83" s="148" t="s">
        <v>2617</v>
      </c>
      <c r="B83" s="149" t="s">
        <v>2618</v>
      </c>
      <c r="C83" s="150" t="s">
        <v>1756</v>
      </c>
      <c r="D83" s="152" t="s">
        <v>1588</v>
      </c>
      <c r="E83" s="152" t="s">
        <v>58</v>
      </c>
      <c r="F83" s="152" t="s">
        <v>7</v>
      </c>
      <c r="G83" s="152" t="s">
        <v>7</v>
      </c>
      <c r="H83" s="152" t="s">
        <v>60</v>
      </c>
      <c r="I83" s="152" t="s">
        <v>1144</v>
      </c>
      <c r="J83" s="151" t="s">
        <v>2515</v>
      </c>
      <c r="K83" s="151"/>
      <c r="L83" s="151"/>
      <c r="M83" s="151"/>
      <c r="N83" s="161"/>
      <c r="O83" s="161"/>
      <c r="P83" s="161"/>
      <c r="Q83" s="161"/>
      <c r="R83" s="161"/>
      <c r="S83" s="161"/>
      <c r="T83" s="161"/>
      <c r="U83" s="161"/>
      <c r="V83" s="161">
        <v>0.16666666666666666</v>
      </c>
      <c r="W83" s="161">
        <v>4.1666666666666664E-2</v>
      </c>
      <c r="X83" s="152" t="s">
        <v>60</v>
      </c>
      <c r="Y83" s="151"/>
      <c r="Z83" s="154" t="s">
        <v>7</v>
      </c>
      <c r="AA83" s="154" t="s">
        <v>7</v>
      </c>
      <c r="AB83" s="151" t="s">
        <v>49</v>
      </c>
      <c r="AC83" s="154" t="s">
        <v>2496</v>
      </c>
      <c r="AD83" s="154" t="s">
        <v>2496</v>
      </c>
      <c r="AE83" s="151" t="s">
        <v>2436</v>
      </c>
      <c r="AF83" s="155">
        <v>0.16666666666666666</v>
      </c>
      <c r="AG83" s="156" t="s">
        <v>3</v>
      </c>
      <c r="AH83" s="157" t="s">
        <v>1036</v>
      </c>
      <c r="AI83" s="158"/>
      <c r="AJ83" s="158"/>
      <c r="AK83" s="159"/>
      <c r="AL83" s="160">
        <v>0</v>
      </c>
      <c r="AM83" s="159" t="e">
        <v>#N/A</v>
      </c>
      <c r="AN83" s="152" t="e">
        <v>#N/A</v>
      </c>
    </row>
    <row r="84" spans="1:40" ht="26.25" customHeight="1">
      <c r="A84" s="148" t="s">
        <v>2620</v>
      </c>
      <c r="B84" s="149" t="s">
        <v>2621</v>
      </c>
      <c r="C84" s="150" t="s">
        <v>1763</v>
      </c>
      <c r="D84" s="152" t="s">
        <v>820</v>
      </c>
      <c r="E84" s="152" t="s">
        <v>58</v>
      </c>
      <c r="F84" s="152" t="s">
        <v>7</v>
      </c>
      <c r="G84" s="152" t="s">
        <v>7</v>
      </c>
      <c r="H84" s="152" t="s">
        <v>621</v>
      </c>
      <c r="I84" s="152" t="s">
        <v>1165</v>
      </c>
      <c r="J84" s="151" t="s">
        <v>2515</v>
      </c>
      <c r="K84" s="151"/>
      <c r="L84" s="151"/>
      <c r="M84" s="151"/>
      <c r="N84" s="161"/>
      <c r="O84" s="161"/>
      <c r="P84" s="161"/>
      <c r="Q84" s="161"/>
      <c r="R84" s="161"/>
      <c r="S84" s="161"/>
      <c r="T84" s="161"/>
      <c r="U84" s="161"/>
      <c r="V84" s="161">
        <v>0.30555555555555558</v>
      </c>
      <c r="W84" s="161"/>
      <c r="X84" s="152" t="s">
        <v>621</v>
      </c>
      <c r="Y84" s="151"/>
      <c r="Z84" s="154" t="s">
        <v>7</v>
      </c>
      <c r="AA84" s="154" t="s">
        <v>7</v>
      </c>
      <c r="AB84" s="151" t="s">
        <v>49</v>
      </c>
      <c r="AC84" s="154" t="s">
        <v>2496</v>
      </c>
      <c r="AD84" s="154" t="s">
        <v>2496</v>
      </c>
      <c r="AE84" s="151" t="s">
        <v>2436</v>
      </c>
      <c r="AF84" s="155">
        <v>0.30555555555555558</v>
      </c>
      <c r="AG84" s="156" t="s">
        <v>3</v>
      </c>
      <c r="AH84" s="157" t="s">
        <v>1036</v>
      </c>
      <c r="AI84" s="158"/>
      <c r="AJ84" s="158"/>
      <c r="AK84" s="159"/>
      <c r="AL84" s="160">
        <v>0</v>
      </c>
      <c r="AM84" s="159" t="e">
        <v>#N/A</v>
      </c>
      <c r="AN84" s="152" t="e">
        <v>#N/A</v>
      </c>
    </row>
    <row r="85" spans="1:40" ht="26.25" customHeight="1">
      <c r="A85" s="148" t="s">
        <v>2063</v>
      </c>
      <c r="B85" s="149" t="s">
        <v>49</v>
      </c>
      <c r="C85" s="150" t="s">
        <v>1763</v>
      </c>
      <c r="D85" s="152" t="s">
        <v>820</v>
      </c>
      <c r="E85" s="152" t="s">
        <v>21</v>
      </c>
      <c r="F85" s="152" t="s">
        <v>7</v>
      </c>
      <c r="G85" s="152" t="s">
        <v>7</v>
      </c>
      <c r="H85" s="152" t="s">
        <v>621</v>
      </c>
      <c r="I85" s="152" t="s">
        <v>1155</v>
      </c>
      <c r="J85" s="151" t="s">
        <v>2515</v>
      </c>
      <c r="K85" s="151"/>
      <c r="L85" s="151"/>
      <c r="M85" s="151"/>
      <c r="N85" s="161"/>
      <c r="O85" s="161"/>
      <c r="P85" s="161"/>
      <c r="Q85" s="161"/>
      <c r="R85" s="161"/>
      <c r="S85" s="161"/>
      <c r="T85" s="161"/>
      <c r="U85" s="161"/>
      <c r="V85" s="161">
        <v>1.8333333333333333</v>
      </c>
      <c r="W85" s="153"/>
      <c r="X85" s="152" t="s">
        <v>621</v>
      </c>
      <c r="Y85" s="151"/>
      <c r="Z85" s="154" t="s">
        <v>7</v>
      </c>
      <c r="AA85" s="154" t="s">
        <v>7</v>
      </c>
      <c r="AB85" s="151" t="s">
        <v>49</v>
      </c>
      <c r="AC85" s="154" t="s">
        <v>2496</v>
      </c>
      <c r="AD85" s="154" t="s">
        <v>2496</v>
      </c>
      <c r="AE85" s="151" t="s">
        <v>2436</v>
      </c>
      <c r="AF85" s="155">
        <v>1.8333333333333333</v>
      </c>
      <c r="AG85" s="156" t="s">
        <v>3</v>
      </c>
      <c r="AH85" s="157" t="s">
        <v>1036</v>
      </c>
      <c r="AI85" s="158"/>
      <c r="AJ85" s="158"/>
      <c r="AK85" s="159"/>
      <c r="AL85" s="160">
        <v>0</v>
      </c>
      <c r="AM85" s="159" t="e">
        <v>#N/A</v>
      </c>
      <c r="AN85" s="152" t="e">
        <v>#REF!</v>
      </c>
    </row>
    <row r="86" spans="1:40" ht="26.25" customHeight="1">
      <c r="A86" s="148" t="s">
        <v>2472</v>
      </c>
      <c r="B86" s="149" t="s">
        <v>49</v>
      </c>
      <c r="C86" s="150" t="s">
        <v>2625</v>
      </c>
      <c r="D86" s="152"/>
      <c r="E86" s="152" t="s">
        <v>58</v>
      </c>
      <c r="F86" s="152" t="s">
        <v>7</v>
      </c>
      <c r="G86" s="152" t="s">
        <v>7</v>
      </c>
      <c r="H86" s="152" t="s">
        <v>60</v>
      </c>
      <c r="I86" s="152" t="s">
        <v>2626</v>
      </c>
      <c r="J86" s="151" t="s">
        <v>2515</v>
      </c>
      <c r="K86" s="151"/>
      <c r="L86" s="151"/>
      <c r="M86" s="151"/>
      <c r="N86" s="161"/>
      <c r="O86" s="161"/>
      <c r="P86" s="161"/>
      <c r="Q86" s="161"/>
      <c r="R86" s="161"/>
      <c r="S86" s="161"/>
      <c r="T86" s="161"/>
      <c r="U86" s="161"/>
      <c r="V86" s="161">
        <v>0.22916666666666669</v>
      </c>
      <c r="W86" s="162">
        <v>2.0833333333333332E-2</v>
      </c>
      <c r="X86" s="152" t="s">
        <v>60</v>
      </c>
      <c r="Y86" s="151"/>
      <c r="Z86" s="154" t="s">
        <v>7</v>
      </c>
      <c r="AA86" s="154" t="s">
        <v>7</v>
      </c>
      <c r="AB86" s="151" t="s">
        <v>49</v>
      </c>
      <c r="AC86" s="154" t="s">
        <v>2496</v>
      </c>
      <c r="AD86" s="154" t="s">
        <v>2496</v>
      </c>
      <c r="AE86" s="151" t="s">
        <v>2436</v>
      </c>
      <c r="AF86" s="155">
        <v>0.22916666666666669</v>
      </c>
      <c r="AG86" s="156" t="s">
        <v>3</v>
      </c>
      <c r="AH86" s="157" t="s">
        <v>1036</v>
      </c>
      <c r="AI86" s="158"/>
      <c r="AJ86" s="158"/>
      <c r="AK86" s="159"/>
      <c r="AL86" s="160">
        <v>0</v>
      </c>
      <c r="AM86" s="159" t="e">
        <v>#N/A</v>
      </c>
      <c r="AN86" s="152" t="e">
        <v>#REF!</v>
      </c>
    </row>
    <row r="87" spans="1:40" ht="26.25" customHeight="1">
      <c r="A87" s="148" t="s">
        <v>2627</v>
      </c>
      <c r="B87" s="149" t="s">
        <v>2628</v>
      </c>
      <c r="C87" s="150" t="s">
        <v>1771</v>
      </c>
      <c r="D87" s="152" t="s">
        <v>1588</v>
      </c>
      <c r="E87" s="152" t="s">
        <v>58</v>
      </c>
      <c r="F87" s="152" t="s">
        <v>7</v>
      </c>
      <c r="G87" s="152" t="s">
        <v>7</v>
      </c>
      <c r="H87" s="152" t="s">
        <v>60</v>
      </c>
      <c r="I87" s="152" t="s">
        <v>2629</v>
      </c>
      <c r="J87" s="151" t="s">
        <v>2515</v>
      </c>
      <c r="K87" s="151"/>
      <c r="L87" s="151"/>
      <c r="M87" s="151"/>
      <c r="N87" s="163"/>
      <c r="O87" s="163"/>
      <c r="P87" s="163"/>
      <c r="Q87" s="163"/>
      <c r="R87" s="163"/>
      <c r="S87" s="163"/>
      <c r="T87" s="163"/>
      <c r="U87" s="163"/>
      <c r="V87" s="163">
        <v>0.16666666666666666</v>
      </c>
      <c r="W87" s="172"/>
      <c r="X87" s="152" t="s">
        <v>60</v>
      </c>
      <c r="Y87" s="151"/>
      <c r="Z87" s="154" t="s">
        <v>7</v>
      </c>
      <c r="AA87" s="154" t="s">
        <v>7</v>
      </c>
      <c r="AB87" s="151" t="s">
        <v>49</v>
      </c>
      <c r="AC87" s="154" t="s">
        <v>2496</v>
      </c>
      <c r="AD87" s="154" t="s">
        <v>2496</v>
      </c>
      <c r="AE87" s="151" t="s">
        <v>2436</v>
      </c>
      <c r="AF87" s="155">
        <v>0.16666666666666666</v>
      </c>
      <c r="AG87" s="156" t="s">
        <v>3</v>
      </c>
      <c r="AH87" s="157" t="s">
        <v>1036</v>
      </c>
      <c r="AI87" s="158"/>
      <c r="AJ87" s="158"/>
      <c r="AK87" s="159"/>
      <c r="AL87" s="160">
        <v>0</v>
      </c>
      <c r="AM87" s="159" t="e">
        <v>#N/A</v>
      </c>
      <c r="AN87" s="152" t="e">
        <v>#N/A</v>
      </c>
    </row>
    <row r="88" spans="1:40" ht="26.25" customHeight="1">
      <c r="A88" s="148" t="s">
        <v>1484</v>
      </c>
      <c r="B88" s="149" t="s">
        <v>49</v>
      </c>
      <c r="C88" s="150" t="s">
        <v>1778</v>
      </c>
      <c r="D88" s="152" t="s">
        <v>2542</v>
      </c>
      <c r="E88" s="152" t="s">
        <v>21</v>
      </c>
      <c r="F88" s="152" t="s">
        <v>7</v>
      </c>
      <c r="G88" s="152" t="s">
        <v>7</v>
      </c>
      <c r="H88" s="152" t="s">
        <v>22</v>
      </c>
      <c r="I88" s="152" t="s">
        <v>1228</v>
      </c>
      <c r="J88" s="151" t="s">
        <v>2515</v>
      </c>
      <c r="K88" s="151"/>
      <c r="L88" s="151"/>
      <c r="M88" s="151"/>
      <c r="N88" s="161"/>
      <c r="O88" s="161"/>
      <c r="P88" s="161"/>
      <c r="Q88" s="161"/>
      <c r="R88" s="161"/>
      <c r="S88" s="161"/>
      <c r="T88" s="161"/>
      <c r="U88" s="161"/>
      <c r="V88" s="161">
        <v>1.8333333333333333</v>
      </c>
      <c r="W88" s="153"/>
      <c r="X88" s="152" t="s">
        <v>22</v>
      </c>
      <c r="Y88" s="151"/>
      <c r="Z88" s="154" t="s">
        <v>7</v>
      </c>
      <c r="AA88" s="154" t="s">
        <v>7</v>
      </c>
      <c r="AB88" s="151" t="s">
        <v>49</v>
      </c>
      <c r="AC88" s="154" t="s">
        <v>2496</v>
      </c>
      <c r="AD88" s="154" t="s">
        <v>2496</v>
      </c>
      <c r="AE88" s="151" t="s">
        <v>2436</v>
      </c>
      <c r="AF88" s="155">
        <v>1.8333333333333333</v>
      </c>
      <c r="AG88" s="156" t="s">
        <v>72</v>
      </c>
      <c r="AH88" s="157" t="s">
        <v>1036</v>
      </c>
      <c r="AI88" s="158"/>
      <c r="AJ88" s="158"/>
      <c r="AK88" s="159"/>
      <c r="AL88" s="160">
        <v>0</v>
      </c>
      <c r="AM88" s="159" t="e">
        <v>#N/A</v>
      </c>
      <c r="AN88" s="152" t="e">
        <v>#REF!</v>
      </c>
    </row>
    <row r="89" spans="1:40" ht="26.25" customHeight="1">
      <c r="A89" s="148" t="s">
        <v>2069</v>
      </c>
      <c r="B89" s="149" t="s">
        <v>49</v>
      </c>
      <c r="C89" s="150" t="s">
        <v>1778</v>
      </c>
      <c r="D89" s="152" t="s">
        <v>2542</v>
      </c>
      <c r="E89" s="152" t="s">
        <v>21</v>
      </c>
      <c r="F89" s="152" t="s">
        <v>7</v>
      </c>
      <c r="G89" s="152" t="s">
        <v>7</v>
      </c>
      <c r="H89" s="152" t="s">
        <v>22</v>
      </c>
      <c r="I89" s="152" t="s">
        <v>1392</v>
      </c>
      <c r="J89" s="151" t="s">
        <v>2515</v>
      </c>
      <c r="K89" s="151"/>
      <c r="L89" s="151"/>
      <c r="M89" s="151"/>
      <c r="N89" s="161"/>
      <c r="O89" s="161"/>
      <c r="P89" s="161"/>
      <c r="Q89" s="161"/>
      <c r="R89" s="161"/>
      <c r="S89" s="161"/>
      <c r="T89" s="161"/>
      <c r="U89" s="161"/>
      <c r="V89" s="161">
        <v>1.8333333333333333</v>
      </c>
      <c r="W89" s="153"/>
      <c r="X89" s="152" t="s">
        <v>22</v>
      </c>
      <c r="Y89" s="151"/>
      <c r="Z89" s="154" t="s">
        <v>7</v>
      </c>
      <c r="AA89" s="154" t="s">
        <v>7</v>
      </c>
      <c r="AB89" s="151" t="s">
        <v>2436</v>
      </c>
      <c r="AC89" s="154" t="s">
        <v>2496</v>
      </c>
      <c r="AD89" s="154" t="s">
        <v>2516</v>
      </c>
      <c r="AE89" s="151" t="s">
        <v>2436</v>
      </c>
      <c r="AF89" s="155">
        <v>1.8333333333333333</v>
      </c>
      <c r="AG89" s="156" t="s">
        <v>72</v>
      </c>
      <c r="AH89" s="157" t="s">
        <v>1036</v>
      </c>
      <c r="AI89" s="158"/>
      <c r="AJ89" s="158"/>
      <c r="AK89" s="159"/>
      <c r="AL89" s="160">
        <v>0</v>
      </c>
      <c r="AM89" s="159" t="e">
        <v>#N/A</v>
      </c>
      <c r="AN89" s="152" t="e">
        <v>#REF!</v>
      </c>
    </row>
    <row r="90" spans="1:40" ht="26.25" customHeight="1">
      <c r="A90" s="148" t="s">
        <v>2469</v>
      </c>
      <c r="B90" s="149" t="s">
        <v>49</v>
      </c>
      <c r="C90" s="150" t="s">
        <v>1778</v>
      </c>
      <c r="D90" s="152" t="s">
        <v>2542</v>
      </c>
      <c r="E90" s="152" t="s">
        <v>21</v>
      </c>
      <c r="F90" s="152" t="s">
        <v>7</v>
      </c>
      <c r="G90" s="152" t="s">
        <v>7</v>
      </c>
      <c r="H90" s="152" t="s">
        <v>60</v>
      </c>
      <c r="I90" s="152" t="s">
        <v>1468</v>
      </c>
      <c r="J90" s="151" t="s">
        <v>2515</v>
      </c>
      <c r="K90" s="151"/>
      <c r="L90" s="151"/>
      <c r="M90" s="151"/>
      <c r="N90" s="161"/>
      <c r="O90" s="161"/>
      <c r="P90" s="161"/>
      <c r="Q90" s="161"/>
      <c r="R90" s="161"/>
      <c r="S90" s="161"/>
      <c r="T90" s="161"/>
      <c r="U90" s="161"/>
      <c r="V90" s="161">
        <v>1.8333333333333333</v>
      </c>
      <c r="W90" s="153"/>
      <c r="X90" s="152" t="s">
        <v>60</v>
      </c>
      <c r="Y90" s="151"/>
      <c r="Z90" s="154" t="s">
        <v>7</v>
      </c>
      <c r="AA90" s="154" t="s">
        <v>7</v>
      </c>
      <c r="AB90" s="151" t="s">
        <v>49</v>
      </c>
      <c r="AC90" s="154" t="s">
        <v>2496</v>
      </c>
      <c r="AD90" s="154" t="s">
        <v>2496</v>
      </c>
      <c r="AE90" s="151" t="s">
        <v>2436</v>
      </c>
      <c r="AF90" s="155">
        <v>1.8333333333333333</v>
      </c>
      <c r="AG90" s="156" t="s">
        <v>3</v>
      </c>
      <c r="AH90" s="157" t="s">
        <v>1036</v>
      </c>
      <c r="AI90" s="158"/>
      <c r="AJ90" s="158"/>
      <c r="AK90" s="159"/>
      <c r="AL90" s="160">
        <v>0</v>
      </c>
      <c r="AM90" s="159" t="e">
        <v>#N/A</v>
      </c>
      <c r="AN90" s="152" t="e">
        <v>#REF!</v>
      </c>
    </row>
    <row r="91" spans="1:40" ht="26.25" customHeight="1">
      <c r="A91" s="148" t="s">
        <v>2633</v>
      </c>
      <c r="B91" s="149" t="s">
        <v>49</v>
      </c>
      <c r="C91" s="150" t="s">
        <v>1778</v>
      </c>
      <c r="D91" s="152" t="s">
        <v>2542</v>
      </c>
      <c r="E91" s="152" t="s">
        <v>21</v>
      </c>
      <c r="F91" s="152" t="s">
        <v>7</v>
      </c>
      <c r="G91" s="152" t="s">
        <v>7</v>
      </c>
      <c r="H91" s="152" t="s">
        <v>22</v>
      </c>
      <c r="I91" s="152" t="s">
        <v>1392</v>
      </c>
      <c r="J91" s="151" t="s">
        <v>2515</v>
      </c>
      <c r="K91" s="151"/>
      <c r="L91" s="151"/>
      <c r="M91" s="151"/>
      <c r="N91" s="161"/>
      <c r="O91" s="161"/>
      <c r="P91" s="161"/>
      <c r="Q91" s="161"/>
      <c r="R91" s="161"/>
      <c r="S91" s="161"/>
      <c r="T91" s="161"/>
      <c r="U91" s="161"/>
      <c r="V91" s="161">
        <v>1.8333333333333333</v>
      </c>
      <c r="W91" s="153"/>
      <c r="X91" s="152" t="s">
        <v>22</v>
      </c>
      <c r="Y91" s="151"/>
      <c r="Z91" s="154" t="s">
        <v>7</v>
      </c>
      <c r="AA91" s="154" t="s">
        <v>7</v>
      </c>
      <c r="AB91" s="151" t="s">
        <v>2436</v>
      </c>
      <c r="AC91" s="154" t="s">
        <v>2496</v>
      </c>
      <c r="AD91" s="154" t="s">
        <v>2520</v>
      </c>
      <c r="AE91" s="151" t="s">
        <v>2436</v>
      </c>
      <c r="AF91" s="155">
        <v>1.8333333333333333</v>
      </c>
      <c r="AG91" s="156" t="s">
        <v>72</v>
      </c>
      <c r="AH91" s="157" t="s">
        <v>1036</v>
      </c>
      <c r="AI91" s="158"/>
      <c r="AJ91" s="158"/>
      <c r="AK91" s="159"/>
      <c r="AL91" s="160">
        <v>0</v>
      </c>
      <c r="AM91" s="159" t="e">
        <v>#N/A</v>
      </c>
      <c r="AN91" s="152" t="e">
        <v>#REF!</v>
      </c>
    </row>
    <row r="92" spans="1:40" ht="26.25" customHeight="1">
      <c r="A92" s="148" t="s">
        <v>2455</v>
      </c>
      <c r="B92" s="149" t="s">
        <v>49</v>
      </c>
      <c r="C92" s="150" t="s">
        <v>1778</v>
      </c>
      <c r="D92" s="152" t="s">
        <v>2542</v>
      </c>
      <c r="E92" s="152" t="s">
        <v>21</v>
      </c>
      <c r="F92" s="152" t="s">
        <v>7</v>
      </c>
      <c r="G92" s="152" t="s">
        <v>7</v>
      </c>
      <c r="H92" s="152" t="s">
        <v>22</v>
      </c>
      <c r="I92" s="152" t="s">
        <v>1228</v>
      </c>
      <c r="J92" s="151" t="s">
        <v>2515</v>
      </c>
      <c r="K92" s="151"/>
      <c r="L92" s="151"/>
      <c r="M92" s="151"/>
      <c r="N92" s="161"/>
      <c r="O92" s="161"/>
      <c r="P92" s="161"/>
      <c r="Q92" s="161"/>
      <c r="R92" s="161"/>
      <c r="S92" s="161"/>
      <c r="T92" s="161"/>
      <c r="U92" s="161"/>
      <c r="V92" s="161">
        <v>1.8333333333333333</v>
      </c>
      <c r="W92" s="153"/>
      <c r="X92" s="152" t="s">
        <v>22</v>
      </c>
      <c r="Y92" s="151"/>
      <c r="Z92" s="154" t="s">
        <v>7</v>
      </c>
      <c r="AA92" s="154" t="s">
        <v>7</v>
      </c>
      <c r="AB92" s="151" t="s">
        <v>49</v>
      </c>
      <c r="AC92" s="154" t="s">
        <v>2496</v>
      </c>
      <c r="AD92" s="154" t="s">
        <v>2496</v>
      </c>
      <c r="AE92" s="151" t="s">
        <v>2436</v>
      </c>
      <c r="AF92" s="155">
        <v>1.8333333333333333</v>
      </c>
      <c r="AG92" s="156" t="s">
        <v>72</v>
      </c>
      <c r="AH92" s="157" t="s">
        <v>2548</v>
      </c>
      <c r="AI92" s="158">
        <v>45896</v>
      </c>
      <c r="AJ92" s="158">
        <v>45926</v>
      </c>
      <c r="AK92" s="159"/>
      <c r="AL92" s="160">
        <v>0</v>
      </c>
      <c r="AM92" s="159" t="e">
        <v>#N/A</v>
      </c>
      <c r="AN92" s="152" t="e">
        <v>#REF!</v>
      </c>
    </row>
    <row r="93" spans="1:40" ht="26.25" customHeight="1">
      <c r="A93" s="148" t="s">
        <v>1466</v>
      </c>
      <c r="B93" s="149" t="s">
        <v>49</v>
      </c>
      <c r="C93" s="150" t="s">
        <v>1778</v>
      </c>
      <c r="D93" s="152" t="s">
        <v>2542</v>
      </c>
      <c r="E93" s="152" t="s">
        <v>21</v>
      </c>
      <c r="F93" s="152" t="s">
        <v>7</v>
      </c>
      <c r="G93" s="152" t="s">
        <v>7</v>
      </c>
      <c r="H93" s="152" t="s">
        <v>60</v>
      </c>
      <c r="I93" s="152" t="s">
        <v>1468</v>
      </c>
      <c r="J93" s="151" t="s">
        <v>2515</v>
      </c>
      <c r="K93" s="151"/>
      <c r="L93" s="151"/>
      <c r="M93" s="151"/>
      <c r="N93" s="161"/>
      <c r="O93" s="161"/>
      <c r="P93" s="161"/>
      <c r="Q93" s="161"/>
      <c r="R93" s="161"/>
      <c r="S93" s="161"/>
      <c r="T93" s="161"/>
      <c r="U93" s="161"/>
      <c r="V93" s="161">
        <v>1.8333333333333333</v>
      </c>
      <c r="W93" s="153"/>
      <c r="X93" s="152" t="s">
        <v>60</v>
      </c>
      <c r="Y93" s="151"/>
      <c r="Z93" s="154" t="s">
        <v>7</v>
      </c>
      <c r="AA93" s="154" t="s">
        <v>7</v>
      </c>
      <c r="AB93" s="151" t="s">
        <v>2436</v>
      </c>
      <c r="AC93" s="154" t="s">
        <v>2496</v>
      </c>
      <c r="AD93" s="154" t="s">
        <v>2520</v>
      </c>
      <c r="AE93" s="151" t="s">
        <v>2436</v>
      </c>
      <c r="AF93" s="155">
        <v>1.8333333333333333</v>
      </c>
      <c r="AG93" s="156" t="s">
        <v>3</v>
      </c>
      <c r="AH93" s="157" t="s">
        <v>1036</v>
      </c>
      <c r="AI93" s="158"/>
      <c r="AJ93" s="158"/>
      <c r="AK93" s="159"/>
      <c r="AL93" s="160">
        <v>0</v>
      </c>
      <c r="AM93" s="159" t="e">
        <v>#N/A</v>
      </c>
      <c r="AN93" s="152" t="e">
        <v>#REF!</v>
      </c>
    </row>
    <row r="94" spans="1:40" ht="26.25" customHeight="1">
      <c r="A94" s="148" t="s">
        <v>2144</v>
      </c>
      <c r="B94" s="149" t="s">
        <v>2052</v>
      </c>
      <c r="C94" s="150" t="s">
        <v>1930</v>
      </c>
      <c r="D94" s="152" t="s">
        <v>2637</v>
      </c>
      <c r="E94" s="152" t="s">
        <v>58</v>
      </c>
      <c r="F94" s="152" t="s">
        <v>7</v>
      </c>
      <c r="G94" s="152" t="s">
        <v>7</v>
      </c>
      <c r="H94" s="152" t="s">
        <v>60</v>
      </c>
      <c r="I94" s="152" t="s">
        <v>1516</v>
      </c>
      <c r="J94" s="151" t="s">
        <v>2515</v>
      </c>
      <c r="K94" s="151"/>
      <c r="L94" s="151"/>
      <c r="M94" s="151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2" t="s">
        <v>60</v>
      </c>
      <c r="Y94" s="151"/>
      <c r="Z94" s="154" t="s">
        <v>7</v>
      </c>
      <c r="AA94" s="154" t="s">
        <v>7</v>
      </c>
      <c r="AB94" s="151" t="s">
        <v>2436</v>
      </c>
      <c r="AC94" s="154" t="s">
        <v>2520</v>
      </c>
      <c r="AD94" s="154" t="s">
        <v>2516</v>
      </c>
      <c r="AE94" s="151" t="s">
        <v>2436</v>
      </c>
      <c r="AF94" s="155">
        <v>0.33333333333333331</v>
      </c>
      <c r="AG94" s="156" t="s">
        <v>3</v>
      </c>
      <c r="AH94" s="157" t="s">
        <v>1036</v>
      </c>
      <c r="AI94" s="158"/>
      <c r="AJ94" s="158"/>
      <c r="AK94" s="159"/>
      <c r="AL94" s="160">
        <v>0</v>
      </c>
      <c r="AM94" s="159" t="e">
        <v>#N/A</v>
      </c>
      <c r="AN94" s="152" t="e">
        <v>#N/A</v>
      </c>
    </row>
    <row r="95" spans="1:40" ht="26.25" customHeight="1">
      <c r="A95" s="148" t="s">
        <v>2578</v>
      </c>
      <c r="B95" s="149" t="s">
        <v>2638</v>
      </c>
      <c r="C95" s="150" t="s">
        <v>1783</v>
      </c>
      <c r="D95" s="152" t="s">
        <v>2542</v>
      </c>
      <c r="E95" s="152" t="s">
        <v>677</v>
      </c>
      <c r="F95" s="152" t="s">
        <v>7</v>
      </c>
      <c r="G95" s="152" t="s">
        <v>7</v>
      </c>
      <c r="H95" s="152" t="s">
        <v>60</v>
      </c>
      <c r="I95" s="152" t="s">
        <v>1241</v>
      </c>
      <c r="J95" s="151" t="s">
        <v>2515</v>
      </c>
      <c r="K95" s="151"/>
      <c r="L95" s="151"/>
      <c r="M95" s="151"/>
      <c r="N95" s="163"/>
      <c r="O95" s="163"/>
      <c r="P95" s="163"/>
      <c r="Q95" s="163"/>
      <c r="R95" s="163"/>
      <c r="S95" s="163"/>
      <c r="T95" s="163"/>
      <c r="U95" s="163"/>
      <c r="V95" s="163">
        <v>1</v>
      </c>
      <c r="W95" s="161"/>
      <c r="X95" s="152" t="s">
        <v>60</v>
      </c>
      <c r="Y95" s="151"/>
      <c r="Z95" s="154" t="s">
        <v>7</v>
      </c>
      <c r="AA95" s="154" t="s">
        <v>7</v>
      </c>
      <c r="AB95" s="151" t="s">
        <v>49</v>
      </c>
      <c r="AC95" s="154" t="s">
        <v>2496</v>
      </c>
      <c r="AD95" s="154" t="s">
        <v>2496</v>
      </c>
      <c r="AE95" s="151" t="s">
        <v>2436</v>
      </c>
      <c r="AF95" s="155">
        <v>1</v>
      </c>
      <c r="AG95" s="156" t="s">
        <v>404</v>
      </c>
      <c r="AH95" s="157" t="s">
        <v>1036</v>
      </c>
      <c r="AI95" s="158"/>
      <c r="AJ95" s="158"/>
      <c r="AK95" s="159"/>
      <c r="AL95" s="160">
        <v>0</v>
      </c>
      <c r="AM95" s="159" t="e">
        <v>#N/A</v>
      </c>
      <c r="AN95" s="152" t="e">
        <v>#N/A</v>
      </c>
    </row>
    <row r="96" spans="1:40" ht="26.25" customHeight="1">
      <c r="A96" s="148" t="s">
        <v>2640</v>
      </c>
      <c r="B96" s="149" t="s">
        <v>2642</v>
      </c>
      <c r="C96" s="150" t="s">
        <v>2643</v>
      </c>
      <c r="D96" s="152" t="s">
        <v>1588</v>
      </c>
      <c r="E96" s="152" t="s">
        <v>58</v>
      </c>
      <c r="F96" s="152" t="s">
        <v>7</v>
      </c>
      <c r="G96" s="152" t="s">
        <v>7</v>
      </c>
      <c r="H96" s="152" t="s">
        <v>60</v>
      </c>
      <c r="I96" s="152" t="s">
        <v>63</v>
      </c>
      <c r="J96" s="151" t="s">
        <v>2515</v>
      </c>
      <c r="K96" s="151"/>
      <c r="L96" s="151"/>
      <c r="M96" s="151"/>
      <c r="N96" s="161"/>
      <c r="O96" s="161"/>
      <c r="P96" s="161"/>
      <c r="Q96" s="161"/>
      <c r="R96" s="161"/>
      <c r="S96" s="161"/>
      <c r="T96" s="161"/>
      <c r="U96" s="161"/>
      <c r="V96" s="161">
        <v>0.5</v>
      </c>
      <c r="W96" s="161"/>
      <c r="X96" s="152" t="s">
        <v>60</v>
      </c>
      <c r="Y96" s="151"/>
      <c r="Z96" s="154" t="s">
        <v>7</v>
      </c>
      <c r="AA96" s="154" t="s">
        <v>7</v>
      </c>
      <c r="AB96" s="151" t="s">
        <v>49</v>
      </c>
      <c r="AC96" s="154" t="s">
        <v>2496</v>
      </c>
      <c r="AD96" s="154" t="s">
        <v>2496</v>
      </c>
      <c r="AE96" s="151" t="s">
        <v>2436</v>
      </c>
      <c r="AF96" s="155">
        <v>0.5</v>
      </c>
      <c r="AG96" s="156" t="s">
        <v>3</v>
      </c>
      <c r="AH96" s="157" t="s">
        <v>1036</v>
      </c>
      <c r="AI96" s="158"/>
      <c r="AJ96" s="158"/>
      <c r="AK96" s="159"/>
      <c r="AL96" s="160">
        <v>0</v>
      </c>
      <c r="AM96" s="159" t="e">
        <v>#N/A</v>
      </c>
      <c r="AN96" s="152" t="e">
        <v>#N/A</v>
      </c>
    </row>
    <row r="97" spans="1:40" ht="26.25" customHeight="1">
      <c r="A97" s="148" t="s">
        <v>1479</v>
      </c>
      <c r="B97" s="149" t="s">
        <v>49</v>
      </c>
      <c r="C97" s="150" t="s">
        <v>1922</v>
      </c>
      <c r="D97" s="152" t="s">
        <v>1588</v>
      </c>
      <c r="E97" s="152" t="s">
        <v>21</v>
      </c>
      <c r="F97" s="152" t="s">
        <v>7</v>
      </c>
      <c r="G97" s="152" t="s">
        <v>7</v>
      </c>
      <c r="H97" s="152" t="s">
        <v>22</v>
      </c>
      <c r="I97" s="152" t="s">
        <v>1509</v>
      </c>
      <c r="J97" s="151" t="s">
        <v>2515</v>
      </c>
      <c r="K97" s="151"/>
      <c r="L97" s="151"/>
      <c r="M97" s="151"/>
      <c r="N97" s="161"/>
      <c r="O97" s="161"/>
      <c r="P97" s="161"/>
      <c r="Q97" s="161"/>
      <c r="R97" s="161"/>
      <c r="S97" s="161"/>
      <c r="T97" s="161"/>
      <c r="U97" s="161"/>
      <c r="V97" s="161">
        <v>1.8333333333333333</v>
      </c>
      <c r="W97" s="153"/>
      <c r="X97" s="152" t="s">
        <v>22</v>
      </c>
      <c r="Y97" s="151"/>
      <c r="Z97" s="154" t="s">
        <v>7</v>
      </c>
      <c r="AA97" s="154" t="s">
        <v>7</v>
      </c>
      <c r="AB97" s="151" t="s">
        <v>49</v>
      </c>
      <c r="AC97" s="154" t="s">
        <v>2520</v>
      </c>
      <c r="AD97" s="154" t="s">
        <v>2520</v>
      </c>
      <c r="AE97" s="151" t="s">
        <v>2436</v>
      </c>
      <c r="AF97" s="155">
        <v>1.8333333333333333</v>
      </c>
      <c r="AG97" s="156" t="s">
        <v>3</v>
      </c>
      <c r="AH97" s="157" t="s">
        <v>1036</v>
      </c>
      <c r="AI97" s="158"/>
      <c r="AJ97" s="158"/>
      <c r="AK97" s="159"/>
      <c r="AL97" s="160">
        <v>0</v>
      </c>
      <c r="AM97" s="159" t="e">
        <v>#N/A</v>
      </c>
      <c r="AN97" s="152" t="e">
        <v>#REF!</v>
      </c>
    </row>
    <row r="98" spans="1:40" ht="26.25" customHeight="1">
      <c r="A98" s="148" t="s">
        <v>1863</v>
      </c>
      <c r="B98" s="149" t="s">
        <v>49</v>
      </c>
      <c r="C98" s="150" t="s">
        <v>1922</v>
      </c>
      <c r="D98" s="152" t="s">
        <v>1588</v>
      </c>
      <c r="E98" s="152" t="s">
        <v>21</v>
      </c>
      <c r="F98" s="152" t="s">
        <v>7</v>
      </c>
      <c r="G98" s="152" t="s">
        <v>7</v>
      </c>
      <c r="H98" s="152" t="s">
        <v>22</v>
      </c>
      <c r="I98" s="152" t="s">
        <v>1509</v>
      </c>
      <c r="J98" s="151" t="s">
        <v>2515</v>
      </c>
      <c r="K98" s="151"/>
      <c r="L98" s="151"/>
      <c r="M98" s="151"/>
      <c r="N98" s="161"/>
      <c r="O98" s="161"/>
      <c r="P98" s="161"/>
      <c r="Q98" s="161"/>
      <c r="R98" s="161"/>
      <c r="S98" s="161"/>
      <c r="T98" s="161"/>
      <c r="U98" s="161"/>
      <c r="V98" s="161">
        <v>1.8333333333333333</v>
      </c>
      <c r="W98" s="153"/>
      <c r="X98" s="152" t="s">
        <v>22</v>
      </c>
      <c r="Y98" s="151"/>
      <c r="Z98" s="154" t="s">
        <v>7</v>
      </c>
      <c r="AA98" s="154" t="s">
        <v>7</v>
      </c>
      <c r="AB98" s="151" t="s">
        <v>49</v>
      </c>
      <c r="AC98" s="154" t="s">
        <v>2520</v>
      </c>
      <c r="AD98" s="154" t="s">
        <v>2520</v>
      </c>
      <c r="AE98" s="151" t="s">
        <v>2436</v>
      </c>
      <c r="AF98" s="155">
        <v>1.8333333333333333</v>
      </c>
      <c r="AG98" s="156" t="s">
        <v>3</v>
      </c>
      <c r="AH98" s="157" t="s">
        <v>1036</v>
      </c>
      <c r="AI98" s="158"/>
      <c r="AJ98" s="158"/>
      <c r="AK98" s="159"/>
      <c r="AL98" s="160">
        <v>0</v>
      </c>
      <c r="AM98" s="159" t="e">
        <v>#N/A</v>
      </c>
      <c r="AN98" s="152" t="e">
        <v>#REF!</v>
      </c>
    </row>
    <row r="99" spans="1:40" ht="26.25" customHeight="1">
      <c r="A99" s="148" t="s">
        <v>2646</v>
      </c>
      <c r="B99" s="149" t="s">
        <v>2647</v>
      </c>
      <c r="C99" s="150" t="s">
        <v>1878</v>
      </c>
      <c r="D99" s="152" t="s">
        <v>2529</v>
      </c>
      <c r="E99" s="152" t="s">
        <v>58</v>
      </c>
      <c r="F99" s="152" t="s">
        <v>7</v>
      </c>
      <c r="G99" s="152" t="s">
        <v>7</v>
      </c>
      <c r="H99" s="152" t="s">
        <v>60</v>
      </c>
      <c r="I99" s="152" t="s">
        <v>2648</v>
      </c>
      <c r="J99" s="151" t="s">
        <v>2515</v>
      </c>
      <c r="K99" s="151"/>
      <c r="L99" s="151"/>
      <c r="M99" s="151"/>
      <c r="N99" s="161"/>
      <c r="O99" s="161"/>
      <c r="P99" s="161"/>
      <c r="Q99" s="161"/>
      <c r="R99" s="161"/>
      <c r="S99" s="161"/>
      <c r="T99" s="161"/>
      <c r="U99" s="161"/>
      <c r="V99" s="161">
        <v>0.83333333333333326</v>
      </c>
      <c r="W99" s="161"/>
      <c r="X99" s="152" t="s">
        <v>60</v>
      </c>
      <c r="Y99" s="151"/>
      <c r="Z99" s="154" t="s">
        <v>7</v>
      </c>
      <c r="AA99" s="154" t="s">
        <v>7</v>
      </c>
      <c r="AB99" s="151" t="s">
        <v>2436</v>
      </c>
      <c r="AC99" s="154" t="s">
        <v>2496</v>
      </c>
      <c r="AD99" s="154" t="s">
        <v>2520</v>
      </c>
      <c r="AE99" s="151" t="s">
        <v>2436</v>
      </c>
      <c r="AF99" s="155">
        <v>0.83333333333333326</v>
      </c>
      <c r="AG99" s="156" t="s">
        <v>3</v>
      </c>
      <c r="AH99" s="157" t="e">
        <v>#N/A</v>
      </c>
      <c r="AI99" s="158" t="e">
        <v>#N/A</v>
      </c>
      <c r="AJ99" s="158" t="e">
        <v>#N/A</v>
      </c>
      <c r="AK99" s="159" t="e">
        <v>#N/A</v>
      </c>
      <c r="AL99" s="160" t="e">
        <v>#N/A</v>
      </c>
      <c r="AM99" s="159" t="e">
        <v>#N/A</v>
      </c>
      <c r="AN99" s="152" t="e">
        <v>#N/A</v>
      </c>
    </row>
    <row r="100" spans="1:40" ht="26.25" customHeight="1">
      <c r="A100" s="148" t="s">
        <v>2650</v>
      </c>
      <c r="B100" s="149" t="s">
        <v>2651</v>
      </c>
      <c r="C100" s="150" t="s">
        <v>1791</v>
      </c>
      <c r="D100" s="152" t="s">
        <v>1588</v>
      </c>
      <c r="E100" s="152" t="s">
        <v>58</v>
      </c>
      <c r="F100" s="152" t="s">
        <v>7</v>
      </c>
      <c r="G100" s="152" t="s">
        <v>7</v>
      </c>
      <c r="H100" s="152" t="s">
        <v>60</v>
      </c>
      <c r="I100" s="152" t="s">
        <v>1253</v>
      </c>
      <c r="J100" s="151" t="s">
        <v>2515</v>
      </c>
      <c r="K100" s="151"/>
      <c r="L100" s="151"/>
      <c r="M100" s="151"/>
      <c r="N100" s="161"/>
      <c r="O100" s="161"/>
      <c r="P100" s="161"/>
      <c r="Q100" s="161"/>
      <c r="R100" s="161"/>
      <c r="S100" s="161"/>
      <c r="T100" s="161"/>
      <c r="U100" s="161"/>
      <c r="V100" s="161">
        <v>0.40625</v>
      </c>
      <c r="W100" s="162">
        <v>3.125E-2</v>
      </c>
      <c r="X100" s="152" t="s">
        <v>60</v>
      </c>
      <c r="Y100" s="151"/>
      <c r="Z100" s="154" t="s">
        <v>7</v>
      </c>
      <c r="AA100" s="154" t="s">
        <v>7</v>
      </c>
      <c r="AB100" s="151" t="s">
        <v>49</v>
      </c>
      <c r="AC100" s="154" t="s">
        <v>2496</v>
      </c>
      <c r="AD100" s="154" t="s">
        <v>2496</v>
      </c>
      <c r="AE100" s="151" t="s">
        <v>2436</v>
      </c>
      <c r="AF100" s="155">
        <v>0.40625</v>
      </c>
      <c r="AG100" s="156" t="s">
        <v>3</v>
      </c>
      <c r="AH100" s="157" t="s">
        <v>1036</v>
      </c>
      <c r="AI100" s="158"/>
      <c r="AJ100" s="158"/>
      <c r="AK100" s="159"/>
      <c r="AL100" s="160">
        <v>0</v>
      </c>
      <c r="AM100" s="159" t="e">
        <v>#N/A</v>
      </c>
      <c r="AN100" s="152"/>
    </row>
    <row r="101" spans="1:40" ht="26.25" customHeight="1">
      <c r="A101" s="148" t="s">
        <v>2653</v>
      </c>
      <c r="B101" s="149" t="s">
        <v>2654</v>
      </c>
      <c r="C101" s="150" t="s">
        <v>1798</v>
      </c>
      <c r="D101" s="152" t="s">
        <v>1588</v>
      </c>
      <c r="E101" s="152" t="s">
        <v>58</v>
      </c>
      <c r="F101" s="152" t="s">
        <v>7</v>
      </c>
      <c r="G101" s="152" t="s">
        <v>7</v>
      </c>
      <c r="H101" s="152" t="s">
        <v>60</v>
      </c>
      <c r="I101" s="152" t="s">
        <v>2655</v>
      </c>
      <c r="J101" s="151" t="s">
        <v>2515</v>
      </c>
      <c r="K101" s="151"/>
      <c r="L101" s="151"/>
      <c r="M101" s="151"/>
      <c r="N101" s="163"/>
      <c r="O101" s="163"/>
      <c r="P101" s="163"/>
      <c r="Q101" s="163"/>
      <c r="R101" s="163"/>
      <c r="S101" s="163"/>
      <c r="T101" s="163"/>
      <c r="U101" s="163"/>
      <c r="V101" s="163">
        <v>0.20833333333333331</v>
      </c>
      <c r="W101" s="161"/>
      <c r="X101" s="152" t="s">
        <v>60</v>
      </c>
      <c r="Y101" s="151"/>
      <c r="Z101" s="154" t="s">
        <v>7</v>
      </c>
      <c r="AA101" s="154" t="s">
        <v>7</v>
      </c>
      <c r="AB101" s="151" t="s">
        <v>49</v>
      </c>
      <c r="AC101" s="154" t="s">
        <v>2496</v>
      </c>
      <c r="AD101" s="154" t="s">
        <v>2496</v>
      </c>
      <c r="AE101" s="151" t="s">
        <v>2436</v>
      </c>
      <c r="AF101" s="155">
        <v>0.20833333333333331</v>
      </c>
      <c r="AG101" s="156" t="s">
        <v>3</v>
      </c>
      <c r="AH101" s="157" t="s">
        <v>1036</v>
      </c>
      <c r="AI101" s="158"/>
      <c r="AJ101" s="158"/>
      <c r="AK101" s="159"/>
      <c r="AL101" s="160">
        <v>0</v>
      </c>
      <c r="AM101" s="159" t="e">
        <v>#N/A</v>
      </c>
      <c r="AN101" s="152" t="e">
        <v>#N/A</v>
      </c>
    </row>
    <row r="102" spans="1:40" ht="26.25" customHeight="1">
      <c r="A102" s="148" t="s">
        <v>2656</v>
      </c>
      <c r="B102" s="149" t="s">
        <v>2657</v>
      </c>
      <c r="C102" s="150" t="s">
        <v>1805</v>
      </c>
      <c r="D102" s="152" t="s">
        <v>1588</v>
      </c>
      <c r="E102" s="152" t="s">
        <v>58</v>
      </c>
      <c r="F102" s="152" t="s">
        <v>7</v>
      </c>
      <c r="G102" s="152" t="s">
        <v>7</v>
      </c>
      <c r="H102" s="152" t="s">
        <v>60</v>
      </c>
      <c r="I102" s="152" t="s">
        <v>2658</v>
      </c>
      <c r="J102" s="151" t="s">
        <v>2515</v>
      </c>
      <c r="K102" s="151"/>
      <c r="L102" s="151"/>
      <c r="M102" s="151"/>
      <c r="N102" s="161"/>
      <c r="O102" s="161"/>
      <c r="P102" s="161"/>
      <c r="Q102" s="161"/>
      <c r="R102" s="161"/>
      <c r="S102" s="161"/>
      <c r="T102" s="161"/>
      <c r="U102" s="161"/>
      <c r="V102" s="161">
        <v>0.16666666666666666</v>
      </c>
      <c r="W102" s="161"/>
      <c r="X102" s="152" t="s">
        <v>60</v>
      </c>
      <c r="Y102" s="151"/>
      <c r="Z102" s="154" t="s">
        <v>7</v>
      </c>
      <c r="AA102" s="154" t="s">
        <v>143</v>
      </c>
      <c r="AB102" s="151" t="s">
        <v>49</v>
      </c>
      <c r="AC102" s="154" t="s">
        <v>2496</v>
      </c>
      <c r="AD102" s="154" t="s">
        <v>2496</v>
      </c>
      <c r="AE102" s="151" t="s">
        <v>2436</v>
      </c>
      <c r="AF102" s="155">
        <v>0.16666666666666666</v>
      </c>
      <c r="AG102" s="156" t="s">
        <v>3</v>
      </c>
      <c r="AH102" s="157" t="s">
        <v>1036</v>
      </c>
      <c r="AI102" s="158"/>
      <c r="AJ102" s="158"/>
      <c r="AK102" s="159"/>
      <c r="AL102" s="160">
        <v>0</v>
      </c>
      <c r="AM102" s="159" t="e">
        <v>#N/A</v>
      </c>
      <c r="AN102" s="152"/>
    </row>
    <row r="103" spans="1:40" ht="26.25" customHeight="1">
      <c r="A103" s="148" t="s">
        <v>2659</v>
      </c>
      <c r="B103" s="149" t="s">
        <v>2660</v>
      </c>
      <c r="C103" s="150" t="s">
        <v>1858</v>
      </c>
      <c r="D103" s="152" t="s">
        <v>1588</v>
      </c>
      <c r="E103" s="152" t="s">
        <v>58</v>
      </c>
      <c r="F103" s="152" t="s">
        <v>7</v>
      </c>
      <c r="G103" s="152" t="s">
        <v>7</v>
      </c>
      <c r="H103" s="152" t="s">
        <v>60</v>
      </c>
      <c r="I103" s="152" t="s">
        <v>1435</v>
      </c>
      <c r="J103" s="151" t="s">
        <v>2515</v>
      </c>
      <c r="K103" s="151"/>
      <c r="L103" s="151"/>
      <c r="M103" s="151"/>
      <c r="N103" s="172"/>
      <c r="O103" s="172"/>
      <c r="P103" s="172"/>
      <c r="Q103" s="172"/>
      <c r="R103" s="172"/>
      <c r="S103" s="172"/>
      <c r="T103" s="172"/>
      <c r="U103" s="172"/>
      <c r="V103" s="172">
        <v>8.3333333333333329E-2</v>
      </c>
      <c r="W103" s="172"/>
      <c r="X103" s="152" t="s">
        <v>60</v>
      </c>
      <c r="Y103" s="151"/>
      <c r="Z103" s="154" t="s">
        <v>7</v>
      </c>
      <c r="AA103" s="154" t="s">
        <v>7</v>
      </c>
      <c r="AB103" s="151" t="s">
        <v>49</v>
      </c>
      <c r="AC103" s="154" t="s">
        <v>2496</v>
      </c>
      <c r="AD103" s="154" t="s">
        <v>2496</v>
      </c>
      <c r="AE103" s="151" t="s">
        <v>2436</v>
      </c>
      <c r="AF103" s="155">
        <v>8.3333333333333329E-2</v>
      </c>
      <c r="AG103" s="156" t="s">
        <v>3</v>
      </c>
      <c r="AH103" s="157" t="s">
        <v>1036</v>
      </c>
      <c r="AI103" s="158"/>
      <c r="AJ103" s="158"/>
      <c r="AK103" s="159"/>
      <c r="AL103" s="160">
        <v>0</v>
      </c>
      <c r="AM103" s="159" t="e">
        <v>#N/A</v>
      </c>
      <c r="AN103" s="152" t="e">
        <v>#N/A</v>
      </c>
    </row>
    <row r="104" spans="1:40" ht="26.25" customHeight="1">
      <c r="A104" s="148" t="s">
        <v>2661</v>
      </c>
      <c r="B104" s="149" t="s">
        <v>2662</v>
      </c>
      <c r="C104" s="150" t="s">
        <v>1899</v>
      </c>
      <c r="D104" s="152" t="s">
        <v>1588</v>
      </c>
      <c r="E104" s="152" t="s">
        <v>58</v>
      </c>
      <c r="F104" s="152" t="s">
        <v>7</v>
      </c>
      <c r="G104" s="152" t="s">
        <v>7</v>
      </c>
      <c r="H104" s="152" t="s">
        <v>60</v>
      </c>
      <c r="I104" s="152" t="s">
        <v>1439</v>
      </c>
      <c r="J104" s="151" t="s">
        <v>2515</v>
      </c>
      <c r="K104" s="151"/>
      <c r="L104" s="151"/>
      <c r="M104" s="151"/>
      <c r="N104" s="172"/>
      <c r="O104" s="172"/>
      <c r="P104" s="172"/>
      <c r="Q104" s="172"/>
      <c r="R104" s="172"/>
      <c r="S104" s="172"/>
      <c r="T104" s="172"/>
      <c r="U104" s="172"/>
      <c r="V104" s="172">
        <v>8.3333333333333329E-2</v>
      </c>
      <c r="W104" s="172"/>
      <c r="X104" s="152" t="s">
        <v>60</v>
      </c>
      <c r="Y104" s="151"/>
      <c r="Z104" s="154" t="s">
        <v>7</v>
      </c>
      <c r="AA104" s="154" t="s">
        <v>7</v>
      </c>
      <c r="AB104" s="151" t="s">
        <v>49</v>
      </c>
      <c r="AC104" s="154" t="s">
        <v>2496</v>
      </c>
      <c r="AD104" s="154" t="s">
        <v>2496</v>
      </c>
      <c r="AE104" s="151" t="s">
        <v>2436</v>
      </c>
      <c r="AF104" s="155">
        <v>8.3333333333333329E-2</v>
      </c>
      <c r="AG104" s="156" t="s">
        <v>3</v>
      </c>
      <c r="AH104" s="157" t="s">
        <v>1036</v>
      </c>
      <c r="AI104" s="158"/>
      <c r="AJ104" s="158"/>
      <c r="AK104" s="159"/>
      <c r="AL104" s="160">
        <v>0</v>
      </c>
      <c r="AM104" s="159" t="e">
        <v>#N/A</v>
      </c>
      <c r="AN104" s="152" t="e">
        <v>#N/A</v>
      </c>
    </row>
    <row r="105" spans="1:40" ht="26.25" customHeight="1">
      <c r="A105" s="148" t="s">
        <v>2663</v>
      </c>
      <c r="B105" s="149" t="s">
        <v>49</v>
      </c>
      <c r="C105" s="150" t="s">
        <v>2664</v>
      </c>
      <c r="D105" s="152" t="s">
        <v>1588</v>
      </c>
      <c r="E105" s="152" t="s">
        <v>21</v>
      </c>
      <c r="F105" s="152" t="s">
        <v>7</v>
      </c>
      <c r="G105" s="152" t="s">
        <v>7</v>
      </c>
      <c r="H105" s="152" t="s">
        <v>60</v>
      </c>
      <c r="I105" s="152" t="s">
        <v>102</v>
      </c>
      <c r="J105" s="151" t="s">
        <v>2515</v>
      </c>
      <c r="K105" s="151"/>
      <c r="L105" s="151"/>
      <c r="M105" s="151"/>
      <c r="N105" s="161"/>
      <c r="O105" s="161"/>
      <c r="P105" s="161"/>
      <c r="Q105" s="161"/>
      <c r="R105" s="161"/>
      <c r="S105" s="161"/>
      <c r="T105" s="161"/>
      <c r="U105" s="161"/>
      <c r="V105" s="161">
        <v>1.8333333333333333</v>
      </c>
      <c r="W105" s="153"/>
      <c r="X105" s="152" t="s">
        <v>60</v>
      </c>
      <c r="Y105" s="151"/>
      <c r="Z105" s="154" t="s">
        <v>7</v>
      </c>
      <c r="AA105" s="154" t="s">
        <v>7</v>
      </c>
      <c r="AB105" s="151" t="s">
        <v>2436</v>
      </c>
      <c r="AC105" s="154" t="s">
        <v>2496</v>
      </c>
      <c r="AD105" s="154" t="s">
        <v>2520</v>
      </c>
      <c r="AE105" s="151" t="s">
        <v>2436</v>
      </c>
      <c r="AF105" s="155">
        <v>1.8333333333333333</v>
      </c>
      <c r="AG105" s="156" t="s">
        <v>3</v>
      </c>
      <c r="AH105" s="157" t="s">
        <v>2548</v>
      </c>
      <c r="AI105" s="158">
        <v>45950</v>
      </c>
      <c r="AJ105" s="158">
        <v>45980</v>
      </c>
      <c r="AK105" s="159"/>
      <c r="AL105" s="160">
        <v>0</v>
      </c>
      <c r="AM105" s="159" t="e">
        <v>#N/A</v>
      </c>
      <c r="AN105" s="152" t="e">
        <v>#REF!</v>
      </c>
    </row>
    <row r="106" spans="1:40" ht="26.25" customHeight="1">
      <c r="A106" s="148" t="s">
        <v>2474</v>
      </c>
      <c r="B106" s="149" t="s">
        <v>49</v>
      </c>
      <c r="C106" s="150" t="s">
        <v>1810</v>
      </c>
      <c r="D106" s="152" t="s">
        <v>2665</v>
      </c>
      <c r="E106" s="152" t="s">
        <v>21</v>
      </c>
      <c r="F106" s="152" t="s">
        <v>7</v>
      </c>
      <c r="G106" s="152" t="s">
        <v>7</v>
      </c>
      <c r="H106" s="152" t="s">
        <v>621</v>
      </c>
      <c r="I106" s="152" t="s">
        <v>1302</v>
      </c>
      <c r="J106" s="151" t="s">
        <v>2515</v>
      </c>
      <c r="K106" s="151"/>
      <c r="L106" s="151"/>
      <c r="M106" s="151"/>
      <c r="N106" s="161"/>
      <c r="O106" s="161"/>
      <c r="P106" s="161"/>
      <c r="Q106" s="161"/>
      <c r="R106" s="161"/>
      <c r="S106" s="161"/>
      <c r="T106" s="161"/>
      <c r="U106" s="161"/>
      <c r="V106" s="161">
        <v>1.8333333333333333</v>
      </c>
      <c r="W106" s="153"/>
      <c r="X106" s="152" t="s">
        <v>621</v>
      </c>
      <c r="Y106" s="151"/>
      <c r="Z106" s="154" t="s">
        <v>7</v>
      </c>
      <c r="AA106" s="154" t="s">
        <v>7</v>
      </c>
      <c r="AB106" s="151" t="s">
        <v>49</v>
      </c>
      <c r="AC106" s="154" t="s">
        <v>2496</v>
      </c>
      <c r="AD106" s="154" t="s">
        <v>2496</v>
      </c>
      <c r="AE106" s="151" t="s">
        <v>2436</v>
      </c>
      <c r="AF106" s="155">
        <v>1.8333333333333333</v>
      </c>
      <c r="AG106" s="156" t="s">
        <v>72</v>
      </c>
      <c r="AH106" s="157" t="s">
        <v>1036</v>
      </c>
      <c r="AI106" s="158"/>
      <c r="AJ106" s="158"/>
      <c r="AK106" s="159"/>
      <c r="AL106" s="160">
        <v>0</v>
      </c>
      <c r="AM106" s="159" t="e">
        <v>#N/A</v>
      </c>
      <c r="AN106" s="152" t="e">
        <v>#REF!</v>
      </c>
    </row>
    <row r="107" spans="1:40" ht="26.25" customHeight="1">
      <c r="A107" s="148" t="s">
        <v>2666</v>
      </c>
      <c r="B107" s="149" t="s">
        <v>2052</v>
      </c>
      <c r="C107" s="150" t="s">
        <v>1810</v>
      </c>
      <c r="D107" s="152" t="s">
        <v>2665</v>
      </c>
      <c r="E107" s="152" t="s">
        <v>677</v>
      </c>
      <c r="F107" s="152" t="s">
        <v>7</v>
      </c>
      <c r="G107" s="152" t="s">
        <v>7</v>
      </c>
      <c r="H107" s="152" t="s">
        <v>621</v>
      </c>
      <c r="I107" s="152" t="s">
        <v>1315</v>
      </c>
      <c r="J107" s="151" t="s">
        <v>2515</v>
      </c>
      <c r="K107" s="151"/>
      <c r="L107" s="151"/>
      <c r="M107" s="151"/>
      <c r="N107" s="161"/>
      <c r="O107" s="161"/>
      <c r="P107" s="161"/>
      <c r="Q107" s="161"/>
      <c r="R107" s="161"/>
      <c r="S107" s="161"/>
      <c r="T107" s="161"/>
      <c r="U107" s="161"/>
      <c r="V107" s="161">
        <v>1</v>
      </c>
      <c r="W107" s="153"/>
      <c r="X107" s="152" t="s">
        <v>621</v>
      </c>
      <c r="Y107" s="151"/>
      <c r="Z107" s="154" t="s">
        <v>7</v>
      </c>
      <c r="AA107" s="154" t="s">
        <v>7</v>
      </c>
      <c r="AB107" s="151" t="s">
        <v>2436</v>
      </c>
      <c r="AC107" s="154" t="s">
        <v>2496</v>
      </c>
      <c r="AD107" s="154" t="s">
        <v>2520</v>
      </c>
      <c r="AE107" s="151" t="s">
        <v>2436</v>
      </c>
      <c r="AF107" s="155">
        <v>1</v>
      </c>
      <c r="AG107" s="156" t="s">
        <v>72</v>
      </c>
      <c r="AH107" s="157" t="s">
        <v>1036</v>
      </c>
      <c r="AI107" s="158"/>
      <c r="AJ107" s="158"/>
      <c r="AK107" s="159"/>
      <c r="AL107" s="160">
        <v>0</v>
      </c>
      <c r="AM107" s="159" t="e">
        <v>#N/A</v>
      </c>
      <c r="AN107" s="152"/>
    </row>
    <row r="108" spans="1:40" ht="26.25" customHeight="1">
      <c r="A108" s="148" t="s">
        <v>2667</v>
      </c>
      <c r="B108" s="149" t="s">
        <v>2668</v>
      </c>
      <c r="C108" s="150" t="s">
        <v>1815</v>
      </c>
      <c r="D108" s="152" t="s">
        <v>2669</v>
      </c>
      <c r="E108" s="152" t="s">
        <v>58</v>
      </c>
      <c r="F108" s="152" t="s">
        <v>7</v>
      </c>
      <c r="G108" s="152" t="s">
        <v>7</v>
      </c>
      <c r="H108" s="152" t="s">
        <v>60</v>
      </c>
      <c r="I108" s="152" t="s">
        <v>2670</v>
      </c>
      <c r="J108" s="151" t="s">
        <v>2515</v>
      </c>
      <c r="K108" s="151"/>
      <c r="L108" s="151"/>
      <c r="M108" s="151"/>
      <c r="N108" s="161"/>
      <c r="O108" s="161"/>
      <c r="P108" s="161"/>
      <c r="Q108" s="161"/>
      <c r="R108" s="161"/>
      <c r="S108" s="161"/>
      <c r="T108" s="161"/>
      <c r="U108" s="161"/>
      <c r="V108" s="161">
        <v>8.3333333333333329E-2</v>
      </c>
      <c r="W108" s="161"/>
      <c r="X108" s="152" t="s">
        <v>60</v>
      </c>
      <c r="Y108" s="151"/>
      <c r="Z108" s="154" t="s">
        <v>7</v>
      </c>
      <c r="AA108" s="154" t="s">
        <v>7</v>
      </c>
      <c r="AB108" s="151" t="s">
        <v>49</v>
      </c>
      <c r="AC108" s="154" t="s">
        <v>2496</v>
      </c>
      <c r="AD108" s="154" t="s">
        <v>2496</v>
      </c>
      <c r="AE108" s="151" t="s">
        <v>2436</v>
      </c>
      <c r="AF108" s="155">
        <v>8.3333333333333329E-2</v>
      </c>
      <c r="AG108" s="156" t="s">
        <v>3</v>
      </c>
      <c r="AH108" s="157" t="s">
        <v>1036</v>
      </c>
      <c r="AI108" s="158"/>
      <c r="AJ108" s="158"/>
      <c r="AK108" s="159"/>
      <c r="AL108" s="160">
        <v>0</v>
      </c>
      <c r="AM108" s="159" t="e">
        <v>#N/A</v>
      </c>
      <c r="AN108" s="152" t="e">
        <v>#N/A</v>
      </c>
    </row>
    <row r="109" spans="1:40" ht="26.25" customHeight="1">
      <c r="A109" s="148" t="s">
        <v>2671</v>
      </c>
      <c r="B109" s="149" t="s">
        <v>2672</v>
      </c>
      <c r="C109" s="150" t="s">
        <v>1815</v>
      </c>
      <c r="D109" s="152" t="s">
        <v>2669</v>
      </c>
      <c r="E109" s="152" t="s">
        <v>58</v>
      </c>
      <c r="F109" s="152" t="s">
        <v>7</v>
      </c>
      <c r="G109" s="152" t="s">
        <v>7</v>
      </c>
      <c r="H109" s="152" t="s">
        <v>60</v>
      </c>
      <c r="I109" s="152" t="s">
        <v>1330</v>
      </c>
      <c r="J109" s="151" t="s">
        <v>2515</v>
      </c>
      <c r="K109" s="151"/>
      <c r="L109" s="151"/>
      <c r="M109" s="151"/>
      <c r="N109" s="163"/>
      <c r="O109" s="163"/>
      <c r="P109" s="163"/>
      <c r="Q109" s="163"/>
      <c r="R109" s="163"/>
      <c r="S109" s="163"/>
      <c r="T109" s="163"/>
      <c r="U109" s="163"/>
      <c r="V109" s="163">
        <v>0.16666666666666666</v>
      </c>
      <c r="W109" s="161"/>
      <c r="X109" s="152" t="s">
        <v>60</v>
      </c>
      <c r="Y109" s="151"/>
      <c r="Z109" s="154" t="s">
        <v>7</v>
      </c>
      <c r="AA109" s="154" t="s">
        <v>949</v>
      </c>
      <c r="AB109" s="151" t="s">
        <v>49</v>
      </c>
      <c r="AC109" s="154" t="s">
        <v>2496</v>
      </c>
      <c r="AD109" s="154" t="s">
        <v>2496</v>
      </c>
      <c r="AE109" s="151" t="s">
        <v>2436</v>
      </c>
      <c r="AF109" s="155">
        <v>0.16666666666666666</v>
      </c>
      <c r="AG109" s="156" t="s">
        <v>404</v>
      </c>
      <c r="AH109" s="157" t="s">
        <v>1036</v>
      </c>
      <c r="AI109" s="158"/>
      <c r="AJ109" s="158"/>
      <c r="AK109" s="159"/>
      <c r="AL109" s="160">
        <v>0</v>
      </c>
      <c r="AM109" s="159" t="e">
        <v>#N/A</v>
      </c>
      <c r="AN109" s="152" t="e">
        <v>#N/A</v>
      </c>
    </row>
    <row r="110" spans="1:40" ht="26.25" customHeight="1">
      <c r="A110" s="148" t="s">
        <v>2673</v>
      </c>
      <c r="B110" s="149" t="s">
        <v>2674</v>
      </c>
      <c r="C110" s="150" t="s">
        <v>1884</v>
      </c>
      <c r="D110" s="152" t="s">
        <v>1588</v>
      </c>
      <c r="E110" s="152" t="s">
        <v>58</v>
      </c>
      <c r="F110" s="152" t="s">
        <v>7</v>
      </c>
      <c r="G110" s="152" t="s">
        <v>7</v>
      </c>
      <c r="H110" s="152" t="s">
        <v>60</v>
      </c>
      <c r="I110" s="152" t="s">
        <v>2676</v>
      </c>
      <c r="J110" s="151" t="s">
        <v>2515</v>
      </c>
      <c r="K110" s="151"/>
      <c r="L110" s="151"/>
      <c r="M110" s="151"/>
      <c r="N110" s="161"/>
      <c r="O110" s="161"/>
      <c r="P110" s="161"/>
      <c r="Q110" s="161"/>
      <c r="R110" s="161"/>
      <c r="S110" s="161"/>
      <c r="T110" s="161"/>
      <c r="U110" s="161"/>
      <c r="V110" s="161">
        <v>0.66666666666666663</v>
      </c>
      <c r="W110" s="161"/>
      <c r="X110" s="152" t="s">
        <v>60</v>
      </c>
      <c r="Y110" s="151"/>
      <c r="Z110" s="154" t="s">
        <v>7</v>
      </c>
      <c r="AA110" s="154" t="s">
        <v>949</v>
      </c>
      <c r="AB110" s="151" t="s">
        <v>49</v>
      </c>
      <c r="AC110" s="154" t="s">
        <v>2496</v>
      </c>
      <c r="AD110" s="154" t="s">
        <v>2496</v>
      </c>
      <c r="AE110" s="151" t="s">
        <v>2436</v>
      </c>
      <c r="AF110" s="155">
        <v>0.66666666666666663</v>
      </c>
      <c r="AG110" s="156" t="s">
        <v>404</v>
      </c>
      <c r="AH110" s="157" t="s">
        <v>1036</v>
      </c>
      <c r="AI110" s="158"/>
      <c r="AJ110" s="158"/>
      <c r="AK110" s="159"/>
      <c r="AL110" s="160">
        <v>0</v>
      </c>
      <c r="AM110" s="159" t="e">
        <v>#N/A</v>
      </c>
      <c r="AN110" s="152" t="e">
        <v>#N/A</v>
      </c>
    </row>
    <row r="111" spans="1:40" ht="26.25" customHeight="1">
      <c r="A111" s="148" t="s">
        <v>2677</v>
      </c>
      <c r="B111" s="149" t="s">
        <v>2052</v>
      </c>
      <c r="C111" s="150" t="s">
        <v>1821</v>
      </c>
      <c r="D111" s="152" t="s">
        <v>1588</v>
      </c>
      <c r="E111" s="152" t="s">
        <v>58</v>
      </c>
      <c r="F111" s="152" t="s">
        <v>7</v>
      </c>
      <c r="G111" s="152" t="s">
        <v>7</v>
      </c>
      <c r="H111" s="152" t="s">
        <v>60</v>
      </c>
      <c r="I111" s="152" t="s">
        <v>2678</v>
      </c>
      <c r="J111" s="151" t="s">
        <v>2515</v>
      </c>
      <c r="K111" s="151"/>
      <c r="L111" s="151"/>
      <c r="M111" s="151"/>
      <c r="N111" s="161"/>
      <c r="O111" s="161"/>
      <c r="P111" s="161"/>
      <c r="Q111" s="161"/>
      <c r="R111" s="161"/>
      <c r="S111" s="161"/>
      <c r="T111" s="161"/>
      <c r="U111" s="161"/>
      <c r="V111" s="161">
        <v>0.14583333333333334</v>
      </c>
      <c r="W111" s="172">
        <v>2.0833333333333332E-2</v>
      </c>
      <c r="X111" s="152" t="s">
        <v>60</v>
      </c>
      <c r="Y111" s="151"/>
      <c r="Z111" s="154" t="s">
        <v>7</v>
      </c>
      <c r="AA111" s="154" t="s">
        <v>949</v>
      </c>
      <c r="AB111" s="151" t="s">
        <v>49</v>
      </c>
      <c r="AC111" s="154" t="s">
        <v>2496</v>
      </c>
      <c r="AD111" s="154" t="s">
        <v>2496</v>
      </c>
      <c r="AE111" s="151" t="s">
        <v>2436</v>
      </c>
      <c r="AF111" s="155">
        <v>0.14583333333333334</v>
      </c>
      <c r="AG111" s="156" t="s">
        <v>404</v>
      </c>
      <c r="AH111" s="157" t="s">
        <v>1036</v>
      </c>
      <c r="AI111" s="158"/>
      <c r="AJ111" s="158"/>
      <c r="AK111" s="159"/>
      <c r="AL111" s="160">
        <v>0</v>
      </c>
      <c r="AM111" s="159" t="e">
        <v>#N/A</v>
      </c>
      <c r="AN111" s="152" t="e">
        <v>#N/A</v>
      </c>
    </row>
    <row r="112" spans="1:40" ht="26.25" customHeight="1">
      <c r="A112" s="148" t="s">
        <v>1545</v>
      </c>
      <c r="B112" s="149" t="s">
        <v>49</v>
      </c>
      <c r="C112" s="150" t="s">
        <v>1827</v>
      </c>
      <c r="D112" s="152" t="s">
        <v>2529</v>
      </c>
      <c r="E112" s="152" t="s">
        <v>21</v>
      </c>
      <c r="F112" s="152" t="s">
        <v>7</v>
      </c>
      <c r="G112" s="152" t="s">
        <v>7</v>
      </c>
      <c r="H112" s="152" t="s">
        <v>1049</v>
      </c>
      <c r="I112" s="152" t="s">
        <v>1378</v>
      </c>
      <c r="J112" s="151" t="s">
        <v>2515</v>
      </c>
      <c r="K112" s="151"/>
      <c r="L112" s="151"/>
      <c r="M112" s="151"/>
      <c r="N112" s="163"/>
      <c r="O112" s="163"/>
      <c r="P112" s="163"/>
      <c r="Q112" s="163"/>
      <c r="R112" s="163"/>
      <c r="S112" s="163"/>
      <c r="T112" s="163"/>
      <c r="U112" s="163"/>
      <c r="V112" s="163">
        <v>1.8333333333333333</v>
      </c>
      <c r="W112" s="153"/>
      <c r="X112" s="152" t="s">
        <v>1049</v>
      </c>
      <c r="Y112" s="151"/>
      <c r="Z112" s="154" t="s">
        <v>7</v>
      </c>
      <c r="AA112" s="154" t="s">
        <v>143</v>
      </c>
      <c r="AB112" s="151" t="s">
        <v>49</v>
      </c>
      <c r="AC112" s="154" t="s">
        <v>2496</v>
      </c>
      <c r="AD112" s="154" t="s">
        <v>2496</v>
      </c>
      <c r="AE112" s="151" t="s">
        <v>2436</v>
      </c>
      <c r="AF112" s="155">
        <v>1.8333333333333333</v>
      </c>
      <c r="AG112" s="156" t="s">
        <v>3</v>
      </c>
      <c r="AH112" s="157" t="s">
        <v>1036</v>
      </c>
      <c r="AI112" s="158"/>
      <c r="AJ112" s="158"/>
      <c r="AK112" s="159"/>
      <c r="AL112" s="160">
        <v>0</v>
      </c>
      <c r="AM112" s="159" t="e">
        <v>#N/A</v>
      </c>
      <c r="AN112" s="152" t="e">
        <v>#REF!</v>
      </c>
    </row>
    <row r="113" spans="1:40" ht="26.25" customHeight="1">
      <c r="A113" s="148" t="s">
        <v>1996</v>
      </c>
      <c r="B113" s="149" t="s">
        <v>49</v>
      </c>
      <c r="C113" s="150" t="s">
        <v>1827</v>
      </c>
      <c r="D113" s="152" t="s">
        <v>2529</v>
      </c>
      <c r="E113" s="152" t="s">
        <v>21</v>
      </c>
      <c r="F113" s="152" t="s">
        <v>7</v>
      </c>
      <c r="G113" s="152" t="s">
        <v>7</v>
      </c>
      <c r="H113" s="152" t="s">
        <v>1049</v>
      </c>
      <c r="I113" s="152" t="s">
        <v>1378</v>
      </c>
      <c r="J113" s="151" t="s">
        <v>2515</v>
      </c>
      <c r="K113" s="151"/>
      <c r="L113" s="151"/>
      <c r="M113" s="151"/>
      <c r="N113" s="163"/>
      <c r="O113" s="163"/>
      <c r="P113" s="163"/>
      <c r="Q113" s="163"/>
      <c r="R113" s="163"/>
      <c r="S113" s="163"/>
      <c r="T113" s="163"/>
      <c r="U113" s="163"/>
      <c r="V113" s="163">
        <v>1.8333333333333333</v>
      </c>
      <c r="W113" s="153"/>
      <c r="X113" s="152" t="s">
        <v>1049</v>
      </c>
      <c r="Y113" s="151"/>
      <c r="Z113" s="154" t="s">
        <v>7</v>
      </c>
      <c r="AA113" s="154" t="s">
        <v>7</v>
      </c>
      <c r="AB113" s="151" t="s">
        <v>2436</v>
      </c>
      <c r="AC113" s="154" t="s">
        <v>2496</v>
      </c>
      <c r="AD113" s="154" t="s">
        <v>2520</v>
      </c>
      <c r="AE113" s="151" t="s">
        <v>2436</v>
      </c>
      <c r="AF113" s="155">
        <v>1.8333333333333333</v>
      </c>
      <c r="AG113" s="156" t="s">
        <v>3</v>
      </c>
      <c r="AH113" s="157" t="e">
        <v>#N/A</v>
      </c>
      <c r="AI113" s="158" t="e">
        <v>#N/A</v>
      </c>
      <c r="AJ113" s="158" t="e">
        <v>#N/A</v>
      </c>
      <c r="AK113" s="159" t="e">
        <v>#N/A</v>
      </c>
      <c r="AL113" s="160" t="e">
        <v>#N/A</v>
      </c>
      <c r="AM113" s="159" t="e">
        <v>#N/A</v>
      </c>
      <c r="AN113" s="152" t="e">
        <v>#REF!</v>
      </c>
    </row>
    <row r="114" spans="1:40" ht="26.25" customHeight="1">
      <c r="A114" s="148" t="s">
        <v>1399</v>
      </c>
      <c r="B114" s="149" t="s">
        <v>49</v>
      </c>
      <c r="C114" s="150" t="s">
        <v>1827</v>
      </c>
      <c r="D114" s="152" t="s">
        <v>2529</v>
      </c>
      <c r="E114" s="152" t="s">
        <v>21</v>
      </c>
      <c r="F114" s="152" t="s">
        <v>7</v>
      </c>
      <c r="G114" s="152" t="s">
        <v>7</v>
      </c>
      <c r="H114" s="152" t="s">
        <v>1049</v>
      </c>
      <c r="I114" s="152" t="s">
        <v>1387</v>
      </c>
      <c r="J114" s="151" t="s">
        <v>2515</v>
      </c>
      <c r="K114" s="151"/>
      <c r="L114" s="151"/>
      <c r="M114" s="151"/>
      <c r="N114" s="163"/>
      <c r="O114" s="163"/>
      <c r="P114" s="163"/>
      <c r="Q114" s="163"/>
      <c r="R114" s="163"/>
      <c r="S114" s="163"/>
      <c r="T114" s="163"/>
      <c r="U114" s="163"/>
      <c r="V114" s="163">
        <v>1.8333333333333333</v>
      </c>
      <c r="W114" s="153"/>
      <c r="X114" s="152" t="s">
        <v>1049</v>
      </c>
      <c r="Y114" s="151"/>
      <c r="Z114" s="154" t="s">
        <v>7</v>
      </c>
      <c r="AA114" s="154" t="s">
        <v>7</v>
      </c>
      <c r="AB114" s="151" t="s">
        <v>2436</v>
      </c>
      <c r="AC114" s="154" t="s">
        <v>2496</v>
      </c>
      <c r="AD114" s="154" t="s">
        <v>2520</v>
      </c>
      <c r="AE114" s="151" t="s">
        <v>2436</v>
      </c>
      <c r="AF114" s="155">
        <v>1.8333333333333333</v>
      </c>
      <c r="AG114" s="156" t="s">
        <v>3</v>
      </c>
      <c r="AH114" s="157" t="e">
        <v>#N/A</v>
      </c>
      <c r="AI114" s="158" t="e">
        <v>#N/A</v>
      </c>
      <c r="AJ114" s="158" t="e">
        <v>#N/A</v>
      </c>
      <c r="AK114" s="159" t="e">
        <v>#N/A</v>
      </c>
      <c r="AL114" s="160" t="e">
        <v>#N/A</v>
      </c>
      <c r="AM114" s="159" t="e">
        <v>#N/A</v>
      </c>
      <c r="AN114" s="152" t="e">
        <v>#REF!</v>
      </c>
    </row>
    <row r="115" spans="1:40" ht="26.25" customHeight="1">
      <c r="A115" s="148" t="s">
        <v>2145</v>
      </c>
      <c r="B115" s="149" t="s">
        <v>49</v>
      </c>
      <c r="C115" s="150" t="s">
        <v>1827</v>
      </c>
      <c r="D115" s="152" t="s">
        <v>2529</v>
      </c>
      <c r="E115" s="152" t="s">
        <v>21</v>
      </c>
      <c r="F115" s="152" t="s">
        <v>7</v>
      </c>
      <c r="G115" s="152" t="s">
        <v>7</v>
      </c>
      <c r="H115" s="152" t="s">
        <v>1049</v>
      </c>
      <c r="I115" s="152" t="s">
        <v>1388</v>
      </c>
      <c r="J115" s="151" t="s">
        <v>2515</v>
      </c>
      <c r="K115" s="151"/>
      <c r="L115" s="151"/>
      <c r="M115" s="151"/>
      <c r="N115" s="163"/>
      <c r="O115" s="163"/>
      <c r="P115" s="163"/>
      <c r="Q115" s="163"/>
      <c r="R115" s="163"/>
      <c r="S115" s="163"/>
      <c r="T115" s="163"/>
      <c r="U115" s="163"/>
      <c r="V115" s="163">
        <v>1.8333333333333333</v>
      </c>
      <c r="W115" s="153"/>
      <c r="X115" s="152" t="s">
        <v>1049</v>
      </c>
      <c r="Y115" s="151"/>
      <c r="Z115" s="154" t="s">
        <v>7</v>
      </c>
      <c r="AA115" s="154" t="s">
        <v>7</v>
      </c>
      <c r="AB115" s="151" t="s">
        <v>2436</v>
      </c>
      <c r="AC115" s="154" t="s">
        <v>2496</v>
      </c>
      <c r="AD115" s="154" t="s">
        <v>2520</v>
      </c>
      <c r="AE115" s="151" t="s">
        <v>2436</v>
      </c>
      <c r="AF115" s="155">
        <v>1.8333333333333333</v>
      </c>
      <c r="AG115" s="156" t="s">
        <v>3</v>
      </c>
      <c r="AH115" s="157" t="s">
        <v>1036</v>
      </c>
      <c r="AI115" s="158"/>
      <c r="AJ115" s="158"/>
      <c r="AK115" s="159"/>
      <c r="AL115" s="160">
        <v>0</v>
      </c>
      <c r="AM115" s="159" t="e">
        <v>#N/A</v>
      </c>
      <c r="AN115" s="152"/>
    </row>
    <row r="116" spans="1:40" ht="26.25" customHeight="1">
      <c r="A116" s="148" t="s">
        <v>2680</v>
      </c>
      <c r="B116" s="149" t="s">
        <v>49</v>
      </c>
      <c r="C116" s="150" t="s">
        <v>1827</v>
      </c>
      <c r="D116" s="152" t="s">
        <v>2529</v>
      </c>
      <c r="E116" s="152" t="s">
        <v>21</v>
      </c>
      <c r="F116" s="152" t="s">
        <v>7</v>
      </c>
      <c r="G116" s="152" t="s">
        <v>949</v>
      </c>
      <c r="H116" s="152" t="s">
        <v>916</v>
      </c>
      <c r="I116" s="152" t="s">
        <v>1389</v>
      </c>
      <c r="J116" s="151" t="s">
        <v>2515</v>
      </c>
      <c r="K116" s="151"/>
      <c r="L116" s="151"/>
      <c r="M116" s="151"/>
      <c r="N116" s="163"/>
      <c r="O116" s="163"/>
      <c r="P116" s="163"/>
      <c r="Q116" s="163"/>
      <c r="R116" s="163"/>
      <c r="S116" s="163"/>
      <c r="T116" s="163"/>
      <c r="U116" s="163"/>
      <c r="V116" s="163">
        <v>1.8333333333333333</v>
      </c>
      <c r="W116" s="153"/>
      <c r="X116" s="152" t="s">
        <v>916</v>
      </c>
      <c r="Y116" s="151" t="s">
        <v>2436</v>
      </c>
      <c r="Z116" s="154" t="s">
        <v>949</v>
      </c>
      <c r="AA116" s="154" t="s">
        <v>7</v>
      </c>
      <c r="AB116" s="151" t="s">
        <v>2436</v>
      </c>
      <c r="AC116" s="154" t="s">
        <v>2496</v>
      </c>
      <c r="AD116" s="154" t="s">
        <v>2520</v>
      </c>
      <c r="AE116" s="151" t="s">
        <v>2436</v>
      </c>
      <c r="AF116" s="155">
        <v>1.8333333333333333</v>
      </c>
      <c r="AG116" s="156" t="s">
        <v>404</v>
      </c>
      <c r="AH116" s="157" t="s">
        <v>1036</v>
      </c>
      <c r="AI116" s="158"/>
      <c r="AJ116" s="158"/>
      <c r="AK116" s="159"/>
      <c r="AL116" s="160">
        <v>0</v>
      </c>
      <c r="AM116" s="159" t="e">
        <v>#N/A</v>
      </c>
      <c r="AN116" s="152" t="e">
        <v>#REF!</v>
      </c>
    </row>
    <row r="117" spans="1:40" ht="26.25" customHeight="1">
      <c r="A117" s="148" t="s">
        <v>2681</v>
      </c>
      <c r="B117" s="149" t="s">
        <v>49</v>
      </c>
      <c r="C117" s="150" t="s">
        <v>1827</v>
      </c>
      <c r="D117" s="152" t="s">
        <v>2529</v>
      </c>
      <c r="E117" s="152" t="s">
        <v>21</v>
      </c>
      <c r="F117" s="152" t="s">
        <v>7</v>
      </c>
      <c r="G117" s="152" t="s">
        <v>7</v>
      </c>
      <c r="H117" s="152" t="s">
        <v>916</v>
      </c>
      <c r="I117" s="152" t="s">
        <v>1389</v>
      </c>
      <c r="J117" s="151" t="s">
        <v>2515</v>
      </c>
      <c r="K117" s="151"/>
      <c r="L117" s="151"/>
      <c r="M117" s="151"/>
      <c r="N117" s="163"/>
      <c r="O117" s="163"/>
      <c r="P117" s="163"/>
      <c r="Q117" s="163"/>
      <c r="R117" s="163"/>
      <c r="S117" s="163"/>
      <c r="T117" s="163"/>
      <c r="U117" s="163"/>
      <c r="V117" s="163">
        <v>1.8333333333333335</v>
      </c>
      <c r="W117" s="153"/>
      <c r="X117" s="152" t="s">
        <v>916</v>
      </c>
      <c r="Y117" s="151"/>
      <c r="Z117" s="154" t="s">
        <v>7</v>
      </c>
      <c r="AA117" s="154"/>
      <c r="AB117" s="151" t="s">
        <v>2436</v>
      </c>
      <c r="AC117" s="154" t="s">
        <v>2496</v>
      </c>
      <c r="AD117" s="154" t="s">
        <v>2520</v>
      </c>
      <c r="AE117" s="151" t="s">
        <v>2436</v>
      </c>
      <c r="AF117" s="155">
        <v>1.8333333333333335</v>
      </c>
      <c r="AG117" s="156" t="s">
        <v>404</v>
      </c>
      <c r="AH117" s="157" t="e">
        <v>#N/A</v>
      </c>
      <c r="AI117" s="158" t="e">
        <v>#N/A</v>
      </c>
      <c r="AJ117" s="158" t="e">
        <v>#N/A</v>
      </c>
      <c r="AK117" s="159" t="e">
        <v>#N/A</v>
      </c>
      <c r="AL117" s="160" t="e">
        <v>#N/A</v>
      </c>
      <c r="AM117" s="159" t="e">
        <v>#N/A</v>
      </c>
      <c r="AN117" s="152" t="e">
        <v>#REF!</v>
      </c>
    </row>
    <row r="118" spans="1:40" ht="26.25" customHeight="1">
      <c r="A118" s="148" t="s">
        <v>2682</v>
      </c>
      <c r="B118" s="149" t="s">
        <v>49</v>
      </c>
      <c r="C118" s="150" t="s">
        <v>1827</v>
      </c>
      <c r="D118" s="152" t="s">
        <v>2529</v>
      </c>
      <c r="E118" s="152" t="s">
        <v>784</v>
      </c>
      <c r="F118" s="152" t="s">
        <v>7</v>
      </c>
      <c r="G118" s="152" t="s">
        <v>7</v>
      </c>
      <c r="H118" s="152" t="s">
        <v>22</v>
      </c>
      <c r="I118" s="152" t="s">
        <v>1392</v>
      </c>
      <c r="J118" s="151" t="s">
        <v>2515</v>
      </c>
      <c r="K118" s="151"/>
      <c r="L118" s="151"/>
      <c r="M118" s="151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2" t="s">
        <v>22</v>
      </c>
      <c r="Y118" s="151"/>
      <c r="Z118" s="154" t="s">
        <v>7</v>
      </c>
      <c r="AA118" s="154" t="s">
        <v>7</v>
      </c>
      <c r="AB118" s="151" t="s">
        <v>2436</v>
      </c>
      <c r="AC118" s="154" t="s">
        <v>2496</v>
      </c>
      <c r="AD118" s="154" t="s">
        <v>2516</v>
      </c>
      <c r="AE118" s="151" t="s">
        <v>2436</v>
      </c>
      <c r="AF118" s="155">
        <v>1.8333333333333333</v>
      </c>
      <c r="AG118" s="156" t="s">
        <v>72</v>
      </c>
      <c r="AH118" s="157" t="e">
        <v>#N/A</v>
      </c>
      <c r="AI118" s="158" t="e">
        <v>#N/A</v>
      </c>
      <c r="AJ118" s="158" t="e">
        <v>#N/A</v>
      </c>
      <c r="AK118" s="159" t="e">
        <v>#N/A</v>
      </c>
      <c r="AL118" s="160" t="e">
        <v>#N/A</v>
      </c>
      <c r="AM118" s="159" t="e">
        <v>#N/A</v>
      </c>
      <c r="AN118" s="152" t="e">
        <v>#REF!</v>
      </c>
    </row>
    <row r="119" spans="1:40" ht="26.25" customHeight="1">
      <c r="A119" s="148" t="s">
        <v>2684</v>
      </c>
      <c r="B119" s="149" t="s">
        <v>49</v>
      </c>
      <c r="C119" s="150" t="s">
        <v>1827</v>
      </c>
      <c r="D119" s="152" t="s">
        <v>2529</v>
      </c>
      <c r="E119" s="152" t="s">
        <v>784</v>
      </c>
      <c r="F119" s="152" t="s">
        <v>7</v>
      </c>
      <c r="G119" s="152" t="s">
        <v>7</v>
      </c>
      <c r="H119" s="152" t="s">
        <v>22</v>
      </c>
      <c r="I119" s="152" t="s">
        <v>1392</v>
      </c>
      <c r="J119" s="151" t="s">
        <v>2515</v>
      </c>
      <c r="K119" s="151"/>
      <c r="L119" s="151"/>
      <c r="M119" s="151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2" t="s">
        <v>22</v>
      </c>
      <c r="Y119" s="151"/>
      <c r="Z119" s="154" t="s">
        <v>7</v>
      </c>
      <c r="AA119" s="154" t="s">
        <v>7</v>
      </c>
      <c r="AB119" s="151" t="s">
        <v>49</v>
      </c>
      <c r="AC119" s="154" t="s">
        <v>2496</v>
      </c>
      <c r="AD119" s="154" t="s">
        <v>2496</v>
      </c>
      <c r="AE119" s="151" t="s">
        <v>2436</v>
      </c>
      <c r="AF119" s="155">
        <v>1.8333333333333333</v>
      </c>
      <c r="AG119" s="156" t="s">
        <v>72</v>
      </c>
      <c r="AH119" s="157" t="s">
        <v>1036</v>
      </c>
      <c r="AI119" s="158"/>
      <c r="AJ119" s="158"/>
      <c r="AK119" s="159"/>
      <c r="AL119" s="160">
        <v>0</v>
      </c>
      <c r="AM119" s="159" t="e">
        <v>#N/A</v>
      </c>
      <c r="AN119" s="152" t="e">
        <v>#REF!</v>
      </c>
    </row>
    <row r="120" spans="1:40" ht="26.25" customHeight="1">
      <c r="A120" s="148" t="s">
        <v>2686</v>
      </c>
      <c r="B120" s="149" t="s">
        <v>49</v>
      </c>
      <c r="C120" s="150" t="s">
        <v>1827</v>
      </c>
      <c r="D120" s="152" t="s">
        <v>2529</v>
      </c>
      <c r="E120" s="152" t="s">
        <v>784</v>
      </c>
      <c r="F120" s="152" t="s">
        <v>7</v>
      </c>
      <c r="G120" s="152" t="s">
        <v>7</v>
      </c>
      <c r="H120" s="152" t="s">
        <v>22</v>
      </c>
      <c r="I120" s="152" t="s">
        <v>1392</v>
      </c>
      <c r="J120" s="151" t="s">
        <v>2515</v>
      </c>
      <c r="K120" s="151"/>
      <c r="L120" s="151"/>
      <c r="M120" s="151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2" t="s">
        <v>22</v>
      </c>
      <c r="Y120" s="151"/>
      <c r="Z120" s="154" t="s">
        <v>7</v>
      </c>
      <c r="AA120" s="154" t="s">
        <v>7</v>
      </c>
      <c r="AB120" s="151" t="s">
        <v>49</v>
      </c>
      <c r="AC120" s="154" t="s">
        <v>2496</v>
      </c>
      <c r="AD120" s="154" t="s">
        <v>2496</v>
      </c>
      <c r="AE120" s="151" t="s">
        <v>2436</v>
      </c>
      <c r="AF120" s="155">
        <v>1.8333333333333333</v>
      </c>
      <c r="AG120" s="156" t="s">
        <v>72</v>
      </c>
      <c r="AH120" s="157" t="s">
        <v>1036</v>
      </c>
      <c r="AI120" s="158"/>
      <c r="AJ120" s="158"/>
      <c r="AK120" s="159"/>
      <c r="AL120" s="160">
        <v>0</v>
      </c>
      <c r="AM120" s="159" t="e">
        <v>#N/A</v>
      </c>
      <c r="AN120" s="152" t="e">
        <v>#REF!</v>
      </c>
    </row>
    <row r="121" spans="1:40" ht="26.25" customHeight="1">
      <c r="A121" s="148" t="s">
        <v>2688</v>
      </c>
      <c r="B121" s="149" t="s">
        <v>49</v>
      </c>
      <c r="C121" s="150" t="s">
        <v>1827</v>
      </c>
      <c r="D121" s="152" t="s">
        <v>2529</v>
      </c>
      <c r="E121" s="152" t="s">
        <v>784</v>
      </c>
      <c r="F121" s="152" t="s">
        <v>7</v>
      </c>
      <c r="G121" s="152" t="s">
        <v>7</v>
      </c>
      <c r="H121" s="152" t="s">
        <v>22</v>
      </c>
      <c r="I121" s="152" t="s">
        <v>1392</v>
      </c>
      <c r="J121" s="151" t="s">
        <v>2515</v>
      </c>
      <c r="K121" s="151"/>
      <c r="L121" s="151"/>
      <c r="M121" s="151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2" t="s">
        <v>22</v>
      </c>
      <c r="Y121" s="151"/>
      <c r="Z121" s="154" t="s">
        <v>7</v>
      </c>
      <c r="AA121" s="154" t="s">
        <v>7</v>
      </c>
      <c r="AB121" s="151" t="s">
        <v>2436</v>
      </c>
      <c r="AC121" s="154" t="s">
        <v>2496</v>
      </c>
      <c r="AD121" s="154" t="s">
        <v>2516</v>
      </c>
      <c r="AE121" s="151" t="s">
        <v>2436</v>
      </c>
      <c r="AF121" s="155">
        <v>1.8333333333333333</v>
      </c>
      <c r="AG121" s="156" t="s">
        <v>72</v>
      </c>
      <c r="AH121" s="157" t="s">
        <v>1036</v>
      </c>
      <c r="AI121" s="158"/>
      <c r="AJ121" s="158"/>
      <c r="AK121" s="159"/>
      <c r="AL121" s="160">
        <v>0</v>
      </c>
      <c r="AM121" s="159" t="e">
        <v>#N/A</v>
      </c>
      <c r="AN121" s="152" t="e">
        <v>#REF!</v>
      </c>
    </row>
    <row r="122" spans="1:40" ht="26.25" customHeight="1">
      <c r="A122" s="148" t="s">
        <v>2690</v>
      </c>
      <c r="B122" s="149" t="s">
        <v>49</v>
      </c>
      <c r="C122" s="150" t="s">
        <v>1827</v>
      </c>
      <c r="D122" s="152" t="s">
        <v>2529</v>
      </c>
      <c r="E122" s="152" t="s">
        <v>784</v>
      </c>
      <c r="F122" s="152" t="s">
        <v>7</v>
      </c>
      <c r="G122" s="152" t="s">
        <v>7</v>
      </c>
      <c r="H122" s="152" t="s">
        <v>22</v>
      </c>
      <c r="I122" s="152" t="s">
        <v>1228</v>
      </c>
      <c r="J122" s="151" t="s">
        <v>2515</v>
      </c>
      <c r="K122" s="151"/>
      <c r="L122" s="151"/>
      <c r="M122" s="151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2" t="s">
        <v>22</v>
      </c>
      <c r="Y122" s="151"/>
      <c r="Z122" s="154" t="s">
        <v>7</v>
      </c>
      <c r="AA122" s="154" t="s">
        <v>7</v>
      </c>
      <c r="AB122" s="151" t="s">
        <v>2436</v>
      </c>
      <c r="AC122" s="154" t="s">
        <v>2496</v>
      </c>
      <c r="AD122" s="154" t="s">
        <v>2516</v>
      </c>
      <c r="AE122" s="151" t="s">
        <v>2436</v>
      </c>
      <c r="AF122" s="155">
        <v>1.8333333333333333</v>
      </c>
      <c r="AG122" s="156" t="s">
        <v>72</v>
      </c>
      <c r="AH122" s="157" t="s">
        <v>1036</v>
      </c>
      <c r="AI122" s="158"/>
      <c r="AJ122" s="158"/>
      <c r="AK122" s="159"/>
      <c r="AL122" s="160">
        <v>0</v>
      </c>
      <c r="AM122" s="159" t="e">
        <v>#N/A</v>
      </c>
      <c r="AN122" s="152" t="e">
        <v>#REF!</v>
      </c>
    </row>
    <row r="123" spans="1:40" ht="26.25" customHeight="1">
      <c r="A123" s="148" t="s">
        <v>2692</v>
      </c>
      <c r="B123" s="149" t="s">
        <v>49</v>
      </c>
      <c r="C123" s="150" t="s">
        <v>1827</v>
      </c>
      <c r="D123" s="152" t="s">
        <v>2529</v>
      </c>
      <c r="E123" s="152" t="s">
        <v>784</v>
      </c>
      <c r="F123" s="152" t="s">
        <v>7</v>
      </c>
      <c r="G123" s="152" t="s">
        <v>7</v>
      </c>
      <c r="H123" s="152" t="s">
        <v>22</v>
      </c>
      <c r="I123" s="152" t="s">
        <v>1228</v>
      </c>
      <c r="J123" s="151" t="s">
        <v>2515</v>
      </c>
      <c r="K123" s="151"/>
      <c r="L123" s="151"/>
      <c r="M123" s="151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2" t="s">
        <v>22</v>
      </c>
      <c r="Y123" s="151"/>
      <c r="Z123" s="154" t="s">
        <v>7</v>
      </c>
      <c r="AA123" s="154" t="s">
        <v>7</v>
      </c>
      <c r="AB123" s="151" t="s">
        <v>2436</v>
      </c>
      <c r="AC123" s="154" t="s">
        <v>2496</v>
      </c>
      <c r="AD123" s="154" t="s">
        <v>2516</v>
      </c>
      <c r="AE123" s="151" t="s">
        <v>2436</v>
      </c>
      <c r="AF123" s="155">
        <v>1.8333333333333333</v>
      </c>
      <c r="AG123" s="156" t="s">
        <v>72</v>
      </c>
      <c r="AH123" s="157" t="s">
        <v>1036</v>
      </c>
      <c r="AI123" s="158"/>
      <c r="AJ123" s="158"/>
      <c r="AK123" s="159"/>
      <c r="AL123" s="160">
        <v>0</v>
      </c>
      <c r="AM123" s="159" t="e">
        <v>#N/A</v>
      </c>
      <c r="AN123" s="152" t="e">
        <v>#REF!</v>
      </c>
    </row>
    <row r="124" spans="1:40" ht="26.25" customHeight="1">
      <c r="A124" s="148" t="s">
        <v>2696</v>
      </c>
      <c r="B124" s="149" t="s">
        <v>49</v>
      </c>
      <c r="C124" s="150" t="s">
        <v>1827</v>
      </c>
      <c r="D124" s="152" t="s">
        <v>2529</v>
      </c>
      <c r="E124" s="152" t="s">
        <v>784</v>
      </c>
      <c r="F124" s="152" t="s">
        <v>7</v>
      </c>
      <c r="G124" s="152" t="s">
        <v>7</v>
      </c>
      <c r="H124" s="152" t="s">
        <v>22</v>
      </c>
      <c r="I124" s="152" t="s">
        <v>1228</v>
      </c>
      <c r="J124" s="151" t="s">
        <v>2515</v>
      </c>
      <c r="K124" s="151"/>
      <c r="L124" s="151"/>
      <c r="M124" s="151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2" t="s">
        <v>22</v>
      </c>
      <c r="Y124" s="151"/>
      <c r="Z124" s="154" t="s">
        <v>7</v>
      </c>
      <c r="AA124" s="154" t="s">
        <v>7</v>
      </c>
      <c r="AB124" s="151" t="s">
        <v>49</v>
      </c>
      <c r="AC124" s="154" t="s">
        <v>2496</v>
      </c>
      <c r="AD124" s="154" t="s">
        <v>2496</v>
      </c>
      <c r="AE124" s="151" t="s">
        <v>2436</v>
      </c>
      <c r="AF124" s="155">
        <v>1.8333333333333333</v>
      </c>
      <c r="AG124" s="156" t="s">
        <v>72</v>
      </c>
      <c r="AH124" s="157" t="s">
        <v>1036</v>
      </c>
      <c r="AI124" s="158"/>
      <c r="AJ124" s="158"/>
      <c r="AK124" s="159"/>
      <c r="AL124" s="160">
        <v>0</v>
      </c>
      <c r="AM124" s="159" t="e">
        <v>#N/A</v>
      </c>
      <c r="AN124" s="152" t="e">
        <v>#REF!</v>
      </c>
    </row>
    <row r="125" spans="1:40" ht="26.25" customHeight="1">
      <c r="A125" s="148" t="s">
        <v>2698</v>
      </c>
      <c r="B125" s="149" t="s">
        <v>49</v>
      </c>
      <c r="C125" s="150" t="s">
        <v>1827</v>
      </c>
      <c r="D125" s="152" t="s">
        <v>2529</v>
      </c>
      <c r="E125" s="152" t="s">
        <v>784</v>
      </c>
      <c r="F125" s="152" t="s">
        <v>7</v>
      </c>
      <c r="G125" s="152" t="s">
        <v>7</v>
      </c>
      <c r="H125" s="152" t="s">
        <v>22</v>
      </c>
      <c r="I125" s="152" t="s">
        <v>1228</v>
      </c>
      <c r="J125" s="151" t="s">
        <v>2515</v>
      </c>
      <c r="K125" s="151"/>
      <c r="L125" s="151"/>
      <c r="M125" s="151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2" t="s">
        <v>22</v>
      </c>
      <c r="Y125" s="151"/>
      <c r="Z125" s="154" t="s">
        <v>7</v>
      </c>
      <c r="AA125" s="154" t="s">
        <v>7</v>
      </c>
      <c r="AB125" s="151" t="s">
        <v>2436</v>
      </c>
      <c r="AC125" s="154" t="s">
        <v>2496</v>
      </c>
      <c r="AD125" s="154" t="s">
        <v>2516</v>
      </c>
      <c r="AE125" s="151" t="s">
        <v>2436</v>
      </c>
      <c r="AF125" s="155">
        <v>1.8333333333333333</v>
      </c>
      <c r="AG125" s="156" t="s">
        <v>72</v>
      </c>
      <c r="AH125" s="157" t="s">
        <v>1036</v>
      </c>
      <c r="AI125" s="158"/>
      <c r="AJ125" s="158"/>
      <c r="AK125" s="159"/>
      <c r="AL125" s="160">
        <v>0</v>
      </c>
      <c r="AM125" s="159" t="e">
        <v>#N/A</v>
      </c>
      <c r="AN125" s="152" t="e">
        <v>#REF!</v>
      </c>
    </row>
    <row r="126" spans="1:40" ht="26.25" customHeight="1">
      <c r="A126" s="148" t="s">
        <v>2491</v>
      </c>
      <c r="B126" s="149" t="s">
        <v>49</v>
      </c>
      <c r="C126" s="150" t="s">
        <v>1827</v>
      </c>
      <c r="D126" s="152" t="s">
        <v>2529</v>
      </c>
      <c r="E126" s="152" t="s">
        <v>21</v>
      </c>
      <c r="F126" s="152" t="s">
        <v>7</v>
      </c>
      <c r="G126" s="152" t="s">
        <v>7</v>
      </c>
      <c r="H126" s="152" t="s">
        <v>916</v>
      </c>
      <c r="I126" s="152" t="s">
        <v>1390</v>
      </c>
      <c r="J126" s="151" t="s">
        <v>2515</v>
      </c>
      <c r="K126" s="151"/>
      <c r="L126" s="151"/>
      <c r="M126" s="151"/>
      <c r="N126" s="163"/>
      <c r="O126" s="163"/>
      <c r="P126" s="163"/>
      <c r="Q126" s="163"/>
      <c r="R126" s="163"/>
      <c r="S126" s="163"/>
      <c r="T126" s="163"/>
      <c r="U126" s="163"/>
      <c r="V126" s="163">
        <v>1.8333333333333333</v>
      </c>
      <c r="W126" s="153"/>
      <c r="X126" s="152" t="s">
        <v>916</v>
      </c>
      <c r="Y126" s="151"/>
      <c r="Z126" s="154" t="s">
        <v>7</v>
      </c>
      <c r="AA126" s="154" t="s">
        <v>7</v>
      </c>
      <c r="AB126" s="151" t="s">
        <v>2436</v>
      </c>
      <c r="AC126" s="154" t="s">
        <v>2496</v>
      </c>
      <c r="AD126" s="154" t="s">
        <v>2516</v>
      </c>
      <c r="AE126" s="151" t="s">
        <v>2436</v>
      </c>
      <c r="AF126" s="155">
        <v>1.8333333333333333</v>
      </c>
      <c r="AG126" s="156" t="s">
        <v>72</v>
      </c>
      <c r="AH126" s="157" t="s">
        <v>1036</v>
      </c>
      <c r="AI126" s="158"/>
      <c r="AJ126" s="158"/>
      <c r="AK126" s="159"/>
      <c r="AL126" s="160">
        <v>0</v>
      </c>
      <c r="AM126" s="159" t="e">
        <v>#N/A</v>
      </c>
      <c r="AN126" s="152" t="e">
        <v>#REF!</v>
      </c>
    </row>
    <row r="127" spans="1:40" ht="26.25" customHeight="1">
      <c r="A127" s="148" t="s">
        <v>1436</v>
      </c>
      <c r="B127" s="149" t="s">
        <v>49</v>
      </c>
      <c r="C127" s="150" t="s">
        <v>1834</v>
      </c>
      <c r="D127" s="152" t="s">
        <v>1588</v>
      </c>
      <c r="E127" s="152" t="s">
        <v>58</v>
      </c>
      <c r="F127" s="152" t="s">
        <v>7</v>
      </c>
      <c r="G127" s="152" t="s">
        <v>7</v>
      </c>
      <c r="H127" s="152" t="s">
        <v>60</v>
      </c>
      <c r="I127" s="152" t="s">
        <v>1404</v>
      </c>
      <c r="J127" s="151" t="s">
        <v>2515</v>
      </c>
      <c r="K127" s="151"/>
      <c r="L127" s="151"/>
      <c r="M127" s="151"/>
      <c r="N127" s="163"/>
      <c r="O127" s="163"/>
      <c r="P127" s="163"/>
      <c r="Q127" s="163"/>
      <c r="R127" s="163"/>
      <c r="S127" s="163"/>
      <c r="T127" s="163"/>
      <c r="U127" s="163"/>
      <c r="V127" s="163">
        <v>0.83333333333333326</v>
      </c>
      <c r="W127" s="161"/>
      <c r="X127" s="152" t="s">
        <v>60</v>
      </c>
      <c r="Y127" s="151"/>
      <c r="Z127" s="154" t="s">
        <v>7</v>
      </c>
      <c r="AA127" s="154" t="s">
        <v>7</v>
      </c>
      <c r="AB127" s="151" t="s">
        <v>2436</v>
      </c>
      <c r="AC127" s="154" t="s">
        <v>2496</v>
      </c>
      <c r="AD127" s="154" t="s">
        <v>2516</v>
      </c>
      <c r="AE127" s="151" t="s">
        <v>2436</v>
      </c>
      <c r="AF127" s="155">
        <v>0.83333333333333326</v>
      </c>
      <c r="AG127" s="156" t="s">
        <v>3</v>
      </c>
      <c r="AH127" s="157" t="e">
        <v>#N/A</v>
      </c>
      <c r="AI127" s="158" t="e">
        <v>#N/A</v>
      </c>
      <c r="AJ127" s="158" t="e">
        <v>#N/A</v>
      </c>
      <c r="AK127" s="159" t="e">
        <v>#N/A</v>
      </c>
      <c r="AL127" s="160" t="e">
        <v>#N/A</v>
      </c>
      <c r="AM127" s="159" t="e">
        <v>#N/A</v>
      </c>
      <c r="AN127" s="152" t="e">
        <v>#REF!</v>
      </c>
    </row>
    <row r="128" spans="1:40" ht="26.25" customHeight="1">
      <c r="A128" s="148" t="s">
        <v>2006</v>
      </c>
      <c r="B128" s="149" t="s">
        <v>2052</v>
      </c>
      <c r="C128" s="150" t="s">
        <v>1915</v>
      </c>
      <c r="D128" s="152" t="s">
        <v>1588</v>
      </c>
      <c r="E128" s="152" t="s">
        <v>58</v>
      </c>
      <c r="F128" s="152" t="s">
        <v>7</v>
      </c>
      <c r="G128" s="152" t="s">
        <v>7</v>
      </c>
      <c r="H128" s="152" t="s">
        <v>60</v>
      </c>
      <c r="I128" s="152" t="s">
        <v>1506</v>
      </c>
      <c r="J128" s="151" t="s">
        <v>2515</v>
      </c>
      <c r="K128" s="151"/>
      <c r="L128" s="151"/>
      <c r="M128" s="151"/>
      <c r="N128" s="161"/>
      <c r="O128" s="161"/>
      <c r="P128" s="161"/>
      <c r="Q128" s="161"/>
      <c r="R128" s="161"/>
      <c r="S128" s="161"/>
      <c r="T128" s="161"/>
      <c r="U128" s="161"/>
      <c r="V128" s="161">
        <v>0.99999999999999989</v>
      </c>
      <c r="W128" s="161"/>
      <c r="X128" s="152" t="s">
        <v>60</v>
      </c>
      <c r="Y128" s="151"/>
      <c r="Z128" s="154" t="s">
        <v>7</v>
      </c>
      <c r="AA128" s="154" t="s">
        <v>7</v>
      </c>
      <c r="AB128" s="151" t="s">
        <v>49</v>
      </c>
      <c r="AC128" s="154" t="s">
        <v>2520</v>
      </c>
      <c r="AD128" s="154" t="s">
        <v>2520</v>
      </c>
      <c r="AE128" s="151" t="s">
        <v>2436</v>
      </c>
      <c r="AF128" s="155">
        <v>0.99999999999999989</v>
      </c>
      <c r="AG128" s="156" t="s">
        <v>3</v>
      </c>
      <c r="AH128" s="157" t="s">
        <v>1036</v>
      </c>
      <c r="AI128" s="158"/>
      <c r="AJ128" s="158"/>
      <c r="AK128" s="159"/>
      <c r="AL128" s="160">
        <v>0</v>
      </c>
      <c r="AM128" s="159" t="e">
        <v>#N/A</v>
      </c>
      <c r="AN128" s="152" t="e">
        <v>#N/A</v>
      </c>
    </row>
    <row r="129" spans="1:40" ht="26.25" customHeight="1">
      <c r="A129" s="148" t="s">
        <v>2704</v>
      </c>
      <c r="B129" s="149" t="s">
        <v>49</v>
      </c>
      <c r="C129" s="150" t="s">
        <v>1839</v>
      </c>
      <c r="D129" s="152" t="s">
        <v>1588</v>
      </c>
      <c r="E129" s="152" t="s">
        <v>21</v>
      </c>
      <c r="F129" s="152" t="s">
        <v>7</v>
      </c>
      <c r="G129" s="152" t="s">
        <v>7</v>
      </c>
      <c r="H129" s="152" t="s">
        <v>22</v>
      </c>
      <c r="I129" s="152" t="s">
        <v>1392</v>
      </c>
      <c r="J129" s="151" t="s">
        <v>2515</v>
      </c>
      <c r="K129" s="151"/>
      <c r="L129" s="151"/>
      <c r="M129" s="151"/>
      <c r="N129" s="161"/>
      <c r="O129" s="161"/>
      <c r="P129" s="161"/>
      <c r="Q129" s="161"/>
      <c r="R129" s="161"/>
      <c r="S129" s="161"/>
      <c r="T129" s="161"/>
      <c r="U129" s="161"/>
      <c r="V129" s="161">
        <v>1.8333333333333333</v>
      </c>
      <c r="W129" s="153"/>
      <c r="X129" s="152" t="s">
        <v>22</v>
      </c>
      <c r="Y129" s="151"/>
      <c r="Z129" s="154" t="s">
        <v>7</v>
      </c>
      <c r="AA129" s="154" t="s">
        <v>7</v>
      </c>
      <c r="AB129" s="151" t="s">
        <v>49</v>
      </c>
      <c r="AC129" s="154" t="s">
        <v>2496</v>
      </c>
      <c r="AD129" s="154" t="s">
        <v>2496</v>
      </c>
      <c r="AE129" s="151" t="s">
        <v>2436</v>
      </c>
      <c r="AF129" s="155">
        <v>1.8333333333333333</v>
      </c>
      <c r="AG129" s="156" t="s">
        <v>72</v>
      </c>
      <c r="AH129" s="157" t="s">
        <v>1036</v>
      </c>
      <c r="AI129" s="158"/>
      <c r="AJ129" s="158"/>
      <c r="AK129" s="159"/>
      <c r="AL129" s="160">
        <v>0</v>
      </c>
      <c r="AM129" s="159" t="e">
        <v>#N/A</v>
      </c>
      <c r="AN129" s="152" t="e">
        <v>#REF!</v>
      </c>
    </row>
    <row r="130" spans="1:40" ht="26.25" customHeight="1">
      <c r="A130" s="148" t="s">
        <v>2147</v>
      </c>
      <c r="B130" s="149" t="s">
        <v>49</v>
      </c>
      <c r="C130" s="150" t="s">
        <v>1839</v>
      </c>
      <c r="D130" s="152" t="s">
        <v>1588</v>
      </c>
      <c r="E130" s="152" t="s">
        <v>21</v>
      </c>
      <c r="F130" s="152" t="s">
        <v>7</v>
      </c>
      <c r="G130" s="152" t="s">
        <v>7</v>
      </c>
      <c r="H130" s="152" t="s">
        <v>22</v>
      </c>
      <c r="I130" s="152" t="s">
        <v>1392</v>
      </c>
      <c r="J130" s="151" t="s">
        <v>2515</v>
      </c>
      <c r="K130" s="151"/>
      <c r="L130" s="151"/>
      <c r="M130" s="151"/>
      <c r="N130" s="161"/>
      <c r="O130" s="161"/>
      <c r="P130" s="161"/>
      <c r="Q130" s="161"/>
      <c r="R130" s="161"/>
      <c r="S130" s="161"/>
      <c r="T130" s="161"/>
      <c r="U130" s="161"/>
      <c r="V130" s="161">
        <v>1.8333333333333333</v>
      </c>
      <c r="W130" s="153"/>
      <c r="X130" s="152" t="s">
        <v>22</v>
      </c>
      <c r="Y130" s="151"/>
      <c r="Z130" s="154" t="s">
        <v>7</v>
      </c>
      <c r="AA130" s="154" t="s">
        <v>7</v>
      </c>
      <c r="AB130" s="151" t="s">
        <v>49</v>
      </c>
      <c r="AC130" s="154" t="s">
        <v>2496</v>
      </c>
      <c r="AD130" s="154" t="s">
        <v>2496</v>
      </c>
      <c r="AE130" s="151" t="s">
        <v>2436</v>
      </c>
      <c r="AF130" s="155">
        <v>1.8333333333333333</v>
      </c>
      <c r="AG130" s="156" t="s">
        <v>72</v>
      </c>
      <c r="AH130" s="157" t="s">
        <v>1036</v>
      </c>
      <c r="AI130" s="158"/>
      <c r="AJ130" s="158"/>
      <c r="AK130" s="159"/>
      <c r="AL130" s="160">
        <v>0</v>
      </c>
      <c r="AM130" s="159" t="e">
        <v>#N/A</v>
      </c>
      <c r="AN130" s="152" t="e">
        <v>#REF!</v>
      </c>
    </row>
    <row r="131" spans="1:40" ht="26.25" customHeight="1">
      <c r="A131" s="148" t="s">
        <v>2187</v>
      </c>
      <c r="B131" s="149" t="s">
        <v>49</v>
      </c>
      <c r="C131" s="150" t="s">
        <v>1839</v>
      </c>
      <c r="D131" s="152" t="s">
        <v>1588</v>
      </c>
      <c r="E131" s="152" t="s">
        <v>21</v>
      </c>
      <c r="F131" s="152" t="s">
        <v>7</v>
      </c>
      <c r="G131" s="152" t="s">
        <v>7</v>
      </c>
      <c r="H131" s="152" t="s">
        <v>621</v>
      </c>
      <c r="I131" s="152" t="s">
        <v>1407</v>
      </c>
      <c r="J131" s="151" t="s">
        <v>2515</v>
      </c>
      <c r="K131" s="151"/>
      <c r="L131" s="151"/>
      <c r="M131" s="151"/>
      <c r="N131" s="161"/>
      <c r="O131" s="161"/>
      <c r="P131" s="161"/>
      <c r="Q131" s="161"/>
      <c r="R131" s="161"/>
      <c r="S131" s="161"/>
      <c r="T131" s="161"/>
      <c r="U131" s="161"/>
      <c r="V131" s="161">
        <v>1.8333333333333333</v>
      </c>
      <c r="W131" s="153"/>
      <c r="X131" s="152" t="s">
        <v>621</v>
      </c>
      <c r="Y131" s="151"/>
      <c r="Z131" s="154" t="s">
        <v>7</v>
      </c>
      <c r="AA131" s="154" t="s">
        <v>7</v>
      </c>
      <c r="AB131" s="151" t="s">
        <v>2436</v>
      </c>
      <c r="AC131" s="154" t="s">
        <v>2496</v>
      </c>
      <c r="AD131" s="154" t="s">
        <v>2520</v>
      </c>
      <c r="AE131" s="151" t="s">
        <v>2436</v>
      </c>
      <c r="AF131" s="155">
        <v>1.8333333333333333</v>
      </c>
      <c r="AG131" s="156" t="s">
        <v>3</v>
      </c>
      <c r="AH131" s="157" t="s">
        <v>1036</v>
      </c>
      <c r="AI131" s="158"/>
      <c r="AJ131" s="158"/>
      <c r="AK131" s="159"/>
      <c r="AL131" s="160">
        <v>0</v>
      </c>
      <c r="AM131" s="159" t="e">
        <v>#N/A</v>
      </c>
      <c r="AN131" s="152" t="e">
        <v>#REF!</v>
      </c>
    </row>
    <row r="132" spans="1:40" ht="26.25" customHeight="1">
      <c r="A132" s="148" t="s">
        <v>2707</v>
      </c>
      <c r="B132" s="149" t="s">
        <v>49</v>
      </c>
      <c r="C132" s="150" t="s">
        <v>1839</v>
      </c>
      <c r="D132" s="152" t="s">
        <v>1588</v>
      </c>
      <c r="E132" s="152" t="s">
        <v>21</v>
      </c>
      <c r="F132" s="152" t="s">
        <v>7</v>
      </c>
      <c r="G132" s="152" t="s">
        <v>7</v>
      </c>
      <c r="H132" s="152" t="s">
        <v>22</v>
      </c>
      <c r="I132" s="152" t="s">
        <v>1228</v>
      </c>
      <c r="J132" s="151" t="s">
        <v>2515</v>
      </c>
      <c r="K132" s="151"/>
      <c r="L132" s="151"/>
      <c r="M132" s="151"/>
      <c r="N132" s="161"/>
      <c r="O132" s="161"/>
      <c r="P132" s="161"/>
      <c r="Q132" s="161"/>
      <c r="R132" s="161"/>
      <c r="S132" s="161"/>
      <c r="T132" s="161"/>
      <c r="U132" s="161"/>
      <c r="V132" s="161">
        <v>1.8333333333333333</v>
      </c>
      <c r="W132" s="153"/>
      <c r="X132" s="152" t="s">
        <v>22</v>
      </c>
      <c r="Y132" s="151"/>
      <c r="Z132" s="154" t="s">
        <v>7</v>
      </c>
      <c r="AA132" s="154" t="s">
        <v>7</v>
      </c>
      <c r="AB132" s="151" t="s">
        <v>49</v>
      </c>
      <c r="AC132" s="154" t="s">
        <v>2496</v>
      </c>
      <c r="AD132" s="154" t="s">
        <v>2496</v>
      </c>
      <c r="AE132" s="151" t="s">
        <v>2436</v>
      </c>
      <c r="AF132" s="155">
        <v>1.8333333333333333</v>
      </c>
      <c r="AG132" s="156" t="s">
        <v>72</v>
      </c>
      <c r="AH132" s="157" t="s">
        <v>1036</v>
      </c>
      <c r="AI132" s="158"/>
      <c r="AJ132" s="158"/>
      <c r="AK132" s="159"/>
      <c r="AL132" s="160">
        <v>0</v>
      </c>
      <c r="AM132" s="159" t="e">
        <v>#N/A</v>
      </c>
      <c r="AN132" s="152" t="e">
        <v>#REF!</v>
      </c>
    </row>
    <row r="133" spans="1:40" ht="26.25" customHeight="1">
      <c r="A133" s="148" t="s">
        <v>2708</v>
      </c>
      <c r="B133" s="149" t="s">
        <v>2709</v>
      </c>
      <c r="C133" s="150" t="s">
        <v>1839</v>
      </c>
      <c r="D133" s="152" t="s">
        <v>1588</v>
      </c>
      <c r="E133" s="152" t="s">
        <v>58</v>
      </c>
      <c r="F133" s="152" t="s">
        <v>7</v>
      </c>
      <c r="G133" s="152" t="s">
        <v>7</v>
      </c>
      <c r="H133" s="152" t="s">
        <v>621</v>
      </c>
      <c r="I133" s="152" t="s">
        <v>1410</v>
      </c>
      <c r="J133" s="151" t="s">
        <v>2515</v>
      </c>
      <c r="K133" s="151"/>
      <c r="L133" s="151"/>
      <c r="M133" s="151"/>
      <c r="N133" s="161"/>
      <c r="O133" s="161"/>
      <c r="P133" s="161"/>
      <c r="Q133" s="161"/>
      <c r="R133" s="161"/>
      <c r="S133" s="161"/>
      <c r="T133" s="161"/>
      <c r="U133" s="161"/>
      <c r="V133" s="161">
        <v>0.30555555555555558</v>
      </c>
      <c r="W133" s="161"/>
      <c r="X133" s="152" t="s">
        <v>621</v>
      </c>
      <c r="Y133" s="151"/>
      <c r="Z133" s="154" t="s">
        <v>7</v>
      </c>
      <c r="AA133" s="154" t="s">
        <v>7</v>
      </c>
      <c r="AB133" s="151" t="s">
        <v>2436</v>
      </c>
      <c r="AC133" s="154" t="s">
        <v>2496</v>
      </c>
      <c r="AD133" s="154" t="s">
        <v>2520</v>
      </c>
      <c r="AE133" s="151" t="s">
        <v>2436</v>
      </c>
      <c r="AF133" s="155">
        <v>0.30555555555555558</v>
      </c>
      <c r="AG133" s="156" t="s">
        <v>3</v>
      </c>
      <c r="AH133" s="157" t="e">
        <v>#N/A</v>
      </c>
      <c r="AI133" s="158" t="e">
        <v>#N/A</v>
      </c>
      <c r="AJ133" s="158" t="e">
        <v>#N/A</v>
      </c>
      <c r="AK133" s="159" t="e">
        <v>#N/A</v>
      </c>
      <c r="AL133" s="160" t="e">
        <v>#N/A</v>
      </c>
      <c r="AM133" s="159" t="e">
        <v>#N/A</v>
      </c>
      <c r="AN133" s="152" t="e">
        <v>#N/A</v>
      </c>
    </row>
    <row r="134" spans="1:40" ht="26.25" customHeight="1">
      <c r="A134" s="148" t="s">
        <v>2710</v>
      </c>
      <c r="B134" s="149" t="s">
        <v>2052</v>
      </c>
      <c r="C134" s="150" t="s">
        <v>1839</v>
      </c>
      <c r="D134" s="152" t="s">
        <v>1588</v>
      </c>
      <c r="E134" s="152" t="s">
        <v>58</v>
      </c>
      <c r="F134" s="152" t="s">
        <v>7</v>
      </c>
      <c r="G134" s="152" t="s">
        <v>7</v>
      </c>
      <c r="H134" s="152" t="s">
        <v>60</v>
      </c>
      <c r="I134" s="152" t="s">
        <v>2711</v>
      </c>
      <c r="J134" s="151" t="s">
        <v>2515</v>
      </c>
      <c r="K134" s="151"/>
      <c r="L134" s="151"/>
      <c r="M134" s="151"/>
      <c r="N134" s="161"/>
      <c r="O134" s="161"/>
      <c r="P134" s="161"/>
      <c r="Q134" s="161"/>
      <c r="R134" s="161"/>
      <c r="S134" s="161"/>
      <c r="T134" s="161"/>
      <c r="U134" s="161"/>
      <c r="V134" s="161">
        <v>0.33333333333333331</v>
      </c>
      <c r="W134" s="161"/>
      <c r="X134" s="152" t="s">
        <v>60</v>
      </c>
      <c r="Y134" s="151"/>
      <c r="Z134" s="154" t="s">
        <v>7</v>
      </c>
      <c r="AA134" s="154" t="s">
        <v>949</v>
      </c>
      <c r="AB134" s="151" t="s">
        <v>49</v>
      </c>
      <c r="AC134" s="154" t="s">
        <v>2496</v>
      </c>
      <c r="AD134" s="154" t="s">
        <v>2496</v>
      </c>
      <c r="AE134" s="151" t="s">
        <v>2436</v>
      </c>
      <c r="AF134" s="155">
        <v>0.33333333333333331</v>
      </c>
      <c r="AG134" s="156" t="s">
        <v>404</v>
      </c>
      <c r="AH134" s="157" t="s">
        <v>1036</v>
      </c>
      <c r="AI134" s="158"/>
      <c r="AJ134" s="158"/>
      <c r="AK134" s="159"/>
      <c r="AL134" s="160">
        <v>0</v>
      </c>
      <c r="AM134" s="159" t="e">
        <v>#N/A</v>
      </c>
      <c r="AN134" s="152" t="e">
        <v>#N/A</v>
      </c>
    </row>
    <row r="135" spans="1:40" ht="26.25" customHeight="1">
      <c r="A135" s="148" t="s">
        <v>2333</v>
      </c>
      <c r="B135" s="148"/>
      <c r="C135" s="150" t="s">
        <v>1839</v>
      </c>
      <c r="D135" s="152" t="s">
        <v>1588</v>
      </c>
      <c r="E135" s="152" t="s">
        <v>21</v>
      </c>
      <c r="F135" s="152" t="s">
        <v>7</v>
      </c>
      <c r="G135" s="152" t="s">
        <v>7</v>
      </c>
      <c r="H135" s="152" t="s">
        <v>22</v>
      </c>
      <c r="I135" s="152" t="s">
        <v>1228</v>
      </c>
      <c r="J135" s="151" t="s">
        <v>2515</v>
      </c>
      <c r="K135" s="151"/>
      <c r="L135" s="151"/>
      <c r="M135" s="151"/>
      <c r="N135" s="161"/>
      <c r="O135" s="161"/>
      <c r="P135" s="161"/>
      <c r="Q135" s="161"/>
      <c r="R135" s="161"/>
      <c r="S135" s="161"/>
      <c r="T135" s="161"/>
      <c r="U135" s="161"/>
      <c r="V135" s="161">
        <v>1.8333333333333333</v>
      </c>
      <c r="W135" s="153"/>
      <c r="X135" s="152" t="s">
        <v>22</v>
      </c>
      <c r="Y135" s="151"/>
      <c r="Z135" s="154" t="s">
        <v>7</v>
      </c>
      <c r="AA135" s="154" t="s">
        <v>7</v>
      </c>
      <c r="AB135" s="151" t="s">
        <v>49</v>
      </c>
      <c r="AC135" s="154" t="s">
        <v>2496</v>
      </c>
      <c r="AD135" s="154" t="s">
        <v>2496</v>
      </c>
      <c r="AE135" s="151" t="s">
        <v>2436</v>
      </c>
      <c r="AF135" s="155">
        <v>1.8333333333333333</v>
      </c>
      <c r="AG135" s="156" t="s">
        <v>72</v>
      </c>
      <c r="AH135" s="157" t="s">
        <v>1036</v>
      </c>
      <c r="AI135" s="158"/>
      <c r="AJ135" s="158"/>
      <c r="AK135" s="159"/>
      <c r="AL135" s="160">
        <v>0</v>
      </c>
      <c r="AM135" s="159" t="e">
        <v>#N/A</v>
      </c>
      <c r="AN135" s="152" t="e">
        <v>#N/A</v>
      </c>
    </row>
    <row r="136" spans="1:40" ht="26.25" customHeight="1">
      <c r="A136" s="148" t="s">
        <v>1402</v>
      </c>
      <c r="B136" s="149" t="s">
        <v>49</v>
      </c>
      <c r="C136" s="150" t="s">
        <v>1403</v>
      </c>
      <c r="D136" s="152" t="s">
        <v>1588</v>
      </c>
      <c r="E136" s="152" t="s">
        <v>21</v>
      </c>
      <c r="F136" s="152" t="s">
        <v>7</v>
      </c>
      <c r="G136" s="152" t="s">
        <v>7</v>
      </c>
      <c r="H136" s="152" t="s">
        <v>22</v>
      </c>
      <c r="I136" s="152" t="s">
        <v>1228</v>
      </c>
      <c r="J136" s="151" t="s">
        <v>2515</v>
      </c>
      <c r="K136" s="151"/>
      <c r="L136" s="151"/>
      <c r="M136" s="151"/>
      <c r="N136" s="161"/>
      <c r="O136" s="161"/>
      <c r="P136" s="161"/>
      <c r="Q136" s="161"/>
      <c r="R136" s="161"/>
      <c r="S136" s="161"/>
      <c r="T136" s="161"/>
      <c r="U136" s="161"/>
      <c r="V136" s="161">
        <v>1.8333333333333333</v>
      </c>
      <c r="W136" s="153"/>
      <c r="X136" s="152" t="s">
        <v>22</v>
      </c>
      <c r="Y136" s="151"/>
      <c r="Z136" s="154" t="s">
        <v>7</v>
      </c>
      <c r="AA136" s="154" t="s">
        <v>7</v>
      </c>
      <c r="AB136" s="151" t="s">
        <v>49</v>
      </c>
      <c r="AC136" s="154" t="s">
        <v>2496</v>
      </c>
      <c r="AD136" s="154" t="s">
        <v>2496</v>
      </c>
      <c r="AE136" s="151" t="s">
        <v>2436</v>
      </c>
      <c r="AF136" s="155">
        <v>1.8333333333333333</v>
      </c>
      <c r="AG136" s="156" t="s">
        <v>72</v>
      </c>
      <c r="AH136" s="157" t="s">
        <v>1036</v>
      </c>
      <c r="AI136" s="158"/>
      <c r="AJ136" s="158"/>
      <c r="AK136" s="159"/>
      <c r="AL136" s="160">
        <v>0</v>
      </c>
      <c r="AM136" s="159" t="e">
        <v>#N/A</v>
      </c>
      <c r="AN136" s="152" t="e">
        <v>#REF!</v>
      </c>
    </row>
    <row r="137" spans="1:40" ht="26.25" customHeight="1">
      <c r="A137" s="148" t="s">
        <v>2714</v>
      </c>
      <c r="B137" s="149" t="s">
        <v>49</v>
      </c>
      <c r="C137" s="150" t="s">
        <v>1403</v>
      </c>
      <c r="D137" s="152" t="s">
        <v>1588</v>
      </c>
      <c r="E137" s="152" t="s">
        <v>21</v>
      </c>
      <c r="F137" s="152" t="s">
        <v>7</v>
      </c>
      <c r="G137" s="152" t="s">
        <v>7</v>
      </c>
      <c r="H137" s="152" t="s">
        <v>22</v>
      </c>
      <c r="I137" s="152" t="s">
        <v>1228</v>
      </c>
      <c r="J137" s="151" t="s">
        <v>2515</v>
      </c>
      <c r="K137" s="151"/>
      <c r="L137" s="151"/>
      <c r="M137" s="151"/>
      <c r="N137" s="161"/>
      <c r="O137" s="161"/>
      <c r="P137" s="161"/>
      <c r="Q137" s="161"/>
      <c r="R137" s="161"/>
      <c r="S137" s="161"/>
      <c r="T137" s="161"/>
      <c r="U137" s="161"/>
      <c r="V137" s="161">
        <v>1.8333333333333333</v>
      </c>
      <c r="W137" s="153"/>
      <c r="X137" s="152" t="s">
        <v>22</v>
      </c>
      <c r="Y137" s="151"/>
      <c r="Z137" s="154" t="s">
        <v>7</v>
      </c>
      <c r="AA137" s="154" t="s">
        <v>7</v>
      </c>
      <c r="AB137" s="151" t="s">
        <v>49</v>
      </c>
      <c r="AC137" s="154" t="s">
        <v>2496</v>
      </c>
      <c r="AD137" s="154" t="s">
        <v>2496</v>
      </c>
      <c r="AE137" s="151" t="s">
        <v>2436</v>
      </c>
      <c r="AF137" s="155">
        <v>1.8333333333333333</v>
      </c>
      <c r="AG137" s="156" t="s">
        <v>72</v>
      </c>
      <c r="AH137" s="157" t="s">
        <v>1036</v>
      </c>
      <c r="AI137" s="158"/>
      <c r="AJ137" s="158"/>
      <c r="AK137" s="159"/>
      <c r="AL137" s="160">
        <v>0</v>
      </c>
      <c r="AM137" s="159" t="e">
        <v>#N/A</v>
      </c>
      <c r="AN137" s="152" t="e">
        <v>#REF!</v>
      </c>
    </row>
    <row r="138" spans="1:40" ht="26.25" customHeight="1">
      <c r="A138" s="148" t="s">
        <v>2370</v>
      </c>
      <c r="B138" s="149" t="s">
        <v>49</v>
      </c>
      <c r="C138" s="150" t="s">
        <v>1403</v>
      </c>
      <c r="D138" s="152" t="s">
        <v>1588</v>
      </c>
      <c r="E138" s="152" t="s">
        <v>21</v>
      </c>
      <c r="F138" s="152" t="s">
        <v>7</v>
      </c>
      <c r="G138" s="152" t="s">
        <v>7</v>
      </c>
      <c r="H138" s="152" t="s">
        <v>22</v>
      </c>
      <c r="I138" s="152" t="s">
        <v>1392</v>
      </c>
      <c r="J138" s="151" t="s">
        <v>2515</v>
      </c>
      <c r="K138" s="151"/>
      <c r="L138" s="151"/>
      <c r="M138" s="151"/>
      <c r="N138" s="161"/>
      <c r="O138" s="161"/>
      <c r="P138" s="161"/>
      <c r="Q138" s="161"/>
      <c r="R138" s="161"/>
      <c r="S138" s="161"/>
      <c r="T138" s="161"/>
      <c r="U138" s="161"/>
      <c r="V138" s="161">
        <v>1.8333333333333333</v>
      </c>
      <c r="W138" s="153"/>
      <c r="X138" s="152" t="s">
        <v>22</v>
      </c>
      <c r="Y138" s="151"/>
      <c r="Z138" s="154" t="s">
        <v>7</v>
      </c>
      <c r="AA138" s="154" t="s">
        <v>7</v>
      </c>
      <c r="AB138" s="151" t="s">
        <v>49</v>
      </c>
      <c r="AC138" s="154" t="s">
        <v>2496</v>
      </c>
      <c r="AD138" s="154" t="s">
        <v>2496</v>
      </c>
      <c r="AE138" s="151" t="s">
        <v>2436</v>
      </c>
      <c r="AF138" s="155">
        <v>1.8333333333333333</v>
      </c>
      <c r="AG138" s="156" t="s">
        <v>72</v>
      </c>
      <c r="AH138" s="157" t="s">
        <v>1036</v>
      </c>
      <c r="AI138" s="158"/>
      <c r="AJ138" s="158"/>
      <c r="AK138" s="159"/>
      <c r="AL138" s="160">
        <v>0</v>
      </c>
      <c r="AM138" s="159" t="e">
        <v>#N/A</v>
      </c>
      <c r="AN138" s="152"/>
    </row>
    <row r="139" spans="1:40" ht="26.25" customHeight="1">
      <c r="A139" s="148" t="s">
        <v>2561</v>
      </c>
      <c r="B139" s="149" t="s">
        <v>49</v>
      </c>
      <c r="C139" s="150" t="s">
        <v>1403</v>
      </c>
      <c r="D139" s="152" t="s">
        <v>1588</v>
      </c>
      <c r="E139" s="152" t="s">
        <v>21</v>
      </c>
      <c r="F139" s="152" t="s">
        <v>7</v>
      </c>
      <c r="G139" s="152" t="s">
        <v>7</v>
      </c>
      <c r="H139" s="152" t="s">
        <v>22</v>
      </c>
      <c r="I139" s="152" t="s">
        <v>1392</v>
      </c>
      <c r="J139" s="151" t="s">
        <v>2515</v>
      </c>
      <c r="K139" s="151"/>
      <c r="L139" s="151"/>
      <c r="M139" s="151"/>
      <c r="N139" s="161"/>
      <c r="O139" s="161"/>
      <c r="P139" s="161"/>
      <c r="Q139" s="161"/>
      <c r="R139" s="161"/>
      <c r="S139" s="161"/>
      <c r="T139" s="161"/>
      <c r="U139" s="161"/>
      <c r="V139" s="161">
        <v>1.8333333333333333</v>
      </c>
      <c r="W139" s="153"/>
      <c r="X139" s="152" t="s">
        <v>22</v>
      </c>
      <c r="Y139" s="151"/>
      <c r="Z139" s="154" t="s">
        <v>7</v>
      </c>
      <c r="AA139" s="154" t="s">
        <v>7</v>
      </c>
      <c r="AB139" s="151" t="s">
        <v>49</v>
      </c>
      <c r="AC139" s="154" t="s">
        <v>2496</v>
      </c>
      <c r="AD139" s="154" t="s">
        <v>2496</v>
      </c>
      <c r="AE139" s="151" t="s">
        <v>2436</v>
      </c>
      <c r="AF139" s="155">
        <v>1.8333333333333333</v>
      </c>
      <c r="AG139" s="156" t="s">
        <v>72</v>
      </c>
      <c r="AH139" s="157" t="s">
        <v>1036</v>
      </c>
      <c r="AI139" s="158"/>
      <c r="AJ139" s="158"/>
      <c r="AK139" s="159"/>
      <c r="AL139" s="160">
        <v>0</v>
      </c>
      <c r="AM139" s="159" t="e">
        <v>#N/A</v>
      </c>
      <c r="AN139" s="152" t="e">
        <v>#REF!</v>
      </c>
    </row>
    <row r="140" spans="1:40" ht="26.25" customHeight="1">
      <c r="A140" s="148" t="s">
        <v>1483</v>
      </c>
      <c r="B140" s="149" t="s">
        <v>2715</v>
      </c>
      <c r="C140" s="150" t="s">
        <v>1403</v>
      </c>
      <c r="D140" s="152" t="s">
        <v>1588</v>
      </c>
      <c r="E140" s="152" t="s">
        <v>58</v>
      </c>
      <c r="F140" s="152" t="s">
        <v>7</v>
      </c>
      <c r="G140" s="152" t="s">
        <v>7</v>
      </c>
      <c r="H140" s="152" t="s">
        <v>60</v>
      </c>
      <c r="I140" s="152" t="s">
        <v>2462</v>
      </c>
      <c r="J140" s="151" t="s">
        <v>2515</v>
      </c>
      <c r="K140" s="151"/>
      <c r="L140" s="151"/>
      <c r="M140" s="151"/>
      <c r="N140" s="161"/>
      <c r="O140" s="161"/>
      <c r="P140" s="161"/>
      <c r="Q140" s="161"/>
      <c r="R140" s="161"/>
      <c r="S140" s="161"/>
      <c r="T140" s="161"/>
      <c r="U140" s="161"/>
      <c r="V140" s="161">
        <v>1.5625</v>
      </c>
      <c r="W140" s="161"/>
      <c r="X140" s="152" t="s">
        <v>60</v>
      </c>
      <c r="Y140" s="151"/>
      <c r="Z140" s="154" t="s">
        <v>7</v>
      </c>
      <c r="AA140" s="154" t="s">
        <v>7</v>
      </c>
      <c r="AB140" s="151" t="s">
        <v>49</v>
      </c>
      <c r="AC140" s="154" t="s">
        <v>2496</v>
      </c>
      <c r="AD140" s="154" t="s">
        <v>2496</v>
      </c>
      <c r="AE140" s="151" t="s">
        <v>2436</v>
      </c>
      <c r="AF140" s="155">
        <v>1.5625</v>
      </c>
      <c r="AG140" s="156" t="s">
        <v>3</v>
      </c>
      <c r="AH140" s="157" t="s">
        <v>1036</v>
      </c>
      <c r="AI140" s="158"/>
      <c r="AJ140" s="158"/>
      <c r="AK140" s="159"/>
      <c r="AL140" s="160">
        <v>0</v>
      </c>
      <c r="AM140" s="159" t="e">
        <v>#N/A</v>
      </c>
      <c r="AN140" s="152" t="e">
        <v>#N/A</v>
      </c>
    </row>
    <row r="141" spans="1:40" ht="26.25" customHeight="1">
      <c r="A141" s="148" t="s">
        <v>2716</v>
      </c>
      <c r="B141" s="149" t="s">
        <v>2717</v>
      </c>
      <c r="C141" s="150" t="s">
        <v>1864</v>
      </c>
      <c r="D141" s="152" t="s">
        <v>1588</v>
      </c>
      <c r="E141" s="152" t="s">
        <v>58</v>
      </c>
      <c r="F141" s="152" t="s">
        <v>7</v>
      </c>
      <c r="G141" s="152" t="s">
        <v>7</v>
      </c>
      <c r="H141" s="152" t="s">
        <v>60</v>
      </c>
      <c r="I141" s="152" t="s">
        <v>1439</v>
      </c>
      <c r="J141" s="151" t="s">
        <v>2515</v>
      </c>
      <c r="K141" s="151"/>
      <c r="L141" s="151"/>
      <c r="M141" s="151"/>
      <c r="N141" s="172"/>
      <c r="O141" s="172"/>
      <c r="P141" s="172"/>
      <c r="Q141" s="172"/>
      <c r="R141" s="172"/>
      <c r="S141" s="172"/>
      <c r="T141" s="172"/>
      <c r="U141" s="172"/>
      <c r="V141" s="172">
        <v>8.3333333333333329E-2</v>
      </c>
      <c r="W141" s="172"/>
      <c r="X141" s="152" t="s">
        <v>60</v>
      </c>
      <c r="Y141" s="151"/>
      <c r="Z141" s="154" t="s">
        <v>7</v>
      </c>
      <c r="AA141" s="154" t="s">
        <v>7</v>
      </c>
      <c r="AB141" s="151" t="s">
        <v>49</v>
      </c>
      <c r="AC141" s="154" t="s">
        <v>2496</v>
      </c>
      <c r="AD141" s="154" t="s">
        <v>2496</v>
      </c>
      <c r="AE141" s="151" t="s">
        <v>2436</v>
      </c>
      <c r="AF141" s="155">
        <v>8.3333333333333329E-2</v>
      </c>
      <c r="AG141" s="156" t="s">
        <v>3</v>
      </c>
      <c r="AH141" s="157" t="s">
        <v>1036</v>
      </c>
      <c r="AI141" s="158"/>
      <c r="AJ141" s="158"/>
      <c r="AK141" s="159"/>
      <c r="AL141" s="160">
        <v>0</v>
      </c>
      <c r="AM141" s="159" t="e">
        <v>#N/A</v>
      </c>
      <c r="AN141" s="152" t="e">
        <v>#N/A</v>
      </c>
    </row>
    <row r="142" spans="1:40" ht="26.25" customHeight="1">
      <c r="A142" s="148" t="s">
        <v>2718</v>
      </c>
      <c r="B142" s="149" t="s">
        <v>2719</v>
      </c>
      <c r="C142" s="150" t="s">
        <v>1851</v>
      </c>
      <c r="D142" s="152" t="s">
        <v>1588</v>
      </c>
      <c r="E142" s="152" t="s">
        <v>58</v>
      </c>
      <c r="F142" s="152" t="s">
        <v>7</v>
      </c>
      <c r="G142" s="152" t="s">
        <v>7</v>
      </c>
      <c r="H142" s="152" t="s">
        <v>60</v>
      </c>
      <c r="I142" s="152" t="s">
        <v>1435</v>
      </c>
      <c r="J142" s="151" t="s">
        <v>2515</v>
      </c>
      <c r="K142" s="151"/>
      <c r="L142" s="151"/>
      <c r="M142" s="151"/>
      <c r="N142" s="172"/>
      <c r="O142" s="172"/>
      <c r="P142" s="172"/>
      <c r="Q142" s="172"/>
      <c r="R142" s="172"/>
      <c r="S142" s="172"/>
      <c r="T142" s="172"/>
      <c r="U142" s="172"/>
      <c r="V142" s="172">
        <v>8.3333333333333329E-2</v>
      </c>
      <c r="W142" s="172"/>
      <c r="X142" s="152" t="s">
        <v>60</v>
      </c>
      <c r="Y142" s="151"/>
      <c r="Z142" s="154" t="s">
        <v>7</v>
      </c>
      <c r="AA142" s="154" t="s">
        <v>7</v>
      </c>
      <c r="AB142" s="151" t="s">
        <v>49</v>
      </c>
      <c r="AC142" s="154" t="s">
        <v>2496</v>
      </c>
      <c r="AD142" s="154" t="s">
        <v>2496</v>
      </c>
      <c r="AE142" s="151" t="s">
        <v>2436</v>
      </c>
      <c r="AF142" s="155">
        <v>8.3333333333333329E-2</v>
      </c>
      <c r="AG142" s="156" t="s">
        <v>3</v>
      </c>
      <c r="AH142" s="157" t="s">
        <v>1036</v>
      </c>
      <c r="AI142" s="158"/>
      <c r="AJ142" s="158"/>
      <c r="AK142" s="159"/>
      <c r="AL142" s="160">
        <v>0</v>
      </c>
      <c r="AM142" s="159" t="e">
        <v>#N/A</v>
      </c>
      <c r="AN142" s="152" t="e">
        <v>#N/A</v>
      </c>
    </row>
    <row r="143" spans="1:40" ht="26.25" customHeight="1">
      <c r="A143" s="148" t="s">
        <v>2492</v>
      </c>
      <c r="B143" s="149" t="s">
        <v>2713</v>
      </c>
      <c r="C143" s="150" t="s">
        <v>1869</v>
      </c>
      <c r="D143" s="152" t="s">
        <v>1588</v>
      </c>
      <c r="E143" s="152" t="s">
        <v>58</v>
      </c>
      <c r="F143" s="152" t="s">
        <v>7</v>
      </c>
      <c r="G143" s="152" t="s">
        <v>7</v>
      </c>
      <c r="H143" s="152" t="s">
        <v>60</v>
      </c>
      <c r="I143" s="152" t="s">
        <v>63</v>
      </c>
      <c r="J143" s="151" t="s">
        <v>2515</v>
      </c>
      <c r="K143" s="151"/>
      <c r="L143" s="151"/>
      <c r="M143" s="151"/>
      <c r="N143" s="161"/>
      <c r="O143" s="161"/>
      <c r="P143" s="161"/>
      <c r="Q143" s="161"/>
      <c r="R143" s="161"/>
      <c r="S143" s="161"/>
      <c r="T143" s="161"/>
      <c r="U143" s="161"/>
      <c r="V143" s="161">
        <v>0.5</v>
      </c>
      <c r="W143" s="172"/>
      <c r="X143" s="152" t="s">
        <v>60</v>
      </c>
      <c r="Y143" s="151"/>
      <c r="Z143" s="154" t="s">
        <v>7</v>
      </c>
      <c r="AA143" s="154" t="s">
        <v>143</v>
      </c>
      <c r="AB143" s="151" t="s">
        <v>49</v>
      </c>
      <c r="AC143" s="154" t="s">
        <v>2496</v>
      </c>
      <c r="AD143" s="154" t="s">
        <v>2496</v>
      </c>
      <c r="AE143" s="151" t="s">
        <v>2436</v>
      </c>
      <c r="AF143" s="155">
        <v>0.5</v>
      </c>
      <c r="AG143" s="156" t="s">
        <v>3</v>
      </c>
      <c r="AH143" s="157" t="s">
        <v>1036</v>
      </c>
      <c r="AI143" s="158"/>
      <c r="AJ143" s="158"/>
      <c r="AK143" s="159"/>
      <c r="AL143" s="160">
        <v>0</v>
      </c>
      <c r="AM143" s="159" t="e">
        <v>#N/A</v>
      </c>
      <c r="AN143" s="152" t="e">
        <v>#N/A</v>
      </c>
    </row>
    <row r="144" spans="1:40" ht="26.25" customHeight="1">
      <c r="A144" s="148" t="s">
        <v>2720</v>
      </c>
      <c r="B144" s="149" t="s">
        <v>2721</v>
      </c>
      <c r="C144" s="150" t="s">
        <v>1869</v>
      </c>
      <c r="D144" s="152" t="s">
        <v>1588</v>
      </c>
      <c r="E144" s="152" t="s">
        <v>58</v>
      </c>
      <c r="F144" s="152" t="s">
        <v>7</v>
      </c>
      <c r="G144" s="152" t="s">
        <v>7</v>
      </c>
      <c r="H144" s="152" t="s">
        <v>60</v>
      </c>
      <c r="I144" s="152" t="s">
        <v>1451</v>
      </c>
      <c r="J144" s="151" t="s">
        <v>2515</v>
      </c>
      <c r="K144" s="151"/>
      <c r="L144" s="151"/>
      <c r="M144" s="151"/>
      <c r="N144" s="163"/>
      <c r="O144" s="163"/>
      <c r="P144" s="163"/>
      <c r="Q144" s="163"/>
      <c r="R144" s="163"/>
      <c r="S144" s="163"/>
      <c r="T144" s="163"/>
      <c r="U144" s="163"/>
      <c r="V144" s="163">
        <v>0.16666666666666666</v>
      </c>
      <c r="W144" s="161"/>
      <c r="X144" s="152" t="s">
        <v>60</v>
      </c>
      <c r="Y144" s="151"/>
      <c r="Z144" s="154" t="s">
        <v>7</v>
      </c>
      <c r="AA144" s="154" t="s">
        <v>949</v>
      </c>
      <c r="AB144" s="151" t="s">
        <v>49</v>
      </c>
      <c r="AC144" s="154" t="s">
        <v>2496</v>
      </c>
      <c r="AD144" s="154" t="s">
        <v>2496</v>
      </c>
      <c r="AE144" s="151" t="s">
        <v>2436</v>
      </c>
      <c r="AF144" s="155">
        <v>0.16666666666666666</v>
      </c>
      <c r="AG144" s="156" t="s">
        <v>404</v>
      </c>
      <c r="AH144" s="157" t="s">
        <v>1036</v>
      </c>
      <c r="AI144" s="158"/>
      <c r="AJ144" s="158"/>
      <c r="AK144" s="159"/>
      <c r="AL144" s="160">
        <v>0</v>
      </c>
      <c r="AM144" s="159" t="e">
        <v>#N/A</v>
      </c>
      <c r="AN144" s="152" t="e">
        <v>#N/A</v>
      </c>
    </row>
    <row r="145" spans="1:40" ht="26.25" customHeight="1">
      <c r="A145" s="148"/>
      <c r="B145" s="148"/>
      <c r="C145" s="150"/>
      <c r="D145" s="152"/>
      <c r="E145" s="152"/>
      <c r="F145" s="152"/>
      <c r="G145" s="152"/>
      <c r="H145" s="152"/>
      <c r="I145" s="152"/>
      <c r="J145" s="151"/>
      <c r="K145" s="151"/>
      <c r="L145" s="151"/>
      <c r="M145" s="151"/>
      <c r="N145" s="161"/>
      <c r="O145" s="161"/>
      <c r="P145" s="161"/>
      <c r="Q145" s="161"/>
      <c r="R145" s="161"/>
      <c r="S145" s="161"/>
      <c r="T145" s="161"/>
      <c r="U145" s="161"/>
      <c r="V145" s="161"/>
      <c r="W145" s="153"/>
      <c r="X145" s="152"/>
      <c r="Y145" s="151"/>
      <c r="Z145" s="154"/>
      <c r="AA145" s="154"/>
      <c r="AB145" s="151"/>
      <c r="AC145" s="154"/>
      <c r="AD145" s="154"/>
      <c r="AE145" s="151"/>
      <c r="AF145" s="155"/>
      <c r="AG145" s="156"/>
      <c r="AH145" s="157"/>
      <c r="AI145" s="158"/>
      <c r="AJ145" s="158"/>
      <c r="AK145" s="159"/>
      <c r="AL145" s="160"/>
      <c r="AM145" s="159"/>
      <c r="AN145" s="152"/>
    </row>
    <row r="146" spans="1:40" ht="27.75" customHeight="1">
      <c r="A146" s="148"/>
      <c r="B146" s="149"/>
      <c r="C146" s="150"/>
      <c r="D146" s="152"/>
      <c r="E146" s="152"/>
      <c r="F146" s="152"/>
      <c r="G146" s="152"/>
      <c r="H146" s="152"/>
      <c r="I146" s="152"/>
      <c r="J146" s="151"/>
      <c r="K146" s="151"/>
      <c r="L146" s="151"/>
      <c r="M146" s="15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2"/>
      <c r="X146" s="152"/>
      <c r="Y146" s="151"/>
      <c r="Z146" s="154"/>
      <c r="AA146" s="154"/>
      <c r="AB146" s="151"/>
      <c r="AC146" s="154"/>
      <c r="AD146" s="154"/>
      <c r="AE146" s="151"/>
      <c r="AF146" s="155"/>
      <c r="AG146" s="156"/>
      <c r="AH146" s="157"/>
      <c r="AI146" s="158"/>
      <c r="AJ146" s="158"/>
      <c r="AK146" s="159"/>
      <c r="AL146" s="160"/>
      <c r="AM146" s="159"/>
      <c r="AN146" s="152"/>
    </row>
    <row r="147" spans="1:40" ht="26.25" customHeight="1">
      <c r="A147" s="177"/>
      <c r="B147" s="178"/>
      <c r="C147" s="179"/>
      <c r="D147" s="180"/>
      <c r="E147" s="180"/>
      <c r="F147" s="180"/>
      <c r="G147" s="180"/>
      <c r="H147" s="180"/>
      <c r="I147" s="181"/>
      <c r="J147" s="180"/>
      <c r="K147" s="180"/>
      <c r="L147" s="180"/>
      <c r="M147" s="180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1"/>
      <c r="Y147" s="180"/>
      <c r="Z147" s="183"/>
      <c r="AA147" s="183"/>
      <c r="AB147" s="180"/>
      <c r="AC147" s="183"/>
      <c r="AD147" s="183"/>
      <c r="AE147" s="180"/>
      <c r="AF147" s="184"/>
      <c r="AG147" s="185"/>
      <c r="AH147" s="186"/>
      <c r="AI147" s="187"/>
      <c r="AJ147" s="187"/>
      <c r="AK147" s="188"/>
      <c r="AL147" s="189"/>
      <c r="AM147" s="188"/>
      <c r="AN147" s="181"/>
    </row>
    <row r="148" spans="1:40" ht="26.25" customHeight="1">
      <c r="A148" s="177"/>
      <c r="B148" s="178"/>
      <c r="C148" s="179"/>
      <c r="D148" s="180"/>
      <c r="E148" s="180"/>
      <c r="F148" s="180"/>
      <c r="G148" s="180"/>
      <c r="H148" s="180"/>
      <c r="I148" s="181"/>
      <c r="J148" s="180"/>
      <c r="K148" s="180"/>
      <c r="L148" s="180"/>
      <c r="M148" s="180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1"/>
      <c r="Y148" s="180"/>
      <c r="Z148" s="183"/>
      <c r="AA148" s="183"/>
      <c r="AB148" s="180"/>
      <c r="AC148" s="183"/>
      <c r="AD148" s="183"/>
      <c r="AE148" s="180"/>
      <c r="AF148" s="184"/>
      <c r="AG148" s="185"/>
      <c r="AH148" s="186"/>
      <c r="AI148" s="187"/>
      <c r="AJ148" s="187"/>
      <c r="AK148" s="188"/>
      <c r="AL148" s="189"/>
      <c r="AM148" s="188"/>
      <c r="AN148" s="181"/>
    </row>
    <row r="149" spans="1:40" ht="26.25" customHeight="1">
      <c r="A149" s="177"/>
      <c r="B149" s="178"/>
      <c r="C149" s="179"/>
      <c r="D149" s="180"/>
      <c r="E149" s="180"/>
      <c r="F149" s="180"/>
      <c r="G149" s="180"/>
      <c r="H149" s="180"/>
      <c r="I149" s="181"/>
      <c r="J149" s="180"/>
      <c r="K149" s="180"/>
      <c r="L149" s="180"/>
      <c r="M149" s="180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1"/>
      <c r="Y149" s="180"/>
      <c r="Z149" s="183"/>
      <c r="AA149" s="183"/>
      <c r="AB149" s="180"/>
      <c r="AC149" s="183"/>
      <c r="AD149" s="183"/>
      <c r="AE149" s="180"/>
      <c r="AF149" s="184"/>
      <c r="AG149" s="185"/>
      <c r="AH149" s="186"/>
      <c r="AI149" s="187"/>
      <c r="AJ149" s="187"/>
      <c r="AK149" s="188"/>
      <c r="AL149" s="189"/>
      <c r="AM149" s="188"/>
      <c r="AN149" s="181"/>
    </row>
    <row r="150" spans="1:40" ht="26.25" customHeight="1">
      <c r="A150" s="177"/>
      <c r="B150" s="178"/>
      <c r="C150" s="179"/>
      <c r="D150" s="180"/>
      <c r="E150" s="180"/>
      <c r="F150" s="180"/>
      <c r="G150" s="180"/>
      <c r="H150" s="180"/>
      <c r="I150" s="181"/>
      <c r="J150" s="180"/>
      <c r="K150" s="180"/>
      <c r="L150" s="180"/>
      <c r="M150" s="180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1"/>
      <c r="Y150" s="180"/>
      <c r="Z150" s="183"/>
      <c r="AA150" s="183"/>
      <c r="AB150" s="180"/>
      <c r="AC150" s="183"/>
      <c r="AD150" s="183"/>
      <c r="AE150" s="180"/>
      <c r="AF150" s="184"/>
      <c r="AG150" s="185"/>
      <c r="AH150" s="186"/>
      <c r="AI150" s="187"/>
      <c r="AJ150" s="187"/>
      <c r="AK150" s="188"/>
      <c r="AL150" s="189"/>
      <c r="AM150" s="188"/>
      <c r="AN150" s="181"/>
    </row>
    <row r="151" spans="1:40" ht="26.25" customHeight="1">
      <c r="A151" s="177"/>
      <c r="B151" s="178"/>
      <c r="C151" s="179"/>
      <c r="D151" s="180"/>
      <c r="E151" s="180"/>
      <c r="F151" s="180"/>
      <c r="G151" s="180"/>
      <c r="H151" s="180"/>
      <c r="I151" s="181"/>
      <c r="J151" s="180"/>
      <c r="K151" s="180"/>
      <c r="L151" s="180"/>
      <c r="M151" s="180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1"/>
      <c r="Y151" s="180"/>
      <c r="Z151" s="183"/>
      <c r="AA151" s="183"/>
      <c r="AB151" s="180"/>
      <c r="AC151" s="183"/>
      <c r="AD151" s="183"/>
      <c r="AE151" s="180"/>
      <c r="AF151" s="184"/>
      <c r="AG151" s="185"/>
      <c r="AH151" s="186"/>
      <c r="AI151" s="187"/>
      <c r="AJ151" s="187"/>
      <c r="AK151" s="188"/>
      <c r="AL151" s="189"/>
      <c r="AM151" s="188"/>
      <c r="AN151" s="181"/>
    </row>
    <row r="152" spans="1:40" ht="26.25" customHeight="1">
      <c r="A152" s="177"/>
      <c r="B152" s="178"/>
      <c r="C152" s="179"/>
      <c r="D152" s="180"/>
      <c r="E152" s="180"/>
      <c r="F152" s="180"/>
      <c r="G152" s="180"/>
      <c r="H152" s="180"/>
      <c r="I152" s="181"/>
      <c r="J152" s="180"/>
      <c r="K152" s="180"/>
      <c r="L152" s="180"/>
      <c r="M152" s="180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1"/>
      <c r="Y152" s="180"/>
      <c r="Z152" s="183"/>
      <c r="AA152" s="183"/>
      <c r="AB152" s="180"/>
      <c r="AC152" s="183"/>
      <c r="AD152" s="183"/>
      <c r="AE152" s="180"/>
      <c r="AF152" s="184"/>
      <c r="AG152" s="185"/>
      <c r="AH152" s="186"/>
      <c r="AI152" s="187"/>
      <c r="AJ152" s="187"/>
      <c r="AK152" s="188"/>
      <c r="AL152" s="189"/>
      <c r="AM152" s="188"/>
      <c r="AN152" s="181"/>
    </row>
    <row r="153" spans="1:40" ht="26.25" customHeight="1">
      <c r="A153" s="177"/>
      <c r="B153" s="178"/>
      <c r="C153" s="179"/>
      <c r="D153" s="180"/>
      <c r="E153" s="180"/>
      <c r="F153" s="180"/>
      <c r="G153" s="180"/>
      <c r="H153" s="180"/>
      <c r="I153" s="181"/>
      <c r="J153" s="180"/>
      <c r="K153" s="180"/>
      <c r="L153" s="180"/>
      <c r="M153" s="180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1"/>
      <c r="Y153" s="180"/>
      <c r="Z153" s="183"/>
      <c r="AA153" s="183"/>
      <c r="AB153" s="180"/>
      <c r="AC153" s="183"/>
      <c r="AD153" s="183"/>
      <c r="AE153" s="180"/>
      <c r="AF153" s="184"/>
      <c r="AG153" s="185"/>
      <c r="AH153" s="186"/>
      <c r="AI153" s="187"/>
      <c r="AJ153" s="187"/>
      <c r="AK153" s="188"/>
      <c r="AL153" s="189"/>
      <c r="AM153" s="188"/>
      <c r="AN153" s="181"/>
    </row>
    <row r="154" spans="1:40" ht="26.25" customHeight="1">
      <c r="A154" s="177"/>
      <c r="B154" s="178"/>
      <c r="C154" s="179"/>
      <c r="D154" s="180"/>
      <c r="E154" s="180"/>
      <c r="F154" s="180"/>
      <c r="G154" s="180"/>
      <c r="H154" s="180"/>
      <c r="I154" s="181"/>
      <c r="J154" s="180"/>
      <c r="K154" s="180"/>
      <c r="L154" s="180"/>
      <c r="M154" s="180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1"/>
      <c r="Y154" s="180"/>
      <c r="Z154" s="183"/>
      <c r="AA154" s="183"/>
      <c r="AB154" s="180"/>
      <c r="AC154" s="183"/>
      <c r="AD154" s="183"/>
      <c r="AE154" s="180"/>
      <c r="AF154" s="184"/>
      <c r="AG154" s="185"/>
      <c r="AH154" s="186"/>
      <c r="AI154" s="187"/>
      <c r="AJ154" s="187"/>
      <c r="AK154" s="188"/>
      <c r="AL154" s="189"/>
      <c r="AM154" s="188"/>
      <c r="AN154" s="181"/>
    </row>
    <row r="155" spans="1:40" ht="26.25" customHeight="1">
      <c r="A155" s="177"/>
      <c r="B155" s="178"/>
      <c r="C155" s="179"/>
      <c r="D155" s="180"/>
      <c r="E155" s="180"/>
      <c r="F155" s="180"/>
      <c r="G155" s="180"/>
      <c r="H155" s="180"/>
      <c r="I155" s="181"/>
      <c r="J155" s="180"/>
      <c r="K155" s="180"/>
      <c r="L155" s="180"/>
      <c r="M155" s="180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1"/>
      <c r="Y155" s="180"/>
      <c r="Z155" s="183"/>
      <c r="AA155" s="183"/>
      <c r="AB155" s="180"/>
      <c r="AC155" s="183"/>
      <c r="AD155" s="183"/>
      <c r="AE155" s="180"/>
      <c r="AF155" s="184"/>
      <c r="AG155" s="185"/>
      <c r="AH155" s="186"/>
      <c r="AI155" s="187"/>
      <c r="AJ155" s="187"/>
      <c r="AK155" s="188"/>
      <c r="AL155" s="189"/>
      <c r="AM155" s="188"/>
      <c r="AN155" s="181"/>
    </row>
    <row r="156" spans="1:40" ht="26.25" customHeight="1">
      <c r="A156" s="177"/>
      <c r="B156" s="178"/>
      <c r="C156" s="179"/>
      <c r="D156" s="180"/>
      <c r="E156" s="180"/>
      <c r="F156" s="180"/>
      <c r="G156" s="180"/>
      <c r="H156" s="180"/>
      <c r="I156" s="181"/>
      <c r="J156" s="180"/>
      <c r="K156" s="180"/>
      <c r="L156" s="180"/>
      <c r="M156" s="180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1"/>
      <c r="Y156" s="180"/>
      <c r="Z156" s="183"/>
      <c r="AA156" s="183"/>
      <c r="AB156" s="180"/>
      <c r="AC156" s="183"/>
      <c r="AD156" s="183"/>
      <c r="AE156" s="180"/>
      <c r="AF156" s="184"/>
      <c r="AG156" s="185"/>
      <c r="AH156" s="186"/>
      <c r="AI156" s="187"/>
      <c r="AJ156" s="187"/>
      <c r="AK156" s="188"/>
      <c r="AL156" s="189"/>
      <c r="AM156" s="188"/>
      <c r="AN156" s="181"/>
    </row>
    <row r="157" spans="1:40" ht="26.25" customHeight="1">
      <c r="A157" s="177"/>
      <c r="B157" s="178"/>
      <c r="C157" s="179"/>
      <c r="D157" s="180"/>
      <c r="E157" s="180"/>
      <c r="F157" s="180"/>
      <c r="G157" s="180"/>
      <c r="H157" s="180"/>
      <c r="I157" s="181"/>
      <c r="J157" s="180"/>
      <c r="K157" s="180"/>
      <c r="L157" s="180"/>
      <c r="M157" s="180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1"/>
      <c r="Y157" s="180"/>
      <c r="Z157" s="183"/>
      <c r="AA157" s="183"/>
      <c r="AB157" s="180"/>
      <c r="AC157" s="183"/>
      <c r="AD157" s="183"/>
      <c r="AE157" s="180"/>
      <c r="AF157" s="184"/>
      <c r="AG157" s="185"/>
      <c r="AH157" s="186"/>
      <c r="AI157" s="187"/>
      <c r="AJ157" s="187"/>
      <c r="AK157" s="188"/>
      <c r="AL157" s="189"/>
      <c r="AM157" s="188"/>
      <c r="AN157" s="181"/>
    </row>
    <row r="158" spans="1:40" ht="26.25" customHeight="1">
      <c r="A158" s="177"/>
      <c r="B158" s="178"/>
      <c r="C158" s="179"/>
      <c r="D158" s="180"/>
      <c r="E158" s="180"/>
      <c r="F158" s="180"/>
      <c r="G158" s="180"/>
      <c r="H158" s="180"/>
      <c r="I158" s="181"/>
      <c r="J158" s="180"/>
      <c r="K158" s="180"/>
      <c r="L158" s="180"/>
      <c r="M158" s="180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1"/>
      <c r="Y158" s="180"/>
      <c r="Z158" s="183"/>
      <c r="AA158" s="183"/>
      <c r="AB158" s="180"/>
      <c r="AC158" s="183"/>
      <c r="AD158" s="183"/>
      <c r="AE158" s="180"/>
      <c r="AF158" s="184"/>
      <c r="AG158" s="185"/>
      <c r="AH158" s="186"/>
      <c r="AI158" s="187"/>
      <c r="AJ158" s="187"/>
      <c r="AK158" s="188"/>
      <c r="AL158" s="189"/>
      <c r="AM158" s="188"/>
      <c r="AN158" s="181"/>
    </row>
    <row r="159" spans="1:40" ht="26.25" customHeight="1">
      <c r="A159" s="177"/>
      <c r="B159" s="178"/>
      <c r="C159" s="179"/>
      <c r="D159" s="180"/>
      <c r="E159" s="180"/>
      <c r="F159" s="180"/>
      <c r="G159" s="180"/>
      <c r="H159" s="180"/>
      <c r="I159" s="181"/>
      <c r="J159" s="180"/>
      <c r="K159" s="180"/>
      <c r="L159" s="180"/>
      <c r="M159" s="180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1"/>
      <c r="Y159" s="180"/>
      <c r="Z159" s="183"/>
      <c r="AA159" s="183"/>
      <c r="AB159" s="180"/>
      <c r="AC159" s="183"/>
      <c r="AD159" s="183"/>
      <c r="AE159" s="180"/>
      <c r="AF159" s="184"/>
      <c r="AG159" s="185"/>
      <c r="AH159" s="186"/>
      <c r="AI159" s="187"/>
      <c r="AJ159" s="187"/>
      <c r="AK159" s="188"/>
      <c r="AL159" s="189"/>
      <c r="AM159" s="188"/>
      <c r="AN159" s="181"/>
    </row>
    <row r="160" spans="1:40" ht="26.25" customHeight="1">
      <c r="A160" s="177"/>
      <c r="B160" s="178"/>
      <c r="C160" s="179"/>
      <c r="D160" s="180"/>
      <c r="E160" s="180"/>
      <c r="F160" s="180"/>
      <c r="G160" s="180"/>
      <c r="H160" s="180"/>
      <c r="I160" s="181"/>
      <c r="J160" s="180"/>
      <c r="K160" s="180"/>
      <c r="L160" s="180"/>
      <c r="M160" s="180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1"/>
      <c r="Y160" s="180"/>
      <c r="Z160" s="183"/>
      <c r="AA160" s="183"/>
      <c r="AB160" s="180"/>
      <c r="AC160" s="183"/>
      <c r="AD160" s="183"/>
      <c r="AE160" s="180"/>
      <c r="AF160" s="184"/>
      <c r="AG160" s="185"/>
      <c r="AH160" s="186"/>
      <c r="AI160" s="187"/>
      <c r="AJ160" s="187"/>
      <c r="AK160" s="188"/>
      <c r="AL160" s="189"/>
      <c r="AM160" s="188"/>
      <c r="AN160" s="181"/>
    </row>
    <row r="161" spans="1:40" ht="26.25" customHeight="1">
      <c r="A161" s="177"/>
      <c r="B161" s="178"/>
      <c r="C161" s="179"/>
      <c r="D161" s="180"/>
      <c r="E161" s="180"/>
      <c r="F161" s="180"/>
      <c r="G161" s="180"/>
      <c r="H161" s="180"/>
      <c r="I161" s="181"/>
      <c r="J161" s="180"/>
      <c r="K161" s="180"/>
      <c r="L161" s="180"/>
      <c r="M161" s="180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1"/>
      <c r="Y161" s="180"/>
      <c r="Z161" s="183"/>
      <c r="AA161" s="183"/>
      <c r="AB161" s="180"/>
      <c r="AC161" s="183"/>
      <c r="AD161" s="183"/>
      <c r="AE161" s="180"/>
      <c r="AF161" s="184"/>
      <c r="AG161" s="185"/>
      <c r="AH161" s="186"/>
      <c r="AI161" s="187"/>
      <c r="AJ161" s="187"/>
      <c r="AK161" s="188"/>
      <c r="AL161" s="189"/>
      <c r="AM161" s="188"/>
      <c r="AN161" s="181"/>
    </row>
    <row r="162" spans="1:40" ht="26.25" customHeight="1">
      <c r="A162" s="177"/>
      <c r="B162" s="178"/>
      <c r="C162" s="179"/>
      <c r="D162" s="180"/>
      <c r="E162" s="180"/>
      <c r="F162" s="180"/>
      <c r="G162" s="180"/>
      <c r="H162" s="180"/>
      <c r="I162" s="181"/>
      <c r="J162" s="180"/>
      <c r="K162" s="180"/>
      <c r="L162" s="180"/>
      <c r="M162" s="180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1"/>
      <c r="Y162" s="180"/>
      <c r="Z162" s="183"/>
      <c r="AA162" s="183"/>
      <c r="AB162" s="180"/>
      <c r="AC162" s="183"/>
      <c r="AD162" s="183"/>
      <c r="AE162" s="180"/>
      <c r="AF162" s="184"/>
      <c r="AG162" s="185"/>
      <c r="AH162" s="186"/>
      <c r="AI162" s="187"/>
      <c r="AJ162" s="187"/>
      <c r="AK162" s="188"/>
      <c r="AL162" s="189"/>
      <c r="AM162" s="188"/>
      <c r="AN162" s="181"/>
    </row>
    <row r="163" spans="1:40" ht="26.25" customHeight="1">
      <c r="A163" s="177"/>
      <c r="B163" s="178"/>
      <c r="C163" s="179"/>
      <c r="D163" s="180"/>
      <c r="E163" s="180"/>
      <c r="F163" s="180"/>
      <c r="G163" s="180"/>
      <c r="H163" s="180"/>
      <c r="I163" s="181"/>
      <c r="J163" s="180"/>
      <c r="K163" s="180"/>
      <c r="L163" s="180"/>
      <c r="M163" s="180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1"/>
      <c r="Y163" s="180"/>
      <c r="Z163" s="183"/>
      <c r="AA163" s="183"/>
      <c r="AB163" s="180"/>
      <c r="AC163" s="183"/>
      <c r="AD163" s="183"/>
      <c r="AE163" s="180"/>
      <c r="AF163" s="184"/>
      <c r="AG163" s="185"/>
      <c r="AH163" s="186"/>
      <c r="AI163" s="187"/>
      <c r="AJ163" s="187"/>
      <c r="AK163" s="188"/>
      <c r="AL163" s="189"/>
      <c r="AM163" s="188"/>
      <c r="AN163" s="181"/>
    </row>
    <row r="164" spans="1:40" ht="26.25" customHeight="1">
      <c r="A164" s="177"/>
      <c r="B164" s="178"/>
      <c r="C164" s="179"/>
      <c r="D164" s="180"/>
      <c r="E164" s="180"/>
      <c r="F164" s="180"/>
      <c r="G164" s="180"/>
      <c r="H164" s="180"/>
      <c r="I164" s="181"/>
      <c r="J164" s="180"/>
      <c r="K164" s="180"/>
      <c r="L164" s="180"/>
      <c r="M164" s="180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1"/>
      <c r="Y164" s="180"/>
      <c r="Z164" s="183"/>
      <c r="AA164" s="183"/>
      <c r="AB164" s="180"/>
      <c r="AC164" s="183"/>
      <c r="AD164" s="183"/>
      <c r="AE164" s="180"/>
      <c r="AF164" s="184"/>
      <c r="AG164" s="185"/>
      <c r="AH164" s="186"/>
      <c r="AI164" s="187"/>
      <c r="AJ164" s="187"/>
      <c r="AK164" s="188"/>
      <c r="AL164" s="189"/>
      <c r="AM164" s="188"/>
      <c r="AN164" s="181"/>
    </row>
    <row r="165" spans="1:40" ht="26.25" customHeight="1">
      <c r="A165" s="177"/>
      <c r="B165" s="178"/>
      <c r="C165" s="179"/>
      <c r="D165" s="180"/>
      <c r="E165" s="180"/>
      <c r="F165" s="180"/>
      <c r="G165" s="180"/>
      <c r="H165" s="180"/>
      <c r="I165" s="181"/>
      <c r="J165" s="180"/>
      <c r="K165" s="180"/>
      <c r="L165" s="180"/>
      <c r="M165" s="180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1"/>
      <c r="Y165" s="180"/>
      <c r="Z165" s="183"/>
      <c r="AA165" s="183"/>
      <c r="AB165" s="180"/>
      <c r="AC165" s="183"/>
      <c r="AD165" s="183"/>
      <c r="AE165" s="180"/>
      <c r="AF165" s="184"/>
      <c r="AG165" s="185"/>
      <c r="AH165" s="186"/>
      <c r="AI165" s="187"/>
      <c r="AJ165" s="187"/>
      <c r="AK165" s="188"/>
      <c r="AL165" s="189"/>
      <c r="AM165" s="188"/>
      <c r="AN165" s="181"/>
    </row>
    <row r="166" spans="1:40" ht="26.25" customHeight="1">
      <c r="A166" s="177"/>
      <c r="B166" s="178"/>
      <c r="C166" s="179"/>
      <c r="D166" s="180"/>
      <c r="E166" s="180"/>
      <c r="F166" s="180"/>
      <c r="G166" s="180"/>
      <c r="H166" s="180"/>
      <c r="I166" s="181"/>
      <c r="J166" s="180"/>
      <c r="K166" s="180"/>
      <c r="L166" s="180"/>
      <c r="M166" s="180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1"/>
      <c r="Y166" s="180"/>
      <c r="Z166" s="183"/>
      <c r="AA166" s="183"/>
      <c r="AB166" s="180"/>
      <c r="AC166" s="183"/>
      <c r="AD166" s="183"/>
      <c r="AE166" s="180"/>
      <c r="AF166" s="184"/>
      <c r="AG166" s="185"/>
      <c r="AH166" s="186"/>
      <c r="AI166" s="187"/>
      <c r="AJ166" s="187"/>
      <c r="AK166" s="188"/>
      <c r="AL166" s="189"/>
      <c r="AM166" s="188"/>
      <c r="AN166" s="181"/>
    </row>
    <row r="167" spans="1:40" ht="26.25" customHeight="1">
      <c r="A167" s="177"/>
      <c r="B167" s="178"/>
      <c r="C167" s="179"/>
      <c r="D167" s="180"/>
      <c r="E167" s="180"/>
      <c r="F167" s="180"/>
      <c r="G167" s="180"/>
      <c r="H167" s="180"/>
      <c r="I167" s="181"/>
      <c r="J167" s="180"/>
      <c r="K167" s="180"/>
      <c r="L167" s="180"/>
      <c r="M167" s="180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1"/>
      <c r="Y167" s="180"/>
      <c r="Z167" s="183"/>
      <c r="AA167" s="183"/>
      <c r="AB167" s="180"/>
      <c r="AC167" s="183"/>
      <c r="AD167" s="183"/>
      <c r="AE167" s="180"/>
      <c r="AF167" s="184"/>
      <c r="AG167" s="185"/>
      <c r="AH167" s="186"/>
      <c r="AI167" s="187"/>
      <c r="AJ167" s="187"/>
      <c r="AK167" s="188"/>
      <c r="AL167" s="189"/>
      <c r="AM167" s="188"/>
      <c r="AN167" s="181"/>
    </row>
    <row r="168" spans="1:40" ht="26.25" customHeight="1">
      <c r="A168" s="177"/>
      <c r="B168" s="178"/>
      <c r="C168" s="179"/>
      <c r="D168" s="180"/>
      <c r="E168" s="180"/>
      <c r="F168" s="180"/>
      <c r="G168" s="180"/>
      <c r="H168" s="180"/>
      <c r="I168" s="181"/>
      <c r="J168" s="180"/>
      <c r="K168" s="180"/>
      <c r="L168" s="180"/>
      <c r="M168" s="180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1"/>
      <c r="Y168" s="180"/>
      <c r="Z168" s="183"/>
      <c r="AA168" s="183"/>
      <c r="AB168" s="180"/>
      <c r="AC168" s="183"/>
      <c r="AD168" s="183"/>
      <c r="AE168" s="180"/>
      <c r="AF168" s="184"/>
      <c r="AG168" s="185"/>
      <c r="AH168" s="186"/>
      <c r="AI168" s="187"/>
      <c r="AJ168" s="187"/>
      <c r="AK168" s="188"/>
      <c r="AL168" s="189"/>
      <c r="AM168" s="188"/>
      <c r="AN168" s="181"/>
    </row>
    <row r="169" spans="1:40" ht="26.25" customHeight="1">
      <c r="A169" s="177"/>
      <c r="B169" s="178"/>
      <c r="C169" s="179"/>
      <c r="D169" s="180"/>
      <c r="E169" s="180"/>
      <c r="F169" s="180"/>
      <c r="G169" s="180"/>
      <c r="H169" s="180"/>
      <c r="I169" s="181"/>
      <c r="J169" s="180"/>
      <c r="K169" s="180"/>
      <c r="L169" s="180"/>
      <c r="M169" s="180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1"/>
      <c r="Y169" s="180"/>
      <c r="Z169" s="183"/>
      <c r="AA169" s="183"/>
      <c r="AB169" s="180"/>
      <c r="AC169" s="183"/>
      <c r="AD169" s="183"/>
      <c r="AE169" s="180"/>
      <c r="AF169" s="184"/>
      <c r="AG169" s="185"/>
      <c r="AH169" s="186"/>
      <c r="AI169" s="187"/>
      <c r="AJ169" s="187"/>
      <c r="AK169" s="188"/>
      <c r="AL169" s="189"/>
      <c r="AM169" s="188"/>
      <c r="AN169" s="181"/>
    </row>
    <row r="170" spans="1:40" ht="26.25" customHeight="1">
      <c r="A170" s="177"/>
      <c r="B170" s="178"/>
      <c r="C170" s="179"/>
      <c r="D170" s="180"/>
      <c r="E170" s="180"/>
      <c r="F170" s="180"/>
      <c r="G170" s="180"/>
      <c r="H170" s="180"/>
      <c r="I170" s="181"/>
      <c r="J170" s="180"/>
      <c r="K170" s="180"/>
      <c r="L170" s="180"/>
      <c r="M170" s="180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1"/>
      <c r="Y170" s="180"/>
      <c r="Z170" s="183"/>
      <c r="AA170" s="183"/>
      <c r="AB170" s="180"/>
      <c r="AC170" s="183"/>
      <c r="AD170" s="183"/>
      <c r="AE170" s="180"/>
      <c r="AF170" s="184"/>
      <c r="AG170" s="185"/>
      <c r="AH170" s="186"/>
      <c r="AI170" s="187"/>
      <c r="AJ170" s="187"/>
      <c r="AK170" s="188"/>
      <c r="AL170" s="189"/>
      <c r="AM170" s="188"/>
      <c r="AN170" s="181"/>
    </row>
    <row r="171" spans="1:40" ht="26.25" customHeight="1">
      <c r="A171" s="177"/>
      <c r="B171" s="178"/>
      <c r="C171" s="179"/>
      <c r="D171" s="180"/>
      <c r="E171" s="180"/>
      <c r="F171" s="180"/>
      <c r="G171" s="180"/>
      <c r="H171" s="180"/>
      <c r="I171" s="181"/>
      <c r="J171" s="180"/>
      <c r="K171" s="180"/>
      <c r="L171" s="180"/>
      <c r="M171" s="180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1"/>
      <c r="Y171" s="180"/>
      <c r="Z171" s="183"/>
      <c r="AA171" s="183"/>
      <c r="AB171" s="180"/>
      <c r="AC171" s="183"/>
      <c r="AD171" s="183"/>
      <c r="AE171" s="180"/>
      <c r="AF171" s="184"/>
      <c r="AG171" s="185"/>
      <c r="AH171" s="186"/>
      <c r="AI171" s="187"/>
      <c r="AJ171" s="187"/>
      <c r="AK171" s="188"/>
      <c r="AL171" s="189"/>
      <c r="AM171" s="188"/>
      <c r="AN171" s="181"/>
    </row>
    <row r="172" spans="1:40" ht="26.25" customHeight="1">
      <c r="A172" s="177"/>
      <c r="B172" s="178"/>
      <c r="C172" s="179"/>
      <c r="D172" s="180"/>
      <c r="E172" s="180"/>
      <c r="F172" s="180"/>
      <c r="G172" s="180"/>
      <c r="H172" s="180"/>
      <c r="I172" s="181"/>
      <c r="J172" s="180"/>
      <c r="K172" s="180"/>
      <c r="L172" s="180"/>
      <c r="M172" s="180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1"/>
      <c r="Y172" s="180"/>
      <c r="Z172" s="183"/>
      <c r="AA172" s="183"/>
      <c r="AB172" s="180"/>
      <c r="AC172" s="183"/>
      <c r="AD172" s="183"/>
      <c r="AE172" s="180"/>
      <c r="AF172" s="184"/>
      <c r="AG172" s="185"/>
      <c r="AH172" s="186"/>
      <c r="AI172" s="187"/>
      <c r="AJ172" s="187"/>
      <c r="AK172" s="188"/>
      <c r="AL172" s="189"/>
      <c r="AM172" s="188"/>
      <c r="AN172" s="181"/>
    </row>
    <row r="173" spans="1:40" ht="26.25" customHeight="1">
      <c r="A173" s="177"/>
      <c r="B173" s="178"/>
      <c r="C173" s="179"/>
      <c r="D173" s="180"/>
      <c r="E173" s="180"/>
      <c r="F173" s="180"/>
      <c r="G173" s="180"/>
      <c r="H173" s="180"/>
      <c r="I173" s="181"/>
      <c r="J173" s="180"/>
      <c r="K173" s="180"/>
      <c r="L173" s="180"/>
      <c r="M173" s="180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1"/>
      <c r="Y173" s="180"/>
      <c r="Z173" s="183"/>
      <c r="AA173" s="183"/>
      <c r="AB173" s="180"/>
      <c r="AC173" s="183"/>
      <c r="AD173" s="183"/>
      <c r="AE173" s="180"/>
      <c r="AF173" s="184"/>
      <c r="AG173" s="185"/>
      <c r="AH173" s="186"/>
      <c r="AI173" s="187"/>
      <c r="AJ173" s="187"/>
      <c r="AK173" s="188"/>
      <c r="AL173" s="189"/>
      <c r="AM173" s="188"/>
      <c r="AN173" s="181"/>
    </row>
    <row r="174" spans="1:40" ht="26.25" customHeight="1">
      <c r="A174" s="177"/>
      <c r="B174" s="178"/>
      <c r="C174" s="179"/>
      <c r="D174" s="180"/>
      <c r="E174" s="180"/>
      <c r="F174" s="180"/>
      <c r="G174" s="180"/>
      <c r="H174" s="180"/>
      <c r="I174" s="181"/>
      <c r="J174" s="180"/>
      <c r="K174" s="180"/>
      <c r="L174" s="180"/>
      <c r="M174" s="180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1"/>
      <c r="Y174" s="180"/>
      <c r="Z174" s="183"/>
      <c r="AA174" s="183"/>
      <c r="AB174" s="180"/>
      <c r="AC174" s="183"/>
      <c r="AD174" s="183"/>
      <c r="AE174" s="180"/>
      <c r="AF174" s="184"/>
      <c r="AG174" s="185"/>
      <c r="AH174" s="186"/>
      <c r="AI174" s="187"/>
      <c r="AJ174" s="187"/>
      <c r="AK174" s="188"/>
      <c r="AL174" s="189"/>
      <c r="AM174" s="188"/>
      <c r="AN174" s="181"/>
    </row>
    <row r="175" spans="1:40" ht="26.25" customHeight="1">
      <c r="A175" s="177"/>
      <c r="B175" s="178"/>
      <c r="C175" s="179"/>
      <c r="D175" s="180"/>
      <c r="E175" s="180"/>
      <c r="F175" s="180"/>
      <c r="G175" s="180"/>
      <c r="H175" s="180"/>
      <c r="I175" s="181"/>
      <c r="J175" s="180"/>
      <c r="K175" s="180"/>
      <c r="L175" s="180"/>
      <c r="M175" s="180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1"/>
      <c r="Y175" s="180"/>
      <c r="Z175" s="183"/>
      <c r="AA175" s="183"/>
      <c r="AB175" s="180"/>
      <c r="AC175" s="183"/>
      <c r="AD175" s="183"/>
      <c r="AE175" s="180"/>
      <c r="AF175" s="184"/>
      <c r="AG175" s="185"/>
      <c r="AH175" s="186"/>
      <c r="AI175" s="187"/>
      <c r="AJ175" s="187"/>
      <c r="AK175" s="188"/>
      <c r="AL175" s="189"/>
      <c r="AM175" s="188"/>
      <c r="AN175" s="181"/>
    </row>
    <row r="176" spans="1:40" ht="26.25" customHeight="1">
      <c r="A176" s="177"/>
      <c r="B176" s="178"/>
      <c r="C176" s="179"/>
      <c r="D176" s="180"/>
      <c r="E176" s="180"/>
      <c r="F176" s="180"/>
      <c r="G176" s="180"/>
      <c r="H176" s="180"/>
      <c r="I176" s="181"/>
      <c r="J176" s="180"/>
      <c r="K176" s="180"/>
      <c r="L176" s="180"/>
      <c r="M176" s="180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1"/>
      <c r="Y176" s="180"/>
      <c r="Z176" s="183"/>
      <c r="AA176" s="183"/>
      <c r="AB176" s="180"/>
      <c r="AC176" s="183"/>
      <c r="AD176" s="183"/>
      <c r="AE176" s="180"/>
      <c r="AF176" s="184"/>
      <c r="AG176" s="185"/>
      <c r="AH176" s="186"/>
      <c r="AI176" s="187"/>
      <c r="AJ176" s="187"/>
      <c r="AK176" s="188"/>
      <c r="AL176" s="189"/>
      <c r="AM176" s="188"/>
      <c r="AN176" s="181"/>
    </row>
    <row r="177" spans="1:40" ht="26.25" customHeight="1">
      <c r="A177" s="177"/>
      <c r="B177" s="178"/>
      <c r="C177" s="179"/>
      <c r="D177" s="180"/>
      <c r="E177" s="180"/>
      <c r="F177" s="180"/>
      <c r="G177" s="180"/>
      <c r="H177" s="180"/>
      <c r="I177" s="181"/>
      <c r="J177" s="180"/>
      <c r="K177" s="180"/>
      <c r="L177" s="180"/>
      <c r="M177" s="180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1"/>
      <c r="Y177" s="180"/>
      <c r="Z177" s="183"/>
      <c r="AA177" s="183"/>
      <c r="AB177" s="180"/>
      <c r="AC177" s="183"/>
      <c r="AD177" s="183"/>
      <c r="AE177" s="180"/>
      <c r="AF177" s="184"/>
      <c r="AG177" s="185"/>
      <c r="AH177" s="186"/>
      <c r="AI177" s="187"/>
      <c r="AJ177" s="187"/>
      <c r="AK177" s="188"/>
      <c r="AL177" s="189"/>
      <c r="AM177" s="188"/>
      <c r="AN177" s="181"/>
    </row>
    <row r="178" spans="1:40" ht="26.25" customHeight="1">
      <c r="A178" s="177"/>
      <c r="B178" s="178"/>
      <c r="C178" s="179"/>
      <c r="D178" s="180"/>
      <c r="E178" s="180"/>
      <c r="F178" s="180"/>
      <c r="G178" s="180"/>
      <c r="H178" s="180"/>
      <c r="I178" s="181"/>
      <c r="J178" s="180"/>
      <c r="K178" s="180"/>
      <c r="L178" s="180"/>
      <c r="M178" s="180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1"/>
      <c r="Y178" s="180"/>
      <c r="Z178" s="183"/>
      <c r="AA178" s="183"/>
      <c r="AB178" s="180"/>
      <c r="AC178" s="183"/>
      <c r="AD178" s="183"/>
      <c r="AE178" s="180"/>
      <c r="AF178" s="184"/>
      <c r="AG178" s="185"/>
      <c r="AH178" s="186"/>
      <c r="AI178" s="187"/>
      <c r="AJ178" s="187"/>
      <c r="AK178" s="188"/>
      <c r="AL178" s="189"/>
      <c r="AM178" s="188"/>
      <c r="AN178" s="181"/>
    </row>
    <row r="179" spans="1:40" ht="26.25" customHeight="1">
      <c r="A179" s="177"/>
      <c r="B179" s="178"/>
      <c r="C179" s="179"/>
      <c r="D179" s="180"/>
      <c r="E179" s="180"/>
      <c r="F179" s="180"/>
      <c r="G179" s="180"/>
      <c r="H179" s="180"/>
      <c r="I179" s="181"/>
      <c r="J179" s="180"/>
      <c r="K179" s="180"/>
      <c r="L179" s="180"/>
      <c r="M179" s="180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1"/>
      <c r="Y179" s="180"/>
      <c r="Z179" s="183"/>
      <c r="AA179" s="183"/>
      <c r="AB179" s="180"/>
      <c r="AC179" s="183"/>
      <c r="AD179" s="183"/>
      <c r="AE179" s="180"/>
      <c r="AF179" s="184"/>
      <c r="AG179" s="185"/>
      <c r="AH179" s="186"/>
      <c r="AI179" s="187"/>
      <c r="AJ179" s="187"/>
      <c r="AK179" s="188"/>
      <c r="AL179" s="189"/>
      <c r="AM179" s="188"/>
      <c r="AN179" s="181"/>
    </row>
    <row r="180" spans="1:40" ht="26.25" customHeight="1">
      <c r="A180" s="177"/>
      <c r="B180" s="178"/>
      <c r="C180" s="179"/>
      <c r="D180" s="180"/>
      <c r="E180" s="180"/>
      <c r="F180" s="180"/>
      <c r="G180" s="180"/>
      <c r="H180" s="180"/>
      <c r="I180" s="181"/>
      <c r="J180" s="180"/>
      <c r="K180" s="180"/>
      <c r="L180" s="180"/>
      <c r="M180" s="180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1"/>
      <c r="Y180" s="180"/>
      <c r="Z180" s="183"/>
      <c r="AA180" s="183"/>
      <c r="AB180" s="180"/>
      <c r="AC180" s="183"/>
      <c r="AD180" s="183"/>
      <c r="AE180" s="180"/>
      <c r="AF180" s="184"/>
      <c r="AG180" s="185"/>
      <c r="AH180" s="186"/>
      <c r="AI180" s="187"/>
      <c r="AJ180" s="187"/>
      <c r="AK180" s="188"/>
      <c r="AL180" s="189"/>
      <c r="AM180" s="188"/>
      <c r="AN180" s="181"/>
    </row>
    <row r="181" spans="1:40" ht="26.25" customHeight="1">
      <c r="A181" s="177"/>
      <c r="B181" s="178"/>
      <c r="C181" s="179"/>
      <c r="D181" s="180"/>
      <c r="E181" s="180"/>
      <c r="F181" s="180"/>
      <c r="G181" s="180"/>
      <c r="H181" s="180"/>
      <c r="I181" s="181"/>
      <c r="J181" s="180"/>
      <c r="K181" s="180"/>
      <c r="L181" s="180"/>
      <c r="M181" s="180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1"/>
      <c r="Y181" s="180"/>
      <c r="Z181" s="183"/>
      <c r="AA181" s="183"/>
      <c r="AB181" s="180"/>
      <c r="AC181" s="183"/>
      <c r="AD181" s="183"/>
      <c r="AE181" s="180"/>
      <c r="AF181" s="184"/>
      <c r="AG181" s="185"/>
      <c r="AH181" s="186"/>
      <c r="AI181" s="187"/>
      <c r="AJ181" s="187"/>
      <c r="AK181" s="188"/>
      <c r="AL181" s="189"/>
      <c r="AM181" s="188"/>
      <c r="AN181" s="181"/>
    </row>
    <row r="182" spans="1:40" ht="26.25" customHeight="1">
      <c r="A182" s="177"/>
      <c r="B182" s="178"/>
      <c r="C182" s="179"/>
      <c r="D182" s="180"/>
      <c r="E182" s="180"/>
      <c r="F182" s="180"/>
      <c r="G182" s="180"/>
      <c r="H182" s="180"/>
      <c r="I182" s="181"/>
      <c r="J182" s="180"/>
      <c r="K182" s="180"/>
      <c r="L182" s="180"/>
      <c r="M182" s="180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1"/>
      <c r="Y182" s="180"/>
      <c r="Z182" s="183"/>
      <c r="AA182" s="183"/>
      <c r="AB182" s="180"/>
      <c r="AC182" s="183"/>
      <c r="AD182" s="183"/>
      <c r="AE182" s="180"/>
      <c r="AF182" s="184"/>
      <c r="AG182" s="185"/>
      <c r="AH182" s="186"/>
      <c r="AI182" s="187"/>
      <c r="AJ182" s="187"/>
      <c r="AK182" s="188"/>
      <c r="AL182" s="189"/>
      <c r="AM182" s="188"/>
      <c r="AN182" s="181"/>
    </row>
    <row r="183" spans="1:40" ht="26.25" customHeight="1">
      <c r="A183" s="177"/>
      <c r="B183" s="178"/>
      <c r="C183" s="179"/>
      <c r="D183" s="180"/>
      <c r="E183" s="180"/>
      <c r="F183" s="180"/>
      <c r="G183" s="180"/>
      <c r="H183" s="180"/>
      <c r="I183" s="181"/>
      <c r="J183" s="180"/>
      <c r="K183" s="180"/>
      <c r="L183" s="180"/>
      <c r="M183" s="180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1"/>
      <c r="Y183" s="180"/>
      <c r="Z183" s="183"/>
      <c r="AA183" s="183"/>
      <c r="AB183" s="180"/>
      <c r="AC183" s="183"/>
      <c r="AD183" s="183"/>
      <c r="AE183" s="180"/>
      <c r="AF183" s="184"/>
      <c r="AG183" s="185"/>
      <c r="AH183" s="186"/>
      <c r="AI183" s="187"/>
      <c r="AJ183" s="187"/>
      <c r="AK183" s="188"/>
      <c r="AL183" s="189"/>
      <c r="AM183" s="188"/>
      <c r="AN183" s="181"/>
    </row>
    <row r="184" spans="1:40" ht="26.25" customHeight="1">
      <c r="A184" s="177"/>
      <c r="B184" s="178"/>
      <c r="C184" s="179"/>
      <c r="D184" s="180"/>
      <c r="E184" s="180"/>
      <c r="F184" s="180"/>
      <c r="G184" s="180"/>
      <c r="H184" s="180"/>
      <c r="I184" s="181"/>
      <c r="J184" s="180"/>
      <c r="K184" s="180"/>
      <c r="L184" s="180"/>
      <c r="M184" s="180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1"/>
      <c r="Y184" s="180"/>
      <c r="Z184" s="183"/>
      <c r="AA184" s="183"/>
      <c r="AB184" s="180"/>
      <c r="AC184" s="183"/>
      <c r="AD184" s="183"/>
      <c r="AE184" s="180"/>
      <c r="AF184" s="184"/>
      <c r="AG184" s="185"/>
      <c r="AH184" s="186"/>
      <c r="AI184" s="187"/>
      <c r="AJ184" s="187"/>
      <c r="AK184" s="188"/>
      <c r="AL184" s="189"/>
      <c r="AM184" s="188"/>
      <c r="AN184" s="181"/>
    </row>
    <row r="185" spans="1:40" ht="26.25" customHeight="1">
      <c r="A185" s="177"/>
      <c r="B185" s="178"/>
      <c r="C185" s="179"/>
      <c r="D185" s="180"/>
      <c r="E185" s="180"/>
      <c r="F185" s="180"/>
      <c r="G185" s="180"/>
      <c r="H185" s="180"/>
      <c r="I185" s="181"/>
      <c r="J185" s="180"/>
      <c r="K185" s="180"/>
      <c r="L185" s="180"/>
      <c r="M185" s="180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1"/>
      <c r="Y185" s="180"/>
      <c r="Z185" s="183"/>
      <c r="AA185" s="183"/>
      <c r="AB185" s="180"/>
      <c r="AC185" s="183"/>
      <c r="AD185" s="183"/>
      <c r="AE185" s="180"/>
      <c r="AF185" s="184"/>
      <c r="AG185" s="185"/>
      <c r="AH185" s="186"/>
      <c r="AI185" s="187"/>
      <c r="AJ185" s="187"/>
      <c r="AK185" s="188"/>
      <c r="AL185" s="189"/>
      <c r="AM185" s="188"/>
      <c r="AN185" s="181"/>
    </row>
    <row r="186" spans="1:40" ht="26.25" customHeight="1">
      <c r="A186" s="177"/>
      <c r="B186" s="178"/>
      <c r="C186" s="179"/>
      <c r="D186" s="180"/>
      <c r="E186" s="180"/>
      <c r="F186" s="180"/>
      <c r="G186" s="180"/>
      <c r="H186" s="180"/>
      <c r="I186" s="181"/>
      <c r="J186" s="180"/>
      <c r="K186" s="180"/>
      <c r="L186" s="180"/>
      <c r="M186" s="180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1"/>
      <c r="Y186" s="180"/>
      <c r="Z186" s="183"/>
      <c r="AA186" s="183"/>
      <c r="AB186" s="180"/>
      <c r="AC186" s="183"/>
      <c r="AD186" s="183"/>
      <c r="AE186" s="180"/>
      <c r="AF186" s="184"/>
      <c r="AG186" s="185"/>
      <c r="AH186" s="186"/>
      <c r="AI186" s="187"/>
      <c r="AJ186" s="187"/>
      <c r="AK186" s="188"/>
      <c r="AL186" s="189"/>
      <c r="AM186" s="188"/>
      <c r="AN186" s="181"/>
    </row>
    <row r="187" spans="1:40" ht="26.25" customHeight="1">
      <c r="A187" s="177"/>
      <c r="B187" s="178"/>
      <c r="C187" s="179"/>
      <c r="D187" s="180"/>
      <c r="E187" s="180"/>
      <c r="F187" s="180"/>
      <c r="G187" s="180"/>
      <c r="H187" s="180"/>
      <c r="I187" s="181"/>
      <c r="J187" s="180"/>
      <c r="K187" s="180"/>
      <c r="L187" s="180"/>
      <c r="M187" s="180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1"/>
      <c r="Y187" s="180"/>
      <c r="Z187" s="183"/>
      <c r="AA187" s="183"/>
      <c r="AB187" s="180"/>
      <c r="AC187" s="183"/>
      <c r="AD187" s="183"/>
      <c r="AE187" s="180"/>
      <c r="AF187" s="184"/>
      <c r="AG187" s="185"/>
      <c r="AH187" s="186"/>
      <c r="AI187" s="187"/>
      <c r="AJ187" s="187"/>
      <c r="AK187" s="188"/>
      <c r="AL187" s="189"/>
      <c r="AM187" s="188"/>
      <c r="AN187" s="181"/>
    </row>
    <row r="188" spans="1:40" ht="26.25" customHeight="1">
      <c r="A188" s="177"/>
      <c r="B188" s="178"/>
      <c r="C188" s="179"/>
      <c r="D188" s="180"/>
      <c r="E188" s="180"/>
      <c r="F188" s="180"/>
      <c r="G188" s="180"/>
      <c r="H188" s="180"/>
      <c r="I188" s="181"/>
      <c r="J188" s="180"/>
      <c r="K188" s="180"/>
      <c r="L188" s="180"/>
      <c r="M188" s="180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1"/>
      <c r="Y188" s="180"/>
      <c r="Z188" s="183"/>
      <c r="AA188" s="183"/>
      <c r="AB188" s="180"/>
      <c r="AC188" s="183"/>
      <c r="AD188" s="183"/>
      <c r="AE188" s="180"/>
      <c r="AF188" s="184"/>
      <c r="AG188" s="185"/>
      <c r="AH188" s="186"/>
      <c r="AI188" s="187"/>
      <c r="AJ188" s="187"/>
      <c r="AK188" s="188"/>
      <c r="AL188" s="189"/>
      <c r="AM188" s="188"/>
      <c r="AN188" s="181"/>
    </row>
    <row r="189" spans="1:40" ht="26.25" customHeight="1">
      <c r="A189" s="177"/>
      <c r="B189" s="178"/>
      <c r="C189" s="179"/>
      <c r="D189" s="180"/>
      <c r="E189" s="180"/>
      <c r="F189" s="180"/>
      <c r="G189" s="180"/>
      <c r="H189" s="180"/>
      <c r="I189" s="181"/>
      <c r="J189" s="180"/>
      <c r="K189" s="180"/>
      <c r="L189" s="180"/>
      <c r="M189" s="180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1"/>
      <c r="Y189" s="180"/>
      <c r="Z189" s="183"/>
      <c r="AA189" s="183"/>
      <c r="AB189" s="180"/>
      <c r="AC189" s="183"/>
      <c r="AD189" s="183"/>
      <c r="AE189" s="180"/>
      <c r="AF189" s="184"/>
      <c r="AG189" s="185"/>
      <c r="AH189" s="186"/>
      <c r="AI189" s="187"/>
      <c r="AJ189" s="187"/>
      <c r="AK189" s="188"/>
      <c r="AL189" s="189"/>
      <c r="AM189" s="188"/>
      <c r="AN189" s="181"/>
    </row>
    <row r="190" spans="1:40" ht="26.25" customHeight="1">
      <c r="A190" s="177"/>
      <c r="B190" s="178"/>
      <c r="C190" s="179"/>
      <c r="D190" s="180"/>
      <c r="E190" s="180"/>
      <c r="F190" s="180"/>
      <c r="G190" s="180"/>
      <c r="H190" s="180"/>
      <c r="I190" s="181"/>
      <c r="J190" s="180"/>
      <c r="K190" s="180"/>
      <c r="L190" s="180"/>
      <c r="M190" s="180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1"/>
      <c r="Y190" s="180"/>
      <c r="Z190" s="183"/>
      <c r="AA190" s="183"/>
      <c r="AB190" s="180"/>
      <c r="AC190" s="183"/>
      <c r="AD190" s="183"/>
      <c r="AE190" s="180"/>
      <c r="AF190" s="184"/>
      <c r="AG190" s="185"/>
      <c r="AH190" s="186"/>
      <c r="AI190" s="187"/>
      <c r="AJ190" s="187"/>
      <c r="AK190" s="188"/>
      <c r="AL190" s="189"/>
      <c r="AM190" s="188"/>
      <c r="AN190" s="181"/>
    </row>
    <row r="191" spans="1:40" ht="26.25" customHeight="1">
      <c r="A191" s="177"/>
      <c r="B191" s="178"/>
      <c r="C191" s="179"/>
      <c r="D191" s="180"/>
      <c r="E191" s="180"/>
      <c r="F191" s="180"/>
      <c r="G191" s="180"/>
      <c r="H191" s="180"/>
      <c r="I191" s="181"/>
      <c r="J191" s="180"/>
      <c r="K191" s="180"/>
      <c r="L191" s="180"/>
      <c r="M191" s="180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1"/>
      <c r="Y191" s="180"/>
      <c r="Z191" s="183"/>
      <c r="AA191" s="183"/>
      <c r="AB191" s="180"/>
      <c r="AC191" s="183"/>
      <c r="AD191" s="183"/>
      <c r="AE191" s="180"/>
      <c r="AF191" s="184"/>
      <c r="AG191" s="185"/>
      <c r="AH191" s="186"/>
      <c r="AI191" s="187"/>
      <c r="AJ191" s="187"/>
      <c r="AK191" s="188"/>
      <c r="AL191" s="189"/>
      <c r="AM191" s="188"/>
      <c r="AN191" s="181"/>
    </row>
    <row r="192" spans="1:40" ht="26.25" customHeight="1">
      <c r="A192" s="177"/>
      <c r="B192" s="178"/>
      <c r="C192" s="179"/>
      <c r="D192" s="180"/>
      <c r="E192" s="180"/>
      <c r="F192" s="180"/>
      <c r="G192" s="180"/>
      <c r="H192" s="180"/>
      <c r="I192" s="181"/>
      <c r="J192" s="180"/>
      <c r="K192" s="180"/>
      <c r="L192" s="180"/>
      <c r="M192" s="180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1"/>
      <c r="Y192" s="180"/>
      <c r="Z192" s="183"/>
      <c r="AA192" s="183"/>
      <c r="AB192" s="180"/>
      <c r="AC192" s="183"/>
      <c r="AD192" s="183"/>
      <c r="AE192" s="180"/>
      <c r="AF192" s="184"/>
      <c r="AG192" s="185"/>
      <c r="AH192" s="186"/>
      <c r="AI192" s="187"/>
      <c r="AJ192" s="187"/>
      <c r="AK192" s="188"/>
      <c r="AL192" s="189"/>
      <c r="AM192" s="188"/>
      <c r="AN192" s="181"/>
    </row>
    <row r="193" spans="1:40" ht="26.25" customHeight="1">
      <c r="A193" s="177"/>
      <c r="B193" s="178"/>
      <c r="C193" s="179"/>
      <c r="D193" s="180"/>
      <c r="E193" s="180"/>
      <c r="F193" s="180"/>
      <c r="G193" s="180"/>
      <c r="H193" s="180"/>
      <c r="I193" s="181"/>
      <c r="J193" s="180"/>
      <c r="K193" s="180"/>
      <c r="L193" s="180"/>
      <c r="M193" s="180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1"/>
      <c r="Y193" s="180"/>
      <c r="Z193" s="183"/>
      <c r="AA193" s="183"/>
      <c r="AB193" s="180"/>
      <c r="AC193" s="183"/>
      <c r="AD193" s="183"/>
      <c r="AE193" s="180"/>
      <c r="AF193" s="184"/>
      <c r="AG193" s="185"/>
      <c r="AH193" s="186"/>
      <c r="AI193" s="187"/>
      <c r="AJ193" s="187"/>
      <c r="AK193" s="188"/>
      <c r="AL193" s="189"/>
      <c r="AM193" s="188"/>
      <c r="AN193" s="181"/>
    </row>
    <row r="194" spans="1:40" ht="26.25" customHeight="1">
      <c r="A194" s="177"/>
      <c r="B194" s="178"/>
      <c r="C194" s="179"/>
      <c r="D194" s="180"/>
      <c r="E194" s="180"/>
      <c r="F194" s="180"/>
      <c r="G194" s="180"/>
      <c r="H194" s="180"/>
      <c r="I194" s="181"/>
      <c r="J194" s="180"/>
      <c r="K194" s="180"/>
      <c r="L194" s="180"/>
      <c r="M194" s="180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1"/>
      <c r="Y194" s="180"/>
      <c r="Z194" s="183"/>
      <c r="AA194" s="183"/>
      <c r="AB194" s="180"/>
      <c r="AC194" s="183"/>
      <c r="AD194" s="183"/>
      <c r="AE194" s="180"/>
      <c r="AF194" s="184"/>
      <c r="AG194" s="185"/>
      <c r="AH194" s="186"/>
      <c r="AI194" s="187"/>
      <c r="AJ194" s="187"/>
      <c r="AK194" s="188"/>
      <c r="AL194" s="189"/>
      <c r="AM194" s="188"/>
      <c r="AN194" s="181"/>
    </row>
    <row r="195" spans="1:40" ht="26.25" customHeight="1">
      <c r="A195" s="177"/>
      <c r="B195" s="178"/>
      <c r="C195" s="179"/>
      <c r="D195" s="180"/>
      <c r="E195" s="180"/>
      <c r="F195" s="180"/>
      <c r="G195" s="180"/>
      <c r="H195" s="180"/>
      <c r="I195" s="181"/>
      <c r="J195" s="180"/>
      <c r="K195" s="180"/>
      <c r="L195" s="180"/>
      <c r="M195" s="180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1"/>
      <c r="Y195" s="180"/>
      <c r="Z195" s="183"/>
      <c r="AA195" s="183"/>
      <c r="AB195" s="180"/>
      <c r="AC195" s="183"/>
      <c r="AD195" s="183"/>
      <c r="AE195" s="180"/>
      <c r="AF195" s="184"/>
      <c r="AG195" s="185"/>
      <c r="AH195" s="186"/>
      <c r="AI195" s="187"/>
      <c r="AJ195" s="187"/>
      <c r="AK195" s="188"/>
      <c r="AL195" s="189"/>
      <c r="AM195" s="188"/>
      <c r="AN195" s="181"/>
    </row>
    <row r="196" spans="1:40" ht="26.25" customHeight="1">
      <c r="A196" s="177"/>
      <c r="B196" s="178"/>
      <c r="C196" s="179"/>
      <c r="D196" s="180"/>
      <c r="E196" s="180"/>
      <c r="F196" s="180"/>
      <c r="G196" s="180"/>
      <c r="H196" s="180"/>
      <c r="I196" s="181"/>
      <c r="J196" s="180"/>
      <c r="K196" s="180"/>
      <c r="L196" s="180"/>
      <c r="M196" s="180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1"/>
      <c r="Y196" s="180"/>
      <c r="Z196" s="183"/>
      <c r="AA196" s="183"/>
      <c r="AB196" s="180"/>
      <c r="AC196" s="183"/>
      <c r="AD196" s="183"/>
      <c r="AE196" s="180"/>
      <c r="AF196" s="184"/>
      <c r="AG196" s="185"/>
      <c r="AH196" s="186"/>
      <c r="AI196" s="187"/>
      <c r="AJ196" s="187"/>
      <c r="AK196" s="188"/>
      <c r="AL196" s="189"/>
      <c r="AM196" s="188"/>
      <c r="AN196" s="181"/>
    </row>
    <row r="197" spans="1:40" ht="26.25" customHeight="1">
      <c r="A197" s="177"/>
      <c r="B197" s="178"/>
      <c r="C197" s="179"/>
      <c r="D197" s="180"/>
      <c r="E197" s="180"/>
      <c r="F197" s="180"/>
      <c r="G197" s="180"/>
      <c r="H197" s="180"/>
      <c r="I197" s="181"/>
      <c r="J197" s="180"/>
      <c r="K197" s="180"/>
      <c r="L197" s="180"/>
      <c r="M197" s="180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1"/>
      <c r="Y197" s="180"/>
      <c r="Z197" s="183"/>
      <c r="AA197" s="183"/>
      <c r="AB197" s="180"/>
      <c r="AC197" s="183"/>
      <c r="AD197" s="183"/>
      <c r="AE197" s="180"/>
      <c r="AF197" s="184"/>
      <c r="AG197" s="185"/>
      <c r="AH197" s="186"/>
      <c r="AI197" s="187"/>
      <c r="AJ197" s="187"/>
      <c r="AK197" s="188"/>
      <c r="AL197" s="189"/>
      <c r="AM197" s="188"/>
      <c r="AN197" s="181"/>
    </row>
    <row r="198" spans="1:40" ht="26.25" customHeight="1">
      <c r="A198" s="177"/>
      <c r="B198" s="178"/>
      <c r="C198" s="179"/>
      <c r="D198" s="180"/>
      <c r="E198" s="180"/>
      <c r="F198" s="180"/>
      <c r="G198" s="180"/>
      <c r="H198" s="180"/>
      <c r="I198" s="181"/>
      <c r="J198" s="180"/>
      <c r="K198" s="180"/>
      <c r="L198" s="180"/>
      <c r="M198" s="180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1"/>
      <c r="Y198" s="180"/>
      <c r="Z198" s="183"/>
      <c r="AA198" s="183"/>
      <c r="AB198" s="180"/>
      <c r="AC198" s="183"/>
      <c r="AD198" s="183"/>
      <c r="AE198" s="180"/>
      <c r="AF198" s="184"/>
      <c r="AG198" s="185"/>
      <c r="AH198" s="186"/>
      <c r="AI198" s="187"/>
      <c r="AJ198" s="187"/>
      <c r="AK198" s="188"/>
      <c r="AL198" s="189"/>
      <c r="AM198" s="188"/>
      <c r="AN198" s="181"/>
    </row>
    <row r="199" spans="1:40" ht="26.25" customHeight="1">
      <c r="A199" s="177"/>
      <c r="B199" s="178"/>
      <c r="C199" s="179"/>
      <c r="D199" s="180"/>
      <c r="E199" s="180"/>
      <c r="F199" s="180"/>
      <c r="G199" s="180"/>
      <c r="H199" s="180"/>
      <c r="I199" s="181"/>
      <c r="J199" s="180"/>
      <c r="K199" s="180"/>
      <c r="L199" s="180"/>
      <c r="M199" s="180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1"/>
      <c r="Y199" s="180"/>
      <c r="Z199" s="183"/>
      <c r="AA199" s="183"/>
      <c r="AB199" s="180"/>
      <c r="AC199" s="183"/>
      <c r="AD199" s="183"/>
      <c r="AE199" s="180"/>
      <c r="AF199" s="184"/>
      <c r="AG199" s="185"/>
      <c r="AH199" s="186"/>
      <c r="AI199" s="187"/>
      <c r="AJ199" s="187"/>
      <c r="AK199" s="188"/>
      <c r="AL199" s="189"/>
      <c r="AM199" s="188"/>
      <c r="AN199" s="181"/>
    </row>
    <row r="200" spans="1:40" ht="26.25" customHeight="1">
      <c r="A200" s="177"/>
      <c r="B200" s="178"/>
      <c r="C200" s="179"/>
      <c r="D200" s="180"/>
      <c r="E200" s="180"/>
      <c r="F200" s="180"/>
      <c r="G200" s="180"/>
      <c r="H200" s="180"/>
      <c r="I200" s="181"/>
      <c r="J200" s="180"/>
      <c r="K200" s="180"/>
      <c r="L200" s="180"/>
      <c r="M200" s="180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1"/>
      <c r="Y200" s="180"/>
      <c r="Z200" s="183"/>
      <c r="AA200" s="183"/>
      <c r="AB200" s="180"/>
      <c r="AC200" s="183"/>
      <c r="AD200" s="183"/>
      <c r="AE200" s="180"/>
      <c r="AF200" s="184"/>
      <c r="AG200" s="185"/>
      <c r="AH200" s="186"/>
      <c r="AI200" s="187"/>
      <c r="AJ200" s="187"/>
      <c r="AK200" s="188"/>
      <c r="AL200" s="189"/>
      <c r="AM200" s="188"/>
      <c r="AN200" s="181"/>
    </row>
    <row r="201" spans="1:40" ht="26.25" customHeight="1">
      <c r="A201" s="177"/>
      <c r="B201" s="178"/>
      <c r="C201" s="179"/>
      <c r="D201" s="180"/>
      <c r="E201" s="180"/>
      <c r="F201" s="180"/>
      <c r="G201" s="180"/>
      <c r="H201" s="180"/>
      <c r="I201" s="181"/>
      <c r="J201" s="180"/>
      <c r="K201" s="180"/>
      <c r="L201" s="180"/>
      <c r="M201" s="180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1"/>
      <c r="Y201" s="180"/>
      <c r="Z201" s="183"/>
      <c r="AA201" s="183"/>
      <c r="AB201" s="180"/>
      <c r="AC201" s="183"/>
      <c r="AD201" s="183"/>
      <c r="AE201" s="180"/>
      <c r="AF201" s="184"/>
      <c r="AG201" s="185"/>
      <c r="AH201" s="186"/>
      <c r="AI201" s="187"/>
      <c r="AJ201" s="187"/>
      <c r="AK201" s="188"/>
      <c r="AL201" s="189"/>
      <c r="AM201" s="188"/>
      <c r="AN201" s="181"/>
    </row>
    <row r="202" spans="1:40" ht="26.25" customHeight="1">
      <c r="A202" s="177"/>
      <c r="B202" s="178"/>
      <c r="C202" s="179"/>
      <c r="D202" s="180"/>
      <c r="E202" s="180"/>
      <c r="F202" s="180"/>
      <c r="G202" s="180"/>
      <c r="H202" s="180"/>
      <c r="I202" s="181"/>
      <c r="J202" s="180"/>
      <c r="K202" s="180"/>
      <c r="L202" s="180"/>
      <c r="M202" s="180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1"/>
      <c r="Y202" s="180"/>
      <c r="Z202" s="183"/>
      <c r="AA202" s="183"/>
      <c r="AB202" s="180"/>
      <c r="AC202" s="183"/>
      <c r="AD202" s="183"/>
      <c r="AE202" s="180"/>
      <c r="AF202" s="184"/>
      <c r="AG202" s="185"/>
      <c r="AH202" s="186"/>
      <c r="AI202" s="187"/>
      <c r="AJ202" s="187"/>
      <c r="AK202" s="188"/>
      <c r="AL202" s="189"/>
      <c r="AM202" s="188"/>
      <c r="AN202" s="181"/>
    </row>
    <row r="203" spans="1:40" ht="26.25" customHeight="1">
      <c r="A203" s="177"/>
      <c r="B203" s="178"/>
      <c r="C203" s="179"/>
      <c r="D203" s="180"/>
      <c r="E203" s="180"/>
      <c r="F203" s="180"/>
      <c r="G203" s="180"/>
      <c r="H203" s="180"/>
      <c r="I203" s="181"/>
      <c r="J203" s="180"/>
      <c r="K203" s="180"/>
      <c r="L203" s="180"/>
      <c r="M203" s="180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1"/>
      <c r="Y203" s="180"/>
      <c r="Z203" s="183"/>
      <c r="AA203" s="183"/>
      <c r="AB203" s="180"/>
      <c r="AC203" s="183"/>
      <c r="AD203" s="183"/>
      <c r="AE203" s="180"/>
      <c r="AF203" s="184"/>
      <c r="AG203" s="185"/>
      <c r="AH203" s="186"/>
      <c r="AI203" s="187"/>
      <c r="AJ203" s="187"/>
      <c r="AK203" s="188"/>
      <c r="AL203" s="189"/>
      <c r="AM203" s="188"/>
      <c r="AN203" s="181"/>
    </row>
    <row r="204" spans="1:40" ht="26.25" customHeight="1">
      <c r="A204" s="177"/>
      <c r="B204" s="178"/>
      <c r="C204" s="179"/>
      <c r="D204" s="180"/>
      <c r="E204" s="180"/>
      <c r="F204" s="180"/>
      <c r="G204" s="180"/>
      <c r="H204" s="180"/>
      <c r="I204" s="181"/>
      <c r="J204" s="180"/>
      <c r="K204" s="180"/>
      <c r="L204" s="180"/>
      <c r="M204" s="180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1"/>
      <c r="Y204" s="180"/>
      <c r="Z204" s="183"/>
      <c r="AA204" s="183"/>
      <c r="AB204" s="180"/>
      <c r="AC204" s="183"/>
      <c r="AD204" s="183"/>
      <c r="AE204" s="180"/>
      <c r="AF204" s="184"/>
      <c r="AG204" s="185"/>
      <c r="AH204" s="186"/>
      <c r="AI204" s="187"/>
      <c r="AJ204" s="187"/>
      <c r="AK204" s="188"/>
      <c r="AL204" s="189"/>
      <c r="AM204" s="188"/>
      <c r="AN204" s="181"/>
    </row>
    <row r="205" spans="1:40" ht="26.25" customHeight="1">
      <c r="A205" s="177"/>
      <c r="B205" s="178"/>
      <c r="C205" s="179"/>
      <c r="D205" s="180"/>
      <c r="E205" s="180"/>
      <c r="F205" s="180"/>
      <c r="G205" s="180"/>
      <c r="H205" s="180"/>
      <c r="I205" s="181"/>
      <c r="J205" s="180"/>
      <c r="K205" s="180"/>
      <c r="L205" s="180"/>
      <c r="M205" s="180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1"/>
      <c r="Y205" s="180"/>
      <c r="Z205" s="183"/>
      <c r="AA205" s="183"/>
      <c r="AB205" s="180"/>
      <c r="AC205" s="183"/>
      <c r="AD205" s="183"/>
      <c r="AE205" s="180"/>
      <c r="AF205" s="184"/>
      <c r="AG205" s="185"/>
      <c r="AH205" s="186"/>
      <c r="AI205" s="187"/>
      <c r="AJ205" s="187"/>
      <c r="AK205" s="188"/>
      <c r="AL205" s="189"/>
      <c r="AM205" s="188"/>
      <c r="AN205" s="181"/>
    </row>
    <row r="206" spans="1:40" ht="26.25" customHeight="1">
      <c r="A206" s="177"/>
      <c r="B206" s="178"/>
      <c r="C206" s="179"/>
      <c r="D206" s="180"/>
      <c r="E206" s="180"/>
      <c r="F206" s="180"/>
      <c r="G206" s="180"/>
      <c r="H206" s="180"/>
      <c r="I206" s="181"/>
      <c r="J206" s="180"/>
      <c r="K206" s="180"/>
      <c r="L206" s="180"/>
      <c r="M206" s="180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1"/>
      <c r="Y206" s="180"/>
      <c r="Z206" s="183"/>
      <c r="AA206" s="183"/>
      <c r="AB206" s="180"/>
      <c r="AC206" s="183"/>
      <c r="AD206" s="183"/>
      <c r="AE206" s="180"/>
      <c r="AF206" s="184"/>
      <c r="AG206" s="185"/>
      <c r="AH206" s="186"/>
      <c r="AI206" s="187"/>
      <c r="AJ206" s="187"/>
      <c r="AK206" s="188"/>
      <c r="AL206" s="189"/>
      <c r="AM206" s="188"/>
      <c r="AN206" s="181"/>
    </row>
    <row r="207" spans="1:40" ht="26.25" customHeight="1">
      <c r="A207" s="177"/>
      <c r="B207" s="178"/>
      <c r="C207" s="179"/>
      <c r="D207" s="180"/>
      <c r="E207" s="180"/>
      <c r="F207" s="180"/>
      <c r="G207" s="180"/>
      <c r="H207" s="180"/>
      <c r="I207" s="181"/>
      <c r="J207" s="180"/>
      <c r="K207" s="180"/>
      <c r="L207" s="180"/>
      <c r="M207" s="180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1"/>
      <c r="Y207" s="180"/>
      <c r="Z207" s="183"/>
      <c r="AA207" s="183"/>
      <c r="AB207" s="180"/>
      <c r="AC207" s="183"/>
      <c r="AD207" s="183"/>
      <c r="AE207" s="180"/>
      <c r="AF207" s="184"/>
      <c r="AG207" s="185"/>
      <c r="AH207" s="186"/>
      <c r="AI207" s="187"/>
      <c r="AJ207" s="187"/>
      <c r="AK207" s="188"/>
      <c r="AL207" s="189"/>
      <c r="AM207" s="188"/>
      <c r="AN207" s="181"/>
    </row>
    <row r="208" spans="1:40" ht="26.25" customHeight="1">
      <c r="A208" s="177"/>
      <c r="B208" s="178"/>
      <c r="C208" s="179"/>
      <c r="D208" s="180"/>
      <c r="E208" s="180"/>
      <c r="F208" s="180"/>
      <c r="G208" s="180"/>
      <c r="H208" s="180"/>
      <c r="I208" s="181"/>
      <c r="J208" s="180"/>
      <c r="K208" s="180"/>
      <c r="L208" s="180"/>
      <c r="M208" s="180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1"/>
      <c r="Y208" s="180"/>
      <c r="Z208" s="183"/>
      <c r="AA208" s="183"/>
      <c r="AB208" s="180"/>
      <c r="AC208" s="183"/>
      <c r="AD208" s="183"/>
      <c r="AE208" s="180"/>
      <c r="AF208" s="184"/>
      <c r="AG208" s="185"/>
      <c r="AH208" s="186"/>
      <c r="AI208" s="187"/>
      <c r="AJ208" s="187"/>
      <c r="AK208" s="188"/>
      <c r="AL208" s="189"/>
      <c r="AM208" s="188"/>
      <c r="AN208" s="181"/>
    </row>
    <row r="209" spans="1:40" ht="26.25" customHeight="1">
      <c r="A209" s="177"/>
      <c r="B209" s="178"/>
      <c r="C209" s="179"/>
      <c r="D209" s="180"/>
      <c r="E209" s="180"/>
      <c r="F209" s="180"/>
      <c r="G209" s="180"/>
      <c r="H209" s="180"/>
      <c r="I209" s="181"/>
      <c r="J209" s="180"/>
      <c r="K209" s="180"/>
      <c r="L209" s="180"/>
      <c r="M209" s="180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1"/>
      <c r="Y209" s="180"/>
      <c r="Z209" s="183"/>
      <c r="AA209" s="183"/>
      <c r="AB209" s="180"/>
      <c r="AC209" s="183"/>
      <c r="AD209" s="183"/>
      <c r="AE209" s="180"/>
      <c r="AF209" s="184"/>
      <c r="AG209" s="185"/>
      <c r="AH209" s="186"/>
      <c r="AI209" s="187"/>
      <c r="AJ209" s="187"/>
      <c r="AK209" s="188"/>
      <c r="AL209" s="189"/>
      <c r="AM209" s="188"/>
      <c r="AN209" s="181"/>
    </row>
    <row r="210" spans="1:40" ht="26.25" customHeight="1">
      <c r="A210" s="177"/>
      <c r="B210" s="178"/>
      <c r="C210" s="179"/>
      <c r="D210" s="180"/>
      <c r="E210" s="180"/>
      <c r="F210" s="180"/>
      <c r="G210" s="180"/>
      <c r="H210" s="180"/>
      <c r="I210" s="181"/>
      <c r="J210" s="180"/>
      <c r="K210" s="180"/>
      <c r="L210" s="180"/>
      <c r="M210" s="180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1"/>
      <c r="Y210" s="180"/>
      <c r="Z210" s="183"/>
      <c r="AA210" s="183"/>
      <c r="AB210" s="180"/>
      <c r="AC210" s="183"/>
      <c r="AD210" s="183"/>
      <c r="AE210" s="180"/>
      <c r="AF210" s="184"/>
      <c r="AG210" s="185"/>
      <c r="AH210" s="186"/>
      <c r="AI210" s="187"/>
      <c r="AJ210" s="187"/>
      <c r="AK210" s="188"/>
      <c r="AL210" s="189"/>
      <c r="AM210" s="188"/>
      <c r="AN210" s="181"/>
    </row>
    <row r="211" spans="1:40" ht="26.25" customHeight="1">
      <c r="A211" s="177"/>
      <c r="B211" s="178"/>
      <c r="C211" s="179"/>
      <c r="D211" s="180"/>
      <c r="E211" s="180"/>
      <c r="F211" s="180"/>
      <c r="G211" s="180"/>
      <c r="H211" s="180"/>
      <c r="I211" s="181"/>
      <c r="J211" s="180"/>
      <c r="K211" s="180"/>
      <c r="L211" s="180"/>
      <c r="M211" s="180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1"/>
      <c r="Y211" s="180"/>
      <c r="Z211" s="183"/>
      <c r="AA211" s="183"/>
      <c r="AB211" s="180"/>
      <c r="AC211" s="183"/>
      <c r="AD211" s="183"/>
      <c r="AE211" s="180"/>
      <c r="AF211" s="184"/>
      <c r="AG211" s="185"/>
      <c r="AH211" s="186"/>
      <c r="AI211" s="187"/>
      <c r="AJ211" s="187"/>
      <c r="AK211" s="188"/>
      <c r="AL211" s="189"/>
      <c r="AM211" s="188"/>
      <c r="AN211" s="181"/>
    </row>
    <row r="212" spans="1:40" ht="26.25" customHeight="1">
      <c r="A212" s="177"/>
      <c r="B212" s="178"/>
      <c r="C212" s="179"/>
      <c r="D212" s="180"/>
      <c r="E212" s="180"/>
      <c r="F212" s="180"/>
      <c r="G212" s="180"/>
      <c r="H212" s="180"/>
      <c r="I212" s="181"/>
      <c r="J212" s="180"/>
      <c r="K212" s="180"/>
      <c r="L212" s="180"/>
      <c r="M212" s="180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1"/>
      <c r="Y212" s="180"/>
      <c r="Z212" s="183"/>
      <c r="AA212" s="183"/>
      <c r="AB212" s="180"/>
      <c r="AC212" s="183"/>
      <c r="AD212" s="183"/>
      <c r="AE212" s="180"/>
      <c r="AF212" s="184"/>
      <c r="AG212" s="185"/>
      <c r="AH212" s="186"/>
      <c r="AI212" s="187"/>
      <c r="AJ212" s="187"/>
      <c r="AK212" s="188"/>
      <c r="AL212" s="189"/>
      <c r="AM212" s="188"/>
      <c r="AN212" s="181"/>
    </row>
    <row r="213" spans="1:40" ht="26.25" customHeight="1">
      <c r="A213" s="177"/>
      <c r="B213" s="178"/>
      <c r="C213" s="179"/>
      <c r="D213" s="180"/>
      <c r="E213" s="180"/>
      <c r="F213" s="180"/>
      <c r="G213" s="180"/>
      <c r="H213" s="180"/>
      <c r="I213" s="181"/>
      <c r="J213" s="180"/>
      <c r="K213" s="180"/>
      <c r="L213" s="180"/>
      <c r="M213" s="180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1"/>
      <c r="Y213" s="180"/>
      <c r="Z213" s="183"/>
      <c r="AA213" s="183"/>
      <c r="AB213" s="180"/>
      <c r="AC213" s="183"/>
      <c r="AD213" s="183"/>
      <c r="AE213" s="180"/>
      <c r="AF213" s="184"/>
      <c r="AG213" s="185"/>
      <c r="AH213" s="186"/>
      <c r="AI213" s="187"/>
      <c r="AJ213" s="187"/>
      <c r="AK213" s="188"/>
      <c r="AL213" s="189"/>
      <c r="AM213" s="188"/>
      <c r="AN213" s="181"/>
    </row>
    <row r="214" spans="1:40" ht="26.25" customHeight="1">
      <c r="A214" s="177"/>
      <c r="B214" s="178"/>
      <c r="C214" s="179"/>
      <c r="D214" s="180"/>
      <c r="E214" s="180"/>
      <c r="F214" s="180"/>
      <c r="G214" s="180"/>
      <c r="H214" s="180"/>
      <c r="I214" s="181"/>
      <c r="J214" s="180"/>
      <c r="K214" s="180"/>
      <c r="L214" s="180"/>
      <c r="M214" s="180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1"/>
      <c r="Y214" s="180"/>
      <c r="Z214" s="183"/>
      <c r="AA214" s="183"/>
      <c r="AB214" s="180"/>
      <c r="AC214" s="183"/>
      <c r="AD214" s="183"/>
      <c r="AE214" s="180"/>
      <c r="AF214" s="184"/>
      <c r="AG214" s="185"/>
      <c r="AH214" s="186"/>
      <c r="AI214" s="187"/>
      <c r="AJ214" s="187"/>
      <c r="AK214" s="188"/>
      <c r="AL214" s="189"/>
      <c r="AM214" s="188"/>
      <c r="AN214" s="181"/>
    </row>
    <row r="215" spans="1:40" ht="26.25" customHeight="1">
      <c r="A215" s="177"/>
      <c r="B215" s="178"/>
      <c r="C215" s="179"/>
      <c r="D215" s="180"/>
      <c r="E215" s="180"/>
      <c r="F215" s="180"/>
      <c r="G215" s="180"/>
      <c r="H215" s="180"/>
      <c r="I215" s="181"/>
      <c r="J215" s="180"/>
      <c r="K215" s="180"/>
      <c r="L215" s="180"/>
      <c r="M215" s="180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1"/>
      <c r="Y215" s="180"/>
      <c r="Z215" s="183"/>
      <c r="AA215" s="183"/>
      <c r="AB215" s="180"/>
      <c r="AC215" s="183"/>
      <c r="AD215" s="183"/>
      <c r="AE215" s="180"/>
      <c r="AF215" s="184"/>
      <c r="AG215" s="185"/>
      <c r="AH215" s="186"/>
      <c r="AI215" s="187"/>
      <c r="AJ215" s="187"/>
      <c r="AK215" s="188"/>
      <c r="AL215" s="189"/>
      <c r="AM215" s="188"/>
      <c r="AN215" s="181"/>
    </row>
    <row r="216" spans="1:40" ht="26.25" customHeight="1">
      <c r="A216" s="177"/>
      <c r="B216" s="178"/>
      <c r="C216" s="179"/>
      <c r="D216" s="180"/>
      <c r="E216" s="180"/>
      <c r="F216" s="180"/>
      <c r="G216" s="180"/>
      <c r="H216" s="180"/>
      <c r="I216" s="181"/>
      <c r="J216" s="180"/>
      <c r="K216" s="180"/>
      <c r="L216" s="180"/>
      <c r="M216" s="180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1"/>
      <c r="Y216" s="180"/>
      <c r="Z216" s="183"/>
      <c r="AA216" s="183"/>
      <c r="AB216" s="180"/>
      <c r="AC216" s="183"/>
      <c r="AD216" s="183"/>
      <c r="AE216" s="180"/>
      <c r="AF216" s="184"/>
      <c r="AG216" s="185"/>
      <c r="AH216" s="186"/>
      <c r="AI216" s="187"/>
      <c r="AJ216" s="187"/>
      <c r="AK216" s="188"/>
      <c r="AL216" s="189"/>
      <c r="AM216" s="188"/>
      <c r="AN216" s="181"/>
    </row>
    <row r="217" spans="1:40" ht="26.25" customHeight="1">
      <c r="A217" s="177"/>
      <c r="B217" s="178"/>
      <c r="C217" s="179"/>
      <c r="D217" s="180"/>
      <c r="E217" s="180"/>
      <c r="F217" s="180"/>
      <c r="G217" s="180"/>
      <c r="H217" s="180"/>
      <c r="I217" s="181"/>
      <c r="J217" s="180"/>
      <c r="K217" s="180"/>
      <c r="L217" s="180"/>
      <c r="M217" s="180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1"/>
      <c r="Y217" s="180"/>
      <c r="Z217" s="183"/>
      <c r="AA217" s="183"/>
      <c r="AB217" s="180"/>
      <c r="AC217" s="183"/>
      <c r="AD217" s="183"/>
      <c r="AE217" s="180"/>
      <c r="AF217" s="184"/>
      <c r="AG217" s="185"/>
      <c r="AH217" s="186"/>
      <c r="AI217" s="187"/>
      <c r="AJ217" s="187"/>
      <c r="AK217" s="188"/>
      <c r="AL217" s="189"/>
      <c r="AM217" s="188"/>
      <c r="AN217" s="181"/>
    </row>
    <row r="218" spans="1:40" ht="26.25" customHeight="1">
      <c r="A218" s="177"/>
      <c r="B218" s="178"/>
      <c r="C218" s="179"/>
      <c r="D218" s="180"/>
      <c r="E218" s="180"/>
      <c r="F218" s="180"/>
      <c r="G218" s="180"/>
      <c r="H218" s="180"/>
      <c r="I218" s="181"/>
      <c r="J218" s="180"/>
      <c r="K218" s="180"/>
      <c r="L218" s="180"/>
      <c r="M218" s="180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1"/>
      <c r="Y218" s="180"/>
      <c r="Z218" s="183"/>
      <c r="AA218" s="183"/>
      <c r="AB218" s="180"/>
      <c r="AC218" s="183"/>
      <c r="AD218" s="183"/>
      <c r="AE218" s="180"/>
      <c r="AF218" s="184"/>
      <c r="AG218" s="185"/>
      <c r="AH218" s="186"/>
      <c r="AI218" s="187"/>
      <c r="AJ218" s="187"/>
      <c r="AK218" s="188"/>
      <c r="AL218" s="189"/>
      <c r="AM218" s="188"/>
      <c r="AN218" s="181"/>
    </row>
    <row r="219" spans="1:40" ht="26.25" customHeight="1">
      <c r="A219" s="177"/>
      <c r="B219" s="178"/>
      <c r="C219" s="179"/>
      <c r="D219" s="180"/>
      <c r="E219" s="180"/>
      <c r="F219" s="180"/>
      <c r="G219" s="180"/>
      <c r="H219" s="180"/>
      <c r="I219" s="181"/>
      <c r="J219" s="180"/>
      <c r="K219" s="180"/>
      <c r="L219" s="180"/>
      <c r="M219" s="180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1"/>
      <c r="Y219" s="180"/>
      <c r="Z219" s="183"/>
      <c r="AA219" s="183"/>
      <c r="AB219" s="180"/>
      <c r="AC219" s="183"/>
      <c r="AD219" s="183"/>
      <c r="AE219" s="180"/>
      <c r="AF219" s="184"/>
      <c r="AG219" s="185"/>
      <c r="AH219" s="186"/>
      <c r="AI219" s="187"/>
      <c r="AJ219" s="187"/>
      <c r="AK219" s="188"/>
      <c r="AL219" s="189"/>
      <c r="AM219" s="188"/>
      <c r="AN219" s="181"/>
    </row>
    <row r="220" spans="1:40" ht="26.25" customHeight="1">
      <c r="A220" s="177"/>
      <c r="B220" s="178"/>
      <c r="C220" s="179"/>
      <c r="D220" s="180"/>
      <c r="E220" s="180"/>
      <c r="F220" s="180"/>
      <c r="G220" s="180"/>
      <c r="H220" s="180"/>
      <c r="I220" s="181"/>
      <c r="J220" s="180"/>
      <c r="K220" s="180"/>
      <c r="L220" s="180"/>
      <c r="M220" s="180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1"/>
      <c r="Y220" s="180"/>
      <c r="Z220" s="183"/>
      <c r="AA220" s="183"/>
      <c r="AB220" s="180"/>
      <c r="AC220" s="183"/>
      <c r="AD220" s="183"/>
      <c r="AE220" s="180"/>
      <c r="AF220" s="184"/>
      <c r="AG220" s="185"/>
      <c r="AH220" s="186"/>
      <c r="AI220" s="187"/>
      <c r="AJ220" s="187"/>
      <c r="AK220" s="188"/>
      <c r="AL220" s="189"/>
      <c r="AM220" s="188"/>
      <c r="AN220" s="181"/>
    </row>
    <row r="221" spans="1:40" ht="26.25" customHeight="1">
      <c r="A221" s="177"/>
      <c r="B221" s="178"/>
      <c r="C221" s="179"/>
      <c r="D221" s="180"/>
      <c r="E221" s="180"/>
      <c r="F221" s="180"/>
      <c r="G221" s="180"/>
      <c r="H221" s="180"/>
      <c r="I221" s="181"/>
      <c r="J221" s="180"/>
      <c r="K221" s="180"/>
      <c r="L221" s="180"/>
      <c r="M221" s="180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1"/>
      <c r="Y221" s="180"/>
      <c r="Z221" s="183"/>
      <c r="AA221" s="183"/>
      <c r="AB221" s="180"/>
      <c r="AC221" s="183"/>
      <c r="AD221" s="183"/>
      <c r="AE221" s="180"/>
      <c r="AF221" s="184"/>
      <c r="AG221" s="185"/>
      <c r="AH221" s="186"/>
      <c r="AI221" s="187"/>
      <c r="AJ221" s="187"/>
      <c r="AK221" s="188"/>
      <c r="AL221" s="189"/>
      <c r="AM221" s="188"/>
      <c r="AN221" s="181"/>
    </row>
    <row r="222" spans="1:40" ht="26.25" customHeight="1">
      <c r="A222" s="177"/>
      <c r="B222" s="178"/>
      <c r="C222" s="179"/>
      <c r="D222" s="180"/>
      <c r="E222" s="180"/>
      <c r="F222" s="180"/>
      <c r="G222" s="180"/>
      <c r="H222" s="180"/>
      <c r="I222" s="181"/>
      <c r="J222" s="180"/>
      <c r="K222" s="180"/>
      <c r="L222" s="180"/>
      <c r="M222" s="180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1"/>
      <c r="Y222" s="180"/>
      <c r="Z222" s="183"/>
      <c r="AA222" s="183"/>
      <c r="AB222" s="180"/>
      <c r="AC222" s="183"/>
      <c r="AD222" s="183"/>
      <c r="AE222" s="180"/>
      <c r="AF222" s="184"/>
      <c r="AG222" s="185"/>
      <c r="AH222" s="186"/>
      <c r="AI222" s="187"/>
      <c r="AJ222" s="187"/>
      <c r="AK222" s="188"/>
      <c r="AL222" s="189"/>
      <c r="AM222" s="188"/>
      <c r="AN222" s="181"/>
    </row>
    <row r="223" spans="1:40" ht="26.25" customHeight="1">
      <c r="A223" s="177"/>
      <c r="B223" s="178"/>
      <c r="C223" s="179"/>
      <c r="D223" s="180"/>
      <c r="E223" s="180"/>
      <c r="F223" s="180"/>
      <c r="G223" s="180"/>
      <c r="H223" s="180"/>
      <c r="I223" s="181"/>
      <c r="J223" s="180"/>
      <c r="K223" s="180"/>
      <c r="L223" s="180"/>
      <c r="M223" s="180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1"/>
      <c r="Y223" s="180"/>
      <c r="Z223" s="183"/>
      <c r="AA223" s="183"/>
      <c r="AB223" s="180"/>
      <c r="AC223" s="183"/>
      <c r="AD223" s="183"/>
      <c r="AE223" s="180"/>
      <c r="AF223" s="184"/>
      <c r="AG223" s="185"/>
      <c r="AH223" s="186"/>
      <c r="AI223" s="187"/>
      <c r="AJ223" s="187"/>
      <c r="AK223" s="188"/>
      <c r="AL223" s="189"/>
      <c r="AM223" s="188"/>
      <c r="AN223" s="181"/>
    </row>
    <row r="224" spans="1:40" ht="26.25" customHeight="1">
      <c r="A224" s="177"/>
      <c r="B224" s="178"/>
      <c r="C224" s="179"/>
      <c r="D224" s="180"/>
      <c r="E224" s="180"/>
      <c r="F224" s="180"/>
      <c r="G224" s="180"/>
      <c r="H224" s="180"/>
      <c r="I224" s="181"/>
      <c r="J224" s="180"/>
      <c r="K224" s="180"/>
      <c r="L224" s="180"/>
      <c r="M224" s="180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1"/>
      <c r="Y224" s="180"/>
      <c r="Z224" s="183"/>
      <c r="AA224" s="183"/>
      <c r="AB224" s="180"/>
      <c r="AC224" s="183"/>
      <c r="AD224" s="183"/>
      <c r="AE224" s="180"/>
      <c r="AF224" s="184"/>
      <c r="AG224" s="185"/>
      <c r="AH224" s="186"/>
      <c r="AI224" s="187"/>
      <c r="AJ224" s="187"/>
      <c r="AK224" s="188"/>
      <c r="AL224" s="189"/>
      <c r="AM224" s="188"/>
      <c r="AN224" s="181"/>
    </row>
    <row r="225" spans="1:40" ht="26.25" customHeight="1">
      <c r="A225" s="177"/>
      <c r="B225" s="178"/>
      <c r="C225" s="179"/>
      <c r="D225" s="180"/>
      <c r="E225" s="180"/>
      <c r="F225" s="180"/>
      <c r="G225" s="180"/>
      <c r="H225" s="180"/>
      <c r="I225" s="181"/>
      <c r="J225" s="180"/>
      <c r="K225" s="180"/>
      <c r="L225" s="180"/>
      <c r="M225" s="180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1"/>
      <c r="Y225" s="180"/>
      <c r="Z225" s="183"/>
      <c r="AA225" s="183"/>
      <c r="AB225" s="180"/>
      <c r="AC225" s="183"/>
      <c r="AD225" s="183"/>
      <c r="AE225" s="180"/>
      <c r="AF225" s="184"/>
      <c r="AG225" s="185"/>
      <c r="AH225" s="186"/>
      <c r="AI225" s="187"/>
      <c r="AJ225" s="187"/>
      <c r="AK225" s="188"/>
      <c r="AL225" s="189"/>
      <c r="AM225" s="188"/>
      <c r="AN225" s="181"/>
    </row>
    <row r="226" spans="1:40" ht="26.25" customHeight="1">
      <c r="A226" s="177"/>
      <c r="B226" s="178"/>
      <c r="C226" s="179"/>
      <c r="D226" s="180"/>
      <c r="E226" s="180"/>
      <c r="F226" s="180"/>
      <c r="G226" s="180"/>
      <c r="H226" s="180"/>
      <c r="I226" s="181"/>
      <c r="J226" s="180"/>
      <c r="K226" s="180"/>
      <c r="L226" s="180"/>
      <c r="M226" s="180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1"/>
      <c r="Y226" s="180"/>
      <c r="Z226" s="183"/>
      <c r="AA226" s="183"/>
      <c r="AB226" s="180"/>
      <c r="AC226" s="183"/>
      <c r="AD226" s="183"/>
      <c r="AE226" s="180"/>
      <c r="AF226" s="184"/>
      <c r="AG226" s="185"/>
      <c r="AH226" s="186"/>
      <c r="AI226" s="187"/>
      <c r="AJ226" s="187"/>
      <c r="AK226" s="188"/>
      <c r="AL226" s="189"/>
      <c r="AM226" s="188"/>
      <c r="AN226" s="181"/>
    </row>
    <row r="227" spans="1:40" ht="26.25" customHeight="1">
      <c r="A227" s="177"/>
      <c r="B227" s="178"/>
      <c r="C227" s="179"/>
      <c r="D227" s="180"/>
      <c r="E227" s="180"/>
      <c r="F227" s="180"/>
      <c r="G227" s="180"/>
      <c r="H227" s="180"/>
      <c r="I227" s="181"/>
      <c r="J227" s="180"/>
      <c r="K227" s="180"/>
      <c r="L227" s="180"/>
      <c r="M227" s="180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1"/>
      <c r="Y227" s="180"/>
      <c r="Z227" s="183"/>
      <c r="AA227" s="183"/>
      <c r="AB227" s="180"/>
      <c r="AC227" s="183"/>
      <c r="AD227" s="183"/>
      <c r="AE227" s="180"/>
      <c r="AF227" s="184"/>
      <c r="AG227" s="185"/>
      <c r="AH227" s="186"/>
      <c r="AI227" s="187"/>
      <c r="AJ227" s="187"/>
      <c r="AK227" s="188"/>
      <c r="AL227" s="189"/>
      <c r="AM227" s="188"/>
      <c r="AN227" s="181"/>
    </row>
    <row r="228" spans="1:40" ht="26.25" customHeight="1">
      <c r="A228" s="177"/>
      <c r="B228" s="178"/>
      <c r="C228" s="179"/>
      <c r="D228" s="180"/>
      <c r="E228" s="180"/>
      <c r="F228" s="180"/>
      <c r="G228" s="180"/>
      <c r="H228" s="180"/>
      <c r="I228" s="181"/>
      <c r="J228" s="180"/>
      <c r="K228" s="180"/>
      <c r="L228" s="180"/>
      <c r="M228" s="180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1"/>
      <c r="Y228" s="180"/>
      <c r="Z228" s="183"/>
      <c r="AA228" s="183"/>
      <c r="AB228" s="180"/>
      <c r="AC228" s="183"/>
      <c r="AD228" s="183"/>
      <c r="AE228" s="180"/>
      <c r="AF228" s="184"/>
      <c r="AG228" s="185"/>
      <c r="AH228" s="186"/>
      <c r="AI228" s="187"/>
      <c r="AJ228" s="187"/>
      <c r="AK228" s="188"/>
      <c r="AL228" s="189"/>
      <c r="AM228" s="188"/>
      <c r="AN228" s="181"/>
    </row>
    <row r="229" spans="1:40" ht="26.25" customHeight="1">
      <c r="A229" s="177"/>
      <c r="B229" s="178"/>
      <c r="C229" s="179"/>
      <c r="D229" s="180"/>
      <c r="E229" s="180"/>
      <c r="F229" s="180"/>
      <c r="G229" s="180"/>
      <c r="H229" s="180"/>
      <c r="I229" s="181"/>
      <c r="J229" s="180"/>
      <c r="K229" s="180"/>
      <c r="L229" s="180"/>
      <c r="M229" s="180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1"/>
      <c r="Y229" s="180"/>
      <c r="Z229" s="183"/>
      <c r="AA229" s="183"/>
      <c r="AB229" s="180"/>
      <c r="AC229" s="183"/>
      <c r="AD229" s="183"/>
      <c r="AE229" s="180"/>
      <c r="AF229" s="184"/>
      <c r="AG229" s="185"/>
      <c r="AH229" s="186"/>
      <c r="AI229" s="187"/>
      <c r="AJ229" s="187"/>
      <c r="AK229" s="188"/>
      <c r="AL229" s="189"/>
      <c r="AM229" s="188"/>
      <c r="AN229" s="181"/>
    </row>
    <row r="230" spans="1:40" ht="26.25" customHeight="1">
      <c r="A230" s="177"/>
      <c r="B230" s="178"/>
      <c r="C230" s="179"/>
      <c r="D230" s="180"/>
      <c r="E230" s="180"/>
      <c r="F230" s="180"/>
      <c r="G230" s="180"/>
      <c r="H230" s="180"/>
      <c r="I230" s="181"/>
      <c r="J230" s="180"/>
      <c r="K230" s="180"/>
      <c r="L230" s="180"/>
      <c r="M230" s="180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1"/>
      <c r="Y230" s="180"/>
      <c r="Z230" s="183"/>
      <c r="AA230" s="183"/>
      <c r="AB230" s="180"/>
      <c r="AC230" s="183"/>
      <c r="AD230" s="183"/>
      <c r="AE230" s="180"/>
      <c r="AF230" s="184"/>
      <c r="AG230" s="185"/>
      <c r="AH230" s="186"/>
      <c r="AI230" s="187"/>
      <c r="AJ230" s="187"/>
      <c r="AK230" s="188"/>
      <c r="AL230" s="189"/>
      <c r="AM230" s="188"/>
      <c r="AN230" s="181"/>
    </row>
    <row r="231" spans="1:40" ht="26.25" customHeight="1">
      <c r="A231" s="177"/>
      <c r="B231" s="178"/>
      <c r="C231" s="179"/>
      <c r="D231" s="180"/>
      <c r="E231" s="180"/>
      <c r="F231" s="180"/>
      <c r="G231" s="180"/>
      <c r="H231" s="180"/>
      <c r="I231" s="181"/>
      <c r="J231" s="180"/>
      <c r="K231" s="180"/>
      <c r="L231" s="180"/>
      <c r="M231" s="180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1"/>
      <c r="Y231" s="180"/>
      <c r="Z231" s="183"/>
      <c r="AA231" s="183"/>
      <c r="AB231" s="180"/>
      <c r="AC231" s="183"/>
      <c r="AD231" s="183"/>
      <c r="AE231" s="180"/>
      <c r="AF231" s="184"/>
      <c r="AG231" s="185"/>
      <c r="AH231" s="186"/>
      <c r="AI231" s="187"/>
      <c r="AJ231" s="187"/>
      <c r="AK231" s="188"/>
      <c r="AL231" s="189"/>
      <c r="AM231" s="188"/>
      <c r="AN231" s="181"/>
    </row>
    <row r="232" spans="1:40" ht="26.25" customHeight="1">
      <c r="A232" s="177"/>
      <c r="B232" s="178"/>
      <c r="C232" s="179"/>
      <c r="D232" s="180"/>
      <c r="E232" s="180"/>
      <c r="F232" s="180"/>
      <c r="G232" s="180"/>
      <c r="H232" s="180"/>
      <c r="I232" s="181"/>
      <c r="J232" s="180"/>
      <c r="K232" s="180"/>
      <c r="L232" s="180"/>
      <c r="M232" s="180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1"/>
      <c r="Y232" s="180"/>
      <c r="Z232" s="183"/>
      <c r="AA232" s="183"/>
      <c r="AB232" s="180"/>
      <c r="AC232" s="183"/>
      <c r="AD232" s="183"/>
      <c r="AE232" s="180"/>
      <c r="AF232" s="184"/>
      <c r="AG232" s="185"/>
      <c r="AH232" s="186"/>
      <c r="AI232" s="187"/>
      <c r="AJ232" s="187"/>
      <c r="AK232" s="188"/>
      <c r="AL232" s="189"/>
      <c r="AM232" s="188"/>
      <c r="AN232" s="181"/>
    </row>
    <row r="233" spans="1:40" ht="26.25" customHeight="1">
      <c r="A233" s="177"/>
      <c r="B233" s="178"/>
      <c r="C233" s="179"/>
      <c r="D233" s="180"/>
      <c r="E233" s="180"/>
      <c r="F233" s="180"/>
      <c r="G233" s="180"/>
      <c r="H233" s="180"/>
      <c r="I233" s="181"/>
      <c r="J233" s="180"/>
      <c r="K233" s="180"/>
      <c r="L233" s="180"/>
      <c r="M233" s="180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1"/>
      <c r="Y233" s="180"/>
      <c r="Z233" s="183"/>
      <c r="AA233" s="183"/>
      <c r="AB233" s="180"/>
      <c r="AC233" s="183"/>
      <c r="AD233" s="183"/>
      <c r="AE233" s="180"/>
      <c r="AF233" s="184"/>
      <c r="AG233" s="185"/>
      <c r="AH233" s="186"/>
      <c r="AI233" s="187"/>
      <c r="AJ233" s="187"/>
      <c r="AK233" s="188"/>
      <c r="AL233" s="189"/>
      <c r="AM233" s="188"/>
      <c r="AN233" s="181"/>
    </row>
    <row r="234" spans="1:40" ht="26.25" customHeight="1">
      <c r="A234" s="177"/>
      <c r="B234" s="178"/>
      <c r="C234" s="179"/>
      <c r="D234" s="180"/>
      <c r="E234" s="180"/>
      <c r="F234" s="180"/>
      <c r="G234" s="180"/>
      <c r="H234" s="180"/>
      <c r="I234" s="181"/>
      <c r="J234" s="180"/>
      <c r="K234" s="180"/>
      <c r="L234" s="180"/>
      <c r="M234" s="180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1"/>
      <c r="Y234" s="180"/>
      <c r="Z234" s="183"/>
      <c r="AA234" s="183"/>
      <c r="AB234" s="180"/>
      <c r="AC234" s="183"/>
      <c r="AD234" s="183"/>
      <c r="AE234" s="180"/>
      <c r="AF234" s="184"/>
      <c r="AG234" s="185"/>
      <c r="AH234" s="186"/>
      <c r="AI234" s="187"/>
      <c r="AJ234" s="187"/>
      <c r="AK234" s="188"/>
      <c r="AL234" s="189"/>
      <c r="AM234" s="188"/>
      <c r="AN234" s="181"/>
    </row>
    <row r="235" spans="1:40" ht="26.25" customHeight="1">
      <c r="A235" s="177"/>
      <c r="B235" s="178"/>
      <c r="C235" s="179"/>
      <c r="D235" s="180"/>
      <c r="E235" s="180"/>
      <c r="F235" s="180"/>
      <c r="G235" s="180"/>
      <c r="H235" s="180"/>
      <c r="I235" s="181"/>
      <c r="J235" s="180"/>
      <c r="K235" s="180"/>
      <c r="L235" s="180"/>
      <c r="M235" s="180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1"/>
      <c r="Y235" s="180"/>
      <c r="Z235" s="183"/>
      <c r="AA235" s="183"/>
      <c r="AB235" s="180"/>
      <c r="AC235" s="183"/>
      <c r="AD235" s="183"/>
      <c r="AE235" s="180"/>
      <c r="AF235" s="184"/>
      <c r="AG235" s="185"/>
      <c r="AH235" s="186"/>
      <c r="AI235" s="187"/>
      <c r="AJ235" s="187"/>
      <c r="AK235" s="188"/>
      <c r="AL235" s="189"/>
      <c r="AM235" s="188"/>
      <c r="AN235" s="181"/>
    </row>
    <row r="236" spans="1:40" ht="26.25" customHeight="1">
      <c r="A236" s="177"/>
      <c r="B236" s="178"/>
      <c r="C236" s="179"/>
      <c r="D236" s="180"/>
      <c r="E236" s="180"/>
      <c r="F236" s="180"/>
      <c r="G236" s="180"/>
      <c r="H236" s="180"/>
      <c r="I236" s="181"/>
      <c r="J236" s="180"/>
      <c r="K236" s="180"/>
      <c r="L236" s="180"/>
      <c r="M236" s="180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1"/>
      <c r="Y236" s="180"/>
      <c r="Z236" s="183"/>
      <c r="AA236" s="183"/>
      <c r="AB236" s="180"/>
      <c r="AC236" s="183"/>
      <c r="AD236" s="183"/>
      <c r="AE236" s="180"/>
      <c r="AF236" s="184"/>
      <c r="AG236" s="185"/>
      <c r="AH236" s="186"/>
      <c r="AI236" s="187"/>
      <c r="AJ236" s="187"/>
      <c r="AK236" s="188"/>
      <c r="AL236" s="189"/>
      <c r="AM236" s="188"/>
      <c r="AN236" s="181"/>
    </row>
    <row r="237" spans="1:40" ht="26.25" customHeight="1">
      <c r="A237" s="177"/>
      <c r="B237" s="178"/>
      <c r="C237" s="179"/>
      <c r="D237" s="180"/>
      <c r="E237" s="180"/>
      <c r="F237" s="180"/>
      <c r="G237" s="180"/>
      <c r="H237" s="180"/>
      <c r="I237" s="181"/>
      <c r="J237" s="180"/>
      <c r="K237" s="180"/>
      <c r="L237" s="180"/>
      <c r="M237" s="180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1"/>
      <c r="Y237" s="180"/>
      <c r="Z237" s="183"/>
      <c r="AA237" s="183"/>
      <c r="AB237" s="180"/>
      <c r="AC237" s="183"/>
      <c r="AD237" s="183"/>
      <c r="AE237" s="180"/>
      <c r="AF237" s="184"/>
      <c r="AG237" s="185"/>
      <c r="AH237" s="186"/>
      <c r="AI237" s="187"/>
      <c r="AJ237" s="187"/>
      <c r="AK237" s="188"/>
      <c r="AL237" s="189"/>
      <c r="AM237" s="188"/>
      <c r="AN237" s="181"/>
    </row>
    <row r="238" spans="1:40" ht="26.25" customHeight="1">
      <c r="A238" s="177"/>
      <c r="B238" s="178"/>
      <c r="C238" s="179"/>
      <c r="D238" s="180"/>
      <c r="E238" s="180"/>
      <c r="F238" s="180"/>
      <c r="G238" s="180"/>
      <c r="H238" s="180"/>
      <c r="I238" s="181"/>
      <c r="J238" s="180"/>
      <c r="K238" s="180"/>
      <c r="L238" s="180"/>
      <c r="M238" s="180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1"/>
      <c r="Y238" s="180"/>
      <c r="Z238" s="183"/>
      <c r="AA238" s="183"/>
      <c r="AB238" s="180"/>
      <c r="AC238" s="183"/>
      <c r="AD238" s="183"/>
      <c r="AE238" s="180"/>
      <c r="AF238" s="184"/>
      <c r="AG238" s="185"/>
      <c r="AH238" s="186"/>
      <c r="AI238" s="187"/>
      <c r="AJ238" s="187"/>
      <c r="AK238" s="188"/>
      <c r="AL238" s="189"/>
      <c r="AM238" s="188"/>
      <c r="AN238" s="181"/>
    </row>
    <row r="239" spans="1:40" ht="26.25" customHeight="1">
      <c r="A239" s="177"/>
      <c r="B239" s="178"/>
      <c r="C239" s="179"/>
      <c r="D239" s="180"/>
      <c r="E239" s="180"/>
      <c r="F239" s="180"/>
      <c r="G239" s="180"/>
      <c r="H239" s="180"/>
      <c r="I239" s="181"/>
      <c r="J239" s="180"/>
      <c r="K239" s="180"/>
      <c r="L239" s="180"/>
      <c r="M239" s="180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1"/>
      <c r="Y239" s="180"/>
      <c r="Z239" s="183"/>
      <c r="AA239" s="183"/>
      <c r="AB239" s="180"/>
      <c r="AC239" s="183"/>
      <c r="AD239" s="183"/>
      <c r="AE239" s="180"/>
      <c r="AF239" s="184"/>
      <c r="AG239" s="185"/>
      <c r="AH239" s="186"/>
      <c r="AI239" s="187"/>
      <c r="AJ239" s="187"/>
      <c r="AK239" s="188"/>
      <c r="AL239" s="189"/>
      <c r="AM239" s="188"/>
      <c r="AN239" s="181"/>
    </row>
    <row r="240" spans="1:40" ht="26.25" customHeight="1">
      <c r="A240" s="177"/>
      <c r="B240" s="178"/>
      <c r="C240" s="179"/>
      <c r="D240" s="180"/>
      <c r="E240" s="180"/>
      <c r="F240" s="180"/>
      <c r="G240" s="180"/>
      <c r="H240" s="180"/>
      <c r="I240" s="181"/>
      <c r="J240" s="180"/>
      <c r="K240" s="180"/>
      <c r="L240" s="180"/>
      <c r="M240" s="180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1"/>
      <c r="Y240" s="180"/>
      <c r="Z240" s="183"/>
      <c r="AA240" s="183"/>
      <c r="AB240" s="180"/>
      <c r="AC240" s="183"/>
      <c r="AD240" s="183"/>
      <c r="AE240" s="180"/>
      <c r="AF240" s="184"/>
      <c r="AG240" s="185"/>
      <c r="AH240" s="186"/>
      <c r="AI240" s="187"/>
      <c r="AJ240" s="187"/>
      <c r="AK240" s="188"/>
      <c r="AL240" s="189"/>
      <c r="AM240" s="188"/>
      <c r="AN240" s="181"/>
    </row>
    <row r="241" spans="1:40" ht="26.25" customHeight="1">
      <c r="A241" s="177"/>
      <c r="B241" s="178"/>
      <c r="C241" s="179"/>
      <c r="D241" s="180"/>
      <c r="E241" s="180"/>
      <c r="F241" s="180"/>
      <c r="G241" s="180"/>
      <c r="H241" s="180"/>
      <c r="I241" s="181"/>
      <c r="J241" s="180"/>
      <c r="K241" s="180"/>
      <c r="L241" s="180"/>
      <c r="M241" s="180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1"/>
      <c r="Y241" s="180"/>
      <c r="Z241" s="183"/>
      <c r="AA241" s="183"/>
      <c r="AB241" s="180"/>
      <c r="AC241" s="183"/>
      <c r="AD241" s="183"/>
      <c r="AE241" s="180"/>
      <c r="AF241" s="184"/>
      <c r="AG241" s="185"/>
      <c r="AH241" s="186"/>
      <c r="AI241" s="187"/>
      <c r="AJ241" s="187"/>
      <c r="AK241" s="188"/>
      <c r="AL241" s="189"/>
      <c r="AM241" s="188"/>
      <c r="AN241" s="181"/>
    </row>
    <row r="242" spans="1:40" ht="26.25" customHeight="1">
      <c r="A242" s="177"/>
      <c r="B242" s="178"/>
      <c r="C242" s="179"/>
      <c r="D242" s="180"/>
      <c r="E242" s="180"/>
      <c r="F242" s="180"/>
      <c r="G242" s="180"/>
      <c r="H242" s="180"/>
      <c r="I242" s="181"/>
      <c r="J242" s="180"/>
      <c r="K242" s="180"/>
      <c r="L242" s="180"/>
      <c r="M242" s="180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1"/>
      <c r="Y242" s="180"/>
      <c r="Z242" s="183"/>
      <c r="AA242" s="183"/>
      <c r="AB242" s="180"/>
      <c r="AC242" s="183"/>
      <c r="AD242" s="183"/>
      <c r="AE242" s="180"/>
      <c r="AF242" s="184"/>
      <c r="AG242" s="185"/>
      <c r="AH242" s="186"/>
      <c r="AI242" s="187"/>
      <c r="AJ242" s="187"/>
      <c r="AK242" s="188"/>
      <c r="AL242" s="189"/>
      <c r="AM242" s="188"/>
      <c r="AN242" s="181"/>
    </row>
    <row r="243" spans="1:40" ht="26.25" customHeight="1">
      <c r="A243" s="177"/>
      <c r="B243" s="178"/>
      <c r="C243" s="179"/>
      <c r="D243" s="180"/>
      <c r="E243" s="180"/>
      <c r="F243" s="180"/>
      <c r="G243" s="180"/>
      <c r="H243" s="180"/>
      <c r="I243" s="181"/>
      <c r="J243" s="180"/>
      <c r="K243" s="180"/>
      <c r="L243" s="180"/>
      <c r="M243" s="180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1"/>
      <c r="Y243" s="180"/>
      <c r="Z243" s="183"/>
      <c r="AA243" s="183"/>
      <c r="AB243" s="180"/>
      <c r="AC243" s="183"/>
      <c r="AD243" s="183"/>
      <c r="AE243" s="180"/>
      <c r="AF243" s="184"/>
      <c r="AG243" s="185"/>
      <c r="AH243" s="186"/>
      <c r="AI243" s="187"/>
      <c r="AJ243" s="187"/>
      <c r="AK243" s="188"/>
      <c r="AL243" s="189"/>
      <c r="AM243" s="188"/>
      <c r="AN243" s="181"/>
    </row>
    <row r="244" spans="1:40" ht="26.25" customHeight="1">
      <c r="A244" s="177"/>
      <c r="B244" s="178"/>
      <c r="C244" s="179"/>
      <c r="D244" s="180"/>
      <c r="E244" s="180"/>
      <c r="F244" s="180"/>
      <c r="G244" s="180"/>
      <c r="H244" s="180"/>
      <c r="I244" s="181"/>
      <c r="J244" s="180"/>
      <c r="K244" s="180"/>
      <c r="L244" s="180"/>
      <c r="M244" s="180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1"/>
      <c r="Y244" s="180"/>
      <c r="Z244" s="183"/>
      <c r="AA244" s="183"/>
      <c r="AB244" s="180"/>
      <c r="AC244" s="183"/>
      <c r="AD244" s="183"/>
      <c r="AE244" s="180"/>
      <c r="AF244" s="184"/>
      <c r="AG244" s="185"/>
      <c r="AH244" s="186"/>
      <c r="AI244" s="187"/>
      <c r="AJ244" s="187"/>
      <c r="AK244" s="188"/>
      <c r="AL244" s="189"/>
      <c r="AM244" s="188"/>
      <c r="AN244" s="181"/>
    </row>
    <row r="245" spans="1:40" ht="26.25" customHeight="1">
      <c r="A245" s="177"/>
      <c r="B245" s="178"/>
      <c r="C245" s="179"/>
      <c r="D245" s="180"/>
      <c r="E245" s="180"/>
      <c r="F245" s="180"/>
      <c r="G245" s="180"/>
      <c r="H245" s="180"/>
      <c r="I245" s="181"/>
      <c r="J245" s="180"/>
      <c r="K245" s="180"/>
      <c r="L245" s="180"/>
      <c r="M245" s="180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1"/>
      <c r="Y245" s="180"/>
      <c r="Z245" s="183"/>
      <c r="AA245" s="183"/>
      <c r="AB245" s="180"/>
      <c r="AC245" s="183"/>
      <c r="AD245" s="183"/>
      <c r="AE245" s="180"/>
      <c r="AF245" s="184"/>
      <c r="AG245" s="185"/>
      <c r="AH245" s="186"/>
      <c r="AI245" s="187"/>
      <c r="AJ245" s="187"/>
      <c r="AK245" s="188"/>
      <c r="AL245" s="189"/>
      <c r="AM245" s="188"/>
      <c r="AN245" s="181"/>
    </row>
    <row r="246" spans="1:40" ht="26.25" customHeight="1">
      <c r="A246" s="177"/>
      <c r="B246" s="178"/>
      <c r="C246" s="179"/>
      <c r="D246" s="180"/>
      <c r="E246" s="180"/>
      <c r="F246" s="180"/>
      <c r="G246" s="180"/>
      <c r="H246" s="180"/>
      <c r="I246" s="181"/>
      <c r="J246" s="180"/>
      <c r="K246" s="180"/>
      <c r="L246" s="180"/>
      <c r="M246" s="180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1"/>
      <c r="Y246" s="180"/>
      <c r="Z246" s="183"/>
      <c r="AA246" s="183"/>
      <c r="AB246" s="180"/>
      <c r="AC246" s="183"/>
      <c r="AD246" s="183"/>
      <c r="AE246" s="180"/>
      <c r="AF246" s="184"/>
      <c r="AG246" s="185"/>
      <c r="AH246" s="186"/>
      <c r="AI246" s="187"/>
      <c r="AJ246" s="187"/>
      <c r="AK246" s="188"/>
      <c r="AL246" s="189"/>
      <c r="AM246" s="188"/>
      <c r="AN246" s="181"/>
    </row>
    <row r="247" spans="1:40" ht="26.25" customHeight="1">
      <c r="A247" s="177"/>
      <c r="B247" s="178"/>
      <c r="C247" s="179"/>
      <c r="D247" s="180"/>
      <c r="E247" s="180"/>
      <c r="F247" s="180"/>
      <c r="G247" s="180"/>
      <c r="H247" s="180"/>
      <c r="I247" s="181"/>
      <c r="J247" s="180"/>
      <c r="K247" s="180"/>
      <c r="L247" s="180"/>
      <c r="M247" s="180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1"/>
      <c r="Y247" s="180"/>
      <c r="Z247" s="183"/>
      <c r="AA247" s="183"/>
      <c r="AB247" s="180"/>
      <c r="AC247" s="183"/>
      <c r="AD247" s="183"/>
      <c r="AE247" s="180"/>
      <c r="AF247" s="184"/>
      <c r="AG247" s="185"/>
      <c r="AH247" s="186"/>
      <c r="AI247" s="187"/>
      <c r="AJ247" s="187"/>
      <c r="AK247" s="188"/>
      <c r="AL247" s="189"/>
      <c r="AM247" s="188"/>
      <c r="AN247" s="181"/>
    </row>
    <row r="248" spans="1:40" ht="26.25" customHeight="1">
      <c r="A248" s="177"/>
      <c r="B248" s="178"/>
      <c r="C248" s="179"/>
      <c r="D248" s="180"/>
      <c r="E248" s="180"/>
      <c r="F248" s="180"/>
      <c r="G248" s="180"/>
      <c r="H248" s="180"/>
      <c r="I248" s="181"/>
      <c r="J248" s="180"/>
      <c r="K248" s="180"/>
      <c r="L248" s="180"/>
      <c r="M248" s="180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1"/>
      <c r="Y248" s="180"/>
      <c r="Z248" s="183"/>
      <c r="AA248" s="183"/>
      <c r="AB248" s="180"/>
      <c r="AC248" s="183"/>
      <c r="AD248" s="183"/>
      <c r="AE248" s="180"/>
      <c r="AF248" s="184"/>
      <c r="AG248" s="185"/>
      <c r="AH248" s="186"/>
      <c r="AI248" s="187"/>
      <c r="AJ248" s="187"/>
      <c r="AK248" s="188"/>
      <c r="AL248" s="189"/>
      <c r="AM248" s="188"/>
      <c r="AN248" s="181"/>
    </row>
    <row r="249" spans="1:40" ht="26.25" customHeight="1">
      <c r="A249" s="177"/>
      <c r="B249" s="178"/>
      <c r="C249" s="179"/>
      <c r="D249" s="180"/>
      <c r="E249" s="180"/>
      <c r="F249" s="180"/>
      <c r="G249" s="180"/>
      <c r="H249" s="180"/>
      <c r="I249" s="181"/>
      <c r="J249" s="180"/>
      <c r="K249" s="180"/>
      <c r="L249" s="180"/>
      <c r="M249" s="180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1"/>
      <c r="Y249" s="180"/>
      <c r="Z249" s="183"/>
      <c r="AA249" s="183"/>
      <c r="AB249" s="180"/>
      <c r="AC249" s="183"/>
      <c r="AD249" s="183"/>
      <c r="AE249" s="180"/>
      <c r="AF249" s="184"/>
      <c r="AG249" s="185"/>
      <c r="AH249" s="186"/>
      <c r="AI249" s="187"/>
      <c r="AJ249" s="187"/>
      <c r="AK249" s="188"/>
      <c r="AL249" s="189"/>
      <c r="AM249" s="188"/>
      <c r="AN249" s="181"/>
    </row>
    <row r="250" spans="1:40" ht="26.25" customHeight="1">
      <c r="A250" s="177"/>
      <c r="B250" s="178"/>
      <c r="C250" s="179"/>
      <c r="D250" s="180"/>
      <c r="E250" s="180"/>
      <c r="F250" s="180"/>
      <c r="G250" s="180"/>
      <c r="H250" s="180"/>
      <c r="I250" s="181"/>
      <c r="J250" s="180"/>
      <c r="K250" s="180"/>
      <c r="L250" s="180"/>
      <c r="M250" s="180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1"/>
      <c r="Y250" s="180"/>
      <c r="Z250" s="183"/>
      <c r="AA250" s="183"/>
      <c r="AB250" s="180"/>
      <c r="AC250" s="183"/>
      <c r="AD250" s="183"/>
      <c r="AE250" s="180"/>
      <c r="AF250" s="184"/>
      <c r="AG250" s="185"/>
      <c r="AH250" s="186"/>
      <c r="AI250" s="187"/>
      <c r="AJ250" s="187"/>
      <c r="AK250" s="188"/>
      <c r="AL250" s="189"/>
      <c r="AM250" s="188"/>
      <c r="AN250" s="181"/>
    </row>
    <row r="251" spans="1:40" ht="26.25" customHeight="1">
      <c r="A251" s="177"/>
      <c r="B251" s="178"/>
      <c r="C251" s="179"/>
      <c r="D251" s="180"/>
      <c r="E251" s="180"/>
      <c r="F251" s="180"/>
      <c r="G251" s="180"/>
      <c r="H251" s="180"/>
      <c r="I251" s="181"/>
      <c r="J251" s="180"/>
      <c r="K251" s="180"/>
      <c r="L251" s="180"/>
      <c r="M251" s="180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1"/>
      <c r="Y251" s="180"/>
      <c r="Z251" s="183"/>
      <c r="AA251" s="183"/>
      <c r="AB251" s="180"/>
      <c r="AC251" s="183"/>
      <c r="AD251" s="183"/>
      <c r="AE251" s="180"/>
      <c r="AF251" s="184"/>
      <c r="AG251" s="185"/>
      <c r="AH251" s="186"/>
      <c r="AI251" s="187"/>
      <c r="AJ251" s="187"/>
      <c r="AK251" s="188"/>
      <c r="AL251" s="189"/>
      <c r="AM251" s="188"/>
      <c r="AN251" s="181"/>
    </row>
    <row r="252" spans="1:40" ht="26.25" customHeight="1">
      <c r="A252" s="177"/>
      <c r="B252" s="178"/>
      <c r="C252" s="179"/>
      <c r="D252" s="180"/>
      <c r="E252" s="180"/>
      <c r="F252" s="180"/>
      <c r="G252" s="180"/>
      <c r="H252" s="180"/>
      <c r="I252" s="181"/>
      <c r="J252" s="180"/>
      <c r="K252" s="180"/>
      <c r="L252" s="180"/>
      <c r="M252" s="180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1"/>
      <c r="Y252" s="180"/>
      <c r="Z252" s="183"/>
      <c r="AA252" s="183"/>
      <c r="AB252" s="180"/>
      <c r="AC252" s="183"/>
      <c r="AD252" s="183"/>
      <c r="AE252" s="180"/>
      <c r="AF252" s="184"/>
      <c r="AG252" s="185"/>
      <c r="AH252" s="186"/>
      <c r="AI252" s="187"/>
      <c r="AJ252" s="187"/>
      <c r="AK252" s="188"/>
      <c r="AL252" s="189"/>
      <c r="AM252" s="188"/>
      <c r="AN252" s="181"/>
    </row>
    <row r="253" spans="1:40" ht="26.25" customHeight="1">
      <c r="A253" s="177"/>
      <c r="B253" s="178"/>
      <c r="C253" s="179"/>
      <c r="D253" s="180"/>
      <c r="E253" s="180"/>
      <c r="F253" s="180"/>
      <c r="G253" s="180"/>
      <c r="H253" s="180"/>
      <c r="I253" s="181"/>
      <c r="J253" s="180"/>
      <c r="K253" s="180"/>
      <c r="L253" s="180"/>
      <c r="M253" s="180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1"/>
      <c r="Y253" s="180"/>
      <c r="Z253" s="183"/>
      <c r="AA253" s="183"/>
      <c r="AB253" s="180"/>
      <c r="AC253" s="183"/>
      <c r="AD253" s="183"/>
      <c r="AE253" s="180"/>
      <c r="AF253" s="184"/>
      <c r="AG253" s="185"/>
      <c r="AH253" s="186"/>
      <c r="AI253" s="187"/>
      <c r="AJ253" s="187"/>
      <c r="AK253" s="188"/>
      <c r="AL253" s="189"/>
      <c r="AM253" s="188"/>
      <c r="AN253" s="181"/>
    </row>
    <row r="254" spans="1:40" ht="26.25" customHeight="1">
      <c r="A254" s="177"/>
      <c r="B254" s="178"/>
      <c r="C254" s="179"/>
      <c r="D254" s="180"/>
      <c r="E254" s="180"/>
      <c r="F254" s="180"/>
      <c r="G254" s="180"/>
      <c r="H254" s="180"/>
      <c r="I254" s="181"/>
      <c r="J254" s="180"/>
      <c r="K254" s="180"/>
      <c r="L254" s="180"/>
      <c r="M254" s="180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1"/>
      <c r="Y254" s="180"/>
      <c r="Z254" s="183"/>
      <c r="AA254" s="183"/>
      <c r="AB254" s="180"/>
      <c r="AC254" s="183"/>
      <c r="AD254" s="183"/>
      <c r="AE254" s="180"/>
      <c r="AF254" s="184"/>
      <c r="AG254" s="185"/>
      <c r="AH254" s="186"/>
      <c r="AI254" s="187"/>
      <c r="AJ254" s="187"/>
      <c r="AK254" s="188"/>
      <c r="AL254" s="189"/>
      <c r="AM254" s="188"/>
      <c r="AN254" s="181"/>
    </row>
    <row r="255" spans="1:40" ht="26.25" customHeight="1">
      <c r="A255" s="177"/>
      <c r="B255" s="178"/>
      <c r="C255" s="179"/>
      <c r="D255" s="180"/>
      <c r="E255" s="180"/>
      <c r="F255" s="180"/>
      <c r="G255" s="180"/>
      <c r="H255" s="180"/>
      <c r="I255" s="181"/>
      <c r="J255" s="180"/>
      <c r="K255" s="180"/>
      <c r="L255" s="180"/>
      <c r="M255" s="180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1"/>
      <c r="Y255" s="180"/>
      <c r="Z255" s="183"/>
      <c r="AA255" s="183"/>
      <c r="AB255" s="180"/>
      <c r="AC255" s="183"/>
      <c r="AD255" s="183"/>
      <c r="AE255" s="180"/>
      <c r="AF255" s="184"/>
      <c r="AG255" s="185"/>
      <c r="AH255" s="186"/>
      <c r="AI255" s="187"/>
      <c r="AJ255" s="187"/>
      <c r="AK255" s="188"/>
      <c r="AL255" s="189"/>
      <c r="AM255" s="188"/>
      <c r="AN255" s="181"/>
    </row>
    <row r="256" spans="1:40" ht="26.25" customHeight="1">
      <c r="A256" s="177"/>
      <c r="B256" s="178"/>
      <c r="C256" s="179"/>
      <c r="D256" s="180"/>
      <c r="E256" s="180"/>
      <c r="F256" s="180"/>
      <c r="G256" s="180"/>
      <c r="H256" s="180"/>
      <c r="I256" s="181"/>
      <c r="J256" s="180"/>
      <c r="K256" s="180"/>
      <c r="L256" s="180"/>
      <c r="M256" s="180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1"/>
      <c r="Y256" s="180"/>
      <c r="Z256" s="183"/>
      <c r="AA256" s="183"/>
      <c r="AB256" s="180"/>
      <c r="AC256" s="183"/>
      <c r="AD256" s="183"/>
      <c r="AE256" s="180"/>
      <c r="AF256" s="184"/>
      <c r="AG256" s="185"/>
      <c r="AH256" s="186"/>
      <c r="AI256" s="187"/>
      <c r="AJ256" s="187"/>
      <c r="AK256" s="188"/>
      <c r="AL256" s="189"/>
      <c r="AM256" s="188"/>
      <c r="AN256" s="181"/>
    </row>
    <row r="257" spans="1:40" ht="26.25" customHeight="1">
      <c r="A257" s="177"/>
      <c r="B257" s="178"/>
      <c r="C257" s="179"/>
      <c r="D257" s="180"/>
      <c r="E257" s="180"/>
      <c r="F257" s="180"/>
      <c r="G257" s="180"/>
      <c r="H257" s="180"/>
      <c r="I257" s="181"/>
      <c r="J257" s="180"/>
      <c r="K257" s="180"/>
      <c r="L257" s="180"/>
      <c r="M257" s="180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1"/>
      <c r="Y257" s="180"/>
      <c r="Z257" s="183"/>
      <c r="AA257" s="183"/>
      <c r="AB257" s="180"/>
      <c r="AC257" s="183"/>
      <c r="AD257" s="183"/>
      <c r="AE257" s="180"/>
      <c r="AF257" s="184"/>
      <c r="AG257" s="185"/>
      <c r="AH257" s="186"/>
      <c r="AI257" s="187"/>
      <c r="AJ257" s="187"/>
      <c r="AK257" s="188"/>
      <c r="AL257" s="189"/>
      <c r="AM257" s="188"/>
      <c r="AN257" s="181"/>
    </row>
    <row r="258" spans="1:40" ht="26.25" customHeight="1">
      <c r="A258" s="177"/>
      <c r="B258" s="178"/>
      <c r="C258" s="179"/>
      <c r="D258" s="180"/>
      <c r="E258" s="180"/>
      <c r="F258" s="180"/>
      <c r="G258" s="180"/>
      <c r="H258" s="180"/>
      <c r="I258" s="181"/>
      <c r="J258" s="180"/>
      <c r="K258" s="180"/>
      <c r="L258" s="180"/>
      <c r="M258" s="180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1"/>
      <c r="Y258" s="180"/>
      <c r="Z258" s="183"/>
      <c r="AA258" s="183"/>
      <c r="AB258" s="180"/>
      <c r="AC258" s="183"/>
      <c r="AD258" s="183"/>
      <c r="AE258" s="180"/>
      <c r="AF258" s="184"/>
      <c r="AG258" s="185"/>
      <c r="AH258" s="186"/>
      <c r="AI258" s="187"/>
      <c r="AJ258" s="187"/>
      <c r="AK258" s="188"/>
      <c r="AL258" s="189"/>
      <c r="AM258" s="188"/>
      <c r="AN258" s="181"/>
    </row>
    <row r="259" spans="1:40" ht="26.25" customHeight="1">
      <c r="A259" s="177"/>
      <c r="B259" s="178"/>
      <c r="C259" s="179"/>
      <c r="D259" s="180"/>
      <c r="E259" s="180"/>
      <c r="F259" s="180"/>
      <c r="G259" s="180"/>
      <c r="H259" s="180"/>
      <c r="I259" s="181"/>
      <c r="J259" s="180"/>
      <c r="K259" s="180"/>
      <c r="L259" s="180"/>
      <c r="M259" s="180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1"/>
      <c r="Y259" s="180"/>
      <c r="Z259" s="183"/>
      <c r="AA259" s="183"/>
      <c r="AB259" s="180"/>
      <c r="AC259" s="183"/>
      <c r="AD259" s="183"/>
      <c r="AE259" s="180"/>
      <c r="AF259" s="184"/>
      <c r="AG259" s="185"/>
      <c r="AH259" s="186"/>
      <c r="AI259" s="187"/>
      <c r="AJ259" s="187"/>
      <c r="AK259" s="188"/>
      <c r="AL259" s="189"/>
      <c r="AM259" s="188"/>
      <c r="AN259" s="181"/>
    </row>
    <row r="260" spans="1:40" ht="26.25" customHeight="1">
      <c r="A260" s="177"/>
      <c r="B260" s="178"/>
      <c r="C260" s="179"/>
      <c r="D260" s="180"/>
      <c r="E260" s="180"/>
      <c r="F260" s="180"/>
      <c r="G260" s="180"/>
      <c r="H260" s="180"/>
      <c r="I260" s="181"/>
      <c r="J260" s="180"/>
      <c r="K260" s="180"/>
      <c r="L260" s="180"/>
      <c r="M260" s="180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1"/>
      <c r="Y260" s="180"/>
      <c r="Z260" s="183"/>
      <c r="AA260" s="183"/>
      <c r="AB260" s="180"/>
      <c r="AC260" s="183"/>
      <c r="AD260" s="183"/>
      <c r="AE260" s="180"/>
      <c r="AF260" s="184"/>
      <c r="AG260" s="185"/>
      <c r="AH260" s="186"/>
      <c r="AI260" s="187"/>
      <c r="AJ260" s="187"/>
      <c r="AK260" s="188"/>
      <c r="AL260" s="189"/>
      <c r="AM260" s="188"/>
      <c r="AN260" s="181"/>
    </row>
    <row r="261" spans="1:40" ht="26.25" customHeight="1">
      <c r="A261" s="177"/>
      <c r="B261" s="178"/>
      <c r="C261" s="179"/>
      <c r="D261" s="180"/>
      <c r="E261" s="180"/>
      <c r="F261" s="180"/>
      <c r="G261" s="180"/>
      <c r="H261" s="180"/>
      <c r="I261" s="181"/>
      <c r="J261" s="180"/>
      <c r="K261" s="180"/>
      <c r="L261" s="180"/>
      <c r="M261" s="180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1"/>
      <c r="Y261" s="180"/>
      <c r="Z261" s="183"/>
      <c r="AA261" s="183"/>
      <c r="AB261" s="180"/>
      <c r="AC261" s="183"/>
      <c r="AD261" s="183"/>
      <c r="AE261" s="180"/>
      <c r="AF261" s="184"/>
      <c r="AG261" s="185"/>
      <c r="AH261" s="186"/>
      <c r="AI261" s="187"/>
      <c r="AJ261" s="187"/>
      <c r="AK261" s="188"/>
      <c r="AL261" s="189"/>
      <c r="AM261" s="188"/>
      <c r="AN261" s="181"/>
    </row>
    <row r="262" spans="1:40" ht="26.25" customHeight="1">
      <c r="A262" s="177"/>
      <c r="B262" s="178"/>
      <c r="C262" s="179"/>
      <c r="D262" s="180"/>
      <c r="E262" s="180"/>
      <c r="F262" s="180"/>
      <c r="G262" s="180"/>
      <c r="H262" s="180"/>
      <c r="I262" s="181"/>
      <c r="J262" s="180"/>
      <c r="K262" s="180"/>
      <c r="L262" s="180"/>
      <c r="M262" s="180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1"/>
      <c r="Y262" s="180"/>
      <c r="Z262" s="183"/>
      <c r="AA262" s="183"/>
      <c r="AB262" s="180"/>
      <c r="AC262" s="183"/>
      <c r="AD262" s="183"/>
      <c r="AE262" s="180"/>
      <c r="AF262" s="184"/>
      <c r="AG262" s="185"/>
      <c r="AH262" s="186"/>
      <c r="AI262" s="187"/>
      <c r="AJ262" s="187"/>
      <c r="AK262" s="188"/>
      <c r="AL262" s="189"/>
      <c r="AM262" s="188"/>
      <c r="AN262" s="181"/>
    </row>
    <row r="263" spans="1:40" ht="26.25" customHeight="1">
      <c r="A263" s="177"/>
      <c r="B263" s="178"/>
      <c r="C263" s="179"/>
      <c r="D263" s="180"/>
      <c r="E263" s="180"/>
      <c r="F263" s="180"/>
      <c r="G263" s="180"/>
      <c r="H263" s="180"/>
      <c r="I263" s="181"/>
      <c r="J263" s="180"/>
      <c r="K263" s="180"/>
      <c r="L263" s="180"/>
      <c r="M263" s="180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1"/>
      <c r="Y263" s="180"/>
      <c r="Z263" s="183"/>
      <c r="AA263" s="183"/>
      <c r="AB263" s="180"/>
      <c r="AC263" s="183"/>
      <c r="AD263" s="183"/>
      <c r="AE263" s="180"/>
      <c r="AF263" s="184"/>
      <c r="AG263" s="185"/>
      <c r="AH263" s="186"/>
      <c r="AI263" s="187"/>
      <c r="AJ263" s="187"/>
      <c r="AK263" s="188"/>
      <c r="AL263" s="189"/>
      <c r="AM263" s="188"/>
      <c r="AN263" s="181"/>
    </row>
    <row r="264" spans="1:40" ht="26.25" customHeight="1">
      <c r="A264" s="177"/>
      <c r="B264" s="178"/>
      <c r="C264" s="179"/>
      <c r="D264" s="180"/>
      <c r="E264" s="180"/>
      <c r="F264" s="180"/>
      <c r="G264" s="180"/>
      <c r="H264" s="180"/>
      <c r="I264" s="181"/>
      <c r="J264" s="180"/>
      <c r="K264" s="180"/>
      <c r="L264" s="180"/>
      <c r="M264" s="180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1"/>
      <c r="Y264" s="180"/>
      <c r="Z264" s="183"/>
      <c r="AA264" s="183"/>
      <c r="AB264" s="180"/>
      <c r="AC264" s="183"/>
      <c r="AD264" s="183"/>
      <c r="AE264" s="180"/>
      <c r="AF264" s="184"/>
      <c r="AG264" s="185"/>
      <c r="AH264" s="186"/>
      <c r="AI264" s="187"/>
      <c r="AJ264" s="187"/>
      <c r="AK264" s="188"/>
      <c r="AL264" s="189"/>
      <c r="AM264" s="188"/>
      <c r="AN264" s="181"/>
    </row>
    <row r="265" spans="1:40" ht="26.25" customHeight="1">
      <c r="A265" s="177"/>
      <c r="B265" s="178"/>
      <c r="C265" s="179"/>
      <c r="D265" s="180"/>
      <c r="E265" s="180"/>
      <c r="F265" s="180"/>
      <c r="G265" s="180"/>
      <c r="H265" s="180"/>
      <c r="I265" s="181"/>
      <c r="J265" s="180"/>
      <c r="K265" s="180"/>
      <c r="L265" s="180"/>
      <c r="M265" s="180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1"/>
      <c r="Y265" s="180"/>
      <c r="Z265" s="183"/>
      <c r="AA265" s="183"/>
      <c r="AB265" s="180"/>
      <c r="AC265" s="183"/>
      <c r="AD265" s="183"/>
      <c r="AE265" s="180"/>
      <c r="AF265" s="184"/>
      <c r="AG265" s="185"/>
      <c r="AH265" s="186"/>
      <c r="AI265" s="187"/>
      <c r="AJ265" s="187"/>
      <c r="AK265" s="188"/>
      <c r="AL265" s="189"/>
      <c r="AM265" s="188"/>
      <c r="AN265" s="181"/>
    </row>
    <row r="266" spans="1:40" ht="26.25" customHeight="1">
      <c r="A266" s="177"/>
      <c r="B266" s="178"/>
      <c r="C266" s="179"/>
      <c r="D266" s="180"/>
      <c r="E266" s="180"/>
      <c r="F266" s="180"/>
      <c r="G266" s="180"/>
      <c r="H266" s="180"/>
      <c r="I266" s="181"/>
      <c r="J266" s="180"/>
      <c r="K266" s="180"/>
      <c r="L266" s="180"/>
      <c r="M266" s="180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1"/>
      <c r="Y266" s="180"/>
      <c r="Z266" s="183"/>
      <c r="AA266" s="183"/>
      <c r="AB266" s="180"/>
      <c r="AC266" s="183"/>
      <c r="AD266" s="183"/>
      <c r="AE266" s="180"/>
      <c r="AF266" s="184"/>
      <c r="AG266" s="185"/>
      <c r="AH266" s="186"/>
      <c r="AI266" s="187"/>
      <c r="AJ266" s="187"/>
      <c r="AK266" s="188"/>
      <c r="AL266" s="189"/>
      <c r="AM266" s="188"/>
      <c r="AN266" s="181"/>
    </row>
    <row r="267" spans="1:40" ht="26.25" customHeight="1">
      <c r="A267" s="177"/>
      <c r="B267" s="178"/>
      <c r="C267" s="179"/>
      <c r="D267" s="180"/>
      <c r="E267" s="180"/>
      <c r="F267" s="180"/>
      <c r="G267" s="180"/>
      <c r="H267" s="180"/>
      <c r="I267" s="181"/>
      <c r="J267" s="180"/>
      <c r="K267" s="180"/>
      <c r="L267" s="180"/>
      <c r="M267" s="180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1"/>
      <c r="Y267" s="180"/>
      <c r="Z267" s="183"/>
      <c r="AA267" s="183"/>
      <c r="AB267" s="180"/>
      <c r="AC267" s="183"/>
      <c r="AD267" s="183"/>
      <c r="AE267" s="180"/>
      <c r="AF267" s="184"/>
      <c r="AG267" s="185"/>
      <c r="AH267" s="186"/>
      <c r="AI267" s="187"/>
      <c r="AJ267" s="187"/>
      <c r="AK267" s="188"/>
      <c r="AL267" s="189"/>
      <c r="AM267" s="188"/>
      <c r="AN267" s="181"/>
    </row>
    <row r="268" spans="1:40" ht="26.25" customHeight="1">
      <c r="A268" s="177"/>
      <c r="B268" s="178"/>
      <c r="C268" s="179"/>
      <c r="D268" s="180"/>
      <c r="E268" s="180"/>
      <c r="F268" s="180"/>
      <c r="G268" s="180"/>
      <c r="H268" s="180"/>
      <c r="I268" s="181"/>
      <c r="J268" s="180"/>
      <c r="K268" s="180"/>
      <c r="L268" s="180"/>
      <c r="M268" s="180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1"/>
      <c r="Y268" s="180"/>
      <c r="Z268" s="183"/>
      <c r="AA268" s="183"/>
      <c r="AB268" s="180"/>
      <c r="AC268" s="183"/>
      <c r="AD268" s="183"/>
      <c r="AE268" s="180"/>
      <c r="AF268" s="184"/>
      <c r="AG268" s="185"/>
      <c r="AH268" s="186"/>
      <c r="AI268" s="187"/>
      <c r="AJ268" s="187"/>
      <c r="AK268" s="188"/>
      <c r="AL268" s="189"/>
      <c r="AM268" s="188"/>
      <c r="AN268" s="181"/>
    </row>
    <row r="269" spans="1:40" ht="26.25" customHeight="1">
      <c r="A269" s="177"/>
      <c r="B269" s="178"/>
      <c r="C269" s="179"/>
      <c r="D269" s="180"/>
      <c r="E269" s="180"/>
      <c r="F269" s="180"/>
      <c r="G269" s="180"/>
      <c r="H269" s="180"/>
      <c r="I269" s="181"/>
      <c r="J269" s="180"/>
      <c r="K269" s="180"/>
      <c r="L269" s="180"/>
      <c r="M269" s="180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1"/>
      <c r="Y269" s="180"/>
      <c r="Z269" s="183"/>
      <c r="AA269" s="183"/>
      <c r="AB269" s="180"/>
      <c r="AC269" s="183"/>
      <c r="AD269" s="183"/>
      <c r="AE269" s="180"/>
      <c r="AF269" s="184"/>
      <c r="AG269" s="185"/>
      <c r="AH269" s="186"/>
      <c r="AI269" s="187"/>
      <c r="AJ269" s="187"/>
      <c r="AK269" s="188"/>
      <c r="AL269" s="189"/>
      <c r="AM269" s="188"/>
      <c r="AN269" s="181"/>
    </row>
    <row r="270" spans="1:40" ht="26.25" customHeight="1">
      <c r="A270" s="177"/>
      <c r="B270" s="178"/>
      <c r="C270" s="179"/>
      <c r="D270" s="180"/>
      <c r="E270" s="180"/>
      <c r="F270" s="180"/>
      <c r="G270" s="180"/>
      <c r="H270" s="180"/>
      <c r="I270" s="181"/>
      <c r="J270" s="180"/>
      <c r="K270" s="180"/>
      <c r="L270" s="180"/>
      <c r="M270" s="180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1"/>
      <c r="Y270" s="180"/>
      <c r="Z270" s="183"/>
      <c r="AA270" s="183"/>
      <c r="AB270" s="180"/>
      <c r="AC270" s="183"/>
      <c r="AD270" s="183"/>
      <c r="AE270" s="180"/>
      <c r="AF270" s="184"/>
      <c r="AG270" s="185"/>
      <c r="AH270" s="186"/>
      <c r="AI270" s="187"/>
      <c r="AJ270" s="187"/>
      <c r="AK270" s="188"/>
      <c r="AL270" s="189"/>
      <c r="AM270" s="188"/>
      <c r="AN270" s="181"/>
    </row>
    <row r="271" spans="1:40" ht="26.25" customHeight="1">
      <c r="A271" s="177"/>
      <c r="B271" s="178"/>
      <c r="C271" s="179"/>
      <c r="D271" s="180"/>
      <c r="E271" s="180"/>
      <c r="F271" s="180"/>
      <c r="G271" s="180"/>
      <c r="H271" s="180"/>
      <c r="I271" s="181"/>
      <c r="J271" s="180"/>
      <c r="K271" s="180"/>
      <c r="L271" s="180"/>
      <c r="M271" s="180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1"/>
      <c r="Y271" s="180"/>
      <c r="Z271" s="183"/>
      <c r="AA271" s="183"/>
      <c r="AB271" s="180"/>
      <c r="AC271" s="183"/>
      <c r="AD271" s="183"/>
      <c r="AE271" s="180"/>
      <c r="AF271" s="184"/>
      <c r="AG271" s="185"/>
      <c r="AH271" s="186"/>
      <c r="AI271" s="187"/>
      <c r="AJ271" s="187"/>
      <c r="AK271" s="188"/>
      <c r="AL271" s="189"/>
      <c r="AM271" s="188"/>
      <c r="AN271" s="181"/>
    </row>
    <row r="272" spans="1:40" ht="26.25" customHeight="1">
      <c r="A272" s="177"/>
      <c r="B272" s="178"/>
      <c r="C272" s="179"/>
      <c r="D272" s="180"/>
      <c r="E272" s="180"/>
      <c r="F272" s="180"/>
      <c r="G272" s="180"/>
      <c r="H272" s="180"/>
      <c r="I272" s="181"/>
      <c r="J272" s="180"/>
      <c r="K272" s="180"/>
      <c r="L272" s="180"/>
      <c r="M272" s="180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1"/>
      <c r="Y272" s="180"/>
      <c r="Z272" s="183"/>
      <c r="AA272" s="183"/>
      <c r="AB272" s="180"/>
      <c r="AC272" s="183"/>
      <c r="AD272" s="183"/>
      <c r="AE272" s="180"/>
      <c r="AF272" s="184"/>
      <c r="AG272" s="185"/>
      <c r="AH272" s="186"/>
      <c r="AI272" s="187"/>
      <c r="AJ272" s="187"/>
      <c r="AK272" s="188"/>
      <c r="AL272" s="189"/>
      <c r="AM272" s="188"/>
      <c r="AN272" s="181"/>
    </row>
    <row r="273" spans="1:40" ht="26.25" customHeight="1">
      <c r="A273" s="177"/>
      <c r="B273" s="178"/>
      <c r="C273" s="179"/>
      <c r="D273" s="180"/>
      <c r="E273" s="180"/>
      <c r="F273" s="180"/>
      <c r="G273" s="180"/>
      <c r="H273" s="180"/>
      <c r="I273" s="181"/>
      <c r="J273" s="180"/>
      <c r="K273" s="180"/>
      <c r="L273" s="180"/>
      <c r="M273" s="180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1"/>
      <c r="Y273" s="180"/>
      <c r="Z273" s="183"/>
      <c r="AA273" s="183"/>
      <c r="AB273" s="180"/>
      <c r="AC273" s="183"/>
      <c r="AD273" s="183"/>
      <c r="AE273" s="180"/>
      <c r="AF273" s="184"/>
      <c r="AG273" s="185"/>
      <c r="AH273" s="186"/>
      <c r="AI273" s="187"/>
      <c r="AJ273" s="187"/>
      <c r="AK273" s="188"/>
      <c r="AL273" s="189"/>
      <c r="AM273" s="188"/>
      <c r="AN273" s="181"/>
    </row>
    <row r="274" spans="1:40" ht="26.25" customHeight="1">
      <c r="A274" s="177"/>
      <c r="B274" s="178"/>
      <c r="C274" s="179"/>
      <c r="D274" s="180"/>
      <c r="E274" s="180"/>
      <c r="F274" s="180"/>
      <c r="G274" s="180"/>
      <c r="H274" s="180"/>
      <c r="I274" s="181"/>
      <c r="J274" s="180"/>
      <c r="K274" s="180"/>
      <c r="L274" s="180"/>
      <c r="M274" s="180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1"/>
      <c r="Y274" s="180"/>
      <c r="Z274" s="183"/>
      <c r="AA274" s="183"/>
      <c r="AB274" s="180"/>
      <c r="AC274" s="183"/>
      <c r="AD274" s="183"/>
      <c r="AE274" s="180"/>
      <c r="AF274" s="184"/>
      <c r="AG274" s="185"/>
      <c r="AH274" s="186"/>
      <c r="AI274" s="187"/>
      <c r="AJ274" s="187"/>
      <c r="AK274" s="188"/>
      <c r="AL274" s="189"/>
      <c r="AM274" s="188"/>
      <c r="AN274" s="181"/>
    </row>
    <row r="275" spans="1:40" ht="26.25" customHeight="1">
      <c r="A275" s="177"/>
      <c r="B275" s="178"/>
      <c r="C275" s="179"/>
      <c r="D275" s="180"/>
      <c r="E275" s="180"/>
      <c r="F275" s="180"/>
      <c r="G275" s="180"/>
      <c r="H275" s="180"/>
      <c r="I275" s="181"/>
      <c r="J275" s="180"/>
      <c r="K275" s="180"/>
      <c r="L275" s="180"/>
      <c r="M275" s="180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1"/>
      <c r="Y275" s="180"/>
      <c r="Z275" s="183"/>
      <c r="AA275" s="183"/>
      <c r="AB275" s="180"/>
      <c r="AC275" s="183"/>
      <c r="AD275" s="183"/>
      <c r="AE275" s="180"/>
      <c r="AF275" s="184"/>
      <c r="AG275" s="185"/>
      <c r="AH275" s="186"/>
      <c r="AI275" s="187"/>
      <c r="AJ275" s="187"/>
      <c r="AK275" s="188"/>
      <c r="AL275" s="189"/>
      <c r="AM275" s="188"/>
      <c r="AN275" s="181"/>
    </row>
    <row r="276" spans="1:40" ht="26.25" customHeight="1">
      <c r="A276" s="177"/>
      <c r="B276" s="178"/>
      <c r="C276" s="179"/>
      <c r="D276" s="180"/>
      <c r="E276" s="180"/>
      <c r="F276" s="180"/>
      <c r="G276" s="180"/>
      <c r="H276" s="180"/>
      <c r="I276" s="181"/>
      <c r="J276" s="180"/>
      <c r="K276" s="180"/>
      <c r="L276" s="180"/>
      <c r="M276" s="180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1"/>
      <c r="Y276" s="180"/>
      <c r="Z276" s="183"/>
      <c r="AA276" s="183"/>
      <c r="AB276" s="180"/>
      <c r="AC276" s="183"/>
      <c r="AD276" s="183"/>
      <c r="AE276" s="180"/>
      <c r="AF276" s="184"/>
      <c r="AG276" s="185"/>
      <c r="AH276" s="186"/>
      <c r="AI276" s="187"/>
      <c r="AJ276" s="187"/>
      <c r="AK276" s="188"/>
      <c r="AL276" s="189"/>
      <c r="AM276" s="188"/>
      <c r="AN276" s="181"/>
    </row>
    <row r="277" spans="1:40" ht="26.25" customHeight="1">
      <c r="A277" s="177"/>
      <c r="B277" s="178"/>
      <c r="C277" s="179"/>
      <c r="D277" s="180"/>
      <c r="E277" s="180"/>
      <c r="F277" s="180"/>
      <c r="G277" s="180"/>
      <c r="H277" s="180"/>
      <c r="I277" s="181"/>
      <c r="J277" s="180"/>
      <c r="K277" s="180"/>
      <c r="L277" s="180"/>
      <c r="M277" s="180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1"/>
      <c r="Y277" s="180"/>
      <c r="Z277" s="183"/>
      <c r="AA277" s="183"/>
      <c r="AB277" s="180"/>
      <c r="AC277" s="183"/>
      <c r="AD277" s="183"/>
      <c r="AE277" s="180"/>
      <c r="AF277" s="184"/>
      <c r="AG277" s="185"/>
      <c r="AH277" s="186"/>
      <c r="AI277" s="187"/>
      <c r="AJ277" s="187"/>
      <c r="AK277" s="188"/>
      <c r="AL277" s="189"/>
      <c r="AM277" s="188"/>
      <c r="AN277" s="181"/>
    </row>
    <row r="278" spans="1:40" ht="26.25" customHeight="1">
      <c r="A278" s="177"/>
      <c r="B278" s="178"/>
      <c r="C278" s="179"/>
      <c r="D278" s="180"/>
      <c r="E278" s="180"/>
      <c r="F278" s="180"/>
      <c r="G278" s="180"/>
      <c r="H278" s="180"/>
      <c r="I278" s="181"/>
      <c r="J278" s="180"/>
      <c r="K278" s="180"/>
      <c r="L278" s="180"/>
      <c r="M278" s="180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1"/>
      <c r="Y278" s="180"/>
      <c r="Z278" s="183"/>
      <c r="AA278" s="183"/>
      <c r="AB278" s="180"/>
      <c r="AC278" s="183"/>
      <c r="AD278" s="183"/>
      <c r="AE278" s="180"/>
      <c r="AF278" s="184"/>
      <c r="AG278" s="185"/>
      <c r="AH278" s="186"/>
      <c r="AI278" s="187"/>
      <c r="AJ278" s="187"/>
      <c r="AK278" s="188"/>
      <c r="AL278" s="189"/>
      <c r="AM278" s="188"/>
      <c r="AN278" s="181"/>
    </row>
    <row r="279" spans="1:40" ht="26.25" customHeight="1">
      <c r="A279" s="177"/>
      <c r="B279" s="178"/>
      <c r="C279" s="179"/>
      <c r="D279" s="180"/>
      <c r="E279" s="180"/>
      <c r="F279" s="180"/>
      <c r="G279" s="180"/>
      <c r="H279" s="180"/>
      <c r="I279" s="181"/>
      <c r="J279" s="180"/>
      <c r="K279" s="180"/>
      <c r="L279" s="180"/>
      <c r="M279" s="180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1"/>
      <c r="Y279" s="180"/>
      <c r="Z279" s="183"/>
      <c r="AA279" s="183"/>
      <c r="AB279" s="180"/>
      <c r="AC279" s="183"/>
      <c r="AD279" s="183"/>
      <c r="AE279" s="180"/>
      <c r="AF279" s="184"/>
      <c r="AG279" s="185"/>
      <c r="AH279" s="186"/>
      <c r="AI279" s="187"/>
      <c r="AJ279" s="187"/>
      <c r="AK279" s="188"/>
      <c r="AL279" s="189"/>
      <c r="AM279" s="188"/>
      <c r="AN279" s="181"/>
    </row>
    <row r="280" spans="1:40" ht="26.25" customHeight="1">
      <c r="A280" s="177"/>
      <c r="B280" s="178"/>
      <c r="C280" s="179"/>
      <c r="D280" s="180"/>
      <c r="E280" s="180"/>
      <c r="F280" s="180"/>
      <c r="G280" s="180"/>
      <c r="H280" s="180"/>
      <c r="I280" s="181"/>
      <c r="J280" s="180"/>
      <c r="K280" s="180"/>
      <c r="L280" s="180"/>
      <c r="M280" s="180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1"/>
      <c r="Y280" s="180"/>
      <c r="Z280" s="183"/>
      <c r="AA280" s="183"/>
      <c r="AB280" s="180"/>
      <c r="AC280" s="183"/>
      <c r="AD280" s="183"/>
      <c r="AE280" s="180"/>
      <c r="AF280" s="184"/>
      <c r="AG280" s="185"/>
      <c r="AH280" s="186"/>
      <c r="AI280" s="187"/>
      <c r="AJ280" s="187"/>
      <c r="AK280" s="188"/>
      <c r="AL280" s="189"/>
      <c r="AM280" s="188"/>
      <c r="AN280" s="181"/>
    </row>
    <row r="281" spans="1:40" ht="26.25" customHeight="1">
      <c r="A281" s="177"/>
      <c r="B281" s="178"/>
      <c r="C281" s="179"/>
      <c r="D281" s="180"/>
      <c r="E281" s="180"/>
      <c r="F281" s="180"/>
      <c r="G281" s="180"/>
      <c r="H281" s="180"/>
      <c r="I281" s="181"/>
      <c r="J281" s="180"/>
      <c r="K281" s="180"/>
      <c r="L281" s="180"/>
      <c r="M281" s="180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1"/>
      <c r="Y281" s="180"/>
      <c r="Z281" s="183"/>
      <c r="AA281" s="183"/>
      <c r="AB281" s="180"/>
      <c r="AC281" s="183"/>
      <c r="AD281" s="183"/>
      <c r="AE281" s="180"/>
      <c r="AF281" s="184"/>
      <c r="AG281" s="185"/>
      <c r="AH281" s="186"/>
      <c r="AI281" s="187"/>
      <c r="AJ281" s="187"/>
      <c r="AK281" s="188"/>
      <c r="AL281" s="189"/>
      <c r="AM281" s="188"/>
      <c r="AN281" s="181"/>
    </row>
    <row r="282" spans="1:40" ht="26.25" customHeight="1">
      <c r="A282" s="177"/>
      <c r="B282" s="178"/>
      <c r="C282" s="179"/>
      <c r="D282" s="180"/>
      <c r="E282" s="180"/>
      <c r="F282" s="180"/>
      <c r="G282" s="180"/>
      <c r="H282" s="180"/>
      <c r="I282" s="181"/>
      <c r="J282" s="180"/>
      <c r="K282" s="180"/>
      <c r="L282" s="180"/>
      <c r="M282" s="180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1"/>
      <c r="Y282" s="180"/>
      <c r="Z282" s="183"/>
      <c r="AA282" s="183"/>
      <c r="AB282" s="180"/>
      <c r="AC282" s="183"/>
      <c r="AD282" s="183"/>
      <c r="AE282" s="180"/>
      <c r="AF282" s="184"/>
      <c r="AG282" s="185"/>
      <c r="AH282" s="186"/>
      <c r="AI282" s="187"/>
      <c r="AJ282" s="187"/>
      <c r="AK282" s="188"/>
      <c r="AL282" s="189"/>
      <c r="AM282" s="188"/>
      <c r="AN282" s="181"/>
    </row>
    <row r="283" spans="1:40" ht="26.25" customHeight="1">
      <c r="A283" s="177"/>
      <c r="B283" s="178"/>
      <c r="C283" s="179"/>
      <c r="D283" s="180"/>
      <c r="E283" s="180"/>
      <c r="F283" s="180"/>
      <c r="G283" s="180"/>
      <c r="H283" s="180"/>
      <c r="I283" s="181"/>
      <c r="J283" s="180"/>
      <c r="K283" s="180"/>
      <c r="L283" s="180"/>
      <c r="M283" s="180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1"/>
      <c r="Y283" s="180"/>
      <c r="Z283" s="183"/>
      <c r="AA283" s="183"/>
      <c r="AB283" s="180"/>
      <c r="AC283" s="183"/>
      <c r="AD283" s="183"/>
      <c r="AE283" s="180"/>
      <c r="AF283" s="184"/>
      <c r="AG283" s="185"/>
      <c r="AH283" s="186"/>
      <c r="AI283" s="187"/>
      <c r="AJ283" s="187"/>
      <c r="AK283" s="188"/>
      <c r="AL283" s="189"/>
      <c r="AM283" s="188"/>
      <c r="AN283" s="181"/>
    </row>
    <row r="284" spans="1:40" ht="26.25" customHeight="1">
      <c r="A284" s="177"/>
      <c r="B284" s="178"/>
      <c r="C284" s="179"/>
      <c r="D284" s="180"/>
      <c r="E284" s="180"/>
      <c r="F284" s="180"/>
      <c r="G284" s="180"/>
      <c r="H284" s="180"/>
      <c r="I284" s="181"/>
      <c r="J284" s="180"/>
      <c r="K284" s="180"/>
      <c r="L284" s="180"/>
      <c r="M284" s="180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1"/>
      <c r="Y284" s="180"/>
      <c r="Z284" s="183"/>
      <c r="AA284" s="183"/>
      <c r="AB284" s="180"/>
      <c r="AC284" s="183"/>
      <c r="AD284" s="183"/>
      <c r="AE284" s="180"/>
      <c r="AF284" s="184"/>
      <c r="AG284" s="185"/>
      <c r="AH284" s="186"/>
      <c r="AI284" s="187"/>
      <c r="AJ284" s="187"/>
      <c r="AK284" s="188"/>
      <c r="AL284" s="189"/>
      <c r="AM284" s="188"/>
      <c r="AN284" s="181"/>
    </row>
    <row r="285" spans="1:40" ht="26.25" customHeight="1">
      <c r="A285" s="177"/>
      <c r="B285" s="178"/>
      <c r="C285" s="179"/>
      <c r="D285" s="180"/>
      <c r="E285" s="180"/>
      <c r="F285" s="180"/>
      <c r="G285" s="180"/>
      <c r="H285" s="180"/>
      <c r="I285" s="181"/>
      <c r="J285" s="180"/>
      <c r="K285" s="180"/>
      <c r="L285" s="180"/>
      <c r="M285" s="180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1"/>
      <c r="Y285" s="180"/>
      <c r="Z285" s="183"/>
      <c r="AA285" s="183"/>
      <c r="AB285" s="180"/>
      <c r="AC285" s="183"/>
      <c r="AD285" s="183"/>
      <c r="AE285" s="180"/>
      <c r="AF285" s="184"/>
      <c r="AG285" s="185"/>
      <c r="AH285" s="186"/>
      <c r="AI285" s="187"/>
      <c r="AJ285" s="187"/>
      <c r="AK285" s="188"/>
      <c r="AL285" s="189"/>
      <c r="AM285" s="188"/>
      <c r="AN285" s="181"/>
    </row>
    <row r="286" spans="1:40" ht="26.25" customHeight="1">
      <c r="A286" s="177"/>
      <c r="B286" s="178"/>
      <c r="C286" s="179"/>
      <c r="D286" s="180"/>
      <c r="E286" s="180"/>
      <c r="F286" s="180"/>
      <c r="G286" s="180"/>
      <c r="H286" s="180"/>
      <c r="I286" s="181"/>
      <c r="J286" s="180"/>
      <c r="K286" s="180"/>
      <c r="L286" s="180"/>
      <c r="M286" s="180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1"/>
      <c r="Y286" s="180"/>
      <c r="Z286" s="183"/>
      <c r="AA286" s="183"/>
      <c r="AB286" s="180"/>
      <c r="AC286" s="183"/>
      <c r="AD286" s="183"/>
      <c r="AE286" s="180"/>
      <c r="AF286" s="184"/>
      <c r="AG286" s="185"/>
      <c r="AH286" s="186"/>
      <c r="AI286" s="187"/>
      <c r="AJ286" s="187"/>
      <c r="AK286" s="188"/>
      <c r="AL286" s="189"/>
      <c r="AM286" s="188"/>
      <c r="AN286" s="181"/>
    </row>
    <row r="287" spans="1:40" ht="26.25" customHeight="1">
      <c r="A287" s="177"/>
      <c r="B287" s="178"/>
      <c r="C287" s="179"/>
      <c r="D287" s="180"/>
      <c r="E287" s="180"/>
      <c r="F287" s="180"/>
      <c r="G287" s="180"/>
      <c r="H287" s="180"/>
      <c r="I287" s="181"/>
      <c r="J287" s="180"/>
      <c r="K287" s="180"/>
      <c r="L287" s="180"/>
      <c r="M287" s="180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1"/>
      <c r="Y287" s="180"/>
      <c r="Z287" s="183"/>
      <c r="AA287" s="183"/>
      <c r="AB287" s="180"/>
      <c r="AC287" s="183"/>
      <c r="AD287" s="183"/>
      <c r="AE287" s="180"/>
      <c r="AF287" s="184"/>
      <c r="AG287" s="185"/>
      <c r="AH287" s="186"/>
      <c r="AI287" s="187"/>
      <c r="AJ287" s="187"/>
      <c r="AK287" s="188"/>
      <c r="AL287" s="189"/>
      <c r="AM287" s="188"/>
      <c r="AN287" s="181"/>
    </row>
    <row r="288" spans="1:40" ht="26.25" customHeight="1">
      <c r="A288" s="177"/>
      <c r="B288" s="178"/>
      <c r="C288" s="179"/>
      <c r="D288" s="180"/>
      <c r="E288" s="180"/>
      <c r="F288" s="180"/>
      <c r="G288" s="180"/>
      <c r="H288" s="180"/>
      <c r="I288" s="181"/>
      <c r="J288" s="180"/>
      <c r="K288" s="180"/>
      <c r="L288" s="180"/>
      <c r="M288" s="180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1"/>
      <c r="Y288" s="180"/>
      <c r="Z288" s="183"/>
      <c r="AA288" s="183"/>
      <c r="AB288" s="180"/>
      <c r="AC288" s="183"/>
      <c r="AD288" s="183"/>
      <c r="AE288" s="180"/>
      <c r="AF288" s="184"/>
      <c r="AG288" s="185"/>
      <c r="AH288" s="186"/>
      <c r="AI288" s="187"/>
      <c r="AJ288" s="187"/>
      <c r="AK288" s="188"/>
      <c r="AL288" s="189"/>
      <c r="AM288" s="188"/>
      <c r="AN288" s="181"/>
    </row>
    <row r="289" spans="1:40" ht="26.25" customHeight="1">
      <c r="A289" s="177"/>
      <c r="B289" s="178"/>
      <c r="C289" s="179"/>
      <c r="D289" s="180"/>
      <c r="E289" s="180"/>
      <c r="F289" s="180"/>
      <c r="G289" s="180"/>
      <c r="H289" s="180"/>
      <c r="I289" s="181"/>
      <c r="J289" s="180"/>
      <c r="K289" s="180"/>
      <c r="L289" s="180"/>
      <c r="M289" s="180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1"/>
      <c r="Y289" s="180"/>
      <c r="Z289" s="183"/>
      <c r="AA289" s="183"/>
      <c r="AB289" s="180"/>
      <c r="AC289" s="183"/>
      <c r="AD289" s="183"/>
      <c r="AE289" s="180"/>
      <c r="AF289" s="184"/>
      <c r="AG289" s="185"/>
      <c r="AH289" s="186"/>
      <c r="AI289" s="187"/>
      <c r="AJ289" s="187"/>
      <c r="AK289" s="188"/>
      <c r="AL289" s="189"/>
      <c r="AM289" s="188"/>
      <c r="AN289" s="181"/>
    </row>
    <row r="290" spans="1:40" ht="26.25" customHeight="1">
      <c r="A290" s="177"/>
      <c r="B290" s="178"/>
      <c r="C290" s="179"/>
      <c r="D290" s="180"/>
      <c r="E290" s="180"/>
      <c r="F290" s="180"/>
      <c r="G290" s="180"/>
      <c r="H290" s="180"/>
      <c r="I290" s="181"/>
      <c r="J290" s="180"/>
      <c r="K290" s="180"/>
      <c r="L290" s="180"/>
      <c r="M290" s="180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1"/>
      <c r="Y290" s="180"/>
      <c r="Z290" s="183"/>
      <c r="AA290" s="183"/>
      <c r="AB290" s="180"/>
      <c r="AC290" s="183"/>
      <c r="AD290" s="183"/>
      <c r="AE290" s="180"/>
      <c r="AF290" s="184"/>
      <c r="AG290" s="185"/>
      <c r="AH290" s="186"/>
      <c r="AI290" s="187"/>
      <c r="AJ290" s="187"/>
      <c r="AK290" s="188"/>
      <c r="AL290" s="189"/>
      <c r="AM290" s="188"/>
      <c r="AN290" s="181"/>
    </row>
    <row r="291" spans="1:40" ht="26.25" customHeight="1">
      <c r="A291" s="177"/>
      <c r="B291" s="178"/>
      <c r="C291" s="179"/>
      <c r="D291" s="180"/>
      <c r="E291" s="180"/>
      <c r="F291" s="180"/>
      <c r="G291" s="180"/>
      <c r="H291" s="180"/>
      <c r="I291" s="181"/>
      <c r="J291" s="180"/>
      <c r="K291" s="180"/>
      <c r="L291" s="180"/>
      <c r="M291" s="180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1"/>
      <c r="Y291" s="180"/>
      <c r="Z291" s="183"/>
      <c r="AA291" s="183"/>
      <c r="AB291" s="180"/>
      <c r="AC291" s="183"/>
      <c r="AD291" s="183"/>
      <c r="AE291" s="180"/>
      <c r="AF291" s="184"/>
      <c r="AG291" s="185"/>
      <c r="AH291" s="186"/>
      <c r="AI291" s="187"/>
      <c r="AJ291" s="187"/>
      <c r="AK291" s="188"/>
      <c r="AL291" s="189"/>
      <c r="AM291" s="188"/>
      <c r="AN291" s="181"/>
    </row>
    <row r="292" spans="1:40" ht="26.25" customHeight="1">
      <c r="A292" s="177"/>
      <c r="B292" s="178"/>
      <c r="C292" s="179"/>
      <c r="D292" s="180"/>
      <c r="E292" s="180"/>
      <c r="F292" s="180"/>
      <c r="G292" s="180"/>
      <c r="H292" s="180"/>
      <c r="I292" s="181"/>
      <c r="J292" s="180"/>
      <c r="K292" s="180"/>
      <c r="L292" s="180"/>
      <c r="M292" s="180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1"/>
      <c r="Y292" s="180"/>
      <c r="Z292" s="183"/>
      <c r="AA292" s="183"/>
      <c r="AB292" s="180"/>
      <c r="AC292" s="183"/>
      <c r="AD292" s="183"/>
      <c r="AE292" s="180"/>
      <c r="AF292" s="184"/>
      <c r="AG292" s="185"/>
      <c r="AH292" s="186"/>
      <c r="AI292" s="187"/>
      <c r="AJ292" s="187"/>
      <c r="AK292" s="188"/>
      <c r="AL292" s="189"/>
      <c r="AM292" s="188"/>
      <c r="AN292" s="181"/>
    </row>
    <row r="293" spans="1:40" ht="26.25" customHeight="1">
      <c r="A293" s="177"/>
      <c r="B293" s="178"/>
      <c r="C293" s="179"/>
      <c r="D293" s="180"/>
      <c r="E293" s="180"/>
      <c r="F293" s="180"/>
      <c r="G293" s="180"/>
      <c r="H293" s="180"/>
      <c r="I293" s="181"/>
      <c r="J293" s="180"/>
      <c r="K293" s="180"/>
      <c r="L293" s="180"/>
      <c r="M293" s="180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1"/>
      <c r="Y293" s="180"/>
      <c r="Z293" s="183"/>
      <c r="AA293" s="183"/>
      <c r="AB293" s="180"/>
      <c r="AC293" s="183"/>
      <c r="AD293" s="183"/>
      <c r="AE293" s="180"/>
      <c r="AF293" s="184"/>
      <c r="AG293" s="185"/>
      <c r="AH293" s="186"/>
      <c r="AI293" s="187"/>
      <c r="AJ293" s="187"/>
      <c r="AK293" s="188"/>
      <c r="AL293" s="189"/>
      <c r="AM293" s="188"/>
      <c r="AN293" s="181"/>
    </row>
    <row r="294" spans="1:40" ht="26.25" customHeight="1">
      <c r="A294" s="177"/>
      <c r="B294" s="178"/>
      <c r="C294" s="179"/>
      <c r="D294" s="180"/>
      <c r="E294" s="180"/>
      <c r="F294" s="180"/>
      <c r="G294" s="180"/>
      <c r="H294" s="180"/>
      <c r="I294" s="181"/>
      <c r="J294" s="180"/>
      <c r="K294" s="180"/>
      <c r="L294" s="180"/>
      <c r="M294" s="180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1"/>
      <c r="Y294" s="180"/>
      <c r="Z294" s="183"/>
      <c r="AA294" s="183"/>
      <c r="AB294" s="180"/>
      <c r="AC294" s="183"/>
      <c r="AD294" s="183"/>
      <c r="AE294" s="180"/>
      <c r="AF294" s="184"/>
      <c r="AG294" s="185"/>
      <c r="AH294" s="186"/>
      <c r="AI294" s="187"/>
      <c r="AJ294" s="187"/>
      <c r="AK294" s="188"/>
      <c r="AL294" s="189"/>
      <c r="AM294" s="188"/>
      <c r="AN294" s="181"/>
    </row>
    <row r="295" spans="1:40" ht="26.25" customHeight="1">
      <c r="A295" s="177"/>
      <c r="B295" s="178"/>
      <c r="C295" s="179"/>
      <c r="D295" s="180"/>
      <c r="E295" s="180"/>
      <c r="F295" s="180"/>
      <c r="G295" s="180"/>
      <c r="H295" s="180"/>
      <c r="I295" s="181"/>
      <c r="J295" s="180"/>
      <c r="K295" s="180"/>
      <c r="L295" s="180"/>
      <c r="M295" s="180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1"/>
      <c r="Y295" s="180"/>
      <c r="Z295" s="183"/>
      <c r="AA295" s="183"/>
      <c r="AB295" s="180"/>
      <c r="AC295" s="183"/>
      <c r="AD295" s="183"/>
      <c r="AE295" s="180"/>
      <c r="AF295" s="184"/>
      <c r="AG295" s="185"/>
      <c r="AH295" s="186"/>
      <c r="AI295" s="187"/>
      <c r="AJ295" s="187"/>
      <c r="AK295" s="188"/>
      <c r="AL295" s="189"/>
      <c r="AM295" s="188"/>
      <c r="AN295" s="181"/>
    </row>
    <row r="296" spans="1:40" ht="26.25" customHeight="1">
      <c r="A296" s="177"/>
      <c r="B296" s="178"/>
      <c r="C296" s="179"/>
      <c r="D296" s="180"/>
      <c r="E296" s="180"/>
      <c r="F296" s="180"/>
      <c r="G296" s="180"/>
      <c r="H296" s="180"/>
      <c r="I296" s="181"/>
      <c r="J296" s="180"/>
      <c r="K296" s="180"/>
      <c r="L296" s="180"/>
      <c r="M296" s="180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1"/>
      <c r="Y296" s="180"/>
      <c r="Z296" s="183"/>
      <c r="AA296" s="183"/>
      <c r="AB296" s="180"/>
      <c r="AC296" s="183"/>
      <c r="AD296" s="183"/>
      <c r="AE296" s="180"/>
      <c r="AF296" s="184"/>
      <c r="AG296" s="185"/>
      <c r="AH296" s="186"/>
      <c r="AI296" s="187"/>
      <c r="AJ296" s="187"/>
      <c r="AK296" s="188"/>
      <c r="AL296" s="189"/>
      <c r="AM296" s="188"/>
      <c r="AN296" s="181"/>
    </row>
    <row r="297" spans="1:40" ht="26.25" customHeight="1">
      <c r="A297" s="177"/>
      <c r="B297" s="178"/>
      <c r="C297" s="179"/>
      <c r="D297" s="180"/>
      <c r="E297" s="180"/>
      <c r="F297" s="180"/>
      <c r="G297" s="180"/>
      <c r="H297" s="180"/>
      <c r="I297" s="181"/>
      <c r="J297" s="180"/>
      <c r="K297" s="180"/>
      <c r="L297" s="180"/>
      <c r="M297" s="180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1"/>
      <c r="Y297" s="180"/>
      <c r="Z297" s="183"/>
      <c r="AA297" s="183"/>
      <c r="AB297" s="180"/>
      <c r="AC297" s="183"/>
      <c r="AD297" s="183"/>
      <c r="AE297" s="180"/>
      <c r="AF297" s="184"/>
      <c r="AG297" s="185"/>
      <c r="AH297" s="186"/>
      <c r="AI297" s="187"/>
      <c r="AJ297" s="187"/>
      <c r="AK297" s="188"/>
      <c r="AL297" s="189"/>
      <c r="AM297" s="188"/>
      <c r="AN297" s="181"/>
    </row>
    <row r="298" spans="1:40" ht="26.25" customHeight="1">
      <c r="A298" s="177"/>
      <c r="B298" s="178"/>
      <c r="C298" s="179"/>
      <c r="D298" s="180"/>
      <c r="E298" s="180"/>
      <c r="F298" s="180"/>
      <c r="G298" s="180"/>
      <c r="H298" s="180"/>
      <c r="I298" s="181"/>
      <c r="J298" s="180"/>
      <c r="K298" s="180"/>
      <c r="L298" s="180"/>
      <c r="M298" s="180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1"/>
      <c r="Y298" s="180"/>
      <c r="Z298" s="183"/>
      <c r="AA298" s="183"/>
      <c r="AB298" s="180"/>
      <c r="AC298" s="183"/>
      <c r="AD298" s="183"/>
      <c r="AE298" s="180"/>
      <c r="AF298" s="184"/>
      <c r="AG298" s="185"/>
      <c r="AH298" s="186"/>
      <c r="AI298" s="187"/>
      <c r="AJ298" s="187"/>
      <c r="AK298" s="188"/>
      <c r="AL298" s="189"/>
      <c r="AM298" s="188"/>
      <c r="AN298" s="181"/>
    </row>
    <row r="299" spans="1:40" ht="26.25" customHeight="1">
      <c r="A299" s="177"/>
      <c r="B299" s="178"/>
      <c r="C299" s="179"/>
      <c r="D299" s="180"/>
      <c r="E299" s="180"/>
      <c r="F299" s="180"/>
      <c r="G299" s="180"/>
      <c r="H299" s="180"/>
      <c r="I299" s="181"/>
      <c r="J299" s="180"/>
      <c r="K299" s="180"/>
      <c r="L299" s="180"/>
      <c r="M299" s="180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1"/>
      <c r="Y299" s="180"/>
      <c r="Z299" s="183"/>
      <c r="AA299" s="183"/>
      <c r="AB299" s="180"/>
      <c r="AC299" s="183"/>
      <c r="AD299" s="183"/>
      <c r="AE299" s="180"/>
      <c r="AF299" s="184"/>
      <c r="AG299" s="185"/>
      <c r="AH299" s="186"/>
      <c r="AI299" s="187"/>
      <c r="AJ299" s="187"/>
      <c r="AK299" s="188"/>
      <c r="AL299" s="189"/>
      <c r="AM299" s="188"/>
      <c r="AN299" s="181"/>
    </row>
    <row r="300" spans="1:40" ht="26.25" customHeight="1">
      <c r="A300" s="177"/>
      <c r="B300" s="178"/>
      <c r="C300" s="179"/>
      <c r="D300" s="180"/>
      <c r="E300" s="180"/>
      <c r="F300" s="180"/>
      <c r="G300" s="180"/>
      <c r="H300" s="180"/>
      <c r="I300" s="181"/>
      <c r="J300" s="180"/>
      <c r="K300" s="180"/>
      <c r="L300" s="180"/>
      <c r="M300" s="180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1"/>
      <c r="Y300" s="180"/>
      <c r="Z300" s="183"/>
      <c r="AA300" s="183"/>
      <c r="AB300" s="180"/>
      <c r="AC300" s="183"/>
      <c r="AD300" s="183"/>
      <c r="AE300" s="180"/>
      <c r="AF300" s="184"/>
      <c r="AG300" s="185"/>
      <c r="AH300" s="186"/>
      <c r="AI300" s="187"/>
      <c r="AJ300" s="187"/>
      <c r="AK300" s="188"/>
      <c r="AL300" s="189"/>
      <c r="AM300" s="188"/>
      <c r="AN300" s="181"/>
    </row>
    <row r="301" spans="1:40" ht="26.25" customHeight="1">
      <c r="A301" s="177"/>
      <c r="B301" s="178"/>
      <c r="C301" s="179"/>
      <c r="D301" s="180"/>
      <c r="E301" s="180"/>
      <c r="F301" s="180"/>
      <c r="G301" s="180"/>
      <c r="H301" s="180"/>
      <c r="I301" s="181"/>
      <c r="J301" s="180"/>
      <c r="K301" s="180"/>
      <c r="L301" s="180"/>
      <c r="M301" s="180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1"/>
      <c r="Y301" s="180"/>
      <c r="Z301" s="183"/>
      <c r="AA301" s="183"/>
      <c r="AB301" s="180"/>
      <c r="AC301" s="183"/>
      <c r="AD301" s="183"/>
      <c r="AE301" s="180"/>
      <c r="AF301" s="184"/>
      <c r="AG301" s="185"/>
      <c r="AH301" s="186"/>
      <c r="AI301" s="187"/>
      <c r="AJ301" s="187"/>
      <c r="AK301" s="188"/>
      <c r="AL301" s="189"/>
      <c r="AM301" s="188"/>
      <c r="AN301" s="181"/>
    </row>
    <row r="302" spans="1:40" ht="26.25" customHeight="1">
      <c r="A302" s="177"/>
      <c r="B302" s="178"/>
      <c r="C302" s="179"/>
      <c r="D302" s="180"/>
      <c r="E302" s="180"/>
      <c r="F302" s="180"/>
      <c r="G302" s="180"/>
      <c r="H302" s="180"/>
      <c r="I302" s="181"/>
      <c r="J302" s="180"/>
      <c r="K302" s="180"/>
      <c r="L302" s="180"/>
      <c r="M302" s="180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1"/>
      <c r="Y302" s="180"/>
      <c r="Z302" s="183"/>
      <c r="AA302" s="183"/>
      <c r="AB302" s="180"/>
      <c r="AC302" s="183"/>
      <c r="AD302" s="183"/>
      <c r="AE302" s="180"/>
      <c r="AF302" s="184"/>
      <c r="AG302" s="185"/>
      <c r="AH302" s="186"/>
      <c r="AI302" s="187"/>
      <c r="AJ302" s="187"/>
      <c r="AK302" s="188"/>
      <c r="AL302" s="189"/>
      <c r="AM302" s="188"/>
      <c r="AN302" s="181"/>
    </row>
    <row r="303" spans="1:40" ht="26.25" customHeight="1">
      <c r="A303" s="177"/>
      <c r="B303" s="178"/>
      <c r="C303" s="179"/>
      <c r="D303" s="180"/>
      <c r="E303" s="180"/>
      <c r="F303" s="180"/>
      <c r="G303" s="180"/>
      <c r="H303" s="180"/>
      <c r="I303" s="181"/>
      <c r="J303" s="180"/>
      <c r="K303" s="180"/>
      <c r="L303" s="180"/>
      <c r="M303" s="180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1"/>
      <c r="Y303" s="180"/>
      <c r="Z303" s="183"/>
      <c r="AA303" s="183"/>
      <c r="AB303" s="180"/>
      <c r="AC303" s="183"/>
      <c r="AD303" s="183"/>
      <c r="AE303" s="180"/>
      <c r="AF303" s="184"/>
      <c r="AG303" s="185"/>
      <c r="AH303" s="186"/>
      <c r="AI303" s="187"/>
      <c r="AJ303" s="187"/>
      <c r="AK303" s="188"/>
      <c r="AL303" s="189"/>
      <c r="AM303" s="188"/>
      <c r="AN303" s="181"/>
    </row>
    <row r="304" spans="1:40" ht="26.25" customHeight="1">
      <c r="A304" s="177"/>
      <c r="B304" s="178"/>
      <c r="C304" s="179"/>
      <c r="D304" s="180"/>
      <c r="E304" s="180"/>
      <c r="F304" s="180"/>
      <c r="G304" s="180"/>
      <c r="H304" s="180"/>
      <c r="I304" s="181"/>
      <c r="J304" s="180"/>
      <c r="K304" s="180"/>
      <c r="L304" s="180"/>
      <c r="M304" s="180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1"/>
      <c r="Y304" s="180"/>
      <c r="Z304" s="183"/>
      <c r="AA304" s="183"/>
      <c r="AB304" s="180"/>
      <c r="AC304" s="183"/>
      <c r="AD304" s="183"/>
      <c r="AE304" s="180"/>
      <c r="AF304" s="184"/>
      <c r="AG304" s="185"/>
      <c r="AH304" s="186"/>
      <c r="AI304" s="187"/>
      <c r="AJ304" s="187"/>
      <c r="AK304" s="188"/>
      <c r="AL304" s="189"/>
      <c r="AM304" s="188"/>
      <c r="AN304" s="181"/>
    </row>
    <row r="305" spans="1:40" ht="26.25" customHeight="1">
      <c r="A305" s="177"/>
      <c r="B305" s="178"/>
      <c r="C305" s="179"/>
      <c r="D305" s="180"/>
      <c r="E305" s="180"/>
      <c r="F305" s="180"/>
      <c r="G305" s="180"/>
      <c r="H305" s="180"/>
      <c r="I305" s="181"/>
      <c r="J305" s="180"/>
      <c r="K305" s="180"/>
      <c r="L305" s="180"/>
      <c r="M305" s="180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1"/>
      <c r="Y305" s="180"/>
      <c r="Z305" s="183"/>
      <c r="AA305" s="183"/>
      <c r="AB305" s="180"/>
      <c r="AC305" s="183"/>
      <c r="AD305" s="183"/>
      <c r="AE305" s="180"/>
      <c r="AF305" s="184"/>
      <c r="AG305" s="185"/>
      <c r="AH305" s="186"/>
      <c r="AI305" s="187"/>
      <c r="AJ305" s="187"/>
      <c r="AK305" s="188"/>
      <c r="AL305" s="189"/>
      <c r="AM305" s="188"/>
      <c r="AN305" s="181"/>
    </row>
    <row r="306" spans="1:40" ht="26.25" customHeight="1">
      <c r="A306" s="177"/>
      <c r="B306" s="178"/>
      <c r="C306" s="179"/>
      <c r="D306" s="180"/>
      <c r="E306" s="180"/>
      <c r="F306" s="180"/>
      <c r="G306" s="180"/>
      <c r="H306" s="180"/>
      <c r="I306" s="181"/>
      <c r="J306" s="180"/>
      <c r="K306" s="180"/>
      <c r="L306" s="180"/>
      <c r="M306" s="180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1"/>
      <c r="Y306" s="180"/>
      <c r="Z306" s="183"/>
      <c r="AA306" s="183"/>
      <c r="AB306" s="180"/>
      <c r="AC306" s="183"/>
      <c r="AD306" s="183"/>
      <c r="AE306" s="180"/>
      <c r="AF306" s="184"/>
      <c r="AG306" s="185"/>
      <c r="AH306" s="186"/>
      <c r="AI306" s="187"/>
      <c r="AJ306" s="187"/>
      <c r="AK306" s="188"/>
      <c r="AL306" s="189"/>
      <c r="AM306" s="188"/>
      <c r="AN306" s="181"/>
    </row>
    <row r="307" spans="1:40" ht="26.25" customHeight="1">
      <c r="A307" s="177"/>
      <c r="B307" s="178"/>
      <c r="C307" s="179"/>
      <c r="D307" s="180"/>
      <c r="E307" s="180"/>
      <c r="F307" s="180"/>
      <c r="G307" s="180"/>
      <c r="H307" s="180"/>
      <c r="I307" s="181"/>
      <c r="J307" s="180"/>
      <c r="K307" s="180"/>
      <c r="L307" s="180"/>
      <c r="M307" s="180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1"/>
      <c r="Y307" s="180"/>
      <c r="Z307" s="183"/>
      <c r="AA307" s="183"/>
      <c r="AB307" s="180"/>
      <c r="AC307" s="183"/>
      <c r="AD307" s="183"/>
      <c r="AE307" s="180"/>
      <c r="AF307" s="184"/>
      <c r="AG307" s="185"/>
      <c r="AH307" s="186"/>
      <c r="AI307" s="187"/>
      <c r="AJ307" s="187"/>
      <c r="AK307" s="188"/>
      <c r="AL307" s="189"/>
      <c r="AM307" s="188"/>
      <c r="AN307" s="181"/>
    </row>
    <row r="308" spans="1:40" ht="26.25" customHeight="1">
      <c r="A308" s="177"/>
      <c r="B308" s="178"/>
      <c r="C308" s="179"/>
      <c r="D308" s="180"/>
      <c r="E308" s="180"/>
      <c r="F308" s="180"/>
      <c r="G308" s="180"/>
      <c r="H308" s="180"/>
      <c r="I308" s="181"/>
      <c r="J308" s="180"/>
      <c r="K308" s="180"/>
      <c r="L308" s="180"/>
      <c r="M308" s="180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1"/>
      <c r="Y308" s="180"/>
      <c r="Z308" s="183"/>
      <c r="AA308" s="183"/>
      <c r="AB308" s="180"/>
      <c r="AC308" s="183"/>
      <c r="AD308" s="183"/>
      <c r="AE308" s="180"/>
      <c r="AF308" s="184"/>
      <c r="AG308" s="185"/>
      <c r="AH308" s="186"/>
      <c r="AI308" s="187"/>
      <c r="AJ308" s="187"/>
      <c r="AK308" s="188"/>
      <c r="AL308" s="189"/>
      <c r="AM308" s="188"/>
      <c r="AN308" s="181"/>
    </row>
    <row r="309" spans="1:40" ht="26.25" customHeight="1">
      <c r="A309" s="177"/>
      <c r="B309" s="178"/>
      <c r="C309" s="179"/>
      <c r="D309" s="180"/>
      <c r="E309" s="180"/>
      <c r="F309" s="180"/>
      <c r="G309" s="180"/>
      <c r="H309" s="180"/>
      <c r="I309" s="181"/>
      <c r="J309" s="180"/>
      <c r="K309" s="180"/>
      <c r="L309" s="180"/>
      <c r="M309" s="180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1"/>
      <c r="Y309" s="180"/>
      <c r="Z309" s="183"/>
      <c r="AA309" s="183"/>
      <c r="AB309" s="180"/>
      <c r="AC309" s="183"/>
      <c r="AD309" s="183"/>
      <c r="AE309" s="180"/>
      <c r="AF309" s="184"/>
      <c r="AG309" s="185"/>
      <c r="AH309" s="186"/>
      <c r="AI309" s="187"/>
      <c r="AJ309" s="187"/>
      <c r="AK309" s="188"/>
      <c r="AL309" s="189"/>
      <c r="AM309" s="188"/>
      <c r="AN309" s="181"/>
    </row>
    <row r="310" spans="1:40" ht="26.25" customHeight="1">
      <c r="A310" s="177"/>
      <c r="B310" s="178"/>
      <c r="C310" s="179"/>
      <c r="D310" s="180"/>
      <c r="E310" s="180"/>
      <c r="F310" s="180"/>
      <c r="G310" s="180"/>
      <c r="H310" s="180"/>
      <c r="I310" s="181"/>
      <c r="J310" s="180"/>
      <c r="K310" s="180"/>
      <c r="L310" s="180"/>
      <c r="M310" s="180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1"/>
      <c r="Y310" s="180"/>
      <c r="Z310" s="183"/>
      <c r="AA310" s="183"/>
      <c r="AB310" s="180"/>
      <c r="AC310" s="183"/>
      <c r="AD310" s="183"/>
      <c r="AE310" s="180"/>
      <c r="AF310" s="184"/>
      <c r="AG310" s="185"/>
      <c r="AH310" s="186"/>
      <c r="AI310" s="187"/>
      <c r="AJ310" s="187"/>
      <c r="AK310" s="188"/>
      <c r="AL310" s="189"/>
      <c r="AM310" s="188"/>
      <c r="AN310" s="181"/>
    </row>
    <row r="311" spans="1:40" ht="26.25" customHeight="1">
      <c r="A311" s="177"/>
      <c r="B311" s="178"/>
      <c r="C311" s="179"/>
      <c r="D311" s="180"/>
      <c r="E311" s="180"/>
      <c r="F311" s="180"/>
      <c r="G311" s="180"/>
      <c r="H311" s="180"/>
      <c r="I311" s="181"/>
      <c r="J311" s="180"/>
      <c r="K311" s="180"/>
      <c r="L311" s="180"/>
      <c r="M311" s="180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1"/>
      <c r="Y311" s="180"/>
      <c r="Z311" s="183"/>
      <c r="AA311" s="183"/>
      <c r="AB311" s="180"/>
      <c r="AC311" s="183"/>
      <c r="AD311" s="183"/>
      <c r="AE311" s="180"/>
      <c r="AF311" s="184"/>
      <c r="AG311" s="185"/>
      <c r="AH311" s="186"/>
      <c r="AI311" s="187"/>
      <c r="AJ311" s="187"/>
      <c r="AK311" s="188"/>
      <c r="AL311" s="189"/>
      <c r="AM311" s="188"/>
      <c r="AN311" s="181"/>
    </row>
    <row r="312" spans="1:40" ht="26.25" customHeight="1">
      <c r="A312" s="177"/>
      <c r="B312" s="178"/>
      <c r="C312" s="179"/>
      <c r="D312" s="180"/>
      <c r="E312" s="180"/>
      <c r="F312" s="180"/>
      <c r="G312" s="180"/>
      <c r="H312" s="180"/>
      <c r="I312" s="181"/>
      <c r="J312" s="180"/>
      <c r="K312" s="180"/>
      <c r="L312" s="180"/>
      <c r="M312" s="180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1"/>
      <c r="Y312" s="180"/>
      <c r="Z312" s="183"/>
      <c r="AA312" s="183"/>
      <c r="AB312" s="180"/>
      <c r="AC312" s="183"/>
      <c r="AD312" s="183"/>
      <c r="AE312" s="180"/>
      <c r="AF312" s="184"/>
      <c r="AG312" s="185"/>
      <c r="AH312" s="186"/>
      <c r="AI312" s="187"/>
      <c r="AJ312" s="187"/>
      <c r="AK312" s="188"/>
      <c r="AL312" s="189"/>
      <c r="AM312" s="188"/>
      <c r="AN312" s="181"/>
    </row>
    <row r="313" spans="1:40" ht="26.25" customHeight="1">
      <c r="A313" s="177"/>
      <c r="B313" s="178"/>
      <c r="C313" s="179"/>
      <c r="D313" s="180"/>
      <c r="E313" s="180"/>
      <c r="F313" s="180"/>
      <c r="G313" s="180"/>
      <c r="H313" s="180"/>
      <c r="I313" s="181"/>
      <c r="J313" s="180"/>
      <c r="K313" s="180"/>
      <c r="L313" s="180"/>
      <c r="M313" s="180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1"/>
      <c r="Y313" s="180"/>
      <c r="Z313" s="183"/>
      <c r="AA313" s="183"/>
      <c r="AB313" s="180"/>
      <c r="AC313" s="183"/>
      <c r="AD313" s="183"/>
      <c r="AE313" s="180"/>
      <c r="AF313" s="184"/>
      <c r="AG313" s="185"/>
      <c r="AH313" s="186"/>
      <c r="AI313" s="187"/>
      <c r="AJ313" s="187"/>
      <c r="AK313" s="188"/>
      <c r="AL313" s="189"/>
      <c r="AM313" s="188"/>
      <c r="AN313" s="181"/>
    </row>
    <row r="314" spans="1:40" ht="26.25" customHeight="1">
      <c r="A314" s="177"/>
      <c r="B314" s="178"/>
      <c r="C314" s="179"/>
      <c r="D314" s="180"/>
      <c r="E314" s="180"/>
      <c r="F314" s="180"/>
      <c r="G314" s="180"/>
      <c r="H314" s="180"/>
      <c r="I314" s="181"/>
      <c r="J314" s="180"/>
      <c r="K314" s="180"/>
      <c r="L314" s="180"/>
      <c r="M314" s="180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1"/>
      <c r="Y314" s="180"/>
      <c r="Z314" s="183"/>
      <c r="AA314" s="183"/>
      <c r="AB314" s="180"/>
      <c r="AC314" s="183"/>
      <c r="AD314" s="183"/>
      <c r="AE314" s="180"/>
      <c r="AF314" s="184"/>
      <c r="AG314" s="185"/>
      <c r="AH314" s="186"/>
      <c r="AI314" s="187"/>
      <c r="AJ314" s="187"/>
      <c r="AK314" s="188"/>
      <c r="AL314" s="189"/>
      <c r="AM314" s="188"/>
      <c r="AN314" s="181"/>
    </row>
    <row r="315" spans="1:40" ht="26.25" customHeight="1">
      <c r="A315" s="177"/>
      <c r="B315" s="178"/>
      <c r="C315" s="179"/>
      <c r="D315" s="180"/>
      <c r="E315" s="180"/>
      <c r="F315" s="180"/>
      <c r="G315" s="180"/>
      <c r="H315" s="180"/>
      <c r="I315" s="181"/>
      <c r="J315" s="180"/>
      <c r="K315" s="180"/>
      <c r="L315" s="180"/>
      <c r="M315" s="180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1"/>
      <c r="Y315" s="180"/>
      <c r="Z315" s="183"/>
      <c r="AA315" s="183"/>
      <c r="AB315" s="180"/>
      <c r="AC315" s="183"/>
      <c r="AD315" s="183"/>
      <c r="AE315" s="180"/>
      <c r="AF315" s="184"/>
      <c r="AG315" s="185"/>
      <c r="AH315" s="186"/>
      <c r="AI315" s="187"/>
      <c r="AJ315" s="187"/>
      <c r="AK315" s="188"/>
      <c r="AL315" s="189"/>
      <c r="AM315" s="188"/>
      <c r="AN315" s="181"/>
    </row>
    <row r="316" spans="1:40" ht="26.25" customHeight="1">
      <c r="A316" s="177"/>
      <c r="B316" s="178"/>
      <c r="C316" s="179"/>
      <c r="D316" s="180"/>
      <c r="E316" s="180"/>
      <c r="F316" s="180"/>
      <c r="G316" s="180"/>
      <c r="H316" s="180"/>
      <c r="I316" s="181"/>
      <c r="J316" s="180"/>
      <c r="K316" s="180"/>
      <c r="L316" s="180"/>
      <c r="M316" s="180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1"/>
      <c r="Y316" s="180"/>
      <c r="Z316" s="183"/>
      <c r="AA316" s="183"/>
      <c r="AB316" s="180"/>
      <c r="AC316" s="183"/>
      <c r="AD316" s="183"/>
      <c r="AE316" s="180"/>
      <c r="AF316" s="184"/>
      <c r="AG316" s="185"/>
      <c r="AH316" s="186"/>
      <c r="AI316" s="187"/>
      <c r="AJ316" s="187"/>
      <c r="AK316" s="188"/>
      <c r="AL316" s="189"/>
      <c r="AM316" s="188"/>
      <c r="AN316" s="181"/>
    </row>
    <row r="317" spans="1:40" ht="26.25" customHeight="1">
      <c r="A317" s="177"/>
      <c r="B317" s="178"/>
      <c r="C317" s="179"/>
      <c r="D317" s="180"/>
      <c r="E317" s="180"/>
      <c r="F317" s="180"/>
      <c r="G317" s="180"/>
      <c r="H317" s="180"/>
      <c r="I317" s="181"/>
      <c r="J317" s="180"/>
      <c r="K317" s="180"/>
      <c r="L317" s="180"/>
      <c r="M317" s="180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1"/>
      <c r="Y317" s="180"/>
      <c r="Z317" s="183"/>
      <c r="AA317" s="183"/>
      <c r="AB317" s="180"/>
      <c r="AC317" s="183"/>
      <c r="AD317" s="183"/>
      <c r="AE317" s="180"/>
      <c r="AF317" s="184"/>
      <c r="AG317" s="185"/>
      <c r="AH317" s="186"/>
      <c r="AI317" s="187"/>
      <c r="AJ317" s="187"/>
      <c r="AK317" s="188"/>
      <c r="AL317" s="189"/>
      <c r="AM317" s="188"/>
      <c r="AN317" s="181"/>
    </row>
    <row r="318" spans="1:40" ht="26.25" customHeight="1">
      <c r="A318" s="177"/>
      <c r="B318" s="178"/>
      <c r="C318" s="179"/>
      <c r="D318" s="180"/>
      <c r="E318" s="180"/>
      <c r="F318" s="180"/>
      <c r="G318" s="180"/>
      <c r="H318" s="180"/>
      <c r="I318" s="181"/>
      <c r="J318" s="180"/>
      <c r="K318" s="180"/>
      <c r="L318" s="180"/>
      <c r="M318" s="180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1"/>
      <c r="Y318" s="180"/>
      <c r="Z318" s="183"/>
      <c r="AA318" s="183"/>
      <c r="AB318" s="180"/>
      <c r="AC318" s="183"/>
      <c r="AD318" s="183"/>
      <c r="AE318" s="180"/>
      <c r="AF318" s="184"/>
      <c r="AG318" s="185"/>
      <c r="AH318" s="186"/>
      <c r="AI318" s="187"/>
      <c r="AJ318" s="187"/>
      <c r="AK318" s="188"/>
      <c r="AL318" s="189"/>
      <c r="AM318" s="188"/>
      <c r="AN318" s="181"/>
    </row>
    <row r="319" spans="1:40" ht="26.25" customHeight="1">
      <c r="A319" s="177"/>
      <c r="B319" s="178"/>
      <c r="C319" s="179"/>
      <c r="D319" s="180"/>
      <c r="E319" s="180"/>
      <c r="F319" s="180"/>
      <c r="G319" s="180"/>
      <c r="H319" s="180"/>
      <c r="I319" s="181"/>
      <c r="J319" s="180"/>
      <c r="K319" s="180"/>
      <c r="L319" s="180"/>
      <c r="M319" s="180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1"/>
      <c r="Y319" s="180"/>
      <c r="Z319" s="183"/>
      <c r="AA319" s="183"/>
      <c r="AB319" s="180"/>
      <c r="AC319" s="183"/>
      <c r="AD319" s="183"/>
      <c r="AE319" s="180"/>
      <c r="AF319" s="184"/>
      <c r="AG319" s="185"/>
      <c r="AH319" s="186"/>
      <c r="AI319" s="187"/>
      <c r="AJ319" s="187"/>
      <c r="AK319" s="188"/>
      <c r="AL319" s="189"/>
      <c r="AM319" s="188"/>
      <c r="AN319" s="181"/>
    </row>
    <row r="320" spans="1:40" ht="26.25" customHeight="1">
      <c r="A320" s="177"/>
      <c r="B320" s="178"/>
      <c r="C320" s="179"/>
      <c r="D320" s="180"/>
      <c r="E320" s="180"/>
      <c r="F320" s="180"/>
      <c r="G320" s="180"/>
      <c r="H320" s="180"/>
      <c r="I320" s="181"/>
      <c r="J320" s="180"/>
      <c r="K320" s="180"/>
      <c r="L320" s="180"/>
      <c r="M320" s="180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1"/>
      <c r="Y320" s="180"/>
      <c r="Z320" s="183"/>
      <c r="AA320" s="183"/>
      <c r="AB320" s="180"/>
      <c r="AC320" s="183"/>
      <c r="AD320" s="183"/>
      <c r="AE320" s="180"/>
      <c r="AF320" s="184"/>
      <c r="AG320" s="185"/>
      <c r="AH320" s="186"/>
      <c r="AI320" s="187"/>
      <c r="AJ320" s="187"/>
      <c r="AK320" s="188"/>
      <c r="AL320" s="189"/>
      <c r="AM320" s="188"/>
      <c r="AN320" s="181"/>
    </row>
    <row r="321" spans="1:40" ht="26.25" customHeight="1">
      <c r="A321" s="177"/>
      <c r="B321" s="178"/>
      <c r="C321" s="179"/>
      <c r="D321" s="180"/>
      <c r="E321" s="180"/>
      <c r="F321" s="180"/>
      <c r="G321" s="180"/>
      <c r="H321" s="180"/>
      <c r="I321" s="181"/>
      <c r="J321" s="180"/>
      <c r="K321" s="180"/>
      <c r="L321" s="180"/>
      <c r="M321" s="180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1"/>
      <c r="Y321" s="180"/>
      <c r="Z321" s="183"/>
      <c r="AA321" s="183"/>
      <c r="AB321" s="180"/>
      <c r="AC321" s="183"/>
      <c r="AD321" s="183"/>
      <c r="AE321" s="180"/>
      <c r="AF321" s="184"/>
      <c r="AG321" s="185"/>
      <c r="AH321" s="186"/>
      <c r="AI321" s="187"/>
      <c r="AJ321" s="187"/>
      <c r="AK321" s="188"/>
      <c r="AL321" s="189"/>
      <c r="AM321" s="188"/>
      <c r="AN321" s="181"/>
    </row>
    <row r="322" spans="1:40" ht="26.25" customHeight="1">
      <c r="A322" s="177"/>
      <c r="B322" s="178"/>
      <c r="C322" s="179"/>
      <c r="D322" s="180"/>
      <c r="E322" s="180"/>
      <c r="F322" s="180"/>
      <c r="G322" s="180"/>
      <c r="H322" s="180"/>
      <c r="I322" s="181"/>
      <c r="J322" s="180"/>
      <c r="K322" s="180"/>
      <c r="L322" s="180"/>
      <c r="M322" s="180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1"/>
      <c r="Y322" s="180"/>
      <c r="Z322" s="183"/>
      <c r="AA322" s="183"/>
      <c r="AB322" s="180"/>
      <c r="AC322" s="183"/>
      <c r="AD322" s="183"/>
      <c r="AE322" s="180"/>
      <c r="AF322" s="184"/>
      <c r="AG322" s="185"/>
      <c r="AH322" s="186"/>
      <c r="AI322" s="187"/>
      <c r="AJ322" s="187"/>
      <c r="AK322" s="188"/>
      <c r="AL322" s="189"/>
      <c r="AM322" s="188"/>
      <c r="AN322" s="181"/>
    </row>
    <row r="323" spans="1:40" ht="26.25" customHeight="1">
      <c r="A323" s="177"/>
      <c r="B323" s="178"/>
      <c r="C323" s="179"/>
      <c r="D323" s="180"/>
      <c r="E323" s="180"/>
      <c r="F323" s="180"/>
      <c r="G323" s="180"/>
      <c r="H323" s="180"/>
      <c r="I323" s="181"/>
      <c r="J323" s="180"/>
      <c r="K323" s="180"/>
      <c r="L323" s="180"/>
      <c r="M323" s="180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1"/>
      <c r="Y323" s="180"/>
      <c r="Z323" s="183"/>
      <c r="AA323" s="183"/>
      <c r="AB323" s="180"/>
      <c r="AC323" s="183"/>
      <c r="AD323" s="183"/>
      <c r="AE323" s="180"/>
      <c r="AF323" s="184"/>
      <c r="AG323" s="185"/>
      <c r="AH323" s="186"/>
      <c r="AI323" s="187"/>
      <c r="AJ323" s="187"/>
      <c r="AK323" s="188"/>
      <c r="AL323" s="189"/>
      <c r="AM323" s="188"/>
      <c r="AN323" s="181"/>
    </row>
    <row r="324" spans="1:40" ht="26.25" customHeight="1">
      <c r="A324" s="177"/>
      <c r="B324" s="178"/>
      <c r="C324" s="179"/>
      <c r="D324" s="180"/>
      <c r="E324" s="180"/>
      <c r="F324" s="180"/>
      <c r="G324" s="180"/>
      <c r="H324" s="180"/>
      <c r="I324" s="181"/>
      <c r="J324" s="180"/>
      <c r="K324" s="180"/>
      <c r="L324" s="180"/>
      <c r="M324" s="180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1"/>
      <c r="Y324" s="180"/>
      <c r="Z324" s="183"/>
      <c r="AA324" s="183"/>
      <c r="AB324" s="180"/>
      <c r="AC324" s="183"/>
      <c r="AD324" s="183"/>
      <c r="AE324" s="180"/>
      <c r="AF324" s="184"/>
      <c r="AG324" s="185"/>
      <c r="AH324" s="186"/>
      <c r="AI324" s="187"/>
      <c r="AJ324" s="187"/>
      <c r="AK324" s="188"/>
      <c r="AL324" s="189"/>
      <c r="AM324" s="188"/>
      <c r="AN324" s="181"/>
    </row>
    <row r="325" spans="1:40" ht="26.25" customHeight="1">
      <c r="A325" s="177"/>
      <c r="B325" s="178"/>
      <c r="C325" s="179"/>
      <c r="D325" s="180"/>
      <c r="E325" s="180"/>
      <c r="F325" s="180"/>
      <c r="G325" s="180"/>
      <c r="H325" s="180"/>
      <c r="I325" s="181"/>
      <c r="J325" s="180"/>
      <c r="K325" s="180"/>
      <c r="L325" s="180"/>
      <c r="M325" s="180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1"/>
      <c r="Y325" s="180"/>
      <c r="Z325" s="183"/>
      <c r="AA325" s="183"/>
      <c r="AB325" s="180"/>
      <c r="AC325" s="183"/>
      <c r="AD325" s="183"/>
      <c r="AE325" s="180"/>
      <c r="AF325" s="184"/>
      <c r="AG325" s="185"/>
      <c r="AH325" s="186"/>
      <c r="AI325" s="187"/>
      <c r="AJ325" s="187"/>
      <c r="AK325" s="188"/>
      <c r="AL325" s="189"/>
      <c r="AM325" s="188"/>
      <c r="AN325" s="181"/>
    </row>
    <row r="326" spans="1:40" ht="26.25" customHeight="1">
      <c r="A326" s="177"/>
      <c r="B326" s="178"/>
      <c r="C326" s="179"/>
      <c r="D326" s="180"/>
      <c r="E326" s="180"/>
      <c r="F326" s="180"/>
      <c r="G326" s="180"/>
      <c r="H326" s="180"/>
      <c r="I326" s="181"/>
      <c r="J326" s="180"/>
      <c r="K326" s="180"/>
      <c r="L326" s="180"/>
      <c r="M326" s="180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1"/>
      <c r="Y326" s="180"/>
      <c r="Z326" s="183"/>
      <c r="AA326" s="183"/>
      <c r="AB326" s="180"/>
      <c r="AC326" s="183"/>
      <c r="AD326" s="183"/>
      <c r="AE326" s="180"/>
      <c r="AF326" s="184"/>
      <c r="AG326" s="185"/>
      <c r="AH326" s="186"/>
      <c r="AI326" s="187"/>
      <c r="AJ326" s="187"/>
      <c r="AK326" s="188"/>
      <c r="AL326" s="189"/>
      <c r="AM326" s="188"/>
      <c r="AN326" s="181"/>
    </row>
    <row r="327" spans="1:40" ht="26.25" customHeight="1">
      <c r="A327" s="177"/>
      <c r="B327" s="178"/>
      <c r="C327" s="179"/>
      <c r="D327" s="180"/>
      <c r="E327" s="180"/>
      <c r="F327" s="180"/>
      <c r="G327" s="180"/>
      <c r="H327" s="180"/>
      <c r="I327" s="181"/>
      <c r="J327" s="180"/>
      <c r="K327" s="180"/>
      <c r="L327" s="180"/>
      <c r="M327" s="180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1"/>
      <c r="Y327" s="180"/>
      <c r="Z327" s="183"/>
      <c r="AA327" s="183"/>
      <c r="AB327" s="180"/>
      <c r="AC327" s="183"/>
      <c r="AD327" s="183"/>
      <c r="AE327" s="180"/>
      <c r="AF327" s="184"/>
      <c r="AG327" s="185"/>
      <c r="AH327" s="186"/>
      <c r="AI327" s="187"/>
      <c r="AJ327" s="187"/>
      <c r="AK327" s="188"/>
      <c r="AL327" s="189"/>
      <c r="AM327" s="188"/>
      <c r="AN327" s="181"/>
    </row>
    <row r="328" spans="1:40" ht="26.25" customHeight="1">
      <c r="A328" s="177"/>
      <c r="B328" s="178"/>
      <c r="C328" s="179"/>
      <c r="D328" s="180"/>
      <c r="E328" s="180"/>
      <c r="F328" s="180"/>
      <c r="G328" s="180"/>
      <c r="H328" s="180"/>
      <c r="I328" s="181"/>
      <c r="J328" s="180"/>
      <c r="K328" s="180"/>
      <c r="L328" s="180"/>
      <c r="M328" s="180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1"/>
      <c r="Y328" s="180"/>
      <c r="Z328" s="183"/>
      <c r="AA328" s="183"/>
      <c r="AB328" s="180"/>
      <c r="AC328" s="183"/>
      <c r="AD328" s="183"/>
      <c r="AE328" s="180"/>
      <c r="AF328" s="184"/>
      <c r="AG328" s="185"/>
      <c r="AH328" s="186"/>
      <c r="AI328" s="187"/>
      <c r="AJ328" s="187"/>
      <c r="AK328" s="188"/>
      <c r="AL328" s="189"/>
      <c r="AM328" s="188"/>
      <c r="AN328" s="181"/>
    </row>
    <row r="329" spans="1:40" ht="26.25" customHeight="1">
      <c r="A329" s="177"/>
      <c r="B329" s="178"/>
      <c r="C329" s="179"/>
      <c r="D329" s="180"/>
      <c r="E329" s="180"/>
      <c r="F329" s="180"/>
      <c r="G329" s="180"/>
      <c r="H329" s="180"/>
      <c r="I329" s="181"/>
      <c r="J329" s="180"/>
      <c r="K329" s="180"/>
      <c r="L329" s="180"/>
      <c r="M329" s="180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1"/>
      <c r="Y329" s="180"/>
      <c r="Z329" s="183"/>
      <c r="AA329" s="183"/>
      <c r="AB329" s="180"/>
      <c r="AC329" s="183"/>
      <c r="AD329" s="183"/>
      <c r="AE329" s="180"/>
      <c r="AF329" s="184"/>
      <c r="AG329" s="185"/>
      <c r="AH329" s="186"/>
      <c r="AI329" s="187"/>
      <c r="AJ329" s="187"/>
      <c r="AK329" s="188"/>
      <c r="AL329" s="189"/>
      <c r="AM329" s="188"/>
      <c r="AN329" s="181"/>
    </row>
    <row r="330" spans="1:40" ht="26.25" customHeight="1">
      <c r="A330" s="177"/>
      <c r="B330" s="178"/>
      <c r="C330" s="179"/>
      <c r="D330" s="180"/>
      <c r="E330" s="180"/>
      <c r="F330" s="180"/>
      <c r="G330" s="180"/>
      <c r="H330" s="180"/>
      <c r="I330" s="181"/>
      <c r="J330" s="180"/>
      <c r="K330" s="180"/>
      <c r="L330" s="180"/>
      <c r="M330" s="180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1"/>
      <c r="Y330" s="180"/>
      <c r="Z330" s="183"/>
      <c r="AA330" s="183"/>
      <c r="AB330" s="180"/>
      <c r="AC330" s="183"/>
      <c r="AD330" s="183"/>
      <c r="AE330" s="180"/>
      <c r="AF330" s="184"/>
      <c r="AG330" s="185"/>
      <c r="AH330" s="186"/>
      <c r="AI330" s="187"/>
      <c r="AJ330" s="187"/>
      <c r="AK330" s="188"/>
      <c r="AL330" s="189"/>
      <c r="AM330" s="188"/>
      <c r="AN330" s="181"/>
    </row>
    <row r="331" spans="1:40" ht="26.25" customHeight="1">
      <c r="A331" s="177"/>
      <c r="B331" s="178"/>
      <c r="C331" s="179"/>
      <c r="D331" s="180"/>
      <c r="E331" s="180"/>
      <c r="F331" s="180"/>
      <c r="G331" s="180"/>
      <c r="H331" s="180"/>
      <c r="I331" s="181"/>
      <c r="J331" s="180"/>
      <c r="K331" s="180"/>
      <c r="L331" s="180"/>
      <c r="M331" s="180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1"/>
      <c r="Y331" s="180"/>
      <c r="Z331" s="183"/>
      <c r="AA331" s="183"/>
      <c r="AB331" s="180"/>
      <c r="AC331" s="183"/>
      <c r="AD331" s="183"/>
      <c r="AE331" s="180"/>
      <c r="AF331" s="184"/>
      <c r="AG331" s="185"/>
      <c r="AH331" s="186"/>
      <c r="AI331" s="187"/>
      <c r="AJ331" s="187"/>
      <c r="AK331" s="188"/>
      <c r="AL331" s="189"/>
      <c r="AM331" s="188"/>
      <c r="AN331" s="181"/>
    </row>
    <row r="332" spans="1:40" ht="26.25" customHeight="1">
      <c r="A332" s="177"/>
      <c r="B332" s="178"/>
      <c r="C332" s="179"/>
      <c r="D332" s="180"/>
      <c r="E332" s="180"/>
      <c r="F332" s="180"/>
      <c r="G332" s="180"/>
      <c r="H332" s="180"/>
      <c r="I332" s="181"/>
      <c r="J332" s="180"/>
      <c r="K332" s="180"/>
      <c r="L332" s="180"/>
      <c r="M332" s="180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1"/>
      <c r="Y332" s="180"/>
      <c r="Z332" s="183"/>
      <c r="AA332" s="183"/>
      <c r="AB332" s="180"/>
      <c r="AC332" s="183"/>
      <c r="AD332" s="183"/>
      <c r="AE332" s="180"/>
      <c r="AF332" s="184"/>
      <c r="AG332" s="185"/>
      <c r="AH332" s="186"/>
      <c r="AI332" s="187"/>
      <c r="AJ332" s="187"/>
      <c r="AK332" s="188"/>
      <c r="AL332" s="189"/>
      <c r="AM332" s="188"/>
      <c r="AN332" s="181"/>
    </row>
    <row r="333" spans="1:40" ht="26.25" customHeight="1">
      <c r="A333" s="177"/>
      <c r="B333" s="178"/>
      <c r="C333" s="179"/>
      <c r="D333" s="180"/>
      <c r="E333" s="180"/>
      <c r="F333" s="180"/>
      <c r="G333" s="180"/>
      <c r="H333" s="180"/>
      <c r="I333" s="181"/>
      <c r="J333" s="180"/>
      <c r="K333" s="180"/>
      <c r="L333" s="180"/>
      <c r="M333" s="180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1"/>
      <c r="Y333" s="180"/>
      <c r="Z333" s="183"/>
      <c r="AA333" s="183"/>
      <c r="AB333" s="180"/>
      <c r="AC333" s="183"/>
      <c r="AD333" s="183"/>
      <c r="AE333" s="180"/>
      <c r="AF333" s="184"/>
      <c r="AG333" s="185"/>
      <c r="AH333" s="186"/>
      <c r="AI333" s="187"/>
      <c r="AJ333" s="187"/>
      <c r="AK333" s="188"/>
      <c r="AL333" s="189"/>
      <c r="AM333" s="188"/>
      <c r="AN333" s="181"/>
    </row>
    <row r="334" spans="1:40" ht="26.25" customHeight="1">
      <c r="A334" s="177"/>
      <c r="B334" s="178"/>
      <c r="C334" s="179"/>
      <c r="D334" s="180"/>
      <c r="E334" s="180"/>
      <c r="F334" s="180"/>
      <c r="G334" s="180"/>
      <c r="H334" s="180"/>
      <c r="I334" s="181"/>
      <c r="J334" s="180"/>
      <c r="K334" s="180"/>
      <c r="L334" s="180"/>
      <c r="M334" s="180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1"/>
      <c r="Y334" s="180"/>
      <c r="Z334" s="183"/>
      <c r="AA334" s="183"/>
      <c r="AB334" s="180"/>
      <c r="AC334" s="183"/>
      <c r="AD334" s="183"/>
      <c r="AE334" s="180"/>
      <c r="AF334" s="184"/>
      <c r="AG334" s="185"/>
      <c r="AH334" s="186"/>
      <c r="AI334" s="187"/>
      <c r="AJ334" s="187"/>
      <c r="AK334" s="188"/>
      <c r="AL334" s="189"/>
      <c r="AM334" s="188"/>
      <c r="AN334" s="181"/>
    </row>
    <row r="335" spans="1:40" ht="26.25" customHeight="1">
      <c r="A335" s="177"/>
      <c r="B335" s="178"/>
      <c r="C335" s="179"/>
      <c r="D335" s="180"/>
      <c r="E335" s="180"/>
      <c r="F335" s="180"/>
      <c r="G335" s="180"/>
      <c r="H335" s="180"/>
      <c r="I335" s="181"/>
      <c r="J335" s="180"/>
      <c r="K335" s="180"/>
      <c r="L335" s="180"/>
      <c r="M335" s="180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1"/>
      <c r="Y335" s="180"/>
      <c r="Z335" s="183"/>
      <c r="AA335" s="183"/>
      <c r="AB335" s="180"/>
      <c r="AC335" s="183"/>
      <c r="AD335" s="183"/>
      <c r="AE335" s="180"/>
      <c r="AF335" s="184"/>
      <c r="AG335" s="185"/>
      <c r="AH335" s="186"/>
      <c r="AI335" s="187"/>
      <c r="AJ335" s="187"/>
      <c r="AK335" s="188"/>
      <c r="AL335" s="189"/>
      <c r="AM335" s="188"/>
      <c r="AN335" s="181"/>
    </row>
    <row r="336" spans="1:40" ht="26.25" customHeight="1">
      <c r="A336" s="177"/>
      <c r="B336" s="178"/>
      <c r="C336" s="179"/>
      <c r="D336" s="180"/>
      <c r="E336" s="180"/>
      <c r="F336" s="180"/>
      <c r="G336" s="180"/>
      <c r="H336" s="180"/>
      <c r="I336" s="181"/>
      <c r="J336" s="180"/>
      <c r="K336" s="180"/>
      <c r="L336" s="180"/>
      <c r="M336" s="180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1"/>
      <c r="Y336" s="180"/>
      <c r="Z336" s="183"/>
      <c r="AA336" s="183"/>
      <c r="AB336" s="180"/>
      <c r="AC336" s="183"/>
      <c r="AD336" s="183"/>
      <c r="AE336" s="180"/>
      <c r="AF336" s="184"/>
      <c r="AG336" s="185"/>
      <c r="AH336" s="186"/>
      <c r="AI336" s="187"/>
      <c r="AJ336" s="187"/>
      <c r="AK336" s="188"/>
      <c r="AL336" s="189"/>
      <c r="AM336" s="188"/>
      <c r="AN336" s="181"/>
    </row>
    <row r="337" spans="1:40" ht="26.25" customHeight="1">
      <c r="A337" s="177"/>
      <c r="B337" s="178"/>
      <c r="C337" s="179"/>
      <c r="D337" s="180"/>
      <c r="E337" s="180"/>
      <c r="F337" s="180"/>
      <c r="G337" s="180"/>
      <c r="H337" s="180"/>
      <c r="I337" s="181"/>
      <c r="J337" s="180"/>
      <c r="K337" s="180"/>
      <c r="L337" s="180"/>
      <c r="M337" s="180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1"/>
      <c r="Y337" s="180"/>
      <c r="Z337" s="183"/>
      <c r="AA337" s="183"/>
      <c r="AB337" s="180"/>
      <c r="AC337" s="183"/>
      <c r="AD337" s="183"/>
      <c r="AE337" s="180"/>
      <c r="AF337" s="184"/>
      <c r="AG337" s="185"/>
      <c r="AH337" s="186"/>
      <c r="AI337" s="187"/>
      <c r="AJ337" s="187"/>
      <c r="AK337" s="188"/>
      <c r="AL337" s="189"/>
      <c r="AM337" s="188"/>
      <c r="AN337" s="181"/>
    </row>
    <row r="338" spans="1:40" ht="26.25" customHeight="1">
      <c r="A338" s="177"/>
      <c r="B338" s="178"/>
      <c r="C338" s="179"/>
      <c r="D338" s="180"/>
      <c r="E338" s="180"/>
      <c r="F338" s="180"/>
      <c r="G338" s="180"/>
      <c r="H338" s="180"/>
      <c r="I338" s="181"/>
      <c r="J338" s="180"/>
      <c r="K338" s="180"/>
      <c r="L338" s="180"/>
      <c r="M338" s="180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1"/>
      <c r="Y338" s="180"/>
      <c r="Z338" s="183"/>
      <c r="AA338" s="183"/>
      <c r="AB338" s="180"/>
      <c r="AC338" s="183"/>
      <c r="AD338" s="183"/>
      <c r="AE338" s="180"/>
      <c r="AF338" s="184"/>
      <c r="AG338" s="185"/>
      <c r="AH338" s="186"/>
      <c r="AI338" s="187"/>
      <c r="AJ338" s="187"/>
      <c r="AK338" s="188"/>
      <c r="AL338" s="189"/>
      <c r="AM338" s="188"/>
      <c r="AN338" s="181"/>
    </row>
    <row r="339" spans="1:40" ht="26.25" customHeight="1">
      <c r="A339" s="177"/>
      <c r="B339" s="178"/>
      <c r="C339" s="179"/>
      <c r="D339" s="180"/>
      <c r="E339" s="180"/>
      <c r="F339" s="180"/>
      <c r="G339" s="180"/>
      <c r="H339" s="180"/>
      <c r="I339" s="181"/>
      <c r="J339" s="180"/>
      <c r="K339" s="180"/>
      <c r="L339" s="180"/>
      <c r="M339" s="180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1"/>
      <c r="Y339" s="180"/>
      <c r="Z339" s="183"/>
      <c r="AA339" s="183"/>
      <c r="AB339" s="180"/>
      <c r="AC339" s="183"/>
      <c r="AD339" s="183"/>
      <c r="AE339" s="180"/>
      <c r="AF339" s="184"/>
      <c r="AG339" s="185"/>
      <c r="AH339" s="186"/>
      <c r="AI339" s="187"/>
      <c r="AJ339" s="187"/>
      <c r="AK339" s="188"/>
      <c r="AL339" s="189"/>
      <c r="AM339" s="188"/>
      <c r="AN339" s="181"/>
    </row>
    <row r="340" spans="1:40" ht="26.25" customHeight="1">
      <c r="A340" s="177"/>
      <c r="B340" s="178"/>
      <c r="C340" s="179"/>
      <c r="D340" s="180"/>
      <c r="E340" s="180"/>
      <c r="F340" s="180"/>
      <c r="G340" s="180"/>
      <c r="H340" s="180"/>
      <c r="I340" s="181"/>
      <c r="J340" s="180"/>
      <c r="K340" s="180"/>
      <c r="L340" s="180"/>
      <c r="M340" s="180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1"/>
      <c r="Y340" s="180"/>
      <c r="Z340" s="183"/>
      <c r="AA340" s="183"/>
      <c r="AB340" s="180"/>
      <c r="AC340" s="183"/>
      <c r="AD340" s="183"/>
      <c r="AE340" s="180"/>
      <c r="AF340" s="184"/>
      <c r="AG340" s="185"/>
      <c r="AH340" s="186"/>
      <c r="AI340" s="187"/>
      <c r="AJ340" s="187"/>
      <c r="AK340" s="188"/>
      <c r="AL340" s="189"/>
      <c r="AM340" s="188"/>
      <c r="AN340" s="181"/>
    </row>
    <row r="341" spans="1:40" ht="26.25" customHeight="1">
      <c r="A341" s="177"/>
      <c r="B341" s="178"/>
      <c r="C341" s="179"/>
      <c r="D341" s="180"/>
      <c r="E341" s="180"/>
      <c r="F341" s="180"/>
      <c r="G341" s="180"/>
      <c r="H341" s="180"/>
      <c r="I341" s="181"/>
      <c r="J341" s="180"/>
      <c r="K341" s="180"/>
      <c r="L341" s="180"/>
      <c r="M341" s="180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1"/>
      <c r="Y341" s="180"/>
      <c r="Z341" s="183"/>
      <c r="AA341" s="183"/>
      <c r="AB341" s="180"/>
      <c r="AC341" s="183"/>
      <c r="AD341" s="183"/>
      <c r="AE341" s="180"/>
      <c r="AF341" s="184"/>
      <c r="AG341" s="185"/>
      <c r="AH341" s="186"/>
      <c r="AI341" s="187"/>
      <c r="AJ341" s="187"/>
      <c r="AK341" s="188"/>
      <c r="AL341" s="189"/>
      <c r="AM341" s="188"/>
      <c r="AN341" s="181"/>
    </row>
    <row r="342" spans="1:40" ht="26.25" customHeight="1">
      <c r="A342" s="177"/>
      <c r="B342" s="178"/>
      <c r="C342" s="179"/>
      <c r="D342" s="180"/>
      <c r="E342" s="180"/>
      <c r="F342" s="180"/>
      <c r="G342" s="180"/>
      <c r="H342" s="180"/>
      <c r="I342" s="181"/>
      <c r="J342" s="180"/>
      <c r="K342" s="180"/>
      <c r="L342" s="180"/>
      <c r="M342" s="180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1"/>
      <c r="Y342" s="180"/>
      <c r="Z342" s="183"/>
      <c r="AA342" s="183"/>
      <c r="AB342" s="180"/>
      <c r="AC342" s="183"/>
      <c r="AD342" s="183"/>
      <c r="AE342" s="180"/>
      <c r="AF342" s="184"/>
      <c r="AG342" s="185"/>
      <c r="AH342" s="186"/>
      <c r="AI342" s="187"/>
      <c r="AJ342" s="187"/>
      <c r="AK342" s="188"/>
      <c r="AL342" s="189"/>
      <c r="AM342" s="188"/>
      <c r="AN342" s="181"/>
    </row>
    <row r="343" spans="1:40" ht="26.25" customHeight="1">
      <c r="A343" s="177"/>
      <c r="B343" s="178"/>
      <c r="C343" s="179"/>
      <c r="D343" s="180"/>
      <c r="E343" s="180"/>
      <c r="F343" s="180"/>
      <c r="G343" s="180"/>
      <c r="H343" s="180"/>
      <c r="I343" s="181"/>
      <c r="J343" s="180"/>
      <c r="K343" s="180"/>
      <c r="L343" s="180"/>
      <c r="M343" s="180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1"/>
      <c r="Y343" s="180"/>
      <c r="Z343" s="183"/>
      <c r="AA343" s="183"/>
      <c r="AB343" s="180"/>
      <c r="AC343" s="183"/>
      <c r="AD343" s="183"/>
      <c r="AE343" s="180"/>
      <c r="AF343" s="184"/>
      <c r="AG343" s="185"/>
      <c r="AH343" s="186"/>
      <c r="AI343" s="187"/>
      <c r="AJ343" s="187"/>
      <c r="AK343" s="188"/>
      <c r="AL343" s="189"/>
      <c r="AM343" s="188"/>
      <c r="AN343" s="181"/>
    </row>
    <row r="344" spans="1:40" ht="26.25" customHeight="1">
      <c r="A344" s="177"/>
      <c r="B344" s="178"/>
      <c r="C344" s="179"/>
      <c r="D344" s="180"/>
      <c r="E344" s="180"/>
      <c r="F344" s="180"/>
      <c r="G344" s="180"/>
      <c r="H344" s="180"/>
      <c r="I344" s="181"/>
      <c r="J344" s="180"/>
      <c r="K344" s="180"/>
      <c r="L344" s="180"/>
      <c r="M344" s="180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1"/>
      <c r="Y344" s="180"/>
      <c r="Z344" s="183"/>
      <c r="AA344" s="183"/>
      <c r="AB344" s="180"/>
      <c r="AC344" s="183"/>
      <c r="AD344" s="183"/>
      <c r="AE344" s="180"/>
      <c r="AF344" s="184"/>
      <c r="AG344" s="185"/>
      <c r="AH344" s="186"/>
      <c r="AI344" s="187"/>
      <c r="AJ344" s="187"/>
      <c r="AK344" s="188"/>
      <c r="AL344" s="189"/>
      <c r="AM344" s="188"/>
      <c r="AN344" s="181"/>
    </row>
    <row r="345" spans="1:40" ht="26.25" customHeight="1">
      <c r="A345" s="177"/>
      <c r="B345" s="178"/>
      <c r="C345" s="179"/>
      <c r="D345" s="180"/>
      <c r="E345" s="180"/>
      <c r="F345" s="180"/>
      <c r="G345" s="180"/>
      <c r="H345" s="180"/>
      <c r="I345" s="181"/>
      <c r="J345" s="180"/>
      <c r="K345" s="180"/>
      <c r="L345" s="180"/>
      <c r="M345" s="180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1"/>
      <c r="Y345" s="180"/>
      <c r="Z345" s="183"/>
      <c r="AA345" s="183"/>
      <c r="AB345" s="180"/>
      <c r="AC345" s="183"/>
      <c r="AD345" s="183"/>
      <c r="AE345" s="180"/>
      <c r="AF345" s="184"/>
      <c r="AG345" s="185"/>
      <c r="AH345" s="186"/>
      <c r="AI345" s="187"/>
      <c r="AJ345" s="187"/>
      <c r="AK345" s="188"/>
      <c r="AL345" s="189"/>
      <c r="AM345" s="188"/>
      <c r="AN345" s="181"/>
    </row>
    <row r="346" spans="1:40" ht="26.25" customHeight="1">
      <c r="A346" s="177"/>
      <c r="B346" s="178"/>
      <c r="C346" s="179"/>
      <c r="D346" s="180"/>
      <c r="E346" s="180"/>
      <c r="F346" s="180"/>
      <c r="G346" s="180"/>
      <c r="H346" s="180"/>
      <c r="I346" s="181"/>
      <c r="J346" s="180"/>
      <c r="K346" s="180"/>
      <c r="L346" s="180"/>
      <c r="M346" s="180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1"/>
      <c r="Y346" s="180"/>
      <c r="Z346" s="183"/>
      <c r="AA346" s="183"/>
      <c r="AB346" s="180"/>
      <c r="AC346" s="183"/>
      <c r="AD346" s="183"/>
      <c r="AE346" s="180"/>
      <c r="AF346" s="184"/>
      <c r="AG346" s="185"/>
      <c r="AH346" s="186"/>
      <c r="AI346" s="187"/>
      <c r="AJ346" s="187"/>
      <c r="AK346" s="188"/>
      <c r="AL346" s="189"/>
      <c r="AM346" s="188"/>
      <c r="AN346" s="181"/>
    </row>
    <row r="347" spans="1:40" ht="26.25" customHeight="1">
      <c r="A347" s="177"/>
      <c r="B347" s="178"/>
      <c r="C347" s="179"/>
      <c r="D347" s="180"/>
      <c r="E347" s="180"/>
      <c r="F347" s="180"/>
      <c r="G347" s="180"/>
      <c r="H347" s="180"/>
      <c r="I347" s="181"/>
      <c r="J347" s="180"/>
      <c r="K347" s="180"/>
      <c r="L347" s="180"/>
      <c r="M347" s="180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1"/>
      <c r="Y347" s="180"/>
      <c r="Z347" s="183"/>
      <c r="AA347" s="183"/>
      <c r="AB347" s="180"/>
      <c r="AC347" s="183"/>
      <c r="AD347" s="183"/>
      <c r="AE347" s="180"/>
      <c r="AF347" s="184"/>
      <c r="AG347" s="185"/>
      <c r="AH347" s="186"/>
      <c r="AI347" s="187"/>
      <c r="AJ347" s="187"/>
      <c r="AK347" s="188"/>
      <c r="AL347" s="189"/>
      <c r="AM347" s="188"/>
      <c r="AN347" s="181"/>
    </row>
    <row r="348" spans="1:40" ht="26.25" customHeight="1">
      <c r="A348" s="177"/>
      <c r="B348" s="178"/>
      <c r="C348" s="179"/>
      <c r="D348" s="180"/>
      <c r="E348" s="180"/>
      <c r="F348" s="180"/>
      <c r="G348" s="180"/>
      <c r="H348" s="180"/>
      <c r="I348" s="181"/>
      <c r="J348" s="180"/>
      <c r="K348" s="180"/>
      <c r="L348" s="180"/>
      <c r="M348" s="180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1"/>
      <c r="Y348" s="180"/>
      <c r="Z348" s="183"/>
      <c r="AA348" s="183"/>
      <c r="AB348" s="180"/>
      <c r="AC348" s="183"/>
      <c r="AD348" s="183"/>
      <c r="AE348" s="180"/>
      <c r="AF348" s="184"/>
      <c r="AG348" s="185"/>
      <c r="AH348" s="186"/>
      <c r="AI348" s="187"/>
      <c r="AJ348" s="187"/>
      <c r="AK348" s="188"/>
      <c r="AL348" s="189"/>
      <c r="AM348" s="188"/>
      <c r="AN348" s="181"/>
    </row>
    <row r="349" spans="1:40" ht="26.25" customHeight="1">
      <c r="A349" s="177"/>
      <c r="B349" s="178"/>
      <c r="C349" s="179"/>
      <c r="D349" s="180"/>
      <c r="E349" s="180"/>
      <c r="F349" s="180"/>
      <c r="G349" s="180"/>
      <c r="H349" s="180"/>
      <c r="I349" s="181"/>
      <c r="J349" s="180"/>
      <c r="K349" s="180"/>
      <c r="L349" s="180"/>
      <c r="M349" s="180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1"/>
      <c r="Y349" s="180"/>
      <c r="Z349" s="183"/>
      <c r="AA349" s="183"/>
      <c r="AB349" s="180"/>
      <c r="AC349" s="183"/>
      <c r="AD349" s="183"/>
      <c r="AE349" s="180"/>
      <c r="AF349" s="184"/>
      <c r="AG349" s="185"/>
      <c r="AH349" s="186"/>
      <c r="AI349" s="187"/>
      <c r="AJ349" s="187"/>
      <c r="AK349" s="188"/>
      <c r="AL349" s="189"/>
      <c r="AM349" s="188"/>
      <c r="AN349" s="181"/>
    </row>
    <row r="350" spans="1:40" ht="26.25" customHeight="1">
      <c r="A350" s="177"/>
      <c r="B350" s="178"/>
      <c r="C350" s="179"/>
      <c r="D350" s="180"/>
      <c r="E350" s="180"/>
      <c r="F350" s="180"/>
      <c r="G350" s="180"/>
      <c r="H350" s="180"/>
      <c r="I350" s="181"/>
      <c r="J350" s="180"/>
      <c r="K350" s="180"/>
      <c r="L350" s="180"/>
      <c r="M350" s="180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1"/>
      <c r="Y350" s="180"/>
      <c r="Z350" s="183"/>
      <c r="AA350" s="183"/>
      <c r="AB350" s="180"/>
      <c r="AC350" s="183"/>
      <c r="AD350" s="183"/>
      <c r="AE350" s="180"/>
      <c r="AF350" s="184"/>
      <c r="AG350" s="185"/>
      <c r="AH350" s="186"/>
      <c r="AI350" s="187"/>
      <c r="AJ350" s="187"/>
      <c r="AK350" s="188"/>
      <c r="AL350" s="189"/>
      <c r="AM350" s="188"/>
      <c r="AN350" s="181"/>
    </row>
    <row r="351" spans="1:40" ht="26.25" customHeight="1">
      <c r="A351" s="177"/>
      <c r="B351" s="178"/>
      <c r="C351" s="179"/>
      <c r="D351" s="180"/>
      <c r="E351" s="180"/>
      <c r="F351" s="180"/>
      <c r="G351" s="180"/>
      <c r="H351" s="180"/>
      <c r="I351" s="181"/>
      <c r="J351" s="180"/>
      <c r="K351" s="180"/>
      <c r="L351" s="180"/>
      <c r="M351" s="180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1"/>
      <c r="Y351" s="180"/>
      <c r="Z351" s="183"/>
      <c r="AA351" s="183"/>
      <c r="AB351" s="180"/>
      <c r="AC351" s="183"/>
      <c r="AD351" s="183"/>
      <c r="AE351" s="180"/>
      <c r="AF351" s="184"/>
      <c r="AG351" s="185"/>
      <c r="AH351" s="186"/>
      <c r="AI351" s="187"/>
      <c r="AJ351" s="187"/>
      <c r="AK351" s="188"/>
      <c r="AL351" s="189"/>
      <c r="AM351" s="188"/>
      <c r="AN351" s="181"/>
    </row>
    <row r="352" spans="1:40" ht="26.25" customHeight="1">
      <c r="A352" s="177"/>
      <c r="B352" s="178"/>
      <c r="C352" s="179"/>
      <c r="D352" s="180"/>
      <c r="E352" s="180"/>
      <c r="F352" s="180"/>
      <c r="G352" s="180"/>
      <c r="H352" s="180"/>
      <c r="I352" s="181"/>
      <c r="J352" s="180"/>
      <c r="K352" s="180"/>
      <c r="L352" s="180"/>
      <c r="M352" s="180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1"/>
      <c r="Y352" s="180"/>
      <c r="Z352" s="183"/>
      <c r="AA352" s="183"/>
      <c r="AB352" s="180"/>
      <c r="AC352" s="183"/>
      <c r="AD352" s="183"/>
      <c r="AE352" s="180"/>
      <c r="AF352" s="184"/>
      <c r="AG352" s="185"/>
      <c r="AH352" s="186"/>
      <c r="AI352" s="187"/>
      <c r="AJ352" s="187"/>
      <c r="AK352" s="188"/>
      <c r="AL352" s="189"/>
      <c r="AM352" s="188"/>
      <c r="AN352" s="181"/>
    </row>
    <row r="353" spans="1:40" ht="26.25" customHeight="1">
      <c r="A353" s="177"/>
      <c r="B353" s="178"/>
      <c r="C353" s="179"/>
      <c r="D353" s="180"/>
      <c r="E353" s="180"/>
      <c r="F353" s="180"/>
      <c r="G353" s="180"/>
      <c r="H353" s="180"/>
      <c r="I353" s="181"/>
      <c r="J353" s="180"/>
      <c r="K353" s="180"/>
      <c r="L353" s="180"/>
      <c r="M353" s="180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1"/>
      <c r="Y353" s="180"/>
      <c r="Z353" s="183"/>
      <c r="AA353" s="183"/>
      <c r="AB353" s="180"/>
      <c r="AC353" s="183"/>
      <c r="AD353" s="183"/>
      <c r="AE353" s="180"/>
      <c r="AF353" s="184"/>
      <c r="AG353" s="185"/>
      <c r="AH353" s="186"/>
      <c r="AI353" s="187"/>
      <c r="AJ353" s="187"/>
      <c r="AK353" s="188"/>
      <c r="AL353" s="189"/>
      <c r="AM353" s="188"/>
      <c r="AN353" s="181"/>
    </row>
    <row r="354" spans="1:40" ht="26.25" customHeight="1">
      <c r="A354" s="177"/>
      <c r="B354" s="178"/>
      <c r="C354" s="179"/>
      <c r="D354" s="180"/>
      <c r="E354" s="180"/>
      <c r="F354" s="180"/>
      <c r="G354" s="180"/>
      <c r="H354" s="180"/>
      <c r="I354" s="181"/>
      <c r="J354" s="180"/>
      <c r="K354" s="180"/>
      <c r="L354" s="180"/>
      <c r="M354" s="180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1"/>
      <c r="Y354" s="180"/>
      <c r="Z354" s="183"/>
      <c r="AA354" s="183"/>
      <c r="AB354" s="180"/>
      <c r="AC354" s="183"/>
      <c r="AD354" s="183"/>
      <c r="AE354" s="180"/>
      <c r="AF354" s="184"/>
      <c r="AG354" s="185"/>
      <c r="AH354" s="186"/>
      <c r="AI354" s="187"/>
      <c r="AJ354" s="187"/>
      <c r="AK354" s="188"/>
      <c r="AL354" s="189"/>
      <c r="AM354" s="188"/>
      <c r="AN354" s="181"/>
    </row>
    <row r="355" spans="1:40" ht="26.25" customHeight="1">
      <c r="A355" s="177"/>
      <c r="B355" s="178"/>
      <c r="C355" s="179"/>
      <c r="D355" s="180"/>
      <c r="E355" s="180"/>
      <c r="F355" s="180"/>
      <c r="G355" s="180"/>
      <c r="H355" s="180"/>
      <c r="I355" s="181"/>
      <c r="J355" s="180"/>
      <c r="K355" s="180"/>
      <c r="L355" s="180"/>
      <c r="M355" s="180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1"/>
      <c r="Y355" s="180"/>
      <c r="Z355" s="183"/>
      <c r="AA355" s="183"/>
      <c r="AB355" s="180"/>
      <c r="AC355" s="183"/>
      <c r="AD355" s="183"/>
      <c r="AE355" s="180"/>
      <c r="AF355" s="184"/>
      <c r="AG355" s="185"/>
      <c r="AH355" s="186"/>
      <c r="AI355" s="187"/>
      <c r="AJ355" s="187"/>
      <c r="AK355" s="188"/>
      <c r="AL355" s="189"/>
      <c r="AM355" s="188"/>
      <c r="AN355" s="181"/>
    </row>
    <row r="356" spans="1:40" ht="26.25" customHeight="1">
      <c r="A356" s="177"/>
      <c r="B356" s="178"/>
      <c r="C356" s="179"/>
      <c r="D356" s="180"/>
      <c r="E356" s="180"/>
      <c r="F356" s="180"/>
      <c r="G356" s="180"/>
      <c r="H356" s="180"/>
      <c r="I356" s="181"/>
      <c r="J356" s="180"/>
      <c r="K356" s="180"/>
      <c r="L356" s="180"/>
      <c r="M356" s="180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1"/>
      <c r="Y356" s="180"/>
      <c r="Z356" s="183"/>
      <c r="AA356" s="183"/>
      <c r="AB356" s="180"/>
      <c r="AC356" s="183"/>
      <c r="AD356" s="183"/>
      <c r="AE356" s="180"/>
      <c r="AF356" s="184"/>
      <c r="AG356" s="185"/>
      <c r="AH356" s="186"/>
      <c r="AI356" s="187"/>
      <c r="AJ356" s="187"/>
      <c r="AK356" s="188"/>
      <c r="AL356" s="189"/>
      <c r="AM356" s="188"/>
      <c r="AN356" s="181"/>
    </row>
    <row r="357" spans="1:40" ht="26.25" customHeight="1">
      <c r="A357" s="177"/>
      <c r="B357" s="178"/>
      <c r="C357" s="179"/>
      <c r="D357" s="180"/>
      <c r="E357" s="180"/>
      <c r="F357" s="180"/>
      <c r="G357" s="180"/>
      <c r="H357" s="180"/>
      <c r="I357" s="181"/>
      <c r="J357" s="180"/>
      <c r="K357" s="180"/>
      <c r="L357" s="180"/>
      <c r="M357" s="180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1"/>
      <c r="Y357" s="180"/>
      <c r="Z357" s="183"/>
      <c r="AA357" s="183"/>
      <c r="AB357" s="180"/>
      <c r="AC357" s="183"/>
      <c r="AD357" s="183"/>
      <c r="AE357" s="180"/>
      <c r="AF357" s="184"/>
      <c r="AG357" s="185"/>
      <c r="AH357" s="186"/>
      <c r="AI357" s="187"/>
      <c r="AJ357" s="187"/>
      <c r="AK357" s="188"/>
      <c r="AL357" s="189"/>
      <c r="AM357" s="188"/>
      <c r="AN357" s="181"/>
    </row>
    <row r="358" spans="1:40" ht="26.25" customHeight="1">
      <c r="A358" s="177"/>
      <c r="B358" s="178"/>
      <c r="C358" s="179"/>
      <c r="D358" s="180"/>
      <c r="E358" s="180"/>
      <c r="F358" s="180"/>
      <c r="G358" s="180"/>
      <c r="H358" s="180"/>
      <c r="I358" s="181"/>
      <c r="J358" s="180"/>
      <c r="K358" s="180"/>
      <c r="L358" s="180"/>
      <c r="M358" s="180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1"/>
      <c r="Y358" s="180"/>
      <c r="Z358" s="183"/>
      <c r="AA358" s="183"/>
      <c r="AB358" s="180"/>
      <c r="AC358" s="183"/>
      <c r="AD358" s="183"/>
      <c r="AE358" s="180"/>
      <c r="AF358" s="184"/>
      <c r="AG358" s="185"/>
      <c r="AH358" s="186"/>
      <c r="AI358" s="187"/>
      <c r="AJ358" s="187"/>
      <c r="AK358" s="188"/>
      <c r="AL358" s="189"/>
      <c r="AM358" s="188"/>
      <c r="AN358" s="181"/>
    </row>
    <row r="359" spans="1:40" ht="26.25" customHeight="1">
      <c r="A359" s="177"/>
      <c r="B359" s="178"/>
      <c r="C359" s="179"/>
      <c r="D359" s="180"/>
      <c r="E359" s="180"/>
      <c r="F359" s="180"/>
      <c r="G359" s="180"/>
      <c r="H359" s="180"/>
      <c r="I359" s="181"/>
      <c r="J359" s="180"/>
      <c r="K359" s="180"/>
      <c r="L359" s="180"/>
      <c r="M359" s="180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1"/>
      <c r="Y359" s="180"/>
      <c r="Z359" s="183"/>
      <c r="AA359" s="183"/>
      <c r="AB359" s="180"/>
      <c r="AC359" s="183"/>
      <c r="AD359" s="183"/>
      <c r="AE359" s="180"/>
      <c r="AF359" s="184"/>
      <c r="AG359" s="185"/>
      <c r="AH359" s="186"/>
      <c r="AI359" s="187"/>
      <c r="AJ359" s="187"/>
      <c r="AK359" s="188"/>
      <c r="AL359" s="189"/>
      <c r="AM359" s="188"/>
      <c r="AN359" s="181"/>
    </row>
    <row r="360" spans="1:40" ht="26.25" customHeight="1">
      <c r="A360" s="177"/>
      <c r="B360" s="178"/>
      <c r="C360" s="179"/>
      <c r="D360" s="180"/>
      <c r="E360" s="180"/>
      <c r="F360" s="180"/>
      <c r="G360" s="180"/>
      <c r="H360" s="180"/>
      <c r="I360" s="181"/>
      <c r="J360" s="180"/>
      <c r="K360" s="180"/>
      <c r="L360" s="180"/>
      <c r="M360" s="180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1"/>
      <c r="Y360" s="180"/>
      <c r="Z360" s="183"/>
      <c r="AA360" s="183"/>
      <c r="AB360" s="180"/>
      <c r="AC360" s="183"/>
      <c r="AD360" s="183"/>
      <c r="AE360" s="180"/>
      <c r="AF360" s="184"/>
      <c r="AG360" s="185"/>
      <c r="AH360" s="186"/>
      <c r="AI360" s="187"/>
      <c r="AJ360" s="187"/>
      <c r="AK360" s="188"/>
      <c r="AL360" s="189"/>
      <c r="AM360" s="188"/>
      <c r="AN360" s="181"/>
    </row>
    <row r="361" spans="1:40" ht="26.25" customHeight="1">
      <c r="A361" s="177"/>
      <c r="B361" s="178"/>
      <c r="C361" s="179"/>
      <c r="D361" s="180"/>
      <c r="E361" s="180"/>
      <c r="F361" s="180"/>
      <c r="G361" s="180"/>
      <c r="H361" s="180"/>
      <c r="I361" s="181"/>
      <c r="J361" s="180"/>
      <c r="K361" s="180"/>
      <c r="L361" s="180"/>
      <c r="M361" s="180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1"/>
      <c r="Y361" s="180"/>
      <c r="Z361" s="183"/>
      <c r="AA361" s="183"/>
      <c r="AB361" s="180"/>
      <c r="AC361" s="183"/>
      <c r="AD361" s="183"/>
      <c r="AE361" s="180"/>
      <c r="AF361" s="184"/>
      <c r="AG361" s="185"/>
      <c r="AH361" s="186"/>
      <c r="AI361" s="187"/>
      <c r="AJ361" s="187"/>
      <c r="AK361" s="188"/>
      <c r="AL361" s="189"/>
      <c r="AM361" s="188"/>
      <c r="AN361" s="181"/>
    </row>
    <row r="362" spans="1:40" ht="26.25" customHeight="1">
      <c r="A362" s="177"/>
      <c r="B362" s="178"/>
      <c r="C362" s="179"/>
      <c r="D362" s="180"/>
      <c r="E362" s="180"/>
      <c r="F362" s="180"/>
      <c r="G362" s="180"/>
      <c r="H362" s="180"/>
      <c r="I362" s="181"/>
      <c r="J362" s="180"/>
      <c r="K362" s="180"/>
      <c r="L362" s="180"/>
      <c r="M362" s="180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1"/>
      <c r="Y362" s="180"/>
      <c r="Z362" s="183"/>
      <c r="AA362" s="183"/>
      <c r="AB362" s="180"/>
      <c r="AC362" s="183"/>
      <c r="AD362" s="183"/>
      <c r="AE362" s="180"/>
      <c r="AF362" s="184"/>
      <c r="AG362" s="185"/>
      <c r="AH362" s="186"/>
      <c r="AI362" s="187"/>
      <c r="AJ362" s="187"/>
      <c r="AK362" s="188"/>
      <c r="AL362" s="189"/>
      <c r="AM362" s="188"/>
      <c r="AN362" s="181"/>
    </row>
    <row r="363" spans="1:40" ht="26.25" customHeight="1">
      <c r="A363" s="177"/>
      <c r="B363" s="178"/>
      <c r="C363" s="179"/>
      <c r="D363" s="180"/>
      <c r="E363" s="180"/>
      <c r="F363" s="180"/>
      <c r="G363" s="180"/>
      <c r="H363" s="180"/>
      <c r="I363" s="181"/>
      <c r="J363" s="180"/>
      <c r="K363" s="180"/>
      <c r="L363" s="180"/>
      <c r="M363" s="180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1"/>
      <c r="Y363" s="180"/>
      <c r="Z363" s="183"/>
      <c r="AA363" s="183"/>
      <c r="AB363" s="180"/>
      <c r="AC363" s="183"/>
      <c r="AD363" s="183"/>
      <c r="AE363" s="180"/>
      <c r="AF363" s="184"/>
      <c r="AG363" s="185"/>
      <c r="AH363" s="186"/>
      <c r="AI363" s="187"/>
      <c r="AJ363" s="187"/>
      <c r="AK363" s="188"/>
      <c r="AL363" s="189"/>
      <c r="AM363" s="188"/>
      <c r="AN363" s="181"/>
    </row>
    <row r="364" spans="1:40" ht="26.25" customHeight="1">
      <c r="A364" s="177"/>
      <c r="B364" s="178"/>
      <c r="C364" s="179"/>
      <c r="D364" s="180"/>
      <c r="E364" s="180"/>
      <c r="F364" s="180"/>
      <c r="G364" s="180"/>
      <c r="H364" s="180"/>
      <c r="I364" s="181"/>
      <c r="J364" s="180"/>
      <c r="K364" s="180"/>
      <c r="L364" s="180"/>
      <c r="M364" s="180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1"/>
      <c r="Y364" s="180"/>
      <c r="Z364" s="183"/>
      <c r="AA364" s="183"/>
      <c r="AB364" s="180"/>
      <c r="AC364" s="183"/>
      <c r="AD364" s="183"/>
      <c r="AE364" s="180"/>
      <c r="AF364" s="184"/>
      <c r="AG364" s="185"/>
      <c r="AH364" s="186"/>
      <c r="AI364" s="187"/>
      <c r="AJ364" s="187"/>
      <c r="AK364" s="188"/>
      <c r="AL364" s="189"/>
      <c r="AM364" s="188"/>
      <c r="AN364" s="181"/>
    </row>
    <row r="365" spans="1:40" ht="26.25" customHeight="1">
      <c r="A365" s="177"/>
      <c r="B365" s="178"/>
      <c r="C365" s="179"/>
      <c r="D365" s="180"/>
      <c r="E365" s="180"/>
      <c r="F365" s="180"/>
      <c r="G365" s="180"/>
      <c r="H365" s="180"/>
      <c r="I365" s="181"/>
      <c r="J365" s="180"/>
      <c r="K365" s="180"/>
      <c r="L365" s="180"/>
      <c r="M365" s="180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1"/>
      <c r="Y365" s="180"/>
      <c r="Z365" s="183"/>
      <c r="AA365" s="183"/>
      <c r="AB365" s="180"/>
      <c r="AC365" s="183"/>
      <c r="AD365" s="183"/>
      <c r="AE365" s="180"/>
      <c r="AF365" s="184"/>
      <c r="AG365" s="185"/>
      <c r="AH365" s="186"/>
      <c r="AI365" s="187"/>
      <c r="AJ365" s="187"/>
      <c r="AK365" s="188"/>
      <c r="AL365" s="189"/>
      <c r="AM365" s="188"/>
      <c r="AN365" s="181"/>
    </row>
    <row r="366" spans="1:40" ht="26.25" customHeight="1">
      <c r="A366" s="177"/>
      <c r="B366" s="178"/>
      <c r="C366" s="179"/>
      <c r="D366" s="180"/>
      <c r="E366" s="180"/>
      <c r="F366" s="180"/>
      <c r="G366" s="180"/>
      <c r="H366" s="180"/>
      <c r="I366" s="181"/>
      <c r="J366" s="180"/>
      <c r="K366" s="180"/>
      <c r="L366" s="180"/>
      <c r="M366" s="180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1"/>
      <c r="Y366" s="180"/>
      <c r="Z366" s="183"/>
      <c r="AA366" s="183"/>
      <c r="AB366" s="180"/>
      <c r="AC366" s="183"/>
      <c r="AD366" s="183"/>
      <c r="AE366" s="180"/>
      <c r="AF366" s="184"/>
      <c r="AG366" s="185"/>
      <c r="AH366" s="186"/>
      <c r="AI366" s="187"/>
      <c r="AJ366" s="187"/>
      <c r="AK366" s="188"/>
      <c r="AL366" s="189"/>
      <c r="AM366" s="188"/>
      <c r="AN366" s="181"/>
    </row>
    <row r="367" spans="1:40" ht="26.25" customHeight="1">
      <c r="A367" s="177"/>
      <c r="B367" s="178"/>
      <c r="C367" s="179"/>
      <c r="D367" s="180"/>
      <c r="E367" s="180"/>
      <c r="F367" s="180"/>
      <c r="G367" s="180"/>
      <c r="H367" s="180"/>
      <c r="I367" s="181"/>
      <c r="J367" s="180"/>
      <c r="K367" s="180"/>
      <c r="L367" s="180"/>
      <c r="M367" s="180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1"/>
      <c r="Y367" s="180"/>
      <c r="Z367" s="183"/>
      <c r="AA367" s="183"/>
      <c r="AB367" s="180"/>
      <c r="AC367" s="183"/>
      <c r="AD367" s="183"/>
      <c r="AE367" s="180"/>
      <c r="AF367" s="184"/>
      <c r="AG367" s="185"/>
      <c r="AH367" s="186"/>
      <c r="AI367" s="187"/>
      <c r="AJ367" s="187"/>
      <c r="AK367" s="188"/>
      <c r="AL367" s="189"/>
      <c r="AM367" s="188"/>
      <c r="AN367" s="181"/>
    </row>
    <row r="368" spans="1:40" ht="26.25" customHeight="1">
      <c r="A368" s="177"/>
      <c r="B368" s="178"/>
      <c r="C368" s="179"/>
      <c r="D368" s="180"/>
      <c r="E368" s="180"/>
      <c r="F368" s="180"/>
      <c r="G368" s="180"/>
      <c r="H368" s="180"/>
      <c r="I368" s="181"/>
      <c r="J368" s="180"/>
      <c r="K368" s="180"/>
      <c r="L368" s="180"/>
      <c r="M368" s="180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1"/>
      <c r="Y368" s="180"/>
      <c r="Z368" s="183"/>
      <c r="AA368" s="183"/>
      <c r="AB368" s="180"/>
      <c r="AC368" s="183"/>
      <c r="AD368" s="183"/>
      <c r="AE368" s="180"/>
      <c r="AF368" s="184"/>
      <c r="AG368" s="185"/>
      <c r="AH368" s="186"/>
      <c r="AI368" s="187"/>
      <c r="AJ368" s="187"/>
      <c r="AK368" s="188"/>
      <c r="AL368" s="189"/>
      <c r="AM368" s="188"/>
      <c r="AN368" s="181"/>
    </row>
    <row r="369" spans="1:40" ht="26.25" customHeight="1">
      <c r="A369" s="177"/>
      <c r="B369" s="178"/>
      <c r="C369" s="179"/>
      <c r="D369" s="180"/>
      <c r="E369" s="180"/>
      <c r="F369" s="180"/>
      <c r="G369" s="180"/>
      <c r="H369" s="180"/>
      <c r="I369" s="181"/>
      <c r="J369" s="180"/>
      <c r="K369" s="180"/>
      <c r="L369" s="180"/>
      <c r="M369" s="180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1"/>
      <c r="Y369" s="180"/>
      <c r="Z369" s="183"/>
      <c r="AA369" s="183"/>
      <c r="AB369" s="180"/>
      <c r="AC369" s="183"/>
      <c r="AD369" s="183"/>
      <c r="AE369" s="180"/>
      <c r="AF369" s="184"/>
      <c r="AG369" s="185"/>
      <c r="AH369" s="186"/>
      <c r="AI369" s="187"/>
      <c r="AJ369" s="187"/>
      <c r="AK369" s="188"/>
      <c r="AL369" s="189"/>
      <c r="AM369" s="188"/>
      <c r="AN369" s="181"/>
    </row>
    <row r="370" spans="1:40" ht="26.25" customHeight="1">
      <c r="A370" s="177"/>
      <c r="B370" s="178"/>
      <c r="C370" s="179"/>
      <c r="D370" s="180"/>
      <c r="E370" s="180"/>
      <c r="F370" s="180"/>
      <c r="G370" s="180"/>
      <c r="H370" s="180"/>
      <c r="I370" s="181"/>
      <c r="J370" s="180"/>
      <c r="K370" s="180"/>
      <c r="L370" s="180"/>
      <c r="M370" s="180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1"/>
      <c r="Y370" s="180"/>
      <c r="Z370" s="183"/>
      <c r="AA370" s="183"/>
      <c r="AB370" s="180"/>
      <c r="AC370" s="183"/>
      <c r="AD370" s="183"/>
      <c r="AE370" s="180"/>
      <c r="AF370" s="184"/>
      <c r="AG370" s="185"/>
      <c r="AH370" s="186"/>
      <c r="AI370" s="187"/>
      <c r="AJ370" s="187"/>
      <c r="AK370" s="188"/>
      <c r="AL370" s="189"/>
      <c r="AM370" s="188"/>
      <c r="AN370" s="181"/>
    </row>
    <row r="371" spans="1:40" ht="26.25" customHeight="1">
      <c r="A371" s="177"/>
      <c r="B371" s="178"/>
      <c r="C371" s="179"/>
      <c r="D371" s="180"/>
      <c r="E371" s="180"/>
      <c r="F371" s="180"/>
      <c r="G371" s="180"/>
      <c r="H371" s="180"/>
      <c r="I371" s="181"/>
      <c r="J371" s="180"/>
      <c r="K371" s="180"/>
      <c r="L371" s="180"/>
      <c r="M371" s="180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1"/>
      <c r="Y371" s="180"/>
      <c r="Z371" s="183"/>
      <c r="AA371" s="183"/>
      <c r="AB371" s="180"/>
      <c r="AC371" s="183"/>
      <c r="AD371" s="183"/>
      <c r="AE371" s="180"/>
      <c r="AF371" s="184"/>
      <c r="AG371" s="185"/>
      <c r="AH371" s="186"/>
      <c r="AI371" s="187"/>
      <c r="AJ371" s="187"/>
      <c r="AK371" s="188"/>
      <c r="AL371" s="189"/>
      <c r="AM371" s="188"/>
      <c r="AN371" s="181"/>
    </row>
    <row r="372" spans="1:40" ht="26.25" customHeight="1">
      <c r="A372" s="177"/>
      <c r="B372" s="178"/>
      <c r="C372" s="179"/>
      <c r="D372" s="180"/>
      <c r="E372" s="180"/>
      <c r="F372" s="180"/>
      <c r="G372" s="180"/>
      <c r="H372" s="180"/>
      <c r="I372" s="181"/>
      <c r="J372" s="180"/>
      <c r="K372" s="180"/>
      <c r="L372" s="180"/>
      <c r="M372" s="180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1"/>
      <c r="Y372" s="180"/>
      <c r="Z372" s="183"/>
      <c r="AA372" s="183"/>
      <c r="AB372" s="180"/>
      <c r="AC372" s="183"/>
      <c r="AD372" s="183"/>
      <c r="AE372" s="180"/>
      <c r="AF372" s="184"/>
      <c r="AG372" s="185"/>
      <c r="AH372" s="186"/>
      <c r="AI372" s="187"/>
      <c r="AJ372" s="187"/>
      <c r="AK372" s="188"/>
      <c r="AL372" s="189"/>
      <c r="AM372" s="188"/>
      <c r="AN372" s="181"/>
    </row>
    <row r="373" spans="1:40" ht="26.25" customHeight="1">
      <c r="A373" s="177"/>
      <c r="B373" s="178"/>
      <c r="C373" s="179"/>
      <c r="D373" s="180"/>
      <c r="E373" s="180"/>
      <c r="F373" s="180"/>
      <c r="G373" s="180"/>
      <c r="H373" s="180"/>
      <c r="I373" s="181"/>
      <c r="J373" s="180"/>
      <c r="K373" s="180"/>
      <c r="L373" s="180"/>
      <c r="M373" s="180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1"/>
      <c r="Y373" s="180"/>
      <c r="Z373" s="183"/>
      <c r="AA373" s="183"/>
      <c r="AB373" s="180"/>
      <c r="AC373" s="183"/>
      <c r="AD373" s="183"/>
      <c r="AE373" s="180"/>
      <c r="AF373" s="184"/>
      <c r="AG373" s="185"/>
      <c r="AH373" s="186"/>
      <c r="AI373" s="187"/>
      <c r="AJ373" s="187"/>
      <c r="AK373" s="188"/>
      <c r="AL373" s="189"/>
      <c r="AM373" s="188"/>
      <c r="AN373" s="181"/>
    </row>
    <row r="374" spans="1:40" ht="26.25" customHeight="1">
      <c r="A374" s="177"/>
      <c r="B374" s="178"/>
      <c r="C374" s="179"/>
      <c r="D374" s="180"/>
      <c r="E374" s="180"/>
      <c r="F374" s="180"/>
      <c r="G374" s="180"/>
      <c r="H374" s="180"/>
      <c r="I374" s="181"/>
      <c r="J374" s="180"/>
      <c r="K374" s="180"/>
      <c r="L374" s="180"/>
      <c r="M374" s="180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1"/>
      <c r="Y374" s="180"/>
      <c r="Z374" s="183"/>
      <c r="AA374" s="183"/>
      <c r="AB374" s="180"/>
      <c r="AC374" s="183"/>
      <c r="AD374" s="183"/>
      <c r="AE374" s="180"/>
      <c r="AF374" s="184"/>
      <c r="AG374" s="185"/>
      <c r="AH374" s="186"/>
      <c r="AI374" s="187"/>
      <c r="AJ374" s="187"/>
      <c r="AK374" s="188"/>
      <c r="AL374" s="189"/>
      <c r="AM374" s="188"/>
      <c r="AN374" s="181"/>
    </row>
    <row r="375" spans="1:40" ht="26.25" customHeight="1">
      <c r="A375" s="177"/>
      <c r="B375" s="178"/>
      <c r="C375" s="179"/>
      <c r="D375" s="180"/>
      <c r="E375" s="180"/>
      <c r="F375" s="180"/>
      <c r="G375" s="180"/>
      <c r="H375" s="180"/>
      <c r="I375" s="181"/>
      <c r="J375" s="180"/>
      <c r="K375" s="180"/>
      <c r="L375" s="180"/>
      <c r="M375" s="180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1"/>
      <c r="Y375" s="180"/>
      <c r="Z375" s="183"/>
      <c r="AA375" s="183"/>
      <c r="AB375" s="180"/>
      <c r="AC375" s="183"/>
      <c r="AD375" s="183"/>
      <c r="AE375" s="180"/>
      <c r="AF375" s="184"/>
      <c r="AG375" s="185"/>
      <c r="AH375" s="186"/>
      <c r="AI375" s="187"/>
      <c r="AJ375" s="187"/>
      <c r="AK375" s="188"/>
      <c r="AL375" s="189"/>
      <c r="AM375" s="188"/>
      <c r="AN375" s="181"/>
    </row>
    <row r="376" spans="1:40" ht="26.25" customHeight="1">
      <c r="A376" s="177"/>
      <c r="B376" s="178"/>
      <c r="C376" s="179"/>
      <c r="D376" s="180"/>
      <c r="E376" s="180"/>
      <c r="F376" s="180"/>
      <c r="G376" s="180"/>
      <c r="H376" s="180"/>
      <c r="I376" s="181"/>
      <c r="J376" s="180"/>
      <c r="K376" s="180"/>
      <c r="L376" s="180"/>
      <c r="M376" s="180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1"/>
      <c r="Y376" s="180"/>
      <c r="Z376" s="183"/>
      <c r="AA376" s="183"/>
      <c r="AB376" s="180"/>
      <c r="AC376" s="183"/>
      <c r="AD376" s="183"/>
      <c r="AE376" s="180"/>
      <c r="AF376" s="184"/>
      <c r="AG376" s="185"/>
      <c r="AH376" s="186"/>
      <c r="AI376" s="187"/>
      <c r="AJ376" s="187"/>
      <c r="AK376" s="188"/>
      <c r="AL376" s="189"/>
      <c r="AM376" s="188"/>
      <c r="AN376" s="181"/>
    </row>
    <row r="377" spans="1:40" ht="26.25" customHeight="1">
      <c r="A377" s="177"/>
      <c r="B377" s="178"/>
      <c r="C377" s="179"/>
      <c r="D377" s="180"/>
      <c r="E377" s="180"/>
      <c r="F377" s="180"/>
      <c r="G377" s="180"/>
      <c r="H377" s="180"/>
      <c r="I377" s="181"/>
      <c r="J377" s="180"/>
      <c r="K377" s="180"/>
      <c r="L377" s="180"/>
      <c r="M377" s="180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1"/>
      <c r="Y377" s="180"/>
      <c r="Z377" s="183"/>
      <c r="AA377" s="183"/>
      <c r="AB377" s="180"/>
      <c r="AC377" s="183"/>
      <c r="AD377" s="183"/>
      <c r="AE377" s="180"/>
      <c r="AF377" s="184"/>
      <c r="AG377" s="185"/>
      <c r="AH377" s="186"/>
      <c r="AI377" s="187"/>
      <c r="AJ377" s="187"/>
      <c r="AK377" s="188"/>
      <c r="AL377" s="189"/>
      <c r="AM377" s="188"/>
      <c r="AN377" s="181"/>
    </row>
    <row r="378" spans="1:40" ht="26.25" customHeight="1">
      <c r="A378" s="177"/>
      <c r="B378" s="178"/>
      <c r="C378" s="179"/>
      <c r="D378" s="180"/>
      <c r="E378" s="180"/>
      <c r="F378" s="180"/>
      <c r="G378" s="180"/>
      <c r="H378" s="180"/>
      <c r="I378" s="181"/>
      <c r="J378" s="180"/>
      <c r="K378" s="180"/>
      <c r="L378" s="180"/>
      <c r="M378" s="180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1"/>
      <c r="Y378" s="180"/>
      <c r="Z378" s="183"/>
      <c r="AA378" s="183"/>
      <c r="AB378" s="180"/>
      <c r="AC378" s="183"/>
      <c r="AD378" s="183"/>
      <c r="AE378" s="180"/>
      <c r="AF378" s="184"/>
      <c r="AG378" s="185"/>
      <c r="AH378" s="186"/>
      <c r="AI378" s="187"/>
      <c r="AJ378" s="187"/>
      <c r="AK378" s="188"/>
      <c r="AL378" s="189"/>
      <c r="AM378" s="188"/>
      <c r="AN378" s="181"/>
    </row>
    <row r="379" spans="1:40" ht="26.25" customHeight="1">
      <c r="A379" s="177"/>
      <c r="B379" s="178"/>
      <c r="C379" s="179"/>
      <c r="D379" s="180"/>
      <c r="E379" s="180"/>
      <c r="F379" s="180"/>
      <c r="G379" s="180"/>
      <c r="H379" s="180"/>
      <c r="I379" s="181"/>
      <c r="J379" s="180"/>
      <c r="K379" s="180"/>
      <c r="L379" s="180"/>
      <c r="M379" s="180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1"/>
      <c r="Y379" s="180"/>
      <c r="Z379" s="183"/>
      <c r="AA379" s="183"/>
      <c r="AB379" s="180"/>
      <c r="AC379" s="183"/>
      <c r="AD379" s="183"/>
      <c r="AE379" s="180"/>
      <c r="AF379" s="184"/>
      <c r="AG379" s="185"/>
      <c r="AH379" s="186"/>
      <c r="AI379" s="187"/>
      <c r="AJ379" s="187"/>
      <c r="AK379" s="188"/>
      <c r="AL379" s="189"/>
      <c r="AM379" s="188"/>
      <c r="AN379" s="181"/>
    </row>
    <row r="380" spans="1:40" ht="26.25" customHeight="1">
      <c r="A380" s="177"/>
      <c r="B380" s="178"/>
      <c r="C380" s="179"/>
      <c r="D380" s="180"/>
      <c r="E380" s="180"/>
      <c r="F380" s="180"/>
      <c r="G380" s="180"/>
      <c r="H380" s="180"/>
      <c r="I380" s="181"/>
      <c r="J380" s="180"/>
      <c r="K380" s="180"/>
      <c r="L380" s="180"/>
      <c r="M380" s="180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1"/>
      <c r="Y380" s="180"/>
      <c r="Z380" s="183"/>
      <c r="AA380" s="183"/>
      <c r="AB380" s="180"/>
      <c r="AC380" s="183"/>
      <c r="AD380" s="183"/>
      <c r="AE380" s="180"/>
      <c r="AF380" s="184"/>
      <c r="AG380" s="185"/>
      <c r="AH380" s="186"/>
      <c r="AI380" s="187"/>
      <c r="AJ380" s="187"/>
      <c r="AK380" s="188"/>
      <c r="AL380" s="189"/>
      <c r="AM380" s="188"/>
      <c r="AN380" s="181"/>
    </row>
    <row r="381" spans="1:40" ht="26.25" customHeight="1">
      <c r="A381" s="177"/>
      <c r="B381" s="178"/>
      <c r="C381" s="179"/>
      <c r="D381" s="180"/>
      <c r="E381" s="180"/>
      <c r="F381" s="180"/>
      <c r="G381" s="180"/>
      <c r="H381" s="180"/>
      <c r="I381" s="181"/>
      <c r="J381" s="180"/>
      <c r="K381" s="180"/>
      <c r="L381" s="180"/>
      <c r="M381" s="180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1"/>
      <c r="Y381" s="180"/>
      <c r="Z381" s="183"/>
      <c r="AA381" s="183"/>
      <c r="AB381" s="180"/>
      <c r="AC381" s="183"/>
      <c r="AD381" s="183"/>
      <c r="AE381" s="180"/>
      <c r="AF381" s="184"/>
      <c r="AG381" s="185"/>
      <c r="AH381" s="186"/>
      <c r="AI381" s="187"/>
      <c r="AJ381" s="187"/>
      <c r="AK381" s="188"/>
      <c r="AL381" s="189"/>
      <c r="AM381" s="188"/>
      <c r="AN381" s="181"/>
    </row>
    <row r="382" spans="1:40" ht="26.25" customHeight="1">
      <c r="A382" s="177"/>
      <c r="B382" s="178"/>
      <c r="C382" s="179"/>
      <c r="D382" s="180"/>
      <c r="E382" s="180"/>
      <c r="F382" s="180"/>
      <c r="G382" s="180"/>
      <c r="H382" s="180"/>
      <c r="I382" s="181"/>
      <c r="J382" s="180"/>
      <c r="K382" s="180"/>
      <c r="L382" s="180"/>
      <c r="M382" s="180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1"/>
      <c r="Y382" s="180"/>
      <c r="Z382" s="183"/>
      <c r="AA382" s="183"/>
      <c r="AB382" s="180"/>
      <c r="AC382" s="183"/>
      <c r="AD382" s="183"/>
      <c r="AE382" s="180"/>
      <c r="AF382" s="184"/>
      <c r="AG382" s="185"/>
      <c r="AH382" s="186"/>
      <c r="AI382" s="187"/>
      <c r="AJ382" s="187"/>
      <c r="AK382" s="188"/>
      <c r="AL382" s="189"/>
      <c r="AM382" s="188"/>
      <c r="AN382" s="181"/>
    </row>
    <row r="383" spans="1:40" ht="26.25" customHeight="1">
      <c r="A383" s="177"/>
      <c r="B383" s="178"/>
      <c r="C383" s="179"/>
      <c r="D383" s="180"/>
      <c r="E383" s="180"/>
      <c r="F383" s="180"/>
      <c r="G383" s="180"/>
      <c r="H383" s="180"/>
      <c r="I383" s="181"/>
      <c r="J383" s="180"/>
      <c r="K383" s="180"/>
      <c r="L383" s="180"/>
      <c r="M383" s="180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1"/>
      <c r="Y383" s="180"/>
      <c r="Z383" s="183"/>
      <c r="AA383" s="183"/>
      <c r="AB383" s="180"/>
      <c r="AC383" s="183"/>
      <c r="AD383" s="183"/>
      <c r="AE383" s="180"/>
      <c r="AF383" s="184"/>
      <c r="AG383" s="185"/>
      <c r="AH383" s="186"/>
      <c r="AI383" s="187"/>
      <c r="AJ383" s="187"/>
      <c r="AK383" s="188"/>
      <c r="AL383" s="189"/>
      <c r="AM383" s="188"/>
      <c r="AN383" s="181"/>
    </row>
    <row r="384" spans="1:40" ht="26.25" customHeight="1">
      <c r="A384" s="177"/>
      <c r="B384" s="178"/>
      <c r="C384" s="179"/>
      <c r="D384" s="180"/>
      <c r="E384" s="180"/>
      <c r="F384" s="180"/>
      <c r="G384" s="180"/>
      <c r="H384" s="180"/>
      <c r="I384" s="181"/>
      <c r="J384" s="180"/>
      <c r="K384" s="180"/>
      <c r="L384" s="180"/>
      <c r="M384" s="180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1"/>
      <c r="Y384" s="180"/>
      <c r="Z384" s="183"/>
      <c r="AA384" s="183"/>
      <c r="AB384" s="180"/>
      <c r="AC384" s="183"/>
      <c r="AD384" s="183"/>
      <c r="AE384" s="180"/>
      <c r="AF384" s="184"/>
      <c r="AG384" s="185"/>
      <c r="AH384" s="186"/>
      <c r="AI384" s="187"/>
      <c r="AJ384" s="187"/>
      <c r="AK384" s="188"/>
      <c r="AL384" s="189"/>
      <c r="AM384" s="188"/>
      <c r="AN384" s="181"/>
    </row>
    <row r="385" spans="1:40" ht="26.25" customHeight="1">
      <c r="A385" s="177"/>
      <c r="B385" s="178"/>
      <c r="C385" s="179"/>
      <c r="D385" s="180"/>
      <c r="E385" s="180"/>
      <c r="F385" s="180"/>
      <c r="G385" s="180"/>
      <c r="H385" s="180"/>
      <c r="I385" s="181"/>
      <c r="J385" s="180"/>
      <c r="K385" s="180"/>
      <c r="L385" s="180"/>
      <c r="M385" s="180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1"/>
      <c r="Y385" s="180"/>
      <c r="Z385" s="183"/>
      <c r="AA385" s="183"/>
      <c r="AB385" s="180"/>
      <c r="AC385" s="183"/>
      <c r="AD385" s="183"/>
      <c r="AE385" s="180"/>
      <c r="AF385" s="184"/>
      <c r="AG385" s="185"/>
      <c r="AH385" s="186"/>
      <c r="AI385" s="187"/>
      <c r="AJ385" s="187"/>
      <c r="AK385" s="188"/>
      <c r="AL385" s="189"/>
      <c r="AM385" s="188"/>
      <c r="AN385" s="181"/>
    </row>
    <row r="386" spans="1:40" ht="26.25" customHeight="1">
      <c r="A386" s="177"/>
      <c r="B386" s="178"/>
      <c r="C386" s="179"/>
      <c r="D386" s="180"/>
      <c r="E386" s="180"/>
      <c r="F386" s="180"/>
      <c r="G386" s="180"/>
      <c r="H386" s="180"/>
      <c r="I386" s="181"/>
      <c r="J386" s="180"/>
      <c r="K386" s="180"/>
      <c r="L386" s="180"/>
      <c r="M386" s="180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1"/>
      <c r="Y386" s="180"/>
      <c r="Z386" s="183"/>
      <c r="AA386" s="183"/>
      <c r="AB386" s="180"/>
      <c r="AC386" s="183"/>
      <c r="AD386" s="183"/>
      <c r="AE386" s="180"/>
      <c r="AF386" s="184"/>
      <c r="AG386" s="185"/>
      <c r="AH386" s="186"/>
      <c r="AI386" s="187"/>
      <c r="AJ386" s="187"/>
      <c r="AK386" s="188"/>
      <c r="AL386" s="189"/>
      <c r="AM386" s="188"/>
      <c r="AN386" s="181"/>
    </row>
    <row r="387" spans="1:40" ht="26.25" customHeight="1">
      <c r="A387" s="177"/>
      <c r="B387" s="178"/>
      <c r="C387" s="179"/>
      <c r="D387" s="180"/>
      <c r="E387" s="180"/>
      <c r="F387" s="180"/>
      <c r="G387" s="180"/>
      <c r="H387" s="180"/>
      <c r="I387" s="181"/>
      <c r="J387" s="180"/>
      <c r="K387" s="180"/>
      <c r="L387" s="180"/>
      <c r="M387" s="180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1"/>
      <c r="Y387" s="180"/>
      <c r="Z387" s="183"/>
      <c r="AA387" s="183"/>
      <c r="AB387" s="180"/>
      <c r="AC387" s="183"/>
      <c r="AD387" s="183"/>
      <c r="AE387" s="180"/>
      <c r="AF387" s="184"/>
      <c r="AG387" s="185"/>
      <c r="AH387" s="186"/>
      <c r="AI387" s="187"/>
      <c r="AJ387" s="187"/>
      <c r="AK387" s="188"/>
      <c r="AL387" s="189"/>
      <c r="AM387" s="188"/>
      <c r="AN387" s="181"/>
    </row>
    <row r="388" spans="1:40" ht="26.25" customHeight="1">
      <c r="A388" s="177"/>
      <c r="B388" s="178"/>
      <c r="C388" s="179"/>
      <c r="D388" s="180"/>
      <c r="E388" s="180"/>
      <c r="F388" s="180"/>
      <c r="G388" s="180"/>
      <c r="H388" s="180"/>
      <c r="I388" s="181"/>
      <c r="J388" s="180"/>
      <c r="K388" s="180"/>
      <c r="L388" s="180"/>
      <c r="M388" s="180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1"/>
      <c r="Y388" s="180"/>
      <c r="Z388" s="183"/>
      <c r="AA388" s="183"/>
      <c r="AB388" s="180"/>
      <c r="AC388" s="183"/>
      <c r="AD388" s="183"/>
      <c r="AE388" s="180"/>
      <c r="AF388" s="184"/>
      <c r="AG388" s="185"/>
      <c r="AH388" s="186"/>
      <c r="AI388" s="187"/>
      <c r="AJ388" s="187"/>
      <c r="AK388" s="188"/>
      <c r="AL388" s="189"/>
      <c r="AM388" s="188"/>
      <c r="AN388" s="181"/>
    </row>
    <row r="389" spans="1:40" ht="26.25" customHeight="1">
      <c r="A389" s="177"/>
      <c r="B389" s="178"/>
      <c r="C389" s="179"/>
      <c r="D389" s="180"/>
      <c r="E389" s="180"/>
      <c r="F389" s="180"/>
      <c r="G389" s="180"/>
      <c r="H389" s="180"/>
      <c r="I389" s="181"/>
      <c r="J389" s="180"/>
      <c r="K389" s="180"/>
      <c r="L389" s="180"/>
      <c r="M389" s="180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1"/>
      <c r="Y389" s="180"/>
      <c r="Z389" s="183"/>
      <c r="AA389" s="183"/>
      <c r="AB389" s="180"/>
      <c r="AC389" s="183"/>
      <c r="AD389" s="183"/>
      <c r="AE389" s="180"/>
      <c r="AF389" s="184"/>
      <c r="AG389" s="185"/>
      <c r="AH389" s="186"/>
      <c r="AI389" s="187"/>
      <c r="AJ389" s="187"/>
      <c r="AK389" s="188"/>
      <c r="AL389" s="189"/>
      <c r="AM389" s="188"/>
      <c r="AN389" s="181"/>
    </row>
    <row r="390" spans="1:40" ht="26.25" customHeight="1">
      <c r="A390" s="177"/>
      <c r="B390" s="178"/>
      <c r="C390" s="179"/>
      <c r="D390" s="180"/>
      <c r="E390" s="180"/>
      <c r="F390" s="180"/>
      <c r="G390" s="180"/>
      <c r="H390" s="180"/>
      <c r="I390" s="181"/>
      <c r="J390" s="180"/>
      <c r="K390" s="180"/>
      <c r="L390" s="180"/>
      <c r="M390" s="180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1"/>
      <c r="Y390" s="180"/>
      <c r="Z390" s="183"/>
      <c r="AA390" s="183"/>
      <c r="AB390" s="180"/>
      <c r="AC390" s="183"/>
      <c r="AD390" s="183"/>
      <c r="AE390" s="180"/>
      <c r="AF390" s="184"/>
      <c r="AG390" s="185"/>
      <c r="AH390" s="186"/>
      <c r="AI390" s="187"/>
      <c r="AJ390" s="187"/>
      <c r="AK390" s="188"/>
      <c r="AL390" s="189"/>
      <c r="AM390" s="188"/>
      <c r="AN390" s="181"/>
    </row>
    <row r="391" spans="1:40" ht="26.25" customHeight="1">
      <c r="A391" s="177"/>
      <c r="B391" s="178"/>
      <c r="C391" s="179"/>
      <c r="D391" s="180"/>
      <c r="E391" s="180"/>
      <c r="F391" s="180"/>
      <c r="G391" s="180"/>
      <c r="H391" s="180"/>
      <c r="I391" s="181"/>
      <c r="J391" s="180"/>
      <c r="K391" s="180"/>
      <c r="L391" s="180"/>
      <c r="M391" s="180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1"/>
      <c r="Y391" s="180"/>
      <c r="Z391" s="183"/>
      <c r="AA391" s="183"/>
      <c r="AB391" s="180"/>
      <c r="AC391" s="183"/>
      <c r="AD391" s="183"/>
      <c r="AE391" s="180"/>
      <c r="AF391" s="184"/>
      <c r="AG391" s="185"/>
      <c r="AH391" s="186"/>
      <c r="AI391" s="187"/>
      <c r="AJ391" s="187"/>
      <c r="AK391" s="188"/>
      <c r="AL391" s="189"/>
      <c r="AM391" s="188"/>
      <c r="AN391" s="181"/>
    </row>
    <row r="392" spans="1:40" ht="26.25" customHeight="1">
      <c r="A392" s="177"/>
      <c r="B392" s="178"/>
      <c r="C392" s="179"/>
      <c r="D392" s="180"/>
      <c r="E392" s="180"/>
      <c r="F392" s="180"/>
      <c r="G392" s="180"/>
      <c r="H392" s="180"/>
      <c r="I392" s="181"/>
      <c r="J392" s="180"/>
      <c r="K392" s="180"/>
      <c r="L392" s="180"/>
      <c r="M392" s="180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1"/>
      <c r="Y392" s="180"/>
      <c r="Z392" s="183"/>
      <c r="AA392" s="183"/>
      <c r="AB392" s="180"/>
      <c r="AC392" s="183"/>
      <c r="AD392" s="183"/>
      <c r="AE392" s="180"/>
      <c r="AF392" s="184"/>
      <c r="AG392" s="185"/>
      <c r="AH392" s="186"/>
      <c r="AI392" s="187"/>
      <c r="AJ392" s="187"/>
      <c r="AK392" s="188"/>
      <c r="AL392" s="189"/>
      <c r="AM392" s="188"/>
      <c r="AN392" s="181"/>
    </row>
    <row r="393" spans="1:40" ht="26.25" customHeight="1">
      <c r="A393" s="177"/>
      <c r="B393" s="178"/>
      <c r="C393" s="179"/>
      <c r="D393" s="180"/>
      <c r="E393" s="180"/>
      <c r="F393" s="180"/>
      <c r="G393" s="180"/>
      <c r="H393" s="180"/>
      <c r="I393" s="181"/>
      <c r="J393" s="180"/>
      <c r="K393" s="180"/>
      <c r="L393" s="180"/>
      <c r="M393" s="180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1"/>
      <c r="Y393" s="180"/>
      <c r="Z393" s="183"/>
      <c r="AA393" s="183"/>
      <c r="AB393" s="180"/>
      <c r="AC393" s="183"/>
      <c r="AD393" s="183"/>
      <c r="AE393" s="180"/>
      <c r="AF393" s="184"/>
      <c r="AG393" s="185"/>
      <c r="AH393" s="186"/>
      <c r="AI393" s="187"/>
      <c r="AJ393" s="187"/>
      <c r="AK393" s="188"/>
      <c r="AL393" s="189"/>
      <c r="AM393" s="188"/>
      <c r="AN393" s="181"/>
    </row>
    <row r="394" spans="1:40" ht="26.25" customHeight="1">
      <c r="A394" s="177"/>
      <c r="B394" s="178"/>
      <c r="C394" s="179"/>
      <c r="D394" s="180"/>
      <c r="E394" s="180"/>
      <c r="F394" s="180"/>
      <c r="G394" s="180"/>
      <c r="H394" s="180"/>
      <c r="I394" s="181"/>
      <c r="J394" s="180"/>
      <c r="K394" s="180"/>
      <c r="L394" s="180"/>
      <c r="M394" s="180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1"/>
      <c r="Y394" s="180"/>
      <c r="Z394" s="183"/>
      <c r="AA394" s="183"/>
      <c r="AB394" s="180"/>
      <c r="AC394" s="183"/>
      <c r="AD394" s="183"/>
      <c r="AE394" s="180"/>
      <c r="AF394" s="184"/>
      <c r="AG394" s="185"/>
      <c r="AH394" s="186"/>
      <c r="AI394" s="187"/>
      <c r="AJ394" s="187"/>
      <c r="AK394" s="188"/>
      <c r="AL394" s="189"/>
      <c r="AM394" s="188"/>
      <c r="AN394" s="181"/>
    </row>
    <row r="395" spans="1:40" ht="26.25" customHeight="1">
      <c r="A395" s="177"/>
      <c r="B395" s="178"/>
      <c r="C395" s="179"/>
      <c r="D395" s="180"/>
      <c r="E395" s="180"/>
      <c r="F395" s="180"/>
      <c r="G395" s="180"/>
      <c r="H395" s="180"/>
      <c r="I395" s="181"/>
      <c r="J395" s="180"/>
      <c r="K395" s="180"/>
      <c r="L395" s="180"/>
      <c r="M395" s="180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1"/>
      <c r="Y395" s="180"/>
      <c r="Z395" s="183"/>
      <c r="AA395" s="183"/>
      <c r="AB395" s="180"/>
      <c r="AC395" s="183"/>
      <c r="AD395" s="183"/>
      <c r="AE395" s="180"/>
      <c r="AF395" s="184"/>
      <c r="AG395" s="185"/>
      <c r="AH395" s="186"/>
      <c r="AI395" s="187"/>
      <c r="AJ395" s="187"/>
      <c r="AK395" s="188"/>
      <c r="AL395" s="189"/>
      <c r="AM395" s="188"/>
      <c r="AN395" s="181"/>
    </row>
    <row r="396" spans="1:40" ht="26.25" customHeight="1">
      <c r="A396" s="177"/>
      <c r="B396" s="178"/>
      <c r="C396" s="179"/>
      <c r="D396" s="180"/>
      <c r="E396" s="180"/>
      <c r="F396" s="180"/>
      <c r="G396" s="180"/>
      <c r="H396" s="180"/>
      <c r="I396" s="181"/>
      <c r="J396" s="180"/>
      <c r="K396" s="180"/>
      <c r="L396" s="180"/>
      <c r="M396" s="180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1"/>
      <c r="Y396" s="180"/>
      <c r="Z396" s="183"/>
      <c r="AA396" s="183"/>
      <c r="AB396" s="180"/>
      <c r="AC396" s="183"/>
      <c r="AD396" s="183"/>
      <c r="AE396" s="180"/>
      <c r="AF396" s="184"/>
      <c r="AG396" s="185"/>
      <c r="AH396" s="186"/>
      <c r="AI396" s="187"/>
      <c r="AJ396" s="187"/>
      <c r="AK396" s="188"/>
      <c r="AL396" s="189"/>
      <c r="AM396" s="188"/>
      <c r="AN396" s="181"/>
    </row>
    <row r="397" spans="1:40" ht="26.25" customHeight="1">
      <c r="A397" s="177"/>
      <c r="B397" s="178"/>
      <c r="C397" s="179"/>
      <c r="D397" s="180"/>
      <c r="E397" s="180"/>
      <c r="F397" s="180"/>
      <c r="G397" s="180"/>
      <c r="H397" s="180"/>
      <c r="I397" s="181"/>
      <c r="J397" s="180"/>
      <c r="K397" s="180"/>
      <c r="L397" s="180"/>
      <c r="M397" s="180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1"/>
      <c r="Y397" s="180"/>
      <c r="Z397" s="183"/>
      <c r="AA397" s="183"/>
      <c r="AB397" s="180"/>
      <c r="AC397" s="183"/>
      <c r="AD397" s="183"/>
      <c r="AE397" s="180"/>
      <c r="AF397" s="184"/>
      <c r="AG397" s="185"/>
      <c r="AH397" s="186"/>
      <c r="AI397" s="187"/>
      <c r="AJ397" s="187"/>
      <c r="AK397" s="188"/>
      <c r="AL397" s="189"/>
      <c r="AM397" s="188"/>
      <c r="AN397" s="181"/>
    </row>
    <row r="398" spans="1:40" ht="26.25" customHeight="1">
      <c r="A398" s="177"/>
      <c r="B398" s="178"/>
      <c r="C398" s="179"/>
      <c r="D398" s="180"/>
      <c r="E398" s="180"/>
      <c r="F398" s="180"/>
      <c r="G398" s="180"/>
      <c r="H398" s="180"/>
      <c r="I398" s="181"/>
      <c r="J398" s="180"/>
      <c r="K398" s="180"/>
      <c r="L398" s="180"/>
      <c r="M398" s="180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1"/>
      <c r="Y398" s="180"/>
      <c r="Z398" s="183"/>
      <c r="AA398" s="183"/>
      <c r="AB398" s="180"/>
      <c r="AC398" s="183"/>
      <c r="AD398" s="183"/>
      <c r="AE398" s="180"/>
      <c r="AF398" s="184"/>
      <c r="AG398" s="185"/>
      <c r="AH398" s="186"/>
      <c r="AI398" s="187"/>
      <c r="AJ398" s="187"/>
      <c r="AK398" s="188"/>
      <c r="AL398" s="189"/>
      <c r="AM398" s="188"/>
      <c r="AN398" s="181"/>
    </row>
    <row r="399" spans="1:40" ht="26.25" customHeight="1">
      <c r="A399" s="177"/>
      <c r="B399" s="178"/>
      <c r="C399" s="179"/>
      <c r="D399" s="180"/>
      <c r="E399" s="180"/>
      <c r="F399" s="180"/>
      <c r="G399" s="180"/>
      <c r="H399" s="180"/>
      <c r="I399" s="181"/>
      <c r="J399" s="180"/>
      <c r="K399" s="180"/>
      <c r="L399" s="180"/>
      <c r="M399" s="180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1"/>
      <c r="Y399" s="180"/>
      <c r="Z399" s="183"/>
      <c r="AA399" s="183"/>
      <c r="AB399" s="180"/>
      <c r="AC399" s="183"/>
      <c r="AD399" s="183"/>
      <c r="AE399" s="180"/>
      <c r="AF399" s="184"/>
      <c r="AG399" s="185"/>
      <c r="AH399" s="186"/>
      <c r="AI399" s="187"/>
      <c r="AJ399" s="187"/>
      <c r="AK399" s="188"/>
      <c r="AL399" s="189"/>
      <c r="AM399" s="188"/>
      <c r="AN399" s="181"/>
    </row>
    <row r="400" spans="1:40" ht="26.25" customHeight="1">
      <c r="A400" s="177"/>
      <c r="B400" s="178"/>
      <c r="C400" s="179"/>
      <c r="D400" s="180"/>
      <c r="E400" s="180"/>
      <c r="F400" s="180"/>
      <c r="G400" s="180"/>
      <c r="H400" s="180"/>
      <c r="I400" s="181"/>
      <c r="J400" s="180"/>
      <c r="K400" s="180"/>
      <c r="L400" s="180"/>
      <c r="M400" s="180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1"/>
      <c r="Y400" s="180"/>
      <c r="Z400" s="183"/>
      <c r="AA400" s="183"/>
      <c r="AB400" s="180"/>
      <c r="AC400" s="183"/>
      <c r="AD400" s="183"/>
      <c r="AE400" s="180"/>
      <c r="AF400" s="184"/>
      <c r="AG400" s="185"/>
      <c r="AH400" s="186"/>
      <c r="AI400" s="187"/>
      <c r="AJ400" s="187"/>
      <c r="AK400" s="188"/>
      <c r="AL400" s="189"/>
      <c r="AM400" s="188"/>
      <c r="AN400" s="181"/>
    </row>
    <row r="401" spans="1:40" ht="26.25" customHeight="1">
      <c r="A401" s="177"/>
      <c r="B401" s="178"/>
      <c r="C401" s="179"/>
      <c r="D401" s="180"/>
      <c r="E401" s="180"/>
      <c r="F401" s="180"/>
      <c r="G401" s="180"/>
      <c r="H401" s="180"/>
      <c r="I401" s="181"/>
      <c r="J401" s="180"/>
      <c r="K401" s="180"/>
      <c r="L401" s="180"/>
      <c r="M401" s="180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1"/>
      <c r="Y401" s="180"/>
      <c r="Z401" s="183"/>
      <c r="AA401" s="183"/>
      <c r="AB401" s="180"/>
      <c r="AC401" s="183"/>
      <c r="AD401" s="183"/>
      <c r="AE401" s="180"/>
      <c r="AF401" s="184"/>
      <c r="AG401" s="185"/>
      <c r="AH401" s="186"/>
      <c r="AI401" s="187"/>
      <c r="AJ401" s="187"/>
      <c r="AK401" s="188"/>
      <c r="AL401" s="189"/>
      <c r="AM401" s="188"/>
      <c r="AN401" s="181"/>
    </row>
    <row r="402" spans="1:40" ht="26.25" customHeight="1">
      <c r="A402" s="177"/>
      <c r="B402" s="178"/>
      <c r="C402" s="179"/>
      <c r="D402" s="180"/>
      <c r="E402" s="180"/>
      <c r="F402" s="180"/>
      <c r="G402" s="180"/>
      <c r="H402" s="180"/>
      <c r="I402" s="181"/>
      <c r="J402" s="180"/>
      <c r="K402" s="180"/>
      <c r="L402" s="180"/>
      <c r="M402" s="180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1"/>
      <c r="Y402" s="180"/>
      <c r="Z402" s="183"/>
      <c r="AA402" s="183"/>
      <c r="AB402" s="180"/>
      <c r="AC402" s="183"/>
      <c r="AD402" s="183"/>
      <c r="AE402" s="180"/>
      <c r="AF402" s="184"/>
      <c r="AG402" s="185"/>
      <c r="AH402" s="186"/>
      <c r="AI402" s="187"/>
      <c r="AJ402" s="187"/>
      <c r="AK402" s="188"/>
      <c r="AL402" s="189"/>
      <c r="AM402" s="188"/>
      <c r="AN402" s="181"/>
    </row>
    <row r="403" spans="1:40" ht="26.25" customHeight="1">
      <c r="A403" s="177"/>
      <c r="B403" s="178"/>
      <c r="C403" s="179"/>
      <c r="D403" s="180"/>
      <c r="E403" s="180"/>
      <c r="F403" s="180"/>
      <c r="G403" s="180"/>
      <c r="H403" s="180"/>
      <c r="I403" s="181"/>
      <c r="J403" s="180"/>
      <c r="K403" s="180"/>
      <c r="L403" s="180"/>
      <c r="M403" s="180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1"/>
      <c r="Y403" s="180"/>
      <c r="Z403" s="183"/>
      <c r="AA403" s="183"/>
      <c r="AB403" s="180"/>
      <c r="AC403" s="183"/>
      <c r="AD403" s="183"/>
      <c r="AE403" s="180"/>
      <c r="AF403" s="184"/>
      <c r="AG403" s="185"/>
      <c r="AH403" s="186"/>
      <c r="AI403" s="187"/>
      <c r="AJ403" s="187"/>
      <c r="AK403" s="188"/>
      <c r="AL403" s="189"/>
      <c r="AM403" s="188"/>
      <c r="AN403" s="181"/>
    </row>
    <row r="404" spans="1:40" ht="26.25" customHeight="1">
      <c r="A404" s="177"/>
      <c r="B404" s="178"/>
      <c r="C404" s="179"/>
      <c r="D404" s="180"/>
      <c r="E404" s="180"/>
      <c r="F404" s="180"/>
      <c r="G404" s="180"/>
      <c r="H404" s="180"/>
      <c r="I404" s="181"/>
      <c r="J404" s="180"/>
      <c r="K404" s="180"/>
      <c r="L404" s="180"/>
      <c r="M404" s="180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1"/>
      <c r="Y404" s="180"/>
      <c r="Z404" s="183"/>
      <c r="AA404" s="183"/>
      <c r="AB404" s="180"/>
      <c r="AC404" s="183"/>
      <c r="AD404" s="183"/>
      <c r="AE404" s="180"/>
      <c r="AF404" s="184"/>
      <c r="AG404" s="185"/>
      <c r="AH404" s="186"/>
      <c r="AI404" s="187"/>
      <c r="AJ404" s="187"/>
      <c r="AK404" s="188"/>
      <c r="AL404" s="189"/>
      <c r="AM404" s="188"/>
      <c r="AN404" s="181"/>
    </row>
    <row r="405" spans="1:40" ht="26.25" customHeight="1">
      <c r="A405" s="177"/>
      <c r="B405" s="178"/>
      <c r="C405" s="179"/>
      <c r="D405" s="180"/>
      <c r="E405" s="180"/>
      <c r="F405" s="180"/>
      <c r="G405" s="180"/>
      <c r="H405" s="180"/>
      <c r="I405" s="181"/>
      <c r="J405" s="180"/>
      <c r="K405" s="180"/>
      <c r="L405" s="180"/>
      <c r="M405" s="180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1"/>
      <c r="Y405" s="180"/>
      <c r="Z405" s="183"/>
      <c r="AA405" s="183"/>
      <c r="AB405" s="180"/>
      <c r="AC405" s="183"/>
      <c r="AD405" s="183"/>
      <c r="AE405" s="180"/>
      <c r="AF405" s="184"/>
      <c r="AG405" s="185"/>
      <c r="AH405" s="186"/>
      <c r="AI405" s="187"/>
      <c r="AJ405" s="187"/>
      <c r="AK405" s="188"/>
      <c r="AL405" s="189"/>
      <c r="AM405" s="188"/>
      <c r="AN405" s="181"/>
    </row>
    <row r="406" spans="1:40" ht="26.25" customHeight="1">
      <c r="A406" s="177"/>
      <c r="B406" s="178"/>
      <c r="C406" s="179"/>
      <c r="D406" s="180"/>
      <c r="E406" s="180"/>
      <c r="F406" s="180"/>
      <c r="G406" s="180"/>
      <c r="H406" s="180"/>
      <c r="I406" s="181"/>
      <c r="J406" s="180"/>
      <c r="K406" s="180"/>
      <c r="L406" s="180"/>
      <c r="M406" s="180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1"/>
      <c r="Y406" s="180"/>
      <c r="Z406" s="183"/>
      <c r="AA406" s="183"/>
      <c r="AB406" s="180"/>
      <c r="AC406" s="183"/>
      <c r="AD406" s="183"/>
      <c r="AE406" s="180"/>
      <c r="AF406" s="184"/>
      <c r="AG406" s="185"/>
      <c r="AH406" s="186"/>
      <c r="AI406" s="187"/>
      <c r="AJ406" s="187"/>
      <c r="AK406" s="188"/>
      <c r="AL406" s="189"/>
      <c r="AM406" s="188"/>
      <c r="AN406" s="181"/>
    </row>
    <row r="407" spans="1:40" ht="26.25" customHeight="1">
      <c r="A407" s="177"/>
      <c r="B407" s="178"/>
      <c r="C407" s="179"/>
      <c r="D407" s="180"/>
      <c r="E407" s="180"/>
      <c r="F407" s="180"/>
      <c r="G407" s="180"/>
      <c r="H407" s="180"/>
      <c r="I407" s="181"/>
      <c r="J407" s="180"/>
      <c r="K407" s="180"/>
      <c r="L407" s="180"/>
      <c r="M407" s="180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1"/>
      <c r="Y407" s="180"/>
      <c r="Z407" s="183"/>
      <c r="AA407" s="183"/>
      <c r="AB407" s="180"/>
      <c r="AC407" s="183"/>
      <c r="AD407" s="183"/>
      <c r="AE407" s="180"/>
      <c r="AF407" s="184"/>
      <c r="AG407" s="185"/>
      <c r="AH407" s="186"/>
      <c r="AI407" s="187"/>
      <c r="AJ407" s="187"/>
      <c r="AK407" s="188"/>
      <c r="AL407" s="189"/>
      <c r="AM407" s="188"/>
      <c r="AN407" s="181"/>
    </row>
    <row r="408" spans="1:40" ht="26.25" customHeight="1">
      <c r="A408" s="177"/>
      <c r="B408" s="178"/>
      <c r="C408" s="179"/>
      <c r="D408" s="180"/>
      <c r="E408" s="180"/>
      <c r="F408" s="180"/>
      <c r="G408" s="180"/>
      <c r="H408" s="180"/>
      <c r="I408" s="181"/>
      <c r="J408" s="180"/>
      <c r="K408" s="180"/>
      <c r="L408" s="180"/>
      <c r="M408" s="180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1"/>
      <c r="Y408" s="180"/>
      <c r="Z408" s="183"/>
      <c r="AA408" s="183"/>
      <c r="AB408" s="180"/>
      <c r="AC408" s="183"/>
      <c r="AD408" s="183"/>
      <c r="AE408" s="180"/>
      <c r="AF408" s="184"/>
      <c r="AG408" s="185"/>
      <c r="AH408" s="186"/>
      <c r="AI408" s="187"/>
      <c r="AJ408" s="187"/>
      <c r="AK408" s="188"/>
      <c r="AL408" s="189"/>
      <c r="AM408" s="188"/>
      <c r="AN408" s="181"/>
    </row>
    <row r="409" spans="1:40" ht="26.25" customHeight="1">
      <c r="A409" s="177"/>
      <c r="B409" s="178"/>
      <c r="C409" s="179"/>
      <c r="D409" s="180"/>
      <c r="E409" s="180"/>
      <c r="F409" s="180"/>
      <c r="G409" s="180"/>
      <c r="H409" s="180"/>
      <c r="I409" s="181"/>
      <c r="J409" s="180"/>
      <c r="K409" s="180"/>
      <c r="L409" s="180"/>
      <c r="M409" s="180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1"/>
      <c r="Y409" s="180"/>
      <c r="Z409" s="183"/>
      <c r="AA409" s="183"/>
      <c r="AB409" s="180"/>
      <c r="AC409" s="183"/>
      <c r="AD409" s="183"/>
      <c r="AE409" s="180"/>
      <c r="AF409" s="184"/>
      <c r="AG409" s="185"/>
      <c r="AH409" s="186"/>
      <c r="AI409" s="187"/>
      <c r="AJ409" s="187"/>
      <c r="AK409" s="188"/>
      <c r="AL409" s="189"/>
      <c r="AM409" s="188"/>
      <c r="AN409" s="181"/>
    </row>
    <row r="410" spans="1:40" ht="26.25" customHeight="1">
      <c r="A410" s="177"/>
      <c r="B410" s="178"/>
      <c r="C410" s="179"/>
      <c r="D410" s="180"/>
      <c r="E410" s="180"/>
      <c r="F410" s="180"/>
      <c r="G410" s="180"/>
      <c r="H410" s="180"/>
      <c r="I410" s="181"/>
      <c r="J410" s="180"/>
      <c r="K410" s="180"/>
      <c r="L410" s="180"/>
      <c r="M410" s="180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1"/>
      <c r="Y410" s="180"/>
      <c r="Z410" s="183"/>
      <c r="AA410" s="183"/>
      <c r="AB410" s="180"/>
      <c r="AC410" s="183"/>
      <c r="AD410" s="183"/>
      <c r="AE410" s="180"/>
      <c r="AF410" s="184"/>
      <c r="AG410" s="185"/>
      <c r="AH410" s="186"/>
      <c r="AI410" s="187"/>
      <c r="AJ410" s="187"/>
      <c r="AK410" s="188"/>
      <c r="AL410" s="189"/>
      <c r="AM410" s="188"/>
      <c r="AN410" s="181"/>
    </row>
    <row r="411" spans="1:40" ht="26.25" customHeight="1">
      <c r="A411" s="177"/>
      <c r="B411" s="178"/>
      <c r="C411" s="179"/>
      <c r="D411" s="180"/>
      <c r="E411" s="180"/>
      <c r="F411" s="180"/>
      <c r="G411" s="180"/>
      <c r="H411" s="180"/>
      <c r="I411" s="181"/>
      <c r="J411" s="180"/>
      <c r="K411" s="180"/>
      <c r="L411" s="180"/>
      <c r="M411" s="180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1"/>
      <c r="Y411" s="180"/>
      <c r="Z411" s="183"/>
      <c r="AA411" s="183"/>
      <c r="AB411" s="180"/>
      <c r="AC411" s="183"/>
      <c r="AD411" s="183"/>
      <c r="AE411" s="180"/>
      <c r="AF411" s="184"/>
      <c r="AG411" s="185"/>
      <c r="AH411" s="186"/>
      <c r="AI411" s="187"/>
      <c r="AJ411" s="187"/>
      <c r="AK411" s="188"/>
      <c r="AL411" s="189"/>
      <c r="AM411" s="188"/>
      <c r="AN411" s="181"/>
    </row>
    <row r="412" spans="1:40" ht="26.25" customHeight="1">
      <c r="A412" s="177"/>
      <c r="B412" s="178"/>
      <c r="C412" s="179"/>
      <c r="D412" s="180"/>
      <c r="E412" s="180"/>
      <c r="F412" s="180"/>
      <c r="G412" s="180"/>
      <c r="H412" s="180"/>
      <c r="I412" s="181"/>
      <c r="J412" s="180"/>
      <c r="K412" s="180"/>
      <c r="L412" s="180"/>
      <c r="M412" s="180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1"/>
      <c r="Y412" s="180"/>
      <c r="Z412" s="183"/>
      <c r="AA412" s="183"/>
      <c r="AB412" s="180"/>
      <c r="AC412" s="183"/>
      <c r="AD412" s="183"/>
      <c r="AE412" s="180"/>
      <c r="AF412" s="184"/>
      <c r="AG412" s="185"/>
      <c r="AH412" s="186"/>
      <c r="AI412" s="187"/>
      <c r="AJ412" s="187"/>
      <c r="AK412" s="188"/>
      <c r="AL412" s="189"/>
      <c r="AM412" s="188"/>
      <c r="AN412" s="181"/>
    </row>
    <row r="413" spans="1:40" ht="26.25" customHeight="1">
      <c r="A413" s="177"/>
      <c r="B413" s="178"/>
      <c r="C413" s="179"/>
      <c r="D413" s="180"/>
      <c r="E413" s="180"/>
      <c r="F413" s="180"/>
      <c r="G413" s="180"/>
      <c r="H413" s="180"/>
      <c r="I413" s="181"/>
      <c r="J413" s="180"/>
      <c r="K413" s="180"/>
      <c r="L413" s="180"/>
      <c r="M413" s="180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1"/>
      <c r="Y413" s="180"/>
      <c r="Z413" s="183"/>
      <c r="AA413" s="183"/>
      <c r="AB413" s="180"/>
      <c r="AC413" s="183"/>
      <c r="AD413" s="183"/>
      <c r="AE413" s="180"/>
      <c r="AF413" s="184"/>
      <c r="AG413" s="185"/>
      <c r="AH413" s="186"/>
      <c r="AI413" s="187"/>
      <c r="AJ413" s="187"/>
      <c r="AK413" s="188"/>
      <c r="AL413" s="189"/>
      <c r="AM413" s="188"/>
      <c r="AN413" s="181"/>
    </row>
    <row r="414" spans="1:40" ht="26.25" customHeight="1">
      <c r="A414" s="177"/>
      <c r="B414" s="178"/>
      <c r="C414" s="179"/>
      <c r="D414" s="180"/>
      <c r="E414" s="180"/>
      <c r="F414" s="180"/>
      <c r="G414" s="180"/>
      <c r="H414" s="180"/>
      <c r="I414" s="181"/>
      <c r="J414" s="180"/>
      <c r="K414" s="180"/>
      <c r="L414" s="180"/>
      <c r="M414" s="180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1"/>
      <c r="Y414" s="180"/>
      <c r="Z414" s="183"/>
      <c r="AA414" s="183"/>
      <c r="AB414" s="180"/>
      <c r="AC414" s="183"/>
      <c r="AD414" s="183"/>
      <c r="AE414" s="180"/>
      <c r="AF414" s="184"/>
      <c r="AG414" s="185"/>
      <c r="AH414" s="186"/>
      <c r="AI414" s="187"/>
      <c r="AJ414" s="187"/>
      <c r="AK414" s="188"/>
      <c r="AL414" s="189"/>
      <c r="AM414" s="188"/>
      <c r="AN414" s="181"/>
    </row>
    <row r="415" spans="1:40" ht="26.25" customHeight="1">
      <c r="A415" s="177"/>
      <c r="B415" s="178"/>
      <c r="C415" s="179"/>
      <c r="D415" s="180"/>
      <c r="E415" s="180"/>
      <c r="F415" s="180"/>
      <c r="G415" s="180"/>
      <c r="H415" s="180"/>
      <c r="I415" s="181"/>
      <c r="J415" s="180"/>
      <c r="K415" s="180"/>
      <c r="L415" s="180"/>
      <c r="M415" s="180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1"/>
      <c r="Y415" s="180"/>
      <c r="Z415" s="183"/>
      <c r="AA415" s="183"/>
      <c r="AB415" s="180"/>
      <c r="AC415" s="183"/>
      <c r="AD415" s="183"/>
      <c r="AE415" s="180"/>
      <c r="AF415" s="184"/>
      <c r="AG415" s="185"/>
      <c r="AH415" s="186"/>
      <c r="AI415" s="187"/>
      <c r="AJ415" s="187"/>
      <c r="AK415" s="188"/>
      <c r="AL415" s="189"/>
      <c r="AM415" s="188"/>
      <c r="AN415" s="181"/>
    </row>
    <row r="416" spans="1:40" ht="26.25" customHeight="1">
      <c r="A416" s="177"/>
      <c r="B416" s="178"/>
      <c r="C416" s="179"/>
      <c r="D416" s="180"/>
      <c r="E416" s="180"/>
      <c r="F416" s="180"/>
      <c r="G416" s="180"/>
      <c r="H416" s="180"/>
      <c r="I416" s="181"/>
      <c r="J416" s="180"/>
      <c r="K416" s="180"/>
      <c r="L416" s="180"/>
      <c r="M416" s="180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1"/>
      <c r="Y416" s="180"/>
      <c r="Z416" s="183"/>
      <c r="AA416" s="183"/>
      <c r="AB416" s="180"/>
      <c r="AC416" s="183"/>
      <c r="AD416" s="183"/>
      <c r="AE416" s="180"/>
      <c r="AF416" s="184"/>
      <c r="AG416" s="185"/>
      <c r="AH416" s="186"/>
      <c r="AI416" s="187"/>
      <c r="AJ416" s="187"/>
      <c r="AK416" s="188"/>
      <c r="AL416" s="189"/>
      <c r="AM416" s="188"/>
      <c r="AN416" s="181"/>
    </row>
    <row r="417" spans="1:40" ht="26.25" customHeight="1">
      <c r="A417" s="177"/>
      <c r="B417" s="178"/>
      <c r="C417" s="179"/>
      <c r="D417" s="180"/>
      <c r="E417" s="180"/>
      <c r="F417" s="180"/>
      <c r="G417" s="180"/>
      <c r="H417" s="180"/>
      <c r="I417" s="181"/>
      <c r="J417" s="180"/>
      <c r="K417" s="180"/>
      <c r="L417" s="180"/>
      <c r="M417" s="180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1"/>
      <c r="Y417" s="180"/>
      <c r="Z417" s="183"/>
      <c r="AA417" s="183"/>
      <c r="AB417" s="180"/>
      <c r="AC417" s="183"/>
      <c r="AD417" s="183"/>
      <c r="AE417" s="180"/>
      <c r="AF417" s="184"/>
      <c r="AG417" s="185"/>
      <c r="AH417" s="186"/>
      <c r="AI417" s="187"/>
      <c r="AJ417" s="187"/>
      <c r="AK417" s="188"/>
      <c r="AL417" s="189"/>
      <c r="AM417" s="188"/>
      <c r="AN417" s="181"/>
    </row>
    <row r="418" spans="1:40" ht="26.25" customHeight="1">
      <c r="A418" s="177"/>
      <c r="B418" s="178"/>
      <c r="C418" s="179"/>
      <c r="D418" s="180"/>
      <c r="E418" s="180"/>
      <c r="F418" s="180"/>
      <c r="G418" s="180"/>
      <c r="H418" s="180"/>
      <c r="I418" s="181"/>
      <c r="J418" s="180"/>
      <c r="K418" s="180"/>
      <c r="L418" s="180"/>
      <c r="M418" s="180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1"/>
      <c r="Y418" s="180"/>
      <c r="Z418" s="183"/>
      <c r="AA418" s="183"/>
      <c r="AB418" s="180"/>
      <c r="AC418" s="183"/>
      <c r="AD418" s="183"/>
      <c r="AE418" s="180"/>
      <c r="AF418" s="184"/>
      <c r="AG418" s="185"/>
      <c r="AH418" s="186"/>
      <c r="AI418" s="187"/>
      <c r="AJ418" s="187"/>
      <c r="AK418" s="188"/>
      <c r="AL418" s="189"/>
      <c r="AM418" s="188"/>
      <c r="AN418" s="181"/>
    </row>
    <row r="419" spans="1:40" ht="26.25" customHeight="1">
      <c r="A419" s="177"/>
      <c r="B419" s="178"/>
      <c r="C419" s="179"/>
      <c r="D419" s="180"/>
      <c r="E419" s="180"/>
      <c r="F419" s="180"/>
      <c r="G419" s="180"/>
      <c r="H419" s="180"/>
      <c r="I419" s="181"/>
      <c r="J419" s="180"/>
      <c r="K419" s="180"/>
      <c r="L419" s="180"/>
      <c r="M419" s="180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1"/>
      <c r="Y419" s="180"/>
      <c r="Z419" s="183"/>
      <c r="AA419" s="183"/>
      <c r="AB419" s="180"/>
      <c r="AC419" s="183"/>
      <c r="AD419" s="183"/>
      <c r="AE419" s="180"/>
      <c r="AF419" s="184"/>
      <c r="AG419" s="185"/>
      <c r="AH419" s="186"/>
      <c r="AI419" s="187"/>
      <c r="AJ419" s="187"/>
      <c r="AK419" s="188"/>
      <c r="AL419" s="189"/>
      <c r="AM419" s="188"/>
      <c r="AN419" s="181"/>
    </row>
    <row r="420" spans="1:40" ht="26.25" customHeight="1">
      <c r="A420" s="177"/>
      <c r="B420" s="178"/>
      <c r="C420" s="179"/>
      <c r="D420" s="180"/>
      <c r="E420" s="180"/>
      <c r="F420" s="180"/>
      <c r="G420" s="180"/>
      <c r="H420" s="180"/>
      <c r="I420" s="181"/>
      <c r="J420" s="180"/>
      <c r="K420" s="180"/>
      <c r="L420" s="180"/>
      <c r="M420" s="180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1"/>
      <c r="Y420" s="180"/>
      <c r="Z420" s="183"/>
      <c r="AA420" s="183"/>
      <c r="AB420" s="180"/>
      <c r="AC420" s="183"/>
      <c r="AD420" s="183"/>
      <c r="AE420" s="180"/>
      <c r="AF420" s="184"/>
      <c r="AG420" s="185"/>
      <c r="AH420" s="186"/>
      <c r="AI420" s="187"/>
      <c r="AJ420" s="187"/>
      <c r="AK420" s="188"/>
      <c r="AL420" s="189"/>
      <c r="AM420" s="188"/>
      <c r="AN420" s="181"/>
    </row>
    <row r="421" spans="1:40" ht="26.25" customHeight="1">
      <c r="A421" s="177"/>
      <c r="B421" s="178"/>
      <c r="C421" s="179"/>
      <c r="D421" s="180"/>
      <c r="E421" s="180"/>
      <c r="F421" s="180"/>
      <c r="G421" s="180"/>
      <c r="H421" s="180"/>
      <c r="I421" s="181"/>
      <c r="J421" s="180"/>
      <c r="K421" s="180"/>
      <c r="L421" s="180"/>
      <c r="M421" s="180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1"/>
      <c r="Y421" s="180"/>
      <c r="Z421" s="183"/>
      <c r="AA421" s="183"/>
      <c r="AB421" s="180"/>
      <c r="AC421" s="183"/>
      <c r="AD421" s="183"/>
      <c r="AE421" s="180"/>
      <c r="AF421" s="184"/>
      <c r="AG421" s="185"/>
      <c r="AH421" s="186"/>
      <c r="AI421" s="187"/>
      <c r="AJ421" s="187"/>
      <c r="AK421" s="188"/>
      <c r="AL421" s="189"/>
      <c r="AM421" s="188"/>
      <c r="AN421" s="181"/>
    </row>
    <row r="422" spans="1:40" ht="26.25" customHeight="1">
      <c r="A422" s="177"/>
      <c r="B422" s="178"/>
      <c r="C422" s="179"/>
      <c r="D422" s="180"/>
      <c r="E422" s="180"/>
      <c r="F422" s="180"/>
      <c r="G422" s="180"/>
      <c r="H422" s="180"/>
      <c r="I422" s="181"/>
      <c r="J422" s="180"/>
      <c r="K422" s="180"/>
      <c r="L422" s="180"/>
      <c r="M422" s="180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1"/>
      <c r="Y422" s="180"/>
      <c r="Z422" s="183"/>
      <c r="AA422" s="183"/>
      <c r="AB422" s="180"/>
      <c r="AC422" s="183"/>
      <c r="AD422" s="183"/>
      <c r="AE422" s="180"/>
      <c r="AF422" s="184"/>
      <c r="AG422" s="185"/>
      <c r="AH422" s="186"/>
      <c r="AI422" s="187"/>
      <c r="AJ422" s="187"/>
      <c r="AK422" s="188"/>
      <c r="AL422" s="189"/>
      <c r="AM422" s="188"/>
      <c r="AN422" s="181"/>
    </row>
    <row r="423" spans="1:40" ht="26.25" customHeight="1">
      <c r="A423" s="177"/>
      <c r="B423" s="178"/>
      <c r="C423" s="179"/>
      <c r="D423" s="180"/>
      <c r="E423" s="180"/>
      <c r="F423" s="180"/>
      <c r="G423" s="180"/>
      <c r="H423" s="180"/>
      <c r="I423" s="181"/>
      <c r="J423" s="180"/>
      <c r="K423" s="180"/>
      <c r="L423" s="180"/>
      <c r="M423" s="180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1"/>
      <c r="Y423" s="180"/>
      <c r="Z423" s="183"/>
      <c r="AA423" s="183"/>
      <c r="AB423" s="180"/>
      <c r="AC423" s="183"/>
      <c r="AD423" s="183"/>
      <c r="AE423" s="180"/>
      <c r="AF423" s="184"/>
      <c r="AG423" s="185"/>
      <c r="AH423" s="186"/>
      <c r="AI423" s="187"/>
      <c r="AJ423" s="187"/>
      <c r="AK423" s="188"/>
      <c r="AL423" s="189"/>
      <c r="AM423" s="188"/>
      <c r="AN423" s="181"/>
    </row>
    <row r="424" spans="1:40" ht="26.25" customHeight="1">
      <c r="A424" s="177"/>
      <c r="B424" s="178"/>
      <c r="C424" s="179"/>
      <c r="D424" s="180"/>
      <c r="E424" s="180"/>
      <c r="F424" s="180"/>
      <c r="G424" s="180"/>
      <c r="H424" s="180"/>
      <c r="I424" s="181"/>
      <c r="J424" s="180"/>
      <c r="K424" s="180"/>
      <c r="L424" s="180"/>
      <c r="M424" s="180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1"/>
      <c r="Y424" s="180"/>
      <c r="Z424" s="183"/>
      <c r="AA424" s="183"/>
      <c r="AB424" s="180"/>
      <c r="AC424" s="183"/>
      <c r="AD424" s="183"/>
      <c r="AE424" s="180"/>
      <c r="AF424" s="184"/>
      <c r="AG424" s="185"/>
      <c r="AH424" s="186"/>
      <c r="AI424" s="187"/>
      <c r="AJ424" s="187"/>
      <c r="AK424" s="188"/>
      <c r="AL424" s="189"/>
      <c r="AM424" s="188"/>
      <c r="AN424" s="181"/>
    </row>
    <row r="425" spans="1:40" ht="26.25" customHeight="1">
      <c r="A425" s="177"/>
      <c r="B425" s="178"/>
      <c r="C425" s="179"/>
      <c r="D425" s="180"/>
      <c r="E425" s="180"/>
      <c r="F425" s="180"/>
      <c r="G425" s="180"/>
      <c r="H425" s="180"/>
      <c r="I425" s="181"/>
      <c r="J425" s="180"/>
      <c r="K425" s="180"/>
      <c r="L425" s="180"/>
      <c r="M425" s="180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1"/>
      <c r="Y425" s="180"/>
      <c r="Z425" s="183"/>
      <c r="AA425" s="183"/>
      <c r="AB425" s="180"/>
      <c r="AC425" s="183"/>
      <c r="AD425" s="183"/>
      <c r="AE425" s="180"/>
      <c r="AF425" s="184"/>
      <c r="AG425" s="185"/>
      <c r="AH425" s="186"/>
      <c r="AI425" s="187"/>
      <c r="AJ425" s="187"/>
      <c r="AK425" s="188"/>
      <c r="AL425" s="189"/>
      <c r="AM425" s="188"/>
      <c r="AN425" s="181"/>
    </row>
    <row r="426" spans="1:40" ht="26.25" customHeight="1">
      <c r="A426" s="177"/>
      <c r="B426" s="178"/>
      <c r="C426" s="179"/>
      <c r="D426" s="180"/>
      <c r="E426" s="180"/>
      <c r="F426" s="180"/>
      <c r="G426" s="180"/>
      <c r="H426" s="180"/>
      <c r="I426" s="181"/>
      <c r="J426" s="180"/>
      <c r="K426" s="180"/>
      <c r="L426" s="180"/>
      <c r="M426" s="180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1"/>
      <c r="Y426" s="180"/>
      <c r="Z426" s="183"/>
      <c r="AA426" s="183"/>
      <c r="AB426" s="180"/>
      <c r="AC426" s="183"/>
      <c r="AD426" s="183"/>
      <c r="AE426" s="180"/>
      <c r="AF426" s="184"/>
      <c r="AG426" s="185"/>
      <c r="AH426" s="186"/>
      <c r="AI426" s="187"/>
      <c r="AJ426" s="187"/>
      <c r="AK426" s="188"/>
      <c r="AL426" s="189"/>
      <c r="AM426" s="188"/>
      <c r="AN426" s="181"/>
    </row>
    <row r="427" spans="1:40" ht="26.25" customHeight="1">
      <c r="A427" s="177"/>
      <c r="B427" s="178"/>
      <c r="C427" s="179"/>
      <c r="D427" s="180"/>
      <c r="E427" s="180"/>
      <c r="F427" s="180"/>
      <c r="G427" s="180"/>
      <c r="H427" s="180"/>
      <c r="I427" s="181"/>
      <c r="J427" s="180"/>
      <c r="K427" s="180"/>
      <c r="L427" s="180"/>
      <c r="M427" s="180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1"/>
      <c r="Y427" s="180"/>
      <c r="Z427" s="183"/>
      <c r="AA427" s="183"/>
      <c r="AB427" s="180"/>
      <c r="AC427" s="183"/>
      <c r="AD427" s="183"/>
      <c r="AE427" s="180"/>
      <c r="AF427" s="184"/>
      <c r="AG427" s="185"/>
      <c r="AH427" s="186"/>
      <c r="AI427" s="187"/>
      <c r="AJ427" s="187"/>
      <c r="AK427" s="188"/>
      <c r="AL427" s="189"/>
      <c r="AM427" s="188"/>
      <c r="AN427" s="181"/>
    </row>
    <row r="428" spans="1:40" ht="26.25" customHeight="1">
      <c r="A428" s="177"/>
      <c r="B428" s="178"/>
      <c r="C428" s="179"/>
      <c r="D428" s="180"/>
      <c r="E428" s="180"/>
      <c r="F428" s="180"/>
      <c r="G428" s="180"/>
      <c r="H428" s="180"/>
      <c r="I428" s="181"/>
      <c r="J428" s="180"/>
      <c r="K428" s="180"/>
      <c r="L428" s="180"/>
      <c r="M428" s="180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1"/>
      <c r="Y428" s="180"/>
      <c r="Z428" s="183"/>
      <c r="AA428" s="183"/>
      <c r="AB428" s="180"/>
      <c r="AC428" s="183"/>
      <c r="AD428" s="183"/>
      <c r="AE428" s="180"/>
      <c r="AF428" s="184"/>
      <c r="AG428" s="185"/>
      <c r="AH428" s="186"/>
      <c r="AI428" s="187"/>
      <c r="AJ428" s="187"/>
      <c r="AK428" s="188"/>
      <c r="AL428" s="189"/>
      <c r="AM428" s="188"/>
      <c r="AN428" s="181"/>
    </row>
    <row r="429" spans="1:40" ht="26.25" customHeight="1">
      <c r="A429" s="177"/>
      <c r="B429" s="178"/>
      <c r="C429" s="179"/>
      <c r="D429" s="180"/>
      <c r="E429" s="180"/>
      <c r="F429" s="180"/>
      <c r="G429" s="180"/>
      <c r="H429" s="180"/>
      <c r="I429" s="181"/>
      <c r="J429" s="180"/>
      <c r="K429" s="180"/>
      <c r="L429" s="180"/>
      <c r="M429" s="180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1"/>
      <c r="Y429" s="180"/>
      <c r="Z429" s="183"/>
      <c r="AA429" s="183"/>
      <c r="AB429" s="180"/>
      <c r="AC429" s="183"/>
      <c r="AD429" s="183"/>
      <c r="AE429" s="180"/>
      <c r="AF429" s="184"/>
      <c r="AG429" s="185"/>
      <c r="AH429" s="186"/>
      <c r="AI429" s="187"/>
      <c r="AJ429" s="187"/>
      <c r="AK429" s="188"/>
      <c r="AL429" s="189"/>
      <c r="AM429" s="188"/>
      <c r="AN429" s="181"/>
    </row>
    <row r="430" spans="1:40" ht="26.25" customHeight="1">
      <c r="A430" s="177"/>
      <c r="B430" s="178"/>
      <c r="C430" s="179"/>
      <c r="D430" s="180"/>
      <c r="E430" s="180"/>
      <c r="F430" s="180"/>
      <c r="G430" s="180"/>
      <c r="H430" s="180"/>
      <c r="I430" s="181"/>
      <c r="J430" s="180"/>
      <c r="K430" s="180"/>
      <c r="L430" s="180"/>
      <c r="M430" s="180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1"/>
      <c r="Y430" s="180"/>
      <c r="Z430" s="183"/>
      <c r="AA430" s="183"/>
      <c r="AB430" s="180"/>
      <c r="AC430" s="183"/>
      <c r="AD430" s="183"/>
      <c r="AE430" s="180"/>
      <c r="AF430" s="184"/>
      <c r="AG430" s="185"/>
      <c r="AH430" s="186"/>
      <c r="AI430" s="187"/>
      <c r="AJ430" s="187"/>
      <c r="AK430" s="188"/>
      <c r="AL430" s="189"/>
      <c r="AM430" s="188"/>
      <c r="AN430" s="181"/>
    </row>
    <row r="431" spans="1:40" ht="26.25" customHeight="1">
      <c r="A431" s="177"/>
      <c r="B431" s="178"/>
      <c r="C431" s="179"/>
      <c r="D431" s="180"/>
      <c r="E431" s="180"/>
      <c r="F431" s="180"/>
      <c r="G431" s="180"/>
      <c r="H431" s="180"/>
      <c r="I431" s="181"/>
      <c r="J431" s="180"/>
      <c r="K431" s="180"/>
      <c r="L431" s="180"/>
      <c r="M431" s="180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1"/>
      <c r="Y431" s="180"/>
      <c r="Z431" s="183"/>
      <c r="AA431" s="183"/>
      <c r="AB431" s="180"/>
      <c r="AC431" s="183"/>
      <c r="AD431" s="183"/>
      <c r="AE431" s="180"/>
      <c r="AF431" s="184"/>
      <c r="AG431" s="185"/>
      <c r="AH431" s="186"/>
      <c r="AI431" s="187"/>
      <c r="AJ431" s="187"/>
      <c r="AK431" s="188"/>
      <c r="AL431" s="189"/>
      <c r="AM431" s="188"/>
      <c r="AN431" s="181"/>
    </row>
    <row r="432" spans="1:40" ht="26.25" customHeight="1">
      <c r="A432" s="177"/>
      <c r="B432" s="178"/>
      <c r="C432" s="179"/>
      <c r="D432" s="180"/>
      <c r="E432" s="180"/>
      <c r="F432" s="180"/>
      <c r="G432" s="180"/>
      <c r="H432" s="180"/>
      <c r="I432" s="181"/>
      <c r="J432" s="180"/>
      <c r="K432" s="180"/>
      <c r="L432" s="180"/>
      <c r="M432" s="180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1"/>
      <c r="Y432" s="180"/>
      <c r="Z432" s="183"/>
      <c r="AA432" s="183"/>
      <c r="AB432" s="180"/>
      <c r="AC432" s="183"/>
      <c r="AD432" s="183"/>
      <c r="AE432" s="180"/>
      <c r="AF432" s="184"/>
      <c r="AG432" s="185"/>
      <c r="AH432" s="186"/>
      <c r="AI432" s="187"/>
      <c r="AJ432" s="187"/>
      <c r="AK432" s="188"/>
      <c r="AL432" s="189"/>
      <c r="AM432" s="188"/>
      <c r="AN432" s="181"/>
    </row>
    <row r="433" spans="1:40" ht="26.25" customHeight="1">
      <c r="A433" s="177"/>
      <c r="B433" s="178"/>
      <c r="C433" s="179"/>
      <c r="D433" s="180"/>
      <c r="E433" s="180"/>
      <c r="F433" s="180"/>
      <c r="G433" s="180"/>
      <c r="H433" s="180"/>
      <c r="I433" s="181"/>
      <c r="J433" s="180"/>
      <c r="K433" s="180"/>
      <c r="L433" s="180"/>
      <c r="M433" s="180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1"/>
      <c r="Y433" s="180"/>
      <c r="Z433" s="183"/>
      <c r="AA433" s="183"/>
      <c r="AB433" s="180"/>
      <c r="AC433" s="183"/>
      <c r="AD433" s="183"/>
      <c r="AE433" s="180"/>
      <c r="AF433" s="184"/>
      <c r="AG433" s="185"/>
      <c r="AH433" s="186"/>
      <c r="AI433" s="187"/>
      <c r="AJ433" s="187"/>
      <c r="AK433" s="188"/>
      <c r="AL433" s="189"/>
      <c r="AM433" s="188"/>
      <c r="AN433" s="181"/>
    </row>
    <row r="434" spans="1:40" ht="26.25" customHeight="1">
      <c r="A434" s="177"/>
      <c r="B434" s="178"/>
      <c r="C434" s="179"/>
      <c r="D434" s="180"/>
      <c r="E434" s="180"/>
      <c r="F434" s="180"/>
      <c r="G434" s="180"/>
      <c r="H434" s="180"/>
      <c r="I434" s="181"/>
      <c r="J434" s="180"/>
      <c r="K434" s="180"/>
      <c r="L434" s="180"/>
      <c r="M434" s="180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1"/>
      <c r="Y434" s="180"/>
      <c r="Z434" s="183"/>
      <c r="AA434" s="183"/>
      <c r="AB434" s="180"/>
      <c r="AC434" s="183"/>
      <c r="AD434" s="183"/>
      <c r="AE434" s="180"/>
      <c r="AF434" s="184"/>
      <c r="AG434" s="185"/>
      <c r="AH434" s="186"/>
      <c r="AI434" s="187"/>
      <c r="AJ434" s="187"/>
      <c r="AK434" s="188"/>
      <c r="AL434" s="189"/>
      <c r="AM434" s="188"/>
      <c r="AN434" s="181"/>
    </row>
    <row r="435" spans="1:40" ht="26.25" customHeight="1">
      <c r="A435" s="177"/>
      <c r="B435" s="178"/>
      <c r="C435" s="179"/>
      <c r="D435" s="180"/>
      <c r="E435" s="180"/>
      <c r="F435" s="180"/>
      <c r="G435" s="180"/>
      <c r="H435" s="180"/>
      <c r="I435" s="181"/>
      <c r="J435" s="180"/>
      <c r="K435" s="180"/>
      <c r="L435" s="180"/>
      <c r="M435" s="180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1"/>
      <c r="Y435" s="180"/>
      <c r="Z435" s="183"/>
      <c r="AA435" s="183"/>
      <c r="AB435" s="180"/>
      <c r="AC435" s="183"/>
      <c r="AD435" s="183"/>
      <c r="AE435" s="180"/>
      <c r="AF435" s="184"/>
      <c r="AG435" s="185"/>
      <c r="AH435" s="186"/>
      <c r="AI435" s="187"/>
      <c r="AJ435" s="187"/>
      <c r="AK435" s="188"/>
      <c r="AL435" s="189"/>
      <c r="AM435" s="188"/>
      <c r="AN435" s="181"/>
    </row>
    <row r="436" spans="1:40" ht="26.25" customHeight="1">
      <c r="A436" s="177"/>
      <c r="B436" s="178"/>
      <c r="C436" s="179"/>
      <c r="D436" s="180"/>
      <c r="E436" s="180"/>
      <c r="F436" s="180"/>
      <c r="G436" s="180"/>
      <c r="H436" s="180"/>
      <c r="I436" s="181"/>
      <c r="J436" s="180"/>
      <c r="K436" s="180"/>
      <c r="L436" s="180"/>
      <c r="M436" s="180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1"/>
      <c r="Y436" s="180"/>
      <c r="Z436" s="183"/>
      <c r="AA436" s="183"/>
      <c r="AB436" s="180"/>
      <c r="AC436" s="183"/>
      <c r="AD436" s="183"/>
      <c r="AE436" s="180"/>
      <c r="AF436" s="184"/>
      <c r="AG436" s="185"/>
      <c r="AH436" s="186"/>
      <c r="AI436" s="187"/>
      <c r="AJ436" s="187"/>
      <c r="AK436" s="188"/>
      <c r="AL436" s="189"/>
      <c r="AM436" s="188"/>
      <c r="AN436" s="181"/>
    </row>
    <row r="437" spans="1:40" ht="26.25" customHeight="1">
      <c r="A437" s="177"/>
      <c r="B437" s="178"/>
      <c r="C437" s="179"/>
      <c r="D437" s="180"/>
      <c r="E437" s="180"/>
      <c r="F437" s="180"/>
      <c r="G437" s="180"/>
      <c r="H437" s="180"/>
      <c r="I437" s="181"/>
      <c r="J437" s="180"/>
      <c r="K437" s="180"/>
      <c r="L437" s="180"/>
      <c r="M437" s="180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1"/>
      <c r="Y437" s="180"/>
      <c r="Z437" s="183"/>
      <c r="AA437" s="183"/>
      <c r="AB437" s="180"/>
      <c r="AC437" s="183"/>
      <c r="AD437" s="183"/>
      <c r="AE437" s="180"/>
      <c r="AF437" s="184"/>
      <c r="AG437" s="185"/>
      <c r="AH437" s="186"/>
      <c r="AI437" s="187"/>
      <c r="AJ437" s="187"/>
      <c r="AK437" s="188"/>
      <c r="AL437" s="189"/>
      <c r="AM437" s="188"/>
      <c r="AN437" s="181"/>
    </row>
    <row r="438" spans="1:40" ht="26.25" customHeight="1">
      <c r="A438" s="177"/>
      <c r="B438" s="178"/>
      <c r="C438" s="179"/>
      <c r="D438" s="180"/>
      <c r="E438" s="180"/>
      <c r="F438" s="180"/>
      <c r="G438" s="180"/>
      <c r="H438" s="180"/>
      <c r="I438" s="181"/>
      <c r="J438" s="180"/>
      <c r="K438" s="180"/>
      <c r="L438" s="180"/>
      <c r="M438" s="180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1"/>
      <c r="Y438" s="180"/>
      <c r="Z438" s="183"/>
      <c r="AA438" s="183"/>
      <c r="AB438" s="180"/>
      <c r="AC438" s="183"/>
      <c r="AD438" s="183"/>
      <c r="AE438" s="180"/>
      <c r="AF438" s="184"/>
      <c r="AG438" s="185"/>
      <c r="AH438" s="186"/>
      <c r="AI438" s="187"/>
      <c r="AJ438" s="187"/>
      <c r="AK438" s="188"/>
      <c r="AL438" s="189"/>
      <c r="AM438" s="188"/>
      <c r="AN438" s="181"/>
    </row>
    <row r="439" spans="1:40" ht="26.25" customHeight="1">
      <c r="A439" s="177"/>
      <c r="B439" s="178"/>
      <c r="C439" s="179"/>
      <c r="D439" s="180"/>
      <c r="E439" s="180"/>
      <c r="F439" s="180"/>
      <c r="G439" s="180"/>
      <c r="H439" s="180"/>
      <c r="I439" s="181"/>
      <c r="J439" s="180"/>
      <c r="K439" s="180"/>
      <c r="L439" s="180"/>
      <c r="M439" s="180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1"/>
      <c r="Y439" s="180"/>
      <c r="Z439" s="183"/>
      <c r="AA439" s="183"/>
      <c r="AB439" s="180"/>
      <c r="AC439" s="183"/>
      <c r="AD439" s="183"/>
      <c r="AE439" s="180"/>
      <c r="AF439" s="184"/>
      <c r="AG439" s="185"/>
      <c r="AH439" s="186"/>
      <c r="AI439" s="187"/>
      <c r="AJ439" s="187"/>
      <c r="AK439" s="188"/>
      <c r="AL439" s="189"/>
      <c r="AM439" s="188"/>
      <c r="AN439" s="181"/>
    </row>
    <row r="440" spans="1:40" ht="26.25" customHeight="1">
      <c r="A440" s="177"/>
      <c r="B440" s="178"/>
      <c r="C440" s="179"/>
      <c r="D440" s="180"/>
      <c r="E440" s="180"/>
      <c r="F440" s="180"/>
      <c r="G440" s="180"/>
      <c r="H440" s="180"/>
      <c r="I440" s="181"/>
      <c r="J440" s="180"/>
      <c r="K440" s="180"/>
      <c r="L440" s="180"/>
      <c r="M440" s="180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1"/>
      <c r="Y440" s="180"/>
      <c r="Z440" s="183"/>
      <c r="AA440" s="183"/>
      <c r="AB440" s="180"/>
      <c r="AC440" s="183"/>
      <c r="AD440" s="183"/>
      <c r="AE440" s="180"/>
      <c r="AF440" s="184"/>
      <c r="AG440" s="185"/>
      <c r="AH440" s="186"/>
      <c r="AI440" s="187"/>
      <c r="AJ440" s="187"/>
      <c r="AK440" s="188"/>
      <c r="AL440" s="189"/>
      <c r="AM440" s="188"/>
      <c r="AN440" s="181"/>
    </row>
    <row r="441" spans="1:40" ht="26.25" customHeight="1">
      <c r="A441" s="177"/>
      <c r="B441" s="178"/>
      <c r="C441" s="179"/>
      <c r="D441" s="180"/>
      <c r="E441" s="180"/>
      <c r="F441" s="180"/>
      <c r="G441" s="180"/>
      <c r="H441" s="180"/>
      <c r="I441" s="181"/>
      <c r="J441" s="180"/>
      <c r="K441" s="180"/>
      <c r="L441" s="180"/>
      <c r="M441" s="180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1"/>
      <c r="Y441" s="180"/>
      <c r="Z441" s="183"/>
      <c r="AA441" s="183"/>
      <c r="AB441" s="180"/>
      <c r="AC441" s="183"/>
      <c r="AD441" s="183"/>
      <c r="AE441" s="180"/>
      <c r="AF441" s="184"/>
      <c r="AG441" s="185"/>
      <c r="AH441" s="186"/>
      <c r="AI441" s="187"/>
      <c r="AJ441" s="187"/>
      <c r="AK441" s="188"/>
      <c r="AL441" s="189"/>
      <c r="AM441" s="188"/>
      <c r="AN441" s="181"/>
    </row>
    <row r="442" spans="1:40" ht="26.25" customHeight="1">
      <c r="A442" s="177"/>
      <c r="B442" s="178"/>
      <c r="C442" s="179"/>
      <c r="D442" s="180"/>
      <c r="E442" s="180"/>
      <c r="F442" s="180"/>
      <c r="G442" s="180"/>
      <c r="H442" s="180"/>
      <c r="I442" s="181"/>
      <c r="J442" s="180"/>
      <c r="K442" s="180"/>
      <c r="L442" s="180"/>
      <c r="M442" s="180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1"/>
      <c r="Y442" s="180"/>
      <c r="Z442" s="183"/>
      <c r="AA442" s="183"/>
      <c r="AB442" s="180"/>
      <c r="AC442" s="183"/>
      <c r="AD442" s="183"/>
      <c r="AE442" s="180"/>
      <c r="AF442" s="184"/>
      <c r="AG442" s="185"/>
      <c r="AH442" s="186"/>
      <c r="AI442" s="187"/>
      <c r="AJ442" s="187"/>
      <c r="AK442" s="188"/>
      <c r="AL442" s="189"/>
      <c r="AM442" s="188"/>
      <c r="AN442" s="181"/>
    </row>
    <row r="443" spans="1:40" ht="26.25" customHeight="1">
      <c r="A443" s="177"/>
      <c r="B443" s="178"/>
      <c r="C443" s="179"/>
      <c r="D443" s="180"/>
      <c r="E443" s="180"/>
      <c r="F443" s="180"/>
      <c r="G443" s="180"/>
      <c r="H443" s="180"/>
      <c r="I443" s="181"/>
      <c r="J443" s="180"/>
      <c r="K443" s="180"/>
      <c r="L443" s="180"/>
      <c r="M443" s="180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1"/>
      <c r="Y443" s="180"/>
      <c r="Z443" s="183"/>
      <c r="AA443" s="183"/>
      <c r="AB443" s="180"/>
      <c r="AC443" s="183"/>
      <c r="AD443" s="183"/>
      <c r="AE443" s="180"/>
      <c r="AF443" s="184"/>
      <c r="AG443" s="185"/>
      <c r="AH443" s="186"/>
      <c r="AI443" s="187"/>
      <c r="AJ443" s="187"/>
      <c r="AK443" s="188"/>
      <c r="AL443" s="189"/>
      <c r="AM443" s="188"/>
      <c r="AN443" s="181"/>
    </row>
    <row r="444" spans="1:40" ht="26.25" customHeight="1">
      <c r="A444" s="177"/>
      <c r="B444" s="178"/>
      <c r="C444" s="179"/>
      <c r="D444" s="180"/>
      <c r="E444" s="180"/>
      <c r="F444" s="180"/>
      <c r="G444" s="180"/>
      <c r="H444" s="180"/>
      <c r="I444" s="181"/>
      <c r="J444" s="180"/>
      <c r="K444" s="180"/>
      <c r="L444" s="180"/>
      <c r="M444" s="180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1"/>
      <c r="Y444" s="180"/>
      <c r="Z444" s="183"/>
      <c r="AA444" s="183"/>
      <c r="AB444" s="180"/>
      <c r="AC444" s="183"/>
      <c r="AD444" s="183"/>
      <c r="AE444" s="180"/>
      <c r="AF444" s="184"/>
      <c r="AG444" s="185"/>
      <c r="AH444" s="186"/>
      <c r="AI444" s="187"/>
      <c r="AJ444" s="187"/>
      <c r="AK444" s="188"/>
      <c r="AL444" s="189"/>
      <c r="AM444" s="188"/>
      <c r="AN444" s="181"/>
    </row>
    <row r="445" spans="1:40" ht="26.25" customHeight="1">
      <c r="A445" s="177"/>
      <c r="B445" s="178"/>
      <c r="C445" s="179"/>
      <c r="D445" s="180"/>
      <c r="E445" s="180"/>
      <c r="F445" s="180"/>
      <c r="G445" s="180"/>
      <c r="H445" s="180"/>
      <c r="I445" s="181"/>
      <c r="J445" s="180"/>
      <c r="K445" s="180"/>
      <c r="L445" s="180"/>
      <c r="M445" s="180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1"/>
      <c r="Y445" s="180"/>
      <c r="Z445" s="183"/>
      <c r="AA445" s="183"/>
      <c r="AB445" s="180"/>
      <c r="AC445" s="183"/>
      <c r="AD445" s="183"/>
      <c r="AE445" s="180"/>
      <c r="AF445" s="184"/>
      <c r="AG445" s="185"/>
      <c r="AH445" s="186"/>
      <c r="AI445" s="187"/>
      <c r="AJ445" s="187"/>
      <c r="AK445" s="188"/>
      <c r="AL445" s="189"/>
      <c r="AM445" s="188"/>
      <c r="AN445" s="181"/>
    </row>
    <row r="446" spans="1:40" ht="26.25" customHeight="1">
      <c r="A446" s="177"/>
      <c r="B446" s="178"/>
      <c r="C446" s="179"/>
      <c r="D446" s="180"/>
      <c r="E446" s="180"/>
      <c r="F446" s="180"/>
      <c r="G446" s="180"/>
      <c r="H446" s="180"/>
      <c r="I446" s="181"/>
      <c r="J446" s="180"/>
      <c r="K446" s="180"/>
      <c r="L446" s="180"/>
      <c r="M446" s="180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1"/>
      <c r="Y446" s="180"/>
      <c r="Z446" s="183"/>
      <c r="AA446" s="183"/>
      <c r="AB446" s="180"/>
      <c r="AC446" s="183"/>
      <c r="AD446" s="183"/>
      <c r="AE446" s="180"/>
      <c r="AF446" s="184"/>
      <c r="AG446" s="185"/>
      <c r="AH446" s="186"/>
      <c r="AI446" s="187"/>
      <c r="AJ446" s="187"/>
      <c r="AK446" s="188"/>
      <c r="AL446" s="189"/>
      <c r="AM446" s="188"/>
      <c r="AN446" s="181"/>
    </row>
    <row r="447" spans="1:40" ht="26.25" customHeight="1">
      <c r="A447" s="177"/>
      <c r="B447" s="178"/>
      <c r="C447" s="179"/>
      <c r="D447" s="180"/>
      <c r="E447" s="180"/>
      <c r="F447" s="180"/>
      <c r="G447" s="180"/>
      <c r="H447" s="180"/>
      <c r="I447" s="181"/>
      <c r="J447" s="180"/>
      <c r="K447" s="180"/>
      <c r="L447" s="180"/>
      <c r="M447" s="180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1"/>
      <c r="Y447" s="180"/>
      <c r="Z447" s="183"/>
      <c r="AA447" s="183"/>
      <c r="AB447" s="180"/>
      <c r="AC447" s="183"/>
      <c r="AD447" s="183"/>
      <c r="AE447" s="180"/>
      <c r="AF447" s="184"/>
      <c r="AG447" s="185"/>
      <c r="AH447" s="186"/>
      <c r="AI447" s="187"/>
      <c r="AJ447" s="187"/>
      <c r="AK447" s="188"/>
      <c r="AL447" s="189"/>
      <c r="AM447" s="188"/>
      <c r="AN447" s="181"/>
    </row>
    <row r="448" spans="1:40" ht="26.25" customHeight="1">
      <c r="A448" s="177"/>
      <c r="B448" s="178"/>
      <c r="C448" s="179"/>
      <c r="D448" s="180"/>
      <c r="E448" s="180"/>
      <c r="F448" s="180"/>
      <c r="G448" s="180"/>
      <c r="H448" s="180"/>
      <c r="I448" s="181"/>
      <c r="J448" s="180"/>
      <c r="K448" s="180"/>
      <c r="L448" s="180"/>
      <c r="M448" s="180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1"/>
      <c r="Y448" s="180"/>
      <c r="Z448" s="183"/>
      <c r="AA448" s="183"/>
      <c r="AB448" s="180"/>
      <c r="AC448" s="183"/>
      <c r="AD448" s="183"/>
      <c r="AE448" s="180"/>
      <c r="AF448" s="184"/>
      <c r="AG448" s="185"/>
      <c r="AH448" s="186"/>
      <c r="AI448" s="187"/>
      <c r="AJ448" s="187"/>
      <c r="AK448" s="188"/>
      <c r="AL448" s="189"/>
      <c r="AM448" s="188"/>
      <c r="AN448" s="181"/>
    </row>
    <row r="449" spans="1:40" ht="26.25" customHeight="1">
      <c r="A449" s="177"/>
      <c r="B449" s="178"/>
      <c r="C449" s="179"/>
      <c r="D449" s="180"/>
      <c r="E449" s="180"/>
      <c r="F449" s="180"/>
      <c r="G449" s="180"/>
      <c r="H449" s="180"/>
      <c r="I449" s="181"/>
      <c r="J449" s="180"/>
      <c r="K449" s="180"/>
      <c r="L449" s="180"/>
      <c r="M449" s="180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1"/>
      <c r="Y449" s="180"/>
      <c r="Z449" s="183"/>
      <c r="AA449" s="183"/>
      <c r="AB449" s="180"/>
      <c r="AC449" s="183"/>
      <c r="AD449" s="183"/>
      <c r="AE449" s="180"/>
      <c r="AF449" s="184"/>
      <c r="AG449" s="185"/>
      <c r="AH449" s="186"/>
      <c r="AI449" s="187"/>
      <c r="AJ449" s="187"/>
      <c r="AK449" s="188"/>
      <c r="AL449" s="189"/>
      <c r="AM449" s="188"/>
      <c r="AN449" s="181"/>
    </row>
    <row r="450" spans="1:40" ht="26.25" customHeight="1">
      <c r="A450" s="177"/>
      <c r="B450" s="178"/>
      <c r="C450" s="179"/>
      <c r="D450" s="180"/>
      <c r="E450" s="180"/>
      <c r="F450" s="180"/>
      <c r="G450" s="180"/>
      <c r="H450" s="180"/>
      <c r="I450" s="181"/>
      <c r="J450" s="180"/>
      <c r="K450" s="180"/>
      <c r="L450" s="180"/>
      <c r="M450" s="180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1"/>
      <c r="Y450" s="180"/>
      <c r="Z450" s="183"/>
      <c r="AA450" s="183"/>
      <c r="AB450" s="180"/>
      <c r="AC450" s="183"/>
      <c r="AD450" s="183"/>
      <c r="AE450" s="180"/>
      <c r="AF450" s="184"/>
      <c r="AG450" s="185"/>
      <c r="AH450" s="186"/>
      <c r="AI450" s="187"/>
      <c r="AJ450" s="187"/>
      <c r="AK450" s="188"/>
      <c r="AL450" s="189"/>
      <c r="AM450" s="188"/>
      <c r="AN450" s="181"/>
    </row>
    <row r="451" spans="1:40" ht="26.25" customHeight="1">
      <c r="A451" s="177"/>
      <c r="B451" s="178"/>
      <c r="C451" s="179"/>
      <c r="D451" s="180"/>
      <c r="E451" s="180"/>
      <c r="F451" s="180"/>
      <c r="G451" s="180"/>
      <c r="H451" s="180"/>
      <c r="I451" s="181"/>
      <c r="J451" s="180"/>
      <c r="K451" s="180"/>
      <c r="L451" s="180"/>
      <c r="M451" s="180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1"/>
      <c r="Y451" s="180"/>
      <c r="Z451" s="183"/>
      <c r="AA451" s="183"/>
      <c r="AB451" s="180"/>
      <c r="AC451" s="183"/>
      <c r="AD451" s="183"/>
      <c r="AE451" s="180"/>
      <c r="AF451" s="184"/>
      <c r="AG451" s="185"/>
      <c r="AH451" s="186"/>
      <c r="AI451" s="187"/>
      <c r="AJ451" s="187"/>
      <c r="AK451" s="188"/>
      <c r="AL451" s="189"/>
      <c r="AM451" s="188"/>
      <c r="AN451" s="181"/>
    </row>
    <row r="452" spans="1:40" ht="26.25" customHeight="1">
      <c r="A452" s="177"/>
      <c r="B452" s="178"/>
      <c r="C452" s="179"/>
      <c r="D452" s="180"/>
      <c r="E452" s="180"/>
      <c r="F452" s="180"/>
      <c r="G452" s="180"/>
      <c r="H452" s="180"/>
      <c r="I452" s="181"/>
      <c r="J452" s="180"/>
      <c r="K452" s="180"/>
      <c r="L452" s="180"/>
      <c r="M452" s="180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1"/>
      <c r="Y452" s="180"/>
      <c r="Z452" s="183"/>
      <c r="AA452" s="183"/>
      <c r="AB452" s="180"/>
      <c r="AC452" s="183"/>
      <c r="AD452" s="183"/>
      <c r="AE452" s="180"/>
      <c r="AF452" s="184"/>
      <c r="AG452" s="185"/>
      <c r="AH452" s="186"/>
      <c r="AI452" s="187"/>
      <c r="AJ452" s="187"/>
      <c r="AK452" s="188"/>
      <c r="AL452" s="189"/>
      <c r="AM452" s="188"/>
      <c r="AN452" s="181"/>
    </row>
    <row r="453" spans="1:40" ht="26.25" customHeight="1">
      <c r="A453" s="177"/>
      <c r="B453" s="178"/>
      <c r="C453" s="179"/>
      <c r="D453" s="180"/>
      <c r="E453" s="180"/>
      <c r="F453" s="180"/>
      <c r="G453" s="180"/>
      <c r="H453" s="180"/>
      <c r="I453" s="181"/>
      <c r="J453" s="180"/>
      <c r="K453" s="180"/>
      <c r="L453" s="180"/>
      <c r="M453" s="180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1"/>
      <c r="Y453" s="180"/>
      <c r="Z453" s="183"/>
      <c r="AA453" s="183"/>
      <c r="AB453" s="180"/>
      <c r="AC453" s="183"/>
      <c r="AD453" s="183"/>
      <c r="AE453" s="180"/>
      <c r="AF453" s="184"/>
      <c r="AG453" s="185"/>
      <c r="AH453" s="186"/>
      <c r="AI453" s="187"/>
      <c r="AJ453" s="187"/>
      <c r="AK453" s="188"/>
      <c r="AL453" s="189"/>
      <c r="AM453" s="188"/>
      <c r="AN453" s="181"/>
    </row>
    <row r="454" spans="1:40" ht="26.25" customHeight="1">
      <c r="A454" s="177"/>
      <c r="B454" s="178"/>
      <c r="C454" s="179"/>
      <c r="D454" s="180"/>
      <c r="E454" s="180"/>
      <c r="F454" s="180"/>
      <c r="G454" s="180"/>
      <c r="H454" s="180"/>
      <c r="I454" s="181"/>
      <c r="J454" s="180"/>
      <c r="K454" s="180"/>
      <c r="L454" s="180"/>
      <c r="M454" s="180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1"/>
      <c r="Y454" s="180"/>
      <c r="Z454" s="183"/>
      <c r="AA454" s="183"/>
      <c r="AB454" s="180"/>
      <c r="AC454" s="183"/>
      <c r="AD454" s="183"/>
      <c r="AE454" s="180"/>
      <c r="AF454" s="184"/>
      <c r="AG454" s="185"/>
      <c r="AH454" s="186"/>
      <c r="AI454" s="187"/>
      <c r="AJ454" s="187"/>
      <c r="AK454" s="188"/>
      <c r="AL454" s="189"/>
      <c r="AM454" s="188"/>
      <c r="AN454" s="181"/>
    </row>
    <row r="455" spans="1:40" ht="26.25" customHeight="1">
      <c r="A455" s="177"/>
      <c r="B455" s="178"/>
      <c r="C455" s="179"/>
      <c r="D455" s="180"/>
      <c r="E455" s="180"/>
      <c r="F455" s="180"/>
      <c r="G455" s="180"/>
      <c r="H455" s="180"/>
      <c r="I455" s="181"/>
      <c r="J455" s="180"/>
      <c r="K455" s="180"/>
      <c r="L455" s="180"/>
      <c r="M455" s="180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1"/>
      <c r="Y455" s="180"/>
      <c r="Z455" s="183"/>
      <c r="AA455" s="183"/>
      <c r="AB455" s="180"/>
      <c r="AC455" s="183"/>
      <c r="AD455" s="183"/>
      <c r="AE455" s="180"/>
      <c r="AF455" s="184"/>
      <c r="AG455" s="185"/>
      <c r="AH455" s="186"/>
      <c r="AI455" s="187"/>
      <c r="AJ455" s="187"/>
      <c r="AK455" s="188"/>
      <c r="AL455" s="189"/>
      <c r="AM455" s="188"/>
      <c r="AN455" s="181"/>
    </row>
    <row r="456" spans="1:40" ht="26.25" customHeight="1">
      <c r="A456" s="177"/>
      <c r="B456" s="178"/>
      <c r="C456" s="179"/>
      <c r="D456" s="180"/>
      <c r="E456" s="180"/>
      <c r="F456" s="180"/>
      <c r="G456" s="180"/>
      <c r="H456" s="180"/>
      <c r="I456" s="181"/>
      <c r="J456" s="180"/>
      <c r="K456" s="180"/>
      <c r="L456" s="180"/>
      <c r="M456" s="180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1"/>
      <c r="Y456" s="180"/>
      <c r="Z456" s="183"/>
      <c r="AA456" s="183"/>
      <c r="AB456" s="180"/>
      <c r="AC456" s="183"/>
      <c r="AD456" s="183"/>
      <c r="AE456" s="180"/>
      <c r="AF456" s="184"/>
      <c r="AG456" s="185"/>
      <c r="AH456" s="186"/>
      <c r="AI456" s="187"/>
      <c r="AJ456" s="187"/>
      <c r="AK456" s="188"/>
      <c r="AL456" s="189"/>
      <c r="AM456" s="188"/>
      <c r="AN456" s="181"/>
    </row>
    <row r="457" spans="1:40" ht="26.25" customHeight="1">
      <c r="A457" s="177"/>
      <c r="B457" s="178"/>
      <c r="C457" s="179"/>
      <c r="D457" s="180"/>
      <c r="E457" s="180"/>
      <c r="F457" s="180"/>
      <c r="G457" s="180"/>
      <c r="H457" s="180"/>
      <c r="I457" s="181"/>
      <c r="J457" s="180"/>
      <c r="K457" s="180"/>
      <c r="L457" s="180"/>
      <c r="M457" s="180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1"/>
      <c r="Y457" s="180"/>
      <c r="Z457" s="183"/>
      <c r="AA457" s="183"/>
      <c r="AB457" s="180"/>
      <c r="AC457" s="183"/>
      <c r="AD457" s="183"/>
      <c r="AE457" s="180"/>
      <c r="AF457" s="184"/>
      <c r="AG457" s="185"/>
      <c r="AH457" s="186"/>
      <c r="AI457" s="187"/>
      <c r="AJ457" s="187"/>
      <c r="AK457" s="188"/>
      <c r="AL457" s="189"/>
      <c r="AM457" s="188"/>
      <c r="AN457" s="181"/>
    </row>
    <row r="458" spans="1:40" ht="26.25" customHeight="1">
      <c r="A458" s="177"/>
      <c r="B458" s="178"/>
      <c r="C458" s="179"/>
      <c r="D458" s="180"/>
      <c r="E458" s="180"/>
      <c r="F458" s="180"/>
      <c r="G458" s="180"/>
      <c r="H458" s="180"/>
      <c r="I458" s="181"/>
      <c r="J458" s="180"/>
      <c r="K458" s="180"/>
      <c r="L458" s="180"/>
      <c r="M458" s="180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1"/>
      <c r="Y458" s="180"/>
      <c r="Z458" s="183"/>
      <c r="AA458" s="183"/>
      <c r="AB458" s="180"/>
      <c r="AC458" s="183"/>
      <c r="AD458" s="183"/>
      <c r="AE458" s="180"/>
      <c r="AF458" s="184"/>
      <c r="AG458" s="185"/>
      <c r="AH458" s="186"/>
      <c r="AI458" s="187"/>
      <c r="AJ458" s="187"/>
      <c r="AK458" s="188"/>
      <c r="AL458" s="189"/>
      <c r="AM458" s="188"/>
      <c r="AN458" s="181"/>
    </row>
    <row r="459" spans="1:40" ht="26.25" customHeight="1">
      <c r="A459" s="177"/>
      <c r="B459" s="178"/>
      <c r="C459" s="179"/>
      <c r="D459" s="180"/>
      <c r="E459" s="180"/>
      <c r="F459" s="180"/>
      <c r="G459" s="180"/>
      <c r="H459" s="180"/>
      <c r="I459" s="181"/>
      <c r="J459" s="180"/>
      <c r="K459" s="180"/>
      <c r="L459" s="180"/>
      <c r="M459" s="180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1"/>
      <c r="Y459" s="180"/>
      <c r="Z459" s="183"/>
      <c r="AA459" s="183"/>
      <c r="AB459" s="180"/>
      <c r="AC459" s="183"/>
      <c r="AD459" s="183"/>
      <c r="AE459" s="180"/>
      <c r="AF459" s="184"/>
      <c r="AG459" s="185"/>
      <c r="AH459" s="186"/>
      <c r="AI459" s="187"/>
      <c r="AJ459" s="187"/>
      <c r="AK459" s="188"/>
      <c r="AL459" s="189"/>
      <c r="AM459" s="188"/>
      <c r="AN459" s="181"/>
    </row>
    <row r="460" spans="1:40" ht="26.25" customHeight="1">
      <c r="A460" s="177"/>
      <c r="B460" s="178"/>
      <c r="C460" s="179"/>
      <c r="D460" s="180"/>
      <c r="E460" s="180"/>
      <c r="F460" s="180"/>
      <c r="G460" s="180"/>
      <c r="H460" s="180"/>
      <c r="I460" s="181"/>
      <c r="J460" s="180"/>
      <c r="K460" s="180"/>
      <c r="L460" s="180"/>
      <c r="M460" s="180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1"/>
      <c r="Y460" s="180"/>
      <c r="Z460" s="183"/>
      <c r="AA460" s="183"/>
      <c r="AB460" s="180"/>
      <c r="AC460" s="183"/>
      <c r="AD460" s="183"/>
      <c r="AE460" s="180"/>
      <c r="AF460" s="184"/>
      <c r="AG460" s="185"/>
      <c r="AH460" s="186"/>
      <c r="AI460" s="187"/>
      <c r="AJ460" s="187"/>
      <c r="AK460" s="188"/>
      <c r="AL460" s="189"/>
      <c r="AM460" s="188"/>
      <c r="AN460" s="181"/>
    </row>
    <row r="461" spans="1:40" ht="26.25" customHeight="1">
      <c r="A461" s="177"/>
      <c r="B461" s="178"/>
      <c r="C461" s="179"/>
      <c r="D461" s="180"/>
      <c r="E461" s="180"/>
      <c r="F461" s="180"/>
      <c r="G461" s="180"/>
      <c r="H461" s="180"/>
      <c r="I461" s="181"/>
      <c r="J461" s="180"/>
      <c r="K461" s="180"/>
      <c r="L461" s="180"/>
      <c r="M461" s="180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1"/>
      <c r="Y461" s="180"/>
      <c r="Z461" s="183"/>
      <c r="AA461" s="183"/>
      <c r="AB461" s="180"/>
      <c r="AC461" s="183"/>
      <c r="AD461" s="183"/>
      <c r="AE461" s="180"/>
      <c r="AF461" s="184"/>
      <c r="AG461" s="185"/>
      <c r="AH461" s="186"/>
      <c r="AI461" s="187"/>
      <c r="AJ461" s="187"/>
      <c r="AK461" s="188"/>
      <c r="AL461" s="189"/>
      <c r="AM461" s="188"/>
      <c r="AN461" s="181"/>
    </row>
    <row r="462" spans="1:40" ht="26.25" customHeight="1">
      <c r="A462" s="177"/>
      <c r="B462" s="178"/>
      <c r="C462" s="179"/>
      <c r="D462" s="180"/>
      <c r="E462" s="180"/>
      <c r="F462" s="180"/>
      <c r="G462" s="180"/>
      <c r="H462" s="180"/>
      <c r="I462" s="181"/>
      <c r="J462" s="180"/>
      <c r="K462" s="180"/>
      <c r="L462" s="180"/>
      <c r="M462" s="180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1"/>
      <c r="Y462" s="180"/>
      <c r="Z462" s="183"/>
      <c r="AA462" s="183"/>
      <c r="AB462" s="180"/>
      <c r="AC462" s="183"/>
      <c r="AD462" s="183"/>
      <c r="AE462" s="180"/>
      <c r="AF462" s="184"/>
      <c r="AG462" s="185"/>
      <c r="AH462" s="186"/>
      <c r="AI462" s="187"/>
      <c r="AJ462" s="187"/>
      <c r="AK462" s="188"/>
      <c r="AL462" s="189"/>
      <c r="AM462" s="188"/>
      <c r="AN462" s="181"/>
    </row>
    <row r="463" spans="1:40" ht="26.25" customHeight="1">
      <c r="A463" s="177"/>
      <c r="B463" s="178"/>
      <c r="C463" s="179"/>
      <c r="D463" s="180"/>
      <c r="E463" s="180"/>
      <c r="F463" s="180"/>
      <c r="G463" s="180"/>
      <c r="H463" s="180"/>
      <c r="I463" s="181"/>
      <c r="J463" s="180"/>
      <c r="K463" s="180"/>
      <c r="L463" s="180"/>
      <c r="M463" s="180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1"/>
      <c r="Y463" s="180"/>
      <c r="Z463" s="183"/>
      <c r="AA463" s="183"/>
      <c r="AB463" s="180"/>
      <c r="AC463" s="183"/>
      <c r="AD463" s="183"/>
      <c r="AE463" s="180"/>
      <c r="AF463" s="184"/>
      <c r="AG463" s="185"/>
      <c r="AH463" s="186"/>
      <c r="AI463" s="187"/>
      <c r="AJ463" s="187"/>
      <c r="AK463" s="188"/>
      <c r="AL463" s="189"/>
      <c r="AM463" s="188"/>
      <c r="AN463" s="181"/>
    </row>
    <row r="464" spans="1:40" ht="26.25" customHeight="1">
      <c r="A464" s="177"/>
      <c r="B464" s="178"/>
      <c r="C464" s="179"/>
      <c r="D464" s="180"/>
      <c r="E464" s="180"/>
      <c r="F464" s="180"/>
      <c r="G464" s="180"/>
      <c r="H464" s="180"/>
      <c r="I464" s="181"/>
      <c r="J464" s="180"/>
      <c r="K464" s="180"/>
      <c r="L464" s="180"/>
      <c r="M464" s="180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1"/>
      <c r="Y464" s="180"/>
      <c r="Z464" s="183"/>
      <c r="AA464" s="183"/>
      <c r="AB464" s="180"/>
      <c r="AC464" s="183"/>
      <c r="AD464" s="183"/>
      <c r="AE464" s="180"/>
      <c r="AF464" s="184"/>
      <c r="AG464" s="185"/>
      <c r="AH464" s="186"/>
      <c r="AI464" s="187"/>
      <c r="AJ464" s="187"/>
      <c r="AK464" s="188"/>
      <c r="AL464" s="189"/>
      <c r="AM464" s="188"/>
      <c r="AN464" s="181"/>
    </row>
    <row r="465" spans="1:40" ht="26.25" customHeight="1">
      <c r="A465" s="177"/>
      <c r="B465" s="178"/>
      <c r="C465" s="179"/>
      <c r="D465" s="180"/>
      <c r="E465" s="180"/>
      <c r="F465" s="180"/>
      <c r="G465" s="180"/>
      <c r="H465" s="180"/>
      <c r="I465" s="181"/>
      <c r="J465" s="180"/>
      <c r="K465" s="180"/>
      <c r="L465" s="180"/>
      <c r="M465" s="180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1"/>
      <c r="Y465" s="180"/>
      <c r="Z465" s="183"/>
      <c r="AA465" s="183"/>
      <c r="AB465" s="180"/>
      <c r="AC465" s="183"/>
      <c r="AD465" s="183"/>
      <c r="AE465" s="180"/>
      <c r="AF465" s="184"/>
      <c r="AG465" s="185"/>
      <c r="AH465" s="186"/>
      <c r="AI465" s="187"/>
      <c r="AJ465" s="187"/>
      <c r="AK465" s="188"/>
      <c r="AL465" s="189"/>
      <c r="AM465" s="188"/>
      <c r="AN465" s="181"/>
    </row>
    <row r="466" spans="1:40" ht="26.25" customHeight="1">
      <c r="A466" s="177"/>
      <c r="B466" s="178"/>
      <c r="C466" s="179"/>
      <c r="D466" s="180"/>
      <c r="E466" s="180"/>
      <c r="F466" s="180"/>
      <c r="G466" s="180"/>
      <c r="H466" s="180"/>
      <c r="I466" s="181"/>
      <c r="J466" s="180"/>
      <c r="K466" s="180"/>
      <c r="L466" s="180"/>
      <c r="M466" s="180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1"/>
      <c r="Y466" s="180"/>
      <c r="Z466" s="183"/>
      <c r="AA466" s="183"/>
      <c r="AB466" s="180"/>
      <c r="AC466" s="183"/>
      <c r="AD466" s="183"/>
      <c r="AE466" s="180"/>
      <c r="AF466" s="184"/>
      <c r="AG466" s="185"/>
      <c r="AH466" s="186"/>
      <c r="AI466" s="187"/>
      <c r="AJ466" s="187"/>
      <c r="AK466" s="188"/>
      <c r="AL466" s="189"/>
      <c r="AM466" s="188"/>
      <c r="AN466" s="181"/>
    </row>
    <row r="467" spans="1:40" ht="26.25" customHeight="1">
      <c r="A467" s="177"/>
      <c r="B467" s="178"/>
      <c r="C467" s="179"/>
      <c r="D467" s="180"/>
      <c r="E467" s="180"/>
      <c r="F467" s="180"/>
      <c r="G467" s="180"/>
      <c r="H467" s="180"/>
      <c r="I467" s="181"/>
      <c r="J467" s="180"/>
      <c r="K467" s="180"/>
      <c r="L467" s="180"/>
      <c r="M467" s="180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1"/>
      <c r="Y467" s="180"/>
      <c r="Z467" s="183"/>
      <c r="AA467" s="183"/>
      <c r="AB467" s="180"/>
      <c r="AC467" s="183"/>
      <c r="AD467" s="183"/>
      <c r="AE467" s="180"/>
      <c r="AF467" s="184"/>
      <c r="AG467" s="185"/>
      <c r="AH467" s="186"/>
      <c r="AI467" s="187"/>
      <c r="AJ467" s="187"/>
      <c r="AK467" s="188"/>
      <c r="AL467" s="189"/>
      <c r="AM467" s="188"/>
      <c r="AN467" s="181"/>
    </row>
    <row r="468" spans="1:40" ht="26.25" customHeight="1">
      <c r="A468" s="177"/>
      <c r="B468" s="178"/>
      <c r="C468" s="179"/>
      <c r="D468" s="180"/>
      <c r="E468" s="180"/>
      <c r="F468" s="180"/>
      <c r="G468" s="180"/>
      <c r="H468" s="180"/>
      <c r="I468" s="181"/>
      <c r="J468" s="180"/>
      <c r="K468" s="180"/>
      <c r="L468" s="180"/>
      <c r="M468" s="180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1"/>
      <c r="Y468" s="180"/>
      <c r="Z468" s="183"/>
      <c r="AA468" s="183"/>
      <c r="AB468" s="180"/>
      <c r="AC468" s="183"/>
      <c r="AD468" s="183"/>
      <c r="AE468" s="180"/>
      <c r="AF468" s="184"/>
      <c r="AG468" s="185"/>
      <c r="AH468" s="186"/>
      <c r="AI468" s="187"/>
      <c r="AJ468" s="187"/>
      <c r="AK468" s="188"/>
      <c r="AL468" s="189"/>
      <c r="AM468" s="188"/>
      <c r="AN468" s="181"/>
    </row>
    <row r="469" spans="1:40" ht="26.25" customHeight="1">
      <c r="A469" s="177"/>
      <c r="B469" s="178"/>
      <c r="C469" s="179"/>
      <c r="D469" s="180"/>
      <c r="E469" s="180"/>
      <c r="F469" s="180"/>
      <c r="G469" s="180"/>
      <c r="H469" s="180"/>
      <c r="I469" s="181"/>
      <c r="J469" s="180"/>
      <c r="K469" s="180"/>
      <c r="L469" s="180"/>
      <c r="M469" s="180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1"/>
      <c r="Y469" s="180"/>
      <c r="Z469" s="183"/>
      <c r="AA469" s="183"/>
      <c r="AB469" s="180"/>
      <c r="AC469" s="183"/>
      <c r="AD469" s="183"/>
      <c r="AE469" s="180"/>
      <c r="AF469" s="184"/>
      <c r="AG469" s="185"/>
      <c r="AH469" s="186"/>
      <c r="AI469" s="187"/>
      <c r="AJ469" s="187"/>
      <c r="AK469" s="188"/>
      <c r="AL469" s="189"/>
      <c r="AM469" s="188"/>
      <c r="AN469" s="181"/>
    </row>
    <row r="470" spans="1:40" ht="26.25" customHeight="1">
      <c r="A470" s="177"/>
      <c r="B470" s="178"/>
      <c r="C470" s="179"/>
      <c r="D470" s="180"/>
      <c r="E470" s="180"/>
      <c r="F470" s="180"/>
      <c r="G470" s="180"/>
      <c r="H470" s="180"/>
      <c r="I470" s="181"/>
      <c r="J470" s="180"/>
      <c r="K470" s="180"/>
      <c r="L470" s="180"/>
      <c r="M470" s="180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1"/>
      <c r="Y470" s="180"/>
      <c r="Z470" s="183"/>
      <c r="AA470" s="183"/>
      <c r="AB470" s="180"/>
      <c r="AC470" s="183"/>
      <c r="AD470" s="183"/>
      <c r="AE470" s="180"/>
      <c r="AF470" s="184"/>
      <c r="AG470" s="185"/>
      <c r="AH470" s="186"/>
      <c r="AI470" s="187"/>
      <c r="AJ470" s="187"/>
      <c r="AK470" s="188"/>
      <c r="AL470" s="189"/>
      <c r="AM470" s="188"/>
      <c r="AN470" s="181"/>
    </row>
    <row r="471" spans="1:40" ht="26.25" customHeight="1">
      <c r="A471" s="177"/>
      <c r="B471" s="178"/>
      <c r="C471" s="179"/>
      <c r="D471" s="180"/>
      <c r="E471" s="180"/>
      <c r="F471" s="180"/>
      <c r="G471" s="180"/>
      <c r="H471" s="180"/>
      <c r="I471" s="181"/>
      <c r="J471" s="180"/>
      <c r="K471" s="180"/>
      <c r="L471" s="180"/>
      <c r="M471" s="180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1"/>
      <c r="Y471" s="180"/>
      <c r="Z471" s="183"/>
      <c r="AA471" s="183"/>
      <c r="AB471" s="180"/>
      <c r="AC471" s="183"/>
      <c r="AD471" s="183"/>
      <c r="AE471" s="180"/>
      <c r="AF471" s="184"/>
      <c r="AG471" s="185"/>
      <c r="AH471" s="186"/>
      <c r="AI471" s="187"/>
      <c r="AJ471" s="187"/>
      <c r="AK471" s="188"/>
      <c r="AL471" s="189"/>
      <c r="AM471" s="188"/>
      <c r="AN471" s="181"/>
    </row>
    <row r="472" spans="1:40" ht="26.25" customHeight="1">
      <c r="A472" s="177"/>
      <c r="B472" s="178"/>
      <c r="C472" s="179"/>
      <c r="D472" s="180"/>
      <c r="E472" s="180"/>
      <c r="F472" s="180"/>
      <c r="G472" s="180"/>
      <c r="H472" s="180"/>
      <c r="I472" s="181"/>
      <c r="J472" s="180"/>
      <c r="K472" s="180"/>
      <c r="L472" s="180"/>
      <c r="M472" s="180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1"/>
      <c r="Y472" s="180"/>
      <c r="Z472" s="183"/>
      <c r="AA472" s="183"/>
      <c r="AB472" s="180"/>
      <c r="AC472" s="183"/>
      <c r="AD472" s="183"/>
      <c r="AE472" s="180"/>
      <c r="AF472" s="184"/>
      <c r="AG472" s="185"/>
      <c r="AH472" s="186"/>
      <c r="AI472" s="187"/>
      <c r="AJ472" s="187"/>
      <c r="AK472" s="188"/>
      <c r="AL472" s="189"/>
      <c r="AM472" s="188"/>
      <c r="AN472" s="181"/>
    </row>
    <row r="473" spans="1:40" ht="26.25" customHeight="1">
      <c r="A473" s="177"/>
      <c r="B473" s="178"/>
      <c r="C473" s="179"/>
      <c r="D473" s="180"/>
      <c r="E473" s="180"/>
      <c r="F473" s="180"/>
      <c r="G473" s="180"/>
      <c r="H473" s="180"/>
      <c r="I473" s="181"/>
      <c r="J473" s="180"/>
      <c r="K473" s="180"/>
      <c r="L473" s="180"/>
      <c r="M473" s="180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1"/>
      <c r="Y473" s="180"/>
      <c r="Z473" s="183"/>
      <c r="AA473" s="183"/>
      <c r="AB473" s="180"/>
      <c r="AC473" s="183"/>
      <c r="AD473" s="183"/>
      <c r="AE473" s="180"/>
      <c r="AF473" s="184"/>
      <c r="AG473" s="185"/>
      <c r="AH473" s="186"/>
      <c r="AI473" s="187"/>
      <c r="AJ473" s="187"/>
      <c r="AK473" s="188"/>
      <c r="AL473" s="189"/>
      <c r="AM473" s="188"/>
      <c r="AN473" s="181"/>
    </row>
    <row r="474" spans="1:40" ht="26.25" customHeight="1">
      <c r="A474" s="177"/>
      <c r="B474" s="178"/>
      <c r="C474" s="179"/>
      <c r="D474" s="180"/>
      <c r="E474" s="180"/>
      <c r="F474" s="180"/>
      <c r="G474" s="180"/>
      <c r="H474" s="180"/>
      <c r="I474" s="181"/>
      <c r="J474" s="180"/>
      <c r="K474" s="180"/>
      <c r="L474" s="180"/>
      <c r="M474" s="180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1"/>
      <c r="Y474" s="180"/>
      <c r="Z474" s="183"/>
      <c r="AA474" s="183"/>
      <c r="AB474" s="180"/>
      <c r="AC474" s="183"/>
      <c r="AD474" s="183"/>
      <c r="AE474" s="180"/>
      <c r="AF474" s="184"/>
      <c r="AG474" s="185"/>
      <c r="AH474" s="186"/>
      <c r="AI474" s="187"/>
      <c r="AJ474" s="187"/>
      <c r="AK474" s="188"/>
      <c r="AL474" s="189"/>
      <c r="AM474" s="188"/>
      <c r="AN474" s="181"/>
    </row>
    <row r="475" spans="1:40" ht="26.25" customHeight="1">
      <c r="A475" s="177"/>
      <c r="B475" s="178"/>
      <c r="C475" s="179"/>
      <c r="D475" s="180"/>
      <c r="E475" s="180"/>
      <c r="F475" s="180"/>
      <c r="G475" s="180"/>
      <c r="H475" s="180"/>
      <c r="I475" s="181"/>
      <c r="J475" s="180"/>
      <c r="K475" s="180"/>
      <c r="L475" s="180"/>
      <c r="M475" s="180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1"/>
      <c r="Y475" s="180"/>
      <c r="Z475" s="183"/>
      <c r="AA475" s="183"/>
      <c r="AB475" s="180"/>
      <c r="AC475" s="183"/>
      <c r="AD475" s="183"/>
      <c r="AE475" s="180"/>
      <c r="AF475" s="184"/>
      <c r="AG475" s="185"/>
      <c r="AH475" s="186"/>
      <c r="AI475" s="187"/>
      <c r="AJ475" s="187"/>
      <c r="AK475" s="188"/>
      <c r="AL475" s="189"/>
      <c r="AM475" s="188"/>
      <c r="AN475" s="181"/>
    </row>
    <row r="476" spans="1:40" ht="26.25" customHeight="1">
      <c r="A476" s="177"/>
      <c r="B476" s="178"/>
      <c r="C476" s="179"/>
      <c r="D476" s="180"/>
      <c r="E476" s="180"/>
      <c r="F476" s="180"/>
      <c r="G476" s="180"/>
      <c r="H476" s="180"/>
      <c r="I476" s="181"/>
      <c r="J476" s="180"/>
      <c r="K476" s="180"/>
      <c r="L476" s="180"/>
      <c r="M476" s="180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1"/>
      <c r="Y476" s="180"/>
      <c r="Z476" s="183"/>
      <c r="AA476" s="183"/>
      <c r="AB476" s="180"/>
      <c r="AC476" s="183"/>
      <c r="AD476" s="183"/>
      <c r="AE476" s="180"/>
      <c r="AF476" s="184"/>
      <c r="AG476" s="185"/>
      <c r="AH476" s="186"/>
      <c r="AI476" s="187"/>
      <c r="AJ476" s="187"/>
      <c r="AK476" s="188"/>
      <c r="AL476" s="189"/>
      <c r="AM476" s="188"/>
      <c r="AN476" s="181"/>
    </row>
    <row r="477" spans="1:40" ht="26.25" customHeight="1">
      <c r="A477" s="177"/>
      <c r="B477" s="178"/>
      <c r="C477" s="179"/>
      <c r="D477" s="180"/>
      <c r="E477" s="180"/>
      <c r="F477" s="180"/>
      <c r="G477" s="180"/>
      <c r="H477" s="180"/>
      <c r="I477" s="181"/>
      <c r="J477" s="180"/>
      <c r="K477" s="180"/>
      <c r="L477" s="180"/>
      <c r="M477" s="180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1"/>
      <c r="Y477" s="180"/>
      <c r="Z477" s="183"/>
      <c r="AA477" s="183"/>
      <c r="AB477" s="180"/>
      <c r="AC477" s="183"/>
      <c r="AD477" s="183"/>
      <c r="AE477" s="180"/>
      <c r="AF477" s="184"/>
      <c r="AG477" s="185"/>
      <c r="AH477" s="186"/>
      <c r="AI477" s="187"/>
      <c r="AJ477" s="187"/>
      <c r="AK477" s="188"/>
      <c r="AL477" s="189"/>
      <c r="AM477" s="188"/>
      <c r="AN477" s="181"/>
    </row>
    <row r="478" spans="1:40" ht="26.25" customHeight="1">
      <c r="A478" s="177"/>
      <c r="B478" s="178"/>
      <c r="C478" s="179"/>
      <c r="D478" s="180"/>
      <c r="E478" s="180"/>
      <c r="F478" s="180"/>
      <c r="G478" s="180"/>
      <c r="H478" s="180"/>
      <c r="I478" s="181"/>
      <c r="J478" s="180"/>
      <c r="K478" s="180"/>
      <c r="L478" s="180"/>
      <c r="M478" s="180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1"/>
      <c r="Y478" s="180"/>
      <c r="Z478" s="183"/>
      <c r="AA478" s="183"/>
      <c r="AB478" s="180"/>
      <c r="AC478" s="183"/>
      <c r="AD478" s="183"/>
      <c r="AE478" s="180"/>
      <c r="AF478" s="184"/>
      <c r="AG478" s="185"/>
      <c r="AH478" s="186"/>
      <c r="AI478" s="187"/>
      <c r="AJ478" s="187"/>
      <c r="AK478" s="188"/>
      <c r="AL478" s="189"/>
      <c r="AM478" s="188"/>
      <c r="AN478" s="181"/>
    </row>
    <row r="479" spans="1:40" ht="26.25" customHeight="1">
      <c r="A479" s="177"/>
      <c r="B479" s="178"/>
      <c r="C479" s="179"/>
      <c r="D479" s="180"/>
      <c r="E479" s="180"/>
      <c r="F479" s="180"/>
      <c r="G479" s="180"/>
      <c r="H479" s="180"/>
      <c r="I479" s="181"/>
      <c r="J479" s="180"/>
      <c r="K479" s="180"/>
      <c r="L479" s="180"/>
      <c r="M479" s="180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1"/>
      <c r="Y479" s="180"/>
      <c r="Z479" s="183"/>
      <c r="AA479" s="183"/>
      <c r="AB479" s="180"/>
      <c r="AC479" s="183"/>
      <c r="AD479" s="183"/>
      <c r="AE479" s="180"/>
      <c r="AF479" s="184"/>
      <c r="AG479" s="185"/>
      <c r="AH479" s="186"/>
      <c r="AI479" s="187"/>
      <c r="AJ479" s="187"/>
      <c r="AK479" s="188"/>
      <c r="AL479" s="189"/>
      <c r="AM479" s="188"/>
      <c r="AN479" s="181"/>
    </row>
    <row r="480" spans="1:40" ht="26.25" customHeight="1">
      <c r="A480" s="177"/>
      <c r="B480" s="178"/>
      <c r="C480" s="179"/>
      <c r="D480" s="180"/>
      <c r="E480" s="180"/>
      <c r="F480" s="180"/>
      <c r="G480" s="180"/>
      <c r="H480" s="180"/>
      <c r="I480" s="181"/>
      <c r="J480" s="180"/>
      <c r="K480" s="180"/>
      <c r="L480" s="180"/>
      <c r="M480" s="180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1"/>
      <c r="Y480" s="180"/>
      <c r="Z480" s="183"/>
      <c r="AA480" s="183"/>
      <c r="AB480" s="180"/>
      <c r="AC480" s="183"/>
      <c r="AD480" s="183"/>
      <c r="AE480" s="180"/>
      <c r="AF480" s="184"/>
      <c r="AG480" s="185"/>
      <c r="AH480" s="186"/>
      <c r="AI480" s="187"/>
      <c r="AJ480" s="187"/>
      <c r="AK480" s="188"/>
      <c r="AL480" s="189"/>
      <c r="AM480" s="188"/>
      <c r="AN480" s="181"/>
    </row>
    <row r="481" spans="1:40" ht="26.25" customHeight="1">
      <c r="A481" s="177"/>
      <c r="B481" s="178"/>
      <c r="C481" s="179"/>
      <c r="D481" s="180"/>
      <c r="E481" s="180"/>
      <c r="F481" s="180"/>
      <c r="G481" s="180"/>
      <c r="H481" s="180"/>
      <c r="I481" s="181"/>
      <c r="J481" s="180"/>
      <c r="K481" s="180"/>
      <c r="L481" s="180"/>
      <c r="M481" s="180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1"/>
      <c r="Y481" s="180"/>
      <c r="Z481" s="183"/>
      <c r="AA481" s="183"/>
      <c r="AB481" s="180"/>
      <c r="AC481" s="183"/>
      <c r="AD481" s="183"/>
      <c r="AE481" s="180"/>
      <c r="AF481" s="184"/>
      <c r="AG481" s="185"/>
      <c r="AH481" s="186"/>
      <c r="AI481" s="187"/>
      <c r="AJ481" s="187"/>
      <c r="AK481" s="188"/>
      <c r="AL481" s="189"/>
      <c r="AM481" s="188"/>
      <c r="AN481" s="181"/>
    </row>
    <row r="482" spans="1:40" ht="26.25" customHeight="1">
      <c r="A482" s="177"/>
      <c r="B482" s="178"/>
      <c r="C482" s="179"/>
      <c r="D482" s="180"/>
      <c r="E482" s="180"/>
      <c r="F482" s="180"/>
      <c r="G482" s="180"/>
      <c r="H482" s="180"/>
      <c r="I482" s="181"/>
      <c r="J482" s="180"/>
      <c r="K482" s="180"/>
      <c r="L482" s="180"/>
      <c r="M482" s="180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1"/>
      <c r="Y482" s="180"/>
      <c r="Z482" s="183"/>
      <c r="AA482" s="183"/>
      <c r="AB482" s="180"/>
      <c r="AC482" s="183"/>
      <c r="AD482" s="183"/>
      <c r="AE482" s="180"/>
      <c r="AF482" s="184"/>
      <c r="AG482" s="185"/>
      <c r="AH482" s="186"/>
      <c r="AI482" s="187"/>
      <c r="AJ482" s="187"/>
      <c r="AK482" s="188"/>
      <c r="AL482" s="189"/>
      <c r="AM482" s="188"/>
      <c r="AN482" s="181"/>
    </row>
    <row r="483" spans="1:40" ht="26.25" customHeight="1">
      <c r="A483" s="177"/>
      <c r="B483" s="178"/>
      <c r="C483" s="179"/>
      <c r="D483" s="180"/>
      <c r="E483" s="180"/>
      <c r="F483" s="180"/>
      <c r="G483" s="180"/>
      <c r="H483" s="180"/>
      <c r="I483" s="181"/>
      <c r="J483" s="180"/>
      <c r="K483" s="180"/>
      <c r="L483" s="180"/>
      <c r="M483" s="180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1"/>
      <c r="Y483" s="180"/>
      <c r="Z483" s="183"/>
      <c r="AA483" s="183"/>
      <c r="AB483" s="180"/>
      <c r="AC483" s="183"/>
      <c r="AD483" s="183"/>
      <c r="AE483" s="180"/>
      <c r="AF483" s="184"/>
      <c r="AG483" s="185"/>
      <c r="AH483" s="186"/>
      <c r="AI483" s="187"/>
      <c r="AJ483" s="187"/>
      <c r="AK483" s="188"/>
      <c r="AL483" s="189"/>
      <c r="AM483" s="188"/>
      <c r="AN483" s="181"/>
    </row>
    <row r="484" spans="1:40" ht="26.25" customHeight="1">
      <c r="A484" s="177"/>
      <c r="B484" s="178"/>
      <c r="C484" s="179"/>
      <c r="D484" s="180"/>
      <c r="E484" s="180"/>
      <c r="F484" s="180"/>
      <c r="G484" s="180"/>
      <c r="H484" s="180"/>
      <c r="I484" s="181"/>
      <c r="J484" s="180"/>
      <c r="K484" s="180"/>
      <c r="L484" s="180"/>
      <c r="M484" s="180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1"/>
      <c r="Y484" s="180"/>
      <c r="Z484" s="183"/>
      <c r="AA484" s="183"/>
      <c r="AB484" s="180"/>
      <c r="AC484" s="183"/>
      <c r="AD484" s="183"/>
      <c r="AE484" s="180"/>
      <c r="AF484" s="184"/>
      <c r="AG484" s="185"/>
      <c r="AH484" s="186"/>
      <c r="AI484" s="187"/>
      <c r="AJ484" s="187"/>
      <c r="AK484" s="188"/>
      <c r="AL484" s="189"/>
      <c r="AM484" s="188"/>
      <c r="AN484" s="181"/>
    </row>
    <row r="485" spans="1:40" ht="26.25" customHeight="1">
      <c r="A485" s="177"/>
      <c r="B485" s="178"/>
      <c r="C485" s="179"/>
      <c r="D485" s="180"/>
      <c r="E485" s="180"/>
      <c r="F485" s="180"/>
      <c r="G485" s="180"/>
      <c r="H485" s="180"/>
      <c r="I485" s="181"/>
      <c r="J485" s="180"/>
      <c r="K485" s="180"/>
      <c r="L485" s="180"/>
      <c r="M485" s="180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1"/>
      <c r="Y485" s="180"/>
      <c r="Z485" s="183"/>
      <c r="AA485" s="183"/>
      <c r="AB485" s="180"/>
      <c r="AC485" s="183"/>
      <c r="AD485" s="183"/>
      <c r="AE485" s="180"/>
      <c r="AF485" s="184"/>
      <c r="AG485" s="185"/>
      <c r="AH485" s="186"/>
      <c r="AI485" s="187"/>
      <c r="AJ485" s="187"/>
      <c r="AK485" s="188"/>
      <c r="AL485" s="189"/>
      <c r="AM485" s="188"/>
      <c r="AN485" s="181"/>
    </row>
    <row r="486" spans="1:40" ht="26.25" customHeight="1">
      <c r="A486" s="177"/>
      <c r="B486" s="178"/>
      <c r="C486" s="179"/>
      <c r="D486" s="180"/>
      <c r="E486" s="180"/>
      <c r="F486" s="180"/>
      <c r="G486" s="180"/>
      <c r="H486" s="180"/>
      <c r="I486" s="181"/>
      <c r="J486" s="180"/>
      <c r="K486" s="180"/>
      <c r="L486" s="180"/>
      <c r="M486" s="180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1"/>
      <c r="Y486" s="180"/>
      <c r="Z486" s="183"/>
      <c r="AA486" s="183"/>
      <c r="AB486" s="180"/>
      <c r="AC486" s="183"/>
      <c r="AD486" s="183"/>
      <c r="AE486" s="180"/>
      <c r="AF486" s="184"/>
      <c r="AG486" s="185"/>
      <c r="AH486" s="186"/>
      <c r="AI486" s="187"/>
      <c r="AJ486" s="187"/>
      <c r="AK486" s="188"/>
      <c r="AL486" s="189"/>
      <c r="AM486" s="188"/>
      <c r="AN486" s="181"/>
    </row>
    <row r="487" spans="1:40" ht="26.25" customHeight="1">
      <c r="A487" s="177"/>
      <c r="B487" s="178"/>
      <c r="C487" s="179"/>
      <c r="D487" s="180"/>
      <c r="E487" s="180"/>
      <c r="F487" s="180"/>
      <c r="G487" s="180"/>
      <c r="H487" s="180"/>
      <c r="I487" s="181"/>
      <c r="J487" s="180"/>
      <c r="K487" s="180"/>
      <c r="L487" s="180"/>
      <c r="M487" s="180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1"/>
      <c r="Y487" s="180"/>
      <c r="Z487" s="183"/>
      <c r="AA487" s="183"/>
      <c r="AB487" s="180"/>
      <c r="AC487" s="183"/>
      <c r="AD487" s="183"/>
      <c r="AE487" s="180"/>
      <c r="AF487" s="184"/>
      <c r="AG487" s="185"/>
      <c r="AH487" s="186"/>
      <c r="AI487" s="187"/>
      <c r="AJ487" s="187"/>
      <c r="AK487" s="188"/>
      <c r="AL487" s="189"/>
      <c r="AM487" s="188"/>
      <c r="AN487" s="181"/>
    </row>
    <row r="488" spans="1:40" ht="26.25" customHeight="1">
      <c r="A488" s="177"/>
      <c r="B488" s="178"/>
      <c r="C488" s="179"/>
      <c r="D488" s="180"/>
      <c r="E488" s="180"/>
      <c r="F488" s="180"/>
      <c r="G488" s="180"/>
      <c r="H488" s="180"/>
      <c r="I488" s="181"/>
      <c r="J488" s="180"/>
      <c r="K488" s="180"/>
      <c r="L488" s="180"/>
      <c r="M488" s="180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1"/>
      <c r="Y488" s="180"/>
      <c r="Z488" s="183"/>
      <c r="AA488" s="183"/>
      <c r="AB488" s="180"/>
      <c r="AC488" s="183"/>
      <c r="AD488" s="183"/>
      <c r="AE488" s="180"/>
      <c r="AF488" s="184"/>
      <c r="AG488" s="185"/>
      <c r="AH488" s="186"/>
      <c r="AI488" s="187"/>
      <c r="AJ488" s="187"/>
      <c r="AK488" s="188"/>
      <c r="AL488" s="189"/>
      <c r="AM488" s="188"/>
      <c r="AN488" s="181"/>
    </row>
    <row r="489" spans="1:40" ht="26.25" customHeight="1">
      <c r="A489" s="177"/>
      <c r="B489" s="178"/>
      <c r="C489" s="179"/>
      <c r="D489" s="180"/>
      <c r="E489" s="180"/>
      <c r="F489" s="180"/>
      <c r="G489" s="180"/>
      <c r="H489" s="180"/>
      <c r="I489" s="181"/>
      <c r="J489" s="180"/>
      <c r="K489" s="180"/>
      <c r="L489" s="180"/>
      <c r="M489" s="180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1"/>
      <c r="Y489" s="180"/>
      <c r="Z489" s="183"/>
      <c r="AA489" s="183"/>
      <c r="AB489" s="180"/>
      <c r="AC489" s="183"/>
      <c r="AD489" s="183"/>
      <c r="AE489" s="180"/>
      <c r="AF489" s="184"/>
      <c r="AG489" s="185"/>
      <c r="AH489" s="186"/>
      <c r="AI489" s="187"/>
      <c r="AJ489" s="187"/>
      <c r="AK489" s="188"/>
      <c r="AL489" s="189"/>
      <c r="AM489" s="188"/>
      <c r="AN489" s="181"/>
    </row>
    <row r="490" spans="1:40" ht="26.25" customHeight="1">
      <c r="A490" s="177"/>
      <c r="B490" s="178"/>
      <c r="C490" s="179"/>
      <c r="D490" s="180"/>
      <c r="E490" s="180"/>
      <c r="F490" s="180"/>
      <c r="G490" s="180"/>
      <c r="H490" s="180"/>
      <c r="I490" s="181"/>
      <c r="J490" s="180"/>
      <c r="K490" s="180"/>
      <c r="L490" s="180"/>
      <c r="M490" s="180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1"/>
      <c r="Y490" s="180"/>
      <c r="Z490" s="183"/>
      <c r="AA490" s="183"/>
      <c r="AB490" s="180"/>
      <c r="AC490" s="183"/>
      <c r="AD490" s="183"/>
      <c r="AE490" s="180"/>
      <c r="AF490" s="184"/>
      <c r="AG490" s="185"/>
      <c r="AH490" s="186"/>
      <c r="AI490" s="187"/>
      <c r="AJ490" s="187"/>
      <c r="AK490" s="188"/>
      <c r="AL490" s="189"/>
      <c r="AM490" s="188"/>
      <c r="AN490" s="181"/>
    </row>
    <row r="491" spans="1:40" ht="26.25" customHeight="1">
      <c r="A491" s="177"/>
      <c r="B491" s="178"/>
      <c r="C491" s="179"/>
      <c r="D491" s="180"/>
      <c r="E491" s="180"/>
      <c r="F491" s="180"/>
      <c r="G491" s="180"/>
      <c r="H491" s="180"/>
      <c r="I491" s="181"/>
      <c r="J491" s="180"/>
      <c r="K491" s="180"/>
      <c r="L491" s="180"/>
      <c r="M491" s="180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1"/>
      <c r="Y491" s="180"/>
      <c r="Z491" s="183"/>
      <c r="AA491" s="183"/>
      <c r="AB491" s="180"/>
      <c r="AC491" s="183"/>
      <c r="AD491" s="183"/>
      <c r="AE491" s="180"/>
      <c r="AF491" s="184"/>
      <c r="AG491" s="185"/>
      <c r="AH491" s="186"/>
      <c r="AI491" s="187"/>
      <c r="AJ491" s="187"/>
      <c r="AK491" s="188"/>
      <c r="AL491" s="189"/>
      <c r="AM491" s="188"/>
      <c r="AN491" s="181"/>
    </row>
    <row r="492" spans="1:40" ht="26.25" customHeight="1">
      <c r="A492" s="177"/>
      <c r="B492" s="178"/>
      <c r="C492" s="179"/>
      <c r="D492" s="180"/>
      <c r="E492" s="180"/>
      <c r="F492" s="180"/>
      <c r="G492" s="180"/>
      <c r="H492" s="180"/>
      <c r="I492" s="181"/>
      <c r="J492" s="180"/>
      <c r="K492" s="180"/>
      <c r="L492" s="180"/>
      <c r="M492" s="180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1"/>
      <c r="Y492" s="180"/>
      <c r="Z492" s="183"/>
      <c r="AA492" s="183"/>
      <c r="AB492" s="180"/>
      <c r="AC492" s="183"/>
      <c r="AD492" s="183"/>
      <c r="AE492" s="180"/>
      <c r="AF492" s="184"/>
      <c r="AG492" s="185"/>
      <c r="AH492" s="186"/>
      <c r="AI492" s="187"/>
      <c r="AJ492" s="187"/>
      <c r="AK492" s="188"/>
      <c r="AL492" s="189"/>
      <c r="AM492" s="188"/>
      <c r="AN492" s="181"/>
    </row>
    <row r="493" spans="1:40" ht="26.25" customHeight="1">
      <c r="A493" s="177"/>
      <c r="B493" s="178"/>
      <c r="C493" s="179"/>
      <c r="D493" s="180"/>
      <c r="E493" s="180"/>
      <c r="F493" s="180"/>
      <c r="G493" s="180"/>
      <c r="H493" s="180"/>
      <c r="I493" s="181"/>
      <c r="J493" s="180"/>
      <c r="K493" s="180"/>
      <c r="L493" s="180"/>
      <c r="M493" s="180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1"/>
      <c r="Y493" s="180"/>
      <c r="Z493" s="183"/>
      <c r="AA493" s="183"/>
      <c r="AB493" s="180"/>
      <c r="AC493" s="183"/>
      <c r="AD493" s="183"/>
      <c r="AE493" s="180"/>
      <c r="AF493" s="184"/>
      <c r="AG493" s="185"/>
      <c r="AH493" s="186"/>
      <c r="AI493" s="187"/>
      <c r="AJ493" s="187"/>
      <c r="AK493" s="188"/>
      <c r="AL493" s="189"/>
      <c r="AM493" s="188"/>
      <c r="AN493" s="181"/>
    </row>
    <row r="494" spans="1:40" ht="26.25" customHeight="1">
      <c r="A494" s="177"/>
      <c r="B494" s="178"/>
      <c r="C494" s="179"/>
      <c r="D494" s="180"/>
      <c r="E494" s="180"/>
      <c r="F494" s="180"/>
      <c r="G494" s="180"/>
      <c r="H494" s="180"/>
      <c r="I494" s="181"/>
      <c r="J494" s="180"/>
      <c r="K494" s="180"/>
      <c r="L494" s="180"/>
      <c r="M494" s="180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1"/>
      <c r="Y494" s="180"/>
      <c r="Z494" s="183"/>
      <c r="AA494" s="183"/>
      <c r="AB494" s="180"/>
      <c r="AC494" s="183"/>
      <c r="AD494" s="183"/>
      <c r="AE494" s="180"/>
      <c r="AF494" s="184"/>
      <c r="AG494" s="185"/>
      <c r="AH494" s="186"/>
      <c r="AI494" s="187"/>
      <c r="AJ494" s="187"/>
      <c r="AK494" s="188"/>
      <c r="AL494" s="189"/>
      <c r="AM494" s="188"/>
      <c r="AN494" s="181"/>
    </row>
    <row r="495" spans="1:40" ht="26.25" customHeight="1">
      <c r="A495" s="177"/>
      <c r="B495" s="178"/>
      <c r="C495" s="179"/>
      <c r="D495" s="180"/>
      <c r="E495" s="180"/>
      <c r="F495" s="180"/>
      <c r="G495" s="180"/>
      <c r="H495" s="180"/>
      <c r="I495" s="181"/>
      <c r="J495" s="180"/>
      <c r="K495" s="180"/>
      <c r="L495" s="180"/>
      <c r="M495" s="180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1"/>
      <c r="Y495" s="180"/>
      <c r="Z495" s="183"/>
      <c r="AA495" s="183"/>
      <c r="AB495" s="180"/>
      <c r="AC495" s="183"/>
      <c r="AD495" s="183"/>
      <c r="AE495" s="180"/>
      <c r="AF495" s="184"/>
      <c r="AG495" s="185"/>
      <c r="AH495" s="186"/>
      <c r="AI495" s="187"/>
      <c r="AJ495" s="187"/>
      <c r="AK495" s="188"/>
      <c r="AL495" s="189"/>
      <c r="AM495" s="188"/>
      <c r="AN495" s="181"/>
    </row>
    <row r="496" spans="1:40" ht="26.25" customHeight="1">
      <c r="A496" s="177"/>
      <c r="B496" s="178"/>
      <c r="C496" s="179"/>
      <c r="D496" s="180"/>
      <c r="E496" s="180"/>
      <c r="F496" s="180"/>
      <c r="G496" s="180"/>
      <c r="H496" s="180"/>
      <c r="I496" s="181"/>
      <c r="J496" s="180"/>
      <c r="K496" s="180"/>
      <c r="L496" s="180"/>
      <c r="M496" s="180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1"/>
      <c r="Y496" s="180"/>
      <c r="Z496" s="183"/>
      <c r="AA496" s="183"/>
      <c r="AB496" s="180"/>
      <c r="AC496" s="183"/>
      <c r="AD496" s="183"/>
      <c r="AE496" s="180"/>
      <c r="AF496" s="184"/>
      <c r="AG496" s="185"/>
      <c r="AH496" s="186"/>
      <c r="AI496" s="187"/>
      <c r="AJ496" s="187"/>
      <c r="AK496" s="188"/>
      <c r="AL496" s="189"/>
      <c r="AM496" s="188"/>
      <c r="AN496" s="181"/>
    </row>
    <row r="497" spans="1:40" ht="26.25" customHeight="1">
      <c r="A497" s="177"/>
      <c r="B497" s="178"/>
      <c r="C497" s="179"/>
      <c r="D497" s="180"/>
      <c r="E497" s="180"/>
      <c r="F497" s="180"/>
      <c r="G497" s="180"/>
      <c r="H497" s="180"/>
      <c r="I497" s="181"/>
      <c r="J497" s="180"/>
      <c r="K497" s="180"/>
      <c r="L497" s="180"/>
      <c r="M497" s="180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1"/>
      <c r="Y497" s="180"/>
      <c r="Z497" s="183"/>
      <c r="AA497" s="183"/>
      <c r="AB497" s="180"/>
      <c r="AC497" s="183"/>
      <c r="AD497" s="183"/>
      <c r="AE497" s="180"/>
      <c r="AF497" s="184"/>
      <c r="AG497" s="185"/>
      <c r="AH497" s="186"/>
      <c r="AI497" s="187"/>
      <c r="AJ497" s="187"/>
      <c r="AK497" s="188"/>
      <c r="AL497" s="189"/>
      <c r="AM497" s="188"/>
      <c r="AN497" s="181"/>
    </row>
    <row r="498" spans="1:40" ht="26.25" customHeight="1">
      <c r="A498" s="177"/>
      <c r="B498" s="178"/>
      <c r="C498" s="179"/>
      <c r="D498" s="180"/>
      <c r="E498" s="180"/>
      <c r="F498" s="180"/>
      <c r="G498" s="180"/>
      <c r="H498" s="180"/>
      <c r="I498" s="181"/>
      <c r="J498" s="180"/>
      <c r="K498" s="180"/>
      <c r="L498" s="180"/>
      <c r="M498" s="180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1"/>
      <c r="Y498" s="180"/>
      <c r="Z498" s="183"/>
      <c r="AA498" s="183"/>
      <c r="AB498" s="180"/>
      <c r="AC498" s="183"/>
      <c r="AD498" s="183"/>
      <c r="AE498" s="180"/>
      <c r="AF498" s="184"/>
      <c r="AG498" s="185"/>
      <c r="AH498" s="186"/>
      <c r="AI498" s="187"/>
      <c r="AJ498" s="187"/>
      <c r="AK498" s="188"/>
      <c r="AL498" s="189"/>
      <c r="AM498" s="188"/>
      <c r="AN498" s="181"/>
    </row>
    <row r="499" spans="1:40" ht="26.25" customHeight="1">
      <c r="A499" s="177"/>
      <c r="B499" s="178"/>
      <c r="C499" s="179"/>
      <c r="D499" s="180"/>
      <c r="E499" s="180"/>
      <c r="F499" s="180"/>
      <c r="G499" s="180"/>
      <c r="H499" s="180"/>
      <c r="I499" s="181"/>
      <c r="J499" s="180"/>
      <c r="K499" s="180"/>
      <c r="L499" s="180"/>
      <c r="M499" s="180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1"/>
      <c r="Y499" s="180"/>
      <c r="Z499" s="183"/>
      <c r="AA499" s="183"/>
      <c r="AB499" s="180"/>
      <c r="AC499" s="183"/>
      <c r="AD499" s="183"/>
      <c r="AE499" s="180"/>
      <c r="AF499" s="184"/>
      <c r="AG499" s="185"/>
      <c r="AH499" s="186"/>
      <c r="AI499" s="187"/>
      <c r="AJ499" s="187"/>
      <c r="AK499" s="188"/>
      <c r="AL499" s="189"/>
      <c r="AM499" s="188"/>
      <c r="AN499" s="181"/>
    </row>
    <row r="500" spans="1:40" ht="26.25" customHeight="1">
      <c r="A500" s="177"/>
      <c r="B500" s="178"/>
      <c r="C500" s="179"/>
      <c r="D500" s="180"/>
      <c r="E500" s="180"/>
      <c r="F500" s="180"/>
      <c r="G500" s="180"/>
      <c r="H500" s="180"/>
      <c r="I500" s="181"/>
      <c r="J500" s="180"/>
      <c r="K500" s="180"/>
      <c r="L500" s="180"/>
      <c r="M500" s="180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1"/>
      <c r="Y500" s="180"/>
      <c r="Z500" s="183"/>
      <c r="AA500" s="183"/>
      <c r="AB500" s="180"/>
      <c r="AC500" s="183"/>
      <c r="AD500" s="183"/>
      <c r="AE500" s="180"/>
      <c r="AF500" s="184"/>
      <c r="AG500" s="185"/>
      <c r="AH500" s="186"/>
      <c r="AI500" s="187"/>
      <c r="AJ500" s="187"/>
      <c r="AK500" s="188"/>
      <c r="AL500" s="189"/>
      <c r="AM500" s="188"/>
      <c r="AN500" s="181"/>
    </row>
    <row r="501" spans="1:40" ht="26.25" customHeight="1">
      <c r="A501" s="177"/>
      <c r="B501" s="178"/>
      <c r="C501" s="179"/>
      <c r="D501" s="180"/>
      <c r="E501" s="180"/>
      <c r="F501" s="180"/>
      <c r="G501" s="180"/>
      <c r="H501" s="180"/>
      <c r="I501" s="181"/>
      <c r="J501" s="180"/>
      <c r="K501" s="180"/>
      <c r="L501" s="180"/>
      <c r="M501" s="180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1"/>
      <c r="Y501" s="180"/>
      <c r="Z501" s="183"/>
      <c r="AA501" s="183"/>
      <c r="AB501" s="180"/>
      <c r="AC501" s="183"/>
      <c r="AD501" s="183"/>
      <c r="AE501" s="180"/>
      <c r="AF501" s="184"/>
      <c r="AG501" s="185"/>
      <c r="AH501" s="186"/>
      <c r="AI501" s="187"/>
      <c r="AJ501" s="187"/>
      <c r="AK501" s="188"/>
      <c r="AL501" s="189"/>
      <c r="AM501" s="188"/>
      <c r="AN501" s="181"/>
    </row>
    <row r="502" spans="1:40" ht="26.25" customHeight="1">
      <c r="A502" s="177"/>
      <c r="B502" s="178"/>
      <c r="C502" s="179"/>
      <c r="D502" s="180"/>
      <c r="E502" s="180"/>
      <c r="F502" s="180"/>
      <c r="G502" s="180"/>
      <c r="H502" s="180"/>
      <c r="I502" s="181"/>
      <c r="J502" s="180"/>
      <c r="K502" s="180"/>
      <c r="L502" s="180"/>
      <c r="M502" s="180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1"/>
      <c r="Y502" s="180"/>
      <c r="Z502" s="183"/>
      <c r="AA502" s="183"/>
      <c r="AB502" s="180"/>
      <c r="AC502" s="183"/>
      <c r="AD502" s="183"/>
      <c r="AE502" s="180"/>
      <c r="AF502" s="184"/>
      <c r="AG502" s="185"/>
      <c r="AH502" s="186"/>
      <c r="AI502" s="187"/>
      <c r="AJ502" s="187"/>
      <c r="AK502" s="188"/>
      <c r="AL502" s="189"/>
      <c r="AM502" s="188"/>
      <c r="AN502" s="181"/>
    </row>
    <row r="503" spans="1:40" ht="26.25" customHeight="1">
      <c r="A503" s="177"/>
      <c r="B503" s="178"/>
      <c r="C503" s="179"/>
      <c r="D503" s="180"/>
      <c r="E503" s="180"/>
      <c r="F503" s="180"/>
      <c r="G503" s="180"/>
      <c r="H503" s="180"/>
      <c r="I503" s="181"/>
      <c r="J503" s="180"/>
      <c r="K503" s="180"/>
      <c r="L503" s="180"/>
      <c r="M503" s="180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1"/>
      <c r="Y503" s="180"/>
      <c r="Z503" s="183"/>
      <c r="AA503" s="183"/>
      <c r="AB503" s="180"/>
      <c r="AC503" s="183"/>
      <c r="AD503" s="183"/>
      <c r="AE503" s="180"/>
      <c r="AF503" s="184"/>
      <c r="AG503" s="185"/>
      <c r="AH503" s="186"/>
      <c r="AI503" s="187"/>
      <c r="AJ503" s="187"/>
      <c r="AK503" s="188"/>
      <c r="AL503" s="189"/>
      <c r="AM503" s="188"/>
      <c r="AN503" s="181"/>
    </row>
    <row r="504" spans="1:40" ht="26.25" customHeight="1">
      <c r="A504" s="177"/>
      <c r="B504" s="178"/>
      <c r="C504" s="179"/>
      <c r="D504" s="180"/>
      <c r="E504" s="180"/>
      <c r="F504" s="180"/>
      <c r="G504" s="180"/>
      <c r="H504" s="180"/>
      <c r="I504" s="181"/>
      <c r="J504" s="180"/>
      <c r="K504" s="180"/>
      <c r="L504" s="180"/>
      <c r="M504" s="180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1"/>
      <c r="Y504" s="180"/>
      <c r="Z504" s="183"/>
      <c r="AA504" s="183"/>
      <c r="AB504" s="180"/>
      <c r="AC504" s="183"/>
      <c r="AD504" s="183"/>
      <c r="AE504" s="180"/>
      <c r="AF504" s="184"/>
      <c r="AG504" s="185"/>
      <c r="AH504" s="186"/>
      <c r="AI504" s="187"/>
      <c r="AJ504" s="187"/>
      <c r="AK504" s="188"/>
      <c r="AL504" s="189"/>
      <c r="AM504" s="188"/>
      <c r="AN504" s="181"/>
    </row>
    <row r="505" spans="1:40" ht="26.25" customHeight="1">
      <c r="A505" s="177"/>
      <c r="B505" s="178"/>
      <c r="C505" s="179"/>
      <c r="D505" s="180"/>
      <c r="E505" s="180"/>
      <c r="F505" s="180"/>
      <c r="G505" s="180"/>
      <c r="H505" s="180"/>
      <c r="I505" s="181"/>
      <c r="J505" s="180"/>
      <c r="K505" s="180"/>
      <c r="L505" s="180"/>
      <c r="M505" s="180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1"/>
      <c r="Y505" s="180"/>
      <c r="Z505" s="183"/>
      <c r="AA505" s="183"/>
      <c r="AB505" s="180"/>
      <c r="AC505" s="183"/>
      <c r="AD505" s="183"/>
      <c r="AE505" s="180"/>
      <c r="AF505" s="184"/>
      <c r="AG505" s="185"/>
      <c r="AH505" s="186"/>
      <c r="AI505" s="187"/>
      <c r="AJ505" s="187"/>
      <c r="AK505" s="188"/>
      <c r="AL505" s="189"/>
      <c r="AM505" s="188"/>
      <c r="AN505" s="181"/>
    </row>
    <row r="506" spans="1:40" ht="26.25" customHeight="1">
      <c r="A506" s="177"/>
      <c r="B506" s="178"/>
      <c r="C506" s="179"/>
      <c r="D506" s="180"/>
      <c r="E506" s="180"/>
      <c r="F506" s="180"/>
      <c r="G506" s="180"/>
      <c r="H506" s="180"/>
      <c r="I506" s="181"/>
      <c r="J506" s="180"/>
      <c r="K506" s="180"/>
      <c r="L506" s="180"/>
      <c r="M506" s="180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1"/>
      <c r="Y506" s="180"/>
      <c r="Z506" s="183"/>
      <c r="AA506" s="183"/>
      <c r="AB506" s="180"/>
      <c r="AC506" s="183"/>
      <c r="AD506" s="183"/>
      <c r="AE506" s="180"/>
      <c r="AF506" s="184"/>
      <c r="AG506" s="185"/>
      <c r="AH506" s="186"/>
      <c r="AI506" s="187"/>
      <c r="AJ506" s="187"/>
      <c r="AK506" s="188"/>
      <c r="AL506" s="189"/>
      <c r="AM506" s="188"/>
      <c r="AN506" s="181"/>
    </row>
    <row r="507" spans="1:40" ht="26.25" customHeight="1">
      <c r="A507" s="177"/>
      <c r="B507" s="178"/>
      <c r="C507" s="179"/>
      <c r="D507" s="180"/>
      <c r="E507" s="180"/>
      <c r="F507" s="180"/>
      <c r="G507" s="180"/>
      <c r="H507" s="180"/>
      <c r="I507" s="181"/>
      <c r="J507" s="180"/>
      <c r="K507" s="180"/>
      <c r="L507" s="180"/>
      <c r="M507" s="180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1"/>
      <c r="Y507" s="180"/>
      <c r="Z507" s="183"/>
      <c r="AA507" s="183"/>
      <c r="AB507" s="180"/>
      <c r="AC507" s="183"/>
      <c r="AD507" s="183"/>
      <c r="AE507" s="180"/>
      <c r="AF507" s="184"/>
      <c r="AG507" s="185"/>
      <c r="AH507" s="186"/>
      <c r="AI507" s="187"/>
      <c r="AJ507" s="187"/>
      <c r="AK507" s="188"/>
      <c r="AL507" s="189"/>
      <c r="AM507" s="188"/>
      <c r="AN507" s="181"/>
    </row>
    <row r="508" spans="1:40" ht="26.25" customHeight="1">
      <c r="A508" s="177"/>
      <c r="B508" s="178"/>
      <c r="C508" s="179"/>
      <c r="D508" s="180"/>
      <c r="E508" s="180"/>
      <c r="F508" s="180"/>
      <c r="G508" s="180"/>
      <c r="H508" s="180"/>
      <c r="I508" s="181"/>
      <c r="J508" s="180"/>
      <c r="K508" s="180"/>
      <c r="L508" s="180"/>
      <c r="M508" s="180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1"/>
      <c r="Y508" s="180"/>
      <c r="Z508" s="183"/>
      <c r="AA508" s="183"/>
      <c r="AB508" s="180"/>
      <c r="AC508" s="183"/>
      <c r="AD508" s="183"/>
      <c r="AE508" s="180"/>
      <c r="AF508" s="184"/>
      <c r="AG508" s="185"/>
      <c r="AH508" s="186"/>
      <c r="AI508" s="187"/>
      <c r="AJ508" s="187"/>
      <c r="AK508" s="188"/>
      <c r="AL508" s="189"/>
      <c r="AM508" s="188"/>
      <c r="AN508" s="181"/>
    </row>
    <row r="509" spans="1:40" ht="26.25" customHeight="1">
      <c r="A509" s="177"/>
      <c r="B509" s="178"/>
      <c r="C509" s="179"/>
      <c r="D509" s="180"/>
      <c r="E509" s="180"/>
      <c r="F509" s="180"/>
      <c r="G509" s="180"/>
      <c r="H509" s="180"/>
      <c r="I509" s="181"/>
      <c r="J509" s="180"/>
      <c r="K509" s="180"/>
      <c r="L509" s="180"/>
      <c r="M509" s="180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1"/>
      <c r="Y509" s="180"/>
      <c r="Z509" s="183"/>
      <c r="AA509" s="183"/>
      <c r="AB509" s="180"/>
      <c r="AC509" s="183"/>
      <c r="AD509" s="183"/>
      <c r="AE509" s="180"/>
      <c r="AF509" s="184"/>
      <c r="AG509" s="185"/>
      <c r="AH509" s="186"/>
      <c r="AI509" s="187"/>
      <c r="AJ509" s="187"/>
      <c r="AK509" s="188"/>
      <c r="AL509" s="189"/>
      <c r="AM509" s="188"/>
      <c r="AN509" s="181"/>
    </row>
    <row r="510" spans="1:40" ht="26.25" customHeight="1">
      <c r="A510" s="177"/>
      <c r="B510" s="178"/>
      <c r="C510" s="179"/>
      <c r="D510" s="180"/>
      <c r="E510" s="180"/>
      <c r="F510" s="180"/>
      <c r="G510" s="180"/>
      <c r="H510" s="180"/>
      <c r="I510" s="181"/>
      <c r="J510" s="180"/>
      <c r="K510" s="180"/>
      <c r="L510" s="180"/>
      <c r="M510" s="180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1"/>
      <c r="Y510" s="180"/>
      <c r="Z510" s="183"/>
      <c r="AA510" s="183"/>
      <c r="AB510" s="180"/>
      <c r="AC510" s="183"/>
      <c r="AD510" s="183"/>
      <c r="AE510" s="180"/>
      <c r="AF510" s="184"/>
      <c r="AG510" s="185"/>
      <c r="AH510" s="186"/>
      <c r="AI510" s="187"/>
      <c r="AJ510" s="187"/>
      <c r="AK510" s="188"/>
      <c r="AL510" s="189"/>
      <c r="AM510" s="188"/>
      <c r="AN510" s="181"/>
    </row>
    <row r="511" spans="1:40" ht="26.25" customHeight="1">
      <c r="A511" s="177"/>
      <c r="B511" s="178"/>
      <c r="C511" s="179"/>
      <c r="D511" s="180"/>
      <c r="E511" s="180"/>
      <c r="F511" s="180"/>
      <c r="G511" s="180"/>
      <c r="H511" s="180"/>
      <c r="I511" s="181"/>
      <c r="J511" s="180"/>
      <c r="K511" s="180"/>
      <c r="L511" s="180"/>
      <c r="M511" s="180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1"/>
      <c r="Y511" s="180"/>
      <c r="Z511" s="183"/>
      <c r="AA511" s="183"/>
      <c r="AB511" s="180"/>
      <c r="AC511" s="183"/>
      <c r="AD511" s="183"/>
      <c r="AE511" s="180"/>
      <c r="AF511" s="184"/>
      <c r="AG511" s="185"/>
      <c r="AH511" s="186"/>
      <c r="AI511" s="187"/>
      <c r="AJ511" s="187"/>
      <c r="AK511" s="188"/>
      <c r="AL511" s="189"/>
      <c r="AM511" s="188"/>
      <c r="AN511" s="181"/>
    </row>
    <row r="512" spans="1:40" ht="26.25" customHeight="1">
      <c r="A512" s="177"/>
      <c r="B512" s="178"/>
      <c r="C512" s="179"/>
      <c r="D512" s="180"/>
      <c r="E512" s="180"/>
      <c r="F512" s="180"/>
      <c r="G512" s="180"/>
      <c r="H512" s="180"/>
      <c r="I512" s="181"/>
      <c r="J512" s="180"/>
      <c r="K512" s="180"/>
      <c r="L512" s="180"/>
      <c r="M512" s="180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1"/>
      <c r="Y512" s="180"/>
      <c r="Z512" s="183"/>
      <c r="AA512" s="183"/>
      <c r="AB512" s="180"/>
      <c r="AC512" s="183"/>
      <c r="AD512" s="183"/>
      <c r="AE512" s="180"/>
      <c r="AF512" s="184"/>
      <c r="AG512" s="185"/>
      <c r="AH512" s="186"/>
      <c r="AI512" s="187"/>
      <c r="AJ512" s="187"/>
      <c r="AK512" s="188"/>
      <c r="AL512" s="189"/>
      <c r="AM512" s="188"/>
      <c r="AN512" s="181"/>
    </row>
    <row r="513" spans="1:40" ht="26.25" customHeight="1">
      <c r="A513" s="177"/>
      <c r="B513" s="178"/>
      <c r="C513" s="179"/>
      <c r="D513" s="180"/>
      <c r="E513" s="180"/>
      <c r="F513" s="180"/>
      <c r="G513" s="180"/>
      <c r="H513" s="180"/>
      <c r="I513" s="181"/>
      <c r="J513" s="180"/>
      <c r="K513" s="180"/>
      <c r="L513" s="180"/>
      <c r="M513" s="180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1"/>
      <c r="Y513" s="180"/>
      <c r="Z513" s="183"/>
      <c r="AA513" s="183"/>
      <c r="AB513" s="180"/>
      <c r="AC513" s="183"/>
      <c r="AD513" s="183"/>
      <c r="AE513" s="180"/>
      <c r="AF513" s="184"/>
      <c r="AG513" s="185"/>
      <c r="AH513" s="186"/>
      <c r="AI513" s="187"/>
      <c r="AJ513" s="187"/>
      <c r="AK513" s="188"/>
      <c r="AL513" s="189"/>
      <c r="AM513" s="188"/>
      <c r="AN513" s="181"/>
    </row>
    <row r="514" spans="1:40" ht="26.25" customHeight="1">
      <c r="A514" s="177"/>
      <c r="B514" s="178"/>
      <c r="C514" s="179"/>
      <c r="D514" s="180"/>
      <c r="E514" s="180"/>
      <c r="F514" s="180"/>
      <c r="G514" s="180"/>
      <c r="H514" s="180"/>
      <c r="I514" s="181"/>
      <c r="J514" s="180"/>
      <c r="K514" s="180"/>
      <c r="L514" s="180"/>
      <c r="M514" s="180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1"/>
      <c r="Y514" s="180"/>
      <c r="Z514" s="183"/>
      <c r="AA514" s="183"/>
      <c r="AB514" s="180"/>
      <c r="AC514" s="183"/>
      <c r="AD514" s="183"/>
      <c r="AE514" s="180"/>
      <c r="AF514" s="184"/>
      <c r="AG514" s="185"/>
      <c r="AH514" s="186"/>
      <c r="AI514" s="187"/>
      <c r="AJ514" s="187"/>
      <c r="AK514" s="188"/>
      <c r="AL514" s="189"/>
      <c r="AM514" s="188"/>
      <c r="AN514" s="181"/>
    </row>
    <row r="515" spans="1:40" ht="26.25" customHeight="1">
      <c r="A515" s="177"/>
      <c r="B515" s="178"/>
      <c r="C515" s="179"/>
      <c r="D515" s="180"/>
      <c r="E515" s="180"/>
      <c r="F515" s="180"/>
      <c r="G515" s="180"/>
      <c r="H515" s="180"/>
      <c r="I515" s="181"/>
      <c r="J515" s="180"/>
      <c r="K515" s="180"/>
      <c r="L515" s="180"/>
      <c r="M515" s="180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1"/>
      <c r="Y515" s="180"/>
      <c r="Z515" s="183"/>
      <c r="AA515" s="183"/>
      <c r="AB515" s="180"/>
      <c r="AC515" s="183"/>
      <c r="AD515" s="183"/>
      <c r="AE515" s="180"/>
      <c r="AF515" s="184"/>
      <c r="AG515" s="185"/>
      <c r="AH515" s="186"/>
      <c r="AI515" s="187"/>
      <c r="AJ515" s="187"/>
      <c r="AK515" s="188"/>
      <c r="AL515" s="189"/>
      <c r="AM515" s="188"/>
      <c r="AN515" s="181"/>
    </row>
    <row r="516" spans="1:40" ht="26.25" customHeight="1">
      <c r="A516" s="177"/>
      <c r="B516" s="178"/>
      <c r="C516" s="179"/>
      <c r="D516" s="180"/>
      <c r="E516" s="180"/>
      <c r="F516" s="180"/>
      <c r="G516" s="180"/>
      <c r="H516" s="180"/>
      <c r="I516" s="181"/>
      <c r="J516" s="180"/>
      <c r="K516" s="180"/>
      <c r="L516" s="180"/>
      <c r="M516" s="180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1"/>
      <c r="Y516" s="180"/>
      <c r="Z516" s="183"/>
      <c r="AA516" s="183"/>
      <c r="AB516" s="180"/>
      <c r="AC516" s="183"/>
      <c r="AD516" s="183"/>
      <c r="AE516" s="180"/>
      <c r="AF516" s="184"/>
      <c r="AG516" s="185"/>
      <c r="AH516" s="186"/>
      <c r="AI516" s="187"/>
      <c r="AJ516" s="187"/>
      <c r="AK516" s="188"/>
      <c r="AL516" s="189"/>
      <c r="AM516" s="188"/>
      <c r="AN516" s="181"/>
    </row>
    <row r="517" spans="1:40" ht="26.25" customHeight="1">
      <c r="A517" s="177"/>
      <c r="B517" s="178"/>
      <c r="C517" s="179"/>
      <c r="D517" s="180"/>
      <c r="E517" s="180"/>
      <c r="F517" s="180"/>
      <c r="G517" s="180"/>
      <c r="H517" s="180"/>
      <c r="I517" s="181"/>
      <c r="J517" s="180"/>
      <c r="K517" s="180"/>
      <c r="L517" s="180"/>
      <c r="M517" s="180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1"/>
      <c r="Y517" s="180"/>
      <c r="Z517" s="183"/>
      <c r="AA517" s="183"/>
      <c r="AB517" s="180"/>
      <c r="AC517" s="183"/>
      <c r="AD517" s="183"/>
      <c r="AE517" s="180"/>
      <c r="AF517" s="184"/>
      <c r="AG517" s="185"/>
      <c r="AH517" s="186"/>
      <c r="AI517" s="187"/>
      <c r="AJ517" s="187"/>
      <c r="AK517" s="188"/>
      <c r="AL517" s="189"/>
      <c r="AM517" s="188"/>
      <c r="AN517" s="181"/>
    </row>
    <row r="518" spans="1:40" ht="26.25" customHeight="1">
      <c r="A518" s="177"/>
      <c r="B518" s="178"/>
      <c r="C518" s="179"/>
      <c r="D518" s="180"/>
      <c r="E518" s="180"/>
      <c r="F518" s="180"/>
      <c r="G518" s="180"/>
      <c r="H518" s="180"/>
      <c r="I518" s="181"/>
      <c r="J518" s="180"/>
      <c r="K518" s="180"/>
      <c r="L518" s="180"/>
      <c r="M518" s="180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1"/>
      <c r="Y518" s="180"/>
      <c r="Z518" s="183"/>
      <c r="AA518" s="183"/>
      <c r="AB518" s="180"/>
      <c r="AC518" s="183"/>
      <c r="AD518" s="183"/>
      <c r="AE518" s="180"/>
      <c r="AF518" s="184"/>
      <c r="AG518" s="185"/>
      <c r="AH518" s="186"/>
      <c r="AI518" s="187"/>
      <c r="AJ518" s="187"/>
      <c r="AK518" s="188"/>
      <c r="AL518" s="189"/>
      <c r="AM518" s="188"/>
      <c r="AN518" s="181"/>
    </row>
    <row r="519" spans="1:40" ht="26.25" customHeight="1">
      <c r="A519" s="177"/>
      <c r="B519" s="178"/>
      <c r="C519" s="179"/>
      <c r="D519" s="180"/>
      <c r="E519" s="180"/>
      <c r="F519" s="180"/>
      <c r="G519" s="180"/>
      <c r="H519" s="180"/>
      <c r="I519" s="181"/>
      <c r="J519" s="180"/>
      <c r="K519" s="180"/>
      <c r="L519" s="180"/>
      <c r="M519" s="180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1"/>
      <c r="Y519" s="180"/>
      <c r="Z519" s="183"/>
      <c r="AA519" s="183"/>
      <c r="AB519" s="180"/>
      <c r="AC519" s="183"/>
      <c r="AD519" s="183"/>
      <c r="AE519" s="180"/>
      <c r="AF519" s="184"/>
      <c r="AG519" s="185"/>
      <c r="AH519" s="186"/>
      <c r="AI519" s="187"/>
      <c r="AJ519" s="187"/>
      <c r="AK519" s="188"/>
      <c r="AL519" s="189"/>
      <c r="AM519" s="188"/>
      <c r="AN519" s="181"/>
    </row>
    <row r="520" spans="1:40" ht="26.25" customHeight="1">
      <c r="A520" s="177"/>
      <c r="B520" s="178"/>
      <c r="C520" s="179"/>
      <c r="D520" s="180"/>
      <c r="E520" s="180"/>
      <c r="F520" s="180"/>
      <c r="G520" s="180"/>
      <c r="H520" s="180"/>
      <c r="I520" s="181"/>
      <c r="J520" s="180"/>
      <c r="K520" s="180"/>
      <c r="L520" s="180"/>
      <c r="M520" s="180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1"/>
      <c r="Y520" s="180"/>
      <c r="Z520" s="183"/>
      <c r="AA520" s="183"/>
      <c r="AB520" s="180"/>
      <c r="AC520" s="183"/>
      <c r="AD520" s="183"/>
      <c r="AE520" s="180"/>
      <c r="AF520" s="184"/>
      <c r="AG520" s="185"/>
      <c r="AH520" s="186"/>
      <c r="AI520" s="187"/>
      <c r="AJ520" s="187"/>
      <c r="AK520" s="188"/>
      <c r="AL520" s="189"/>
      <c r="AM520" s="188"/>
      <c r="AN520" s="181"/>
    </row>
    <row r="521" spans="1:40" ht="26.25" customHeight="1">
      <c r="A521" s="177"/>
      <c r="B521" s="178"/>
      <c r="C521" s="179"/>
      <c r="D521" s="180"/>
      <c r="E521" s="180"/>
      <c r="F521" s="180"/>
      <c r="G521" s="180"/>
      <c r="H521" s="180"/>
      <c r="I521" s="181"/>
      <c r="J521" s="180"/>
      <c r="K521" s="180"/>
      <c r="L521" s="180"/>
      <c r="M521" s="180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1"/>
      <c r="Y521" s="180"/>
      <c r="Z521" s="183"/>
      <c r="AA521" s="183"/>
      <c r="AB521" s="180"/>
      <c r="AC521" s="183"/>
      <c r="AD521" s="183"/>
      <c r="AE521" s="180"/>
      <c r="AF521" s="184"/>
      <c r="AG521" s="185"/>
      <c r="AH521" s="186"/>
      <c r="AI521" s="187"/>
      <c r="AJ521" s="187"/>
      <c r="AK521" s="188"/>
      <c r="AL521" s="189"/>
      <c r="AM521" s="188"/>
      <c r="AN521" s="181"/>
    </row>
    <row r="522" spans="1:40" ht="26.25" customHeight="1">
      <c r="A522" s="177"/>
      <c r="B522" s="178"/>
      <c r="C522" s="179"/>
      <c r="D522" s="180"/>
      <c r="E522" s="180"/>
      <c r="F522" s="180"/>
      <c r="G522" s="180"/>
      <c r="H522" s="180"/>
      <c r="I522" s="181"/>
      <c r="J522" s="180"/>
      <c r="K522" s="180"/>
      <c r="L522" s="180"/>
      <c r="M522" s="180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1"/>
      <c r="Y522" s="180"/>
      <c r="Z522" s="183"/>
      <c r="AA522" s="183"/>
      <c r="AB522" s="180"/>
      <c r="AC522" s="183"/>
      <c r="AD522" s="183"/>
      <c r="AE522" s="180"/>
      <c r="AF522" s="184"/>
      <c r="AG522" s="185"/>
      <c r="AH522" s="186"/>
      <c r="AI522" s="187"/>
      <c r="AJ522" s="187"/>
      <c r="AK522" s="188"/>
      <c r="AL522" s="189"/>
      <c r="AM522" s="188"/>
      <c r="AN522" s="181"/>
    </row>
    <row r="523" spans="1:40" ht="26.25" customHeight="1">
      <c r="A523" s="177"/>
      <c r="B523" s="178"/>
      <c r="C523" s="179"/>
      <c r="D523" s="180"/>
      <c r="E523" s="180"/>
      <c r="F523" s="180"/>
      <c r="G523" s="180"/>
      <c r="H523" s="180"/>
      <c r="I523" s="181"/>
      <c r="J523" s="180"/>
      <c r="K523" s="180"/>
      <c r="L523" s="180"/>
      <c r="M523" s="180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1"/>
      <c r="Y523" s="180"/>
      <c r="Z523" s="183"/>
      <c r="AA523" s="183"/>
      <c r="AB523" s="180"/>
      <c r="AC523" s="183"/>
      <c r="AD523" s="183"/>
      <c r="AE523" s="180"/>
      <c r="AF523" s="184"/>
      <c r="AG523" s="185"/>
      <c r="AH523" s="186"/>
      <c r="AI523" s="187"/>
      <c r="AJ523" s="187"/>
      <c r="AK523" s="188"/>
      <c r="AL523" s="189"/>
      <c r="AM523" s="188"/>
      <c r="AN523" s="181"/>
    </row>
    <row r="524" spans="1:40" ht="26.25" customHeight="1">
      <c r="A524" s="177"/>
      <c r="B524" s="178"/>
      <c r="C524" s="179"/>
      <c r="D524" s="180"/>
      <c r="E524" s="180"/>
      <c r="F524" s="180"/>
      <c r="G524" s="180"/>
      <c r="H524" s="180"/>
      <c r="I524" s="181"/>
      <c r="J524" s="180"/>
      <c r="K524" s="180"/>
      <c r="L524" s="180"/>
      <c r="M524" s="180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1"/>
      <c r="Y524" s="180"/>
      <c r="Z524" s="183"/>
      <c r="AA524" s="183"/>
      <c r="AB524" s="180"/>
      <c r="AC524" s="183"/>
      <c r="AD524" s="183"/>
      <c r="AE524" s="180"/>
      <c r="AF524" s="184"/>
      <c r="AG524" s="185"/>
      <c r="AH524" s="186"/>
      <c r="AI524" s="187"/>
      <c r="AJ524" s="187"/>
      <c r="AK524" s="188"/>
      <c r="AL524" s="189"/>
      <c r="AM524" s="188"/>
      <c r="AN524" s="181"/>
    </row>
    <row r="525" spans="1:40" ht="26.25" customHeight="1">
      <c r="A525" s="177"/>
      <c r="B525" s="178"/>
      <c r="C525" s="179"/>
      <c r="D525" s="180"/>
      <c r="E525" s="180"/>
      <c r="F525" s="180"/>
      <c r="G525" s="180"/>
      <c r="H525" s="180"/>
      <c r="I525" s="181"/>
      <c r="J525" s="180"/>
      <c r="K525" s="180"/>
      <c r="L525" s="180"/>
      <c r="M525" s="180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1"/>
      <c r="Y525" s="180"/>
      <c r="Z525" s="183"/>
      <c r="AA525" s="183"/>
      <c r="AB525" s="180"/>
      <c r="AC525" s="183"/>
      <c r="AD525" s="183"/>
      <c r="AE525" s="180"/>
      <c r="AF525" s="184"/>
      <c r="AG525" s="185"/>
      <c r="AH525" s="186"/>
      <c r="AI525" s="187"/>
      <c r="AJ525" s="187"/>
      <c r="AK525" s="188"/>
      <c r="AL525" s="189"/>
      <c r="AM525" s="188"/>
      <c r="AN525" s="181"/>
    </row>
    <row r="526" spans="1:40" ht="26.25" customHeight="1">
      <c r="A526" s="177"/>
      <c r="B526" s="178"/>
      <c r="C526" s="179"/>
      <c r="D526" s="180"/>
      <c r="E526" s="180"/>
      <c r="F526" s="180"/>
      <c r="G526" s="180"/>
      <c r="H526" s="180"/>
      <c r="I526" s="181"/>
      <c r="J526" s="180"/>
      <c r="K526" s="180"/>
      <c r="L526" s="180"/>
      <c r="M526" s="180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1"/>
      <c r="Y526" s="180"/>
      <c r="Z526" s="183"/>
      <c r="AA526" s="183"/>
      <c r="AB526" s="180"/>
      <c r="AC526" s="183"/>
      <c r="AD526" s="183"/>
      <c r="AE526" s="180"/>
      <c r="AF526" s="184"/>
      <c r="AG526" s="185"/>
      <c r="AH526" s="186"/>
      <c r="AI526" s="187"/>
      <c r="AJ526" s="187"/>
      <c r="AK526" s="188"/>
      <c r="AL526" s="189"/>
      <c r="AM526" s="188"/>
      <c r="AN526" s="181"/>
    </row>
    <row r="527" spans="1:40" ht="26.25" customHeight="1">
      <c r="A527" s="177"/>
      <c r="B527" s="178"/>
      <c r="C527" s="179"/>
      <c r="D527" s="180"/>
      <c r="E527" s="180"/>
      <c r="F527" s="180"/>
      <c r="G527" s="180"/>
      <c r="H527" s="180"/>
      <c r="I527" s="181"/>
      <c r="J527" s="180"/>
      <c r="K527" s="180"/>
      <c r="L527" s="180"/>
      <c r="M527" s="180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1"/>
      <c r="Y527" s="180"/>
      <c r="Z527" s="183"/>
      <c r="AA527" s="183"/>
      <c r="AB527" s="180"/>
      <c r="AC527" s="183"/>
      <c r="AD527" s="183"/>
      <c r="AE527" s="180"/>
      <c r="AF527" s="184"/>
      <c r="AG527" s="185"/>
      <c r="AH527" s="186"/>
      <c r="AI527" s="187"/>
      <c r="AJ527" s="187"/>
      <c r="AK527" s="188"/>
      <c r="AL527" s="189"/>
      <c r="AM527" s="188"/>
      <c r="AN527" s="181"/>
    </row>
    <row r="528" spans="1:40" ht="26.25" customHeight="1">
      <c r="A528" s="177"/>
      <c r="B528" s="178"/>
      <c r="C528" s="179"/>
      <c r="D528" s="180"/>
      <c r="E528" s="180"/>
      <c r="F528" s="180"/>
      <c r="G528" s="180"/>
      <c r="H528" s="180"/>
      <c r="I528" s="181"/>
      <c r="J528" s="180"/>
      <c r="K528" s="180"/>
      <c r="L528" s="180"/>
      <c r="M528" s="180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1"/>
      <c r="Y528" s="180"/>
      <c r="Z528" s="183"/>
      <c r="AA528" s="183"/>
      <c r="AB528" s="180"/>
      <c r="AC528" s="183"/>
      <c r="AD528" s="183"/>
      <c r="AE528" s="180"/>
      <c r="AF528" s="184"/>
      <c r="AG528" s="185"/>
      <c r="AH528" s="186"/>
      <c r="AI528" s="187"/>
      <c r="AJ528" s="187"/>
      <c r="AK528" s="188"/>
      <c r="AL528" s="189"/>
      <c r="AM528" s="188"/>
      <c r="AN528" s="181"/>
    </row>
    <row r="529" spans="1:40" ht="26.25" customHeight="1">
      <c r="A529" s="177"/>
      <c r="B529" s="178"/>
      <c r="C529" s="179"/>
      <c r="D529" s="180"/>
      <c r="E529" s="180"/>
      <c r="F529" s="180"/>
      <c r="G529" s="180"/>
      <c r="H529" s="180"/>
      <c r="I529" s="181"/>
      <c r="J529" s="180"/>
      <c r="K529" s="180"/>
      <c r="L529" s="180"/>
      <c r="M529" s="180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1"/>
      <c r="Y529" s="180"/>
      <c r="Z529" s="183"/>
      <c r="AA529" s="183"/>
      <c r="AB529" s="180"/>
      <c r="AC529" s="183"/>
      <c r="AD529" s="183"/>
      <c r="AE529" s="180"/>
      <c r="AF529" s="184"/>
      <c r="AG529" s="185"/>
      <c r="AH529" s="186"/>
      <c r="AI529" s="187"/>
      <c r="AJ529" s="187"/>
      <c r="AK529" s="188"/>
      <c r="AL529" s="189"/>
      <c r="AM529" s="188"/>
      <c r="AN529" s="181"/>
    </row>
    <row r="530" spans="1:40" ht="26.25" customHeight="1">
      <c r="A530" s="177"/>
      <c r="B530" s="178"/>
      <c r="C530" s="179"/>
      <c r="D530" s="180"/>
      <c r="E530" s="180"/>
      <c r="F530" s="180"/>
      <c r="G530" s="180"/>
      <c r="H530" s="180"/>
      <c r="I530" s="181"/>
      <c r="J530" s="180"/>
      <c r="K530" s="180"/>
      <c r="L530" s="180"/>
      <c r="M530" s="180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1"/>
      <c r="Y530" s="180"/>
      <c r="Z530" s="183"/>
      <c r="AA530" s="183"/>
      <c r="AB530" s="180"/>
      <c r="AC530" s="183"/>
      <c r="AD530" s="183"/>
      <c r="AE530" s="180"/>
      <c r="AF530" s="184"/>
      <c r="AG530" s="185"/>
      <c r="AH530" s="186"/>
      <c r="AI530" s="187"/>
      <c r="AJ530" s="187"/>
      <c r="AK530" s="188"/>
      <c r="AL530" s="189"/>
      <c r="AM530" s="188"/>
      <c r="AN530" s="181"/>
    </row>
    <row r="531" spans="1:40" ht="26.25" customHeight="1">
      <c r="A531" s="177"/>
      <c r="B531" s="178"/>
      <c r="C531" s="179"/>
      <c r="D531" s="180"/>
      <c r="E531" s="180"/>
      <c r="F531" s="180"/>
      <c r="G531" s="180"/>
      <c r="H531" s="180"/>
      <c r="I531" s="181"/>
      <c r="J531" s="180"/>
      <c r="K531" s="180"/>
      <c r="L531" s="180"/>
      <c r="M531" s="180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1"/>
      <c r="Y531" s="180"/>
      <c r="Z531" s="183"/>
      <c r="AA531" s="183"/>
      <c r="AB531" s="180"/>
      <c r="AC531" s="183"/>
      <c r="AD531" s="183"/>
      <c r="AE531" s="180"/>
      <c r="AF531" s="184"/>
      <c r="AG531" s="185"/>
      <c r="AH531" s="186"/>
      <c r="AI531" s="187"/>
      <c r="AJ531" s="187"/>
      <c r="AK531" s="188"/>
      <c r="AL531" s="189"/>
      <c r="AM531" s="188"/>
      <c r="AN531" s="181"/>
    </row>
    <row r="532" spans="1:40" ht="26.25" customHeight="1">
      <c r="A532" s="177"/>
      <c r="B532" s="178"/>
      <c r="C532" s="179"/>
      <c r="D532" s="180"/>
      <c r="E532" s="180"/>
      <c r="F532" s="180"/>
      <c r="G532" s="180"/>
      <c r="H532" s="180"/>
      <c r="I532" s="181"/>
      <c r="J532" s="180"/>
      <c r="K532" s="180"/>
      <c r="L532" s="180"/>
      <c r="M532" s="180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1"/>
      <c r="Y532" s="180"/>
      <c r="Z532" s="183"/>
      <c r="AA532" s="183"/>
      <c r="AB532" s="180"/>
      <c r="AC532" s="183"/>
      <c r="AD532" s="183"/>
      <c r="AE532" s="180"/>
      <c r="AF532" s="184"/>
      <c r="AG532" s="185"/>
      <c r="AH532" s="186"/>
      <c r="AI532" s="187"/>
      <c r="AJ532" s="187"/>
      <c r="AK532" s="188"/>
      <c r="AL532" s="189"/>
      <c r="AM532" s="188"/>
      <c r="AN532" s="181"/>
    </row>
    <row r="533" spans="1:40" ht="26.25" customHeight="1">
      <c r="A533" s="177"/>
      <c r="B533" s="178"/>
      <c r="C533" s="179"/>
      <c r="D533" s="180"/>
      <c r="E533" s="180"/>
      <c r="F533" s="180"/>
      <c r="G533" s="180"/>
      <c r="H533" s="180"/>
      <c r="I533" s="181"/>
      <c r="J533" s="180"/>
      <c r="K533" s="180"/>
      <c r="L533" s="180"/>
      <c r="M533" s="180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1"/>
      <c r="Y533" s="180"/>
      <c r="Z533" s="183"/>
      <c r="AA533" s="183"/>
      <c r="AB533" s="180"/>
      <c r="AC533" s="183"/>
      <c r="AD533" s="183"/>
      <c r="AE533" s="180"/>
      <c r="AF533" s="184"/>
      <c r="AG533" s="185"/>
      <c r="AH533" s="186"/>
      <c r="AI533" s="187"/>
      <c r="AJ533" s="187"/>
      <c r="AK533" s="188"/>
      <c r="AL533" s="189"/>
      <c r="AM533" s="188"/>
      <c r="AN533" s="181"/>
    </row>
    <row r="534" spans="1:40" ht="26.25" customHeight="1">
      <c r="A534" s="177"/>
      <c r="B534" s="178"/>
      <c r="C534" s="179"/>
      <c r="D534" s="180"/>
      <c r="E534" s="180"/>
      <c r="F534" s="180"/>
      <c r="G534" s="180"/>
      <c r="H534" s="180"/>
      <c r="I534" s="181"/>
      <c r="J534" s="180"/>
      <c r="K534" s="180"/>
      <c r="L534" s="180"/>
      <c r="M534" s="180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1"/>
      <c r="Y534" s="180"/>
      <c r="Z534" s="183"/>
      <c r="AA534" s="183"/>
      <c r="AB534" s="180"/>
      <c r="AC534" s="183"/>
      <c r="AD534" s="183"/>
      <c r="AE534" s="180"/>
      <c r="AF534" s="184"/>
      <c r="AG534" s="185"/>
      <c r="AH534" s="186"/>
      <c r="AI534" s="187"/>
      <c r="AJ534" s="187"/>
      <c r="AK534" s="188"/>
      <c r="AL534" s="189"/>
      <c r="AM534" s="188"/>
      <c r="AN534" s="181"/>
    </row>
    <row r="535" spans="1:40" ht="26.25" customHeight="1">
      <c r="A535" s="177"/>
      <c r="B535" s="178"/>
      <c r="C535" s="179"/>
      <c r="D535" s="180"/>
      <c r="E535" s="180"/>
      <c r="F535" s="180"/>
      <c r="G535" s="180"/>
      <c r="H535" s="180"/>
      <c r="I535" s="181"/>
      <c r="J535" s="180"/>
      <c r="K535" s="180"/>
      <c r="L535" s="180"/>
      <c r="M535" s="180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1"/>
      <c r="Y535" s="180"/>
      <c r="Z535" s="183"/>
      <c r="AA535" s="183"/>
      <c r="AB535" s="180"/>
      <c r="AC535" s="183"/>
      <c r="AD535" s="183"/>
      <c r="AE535" s="180"/>
      <c r="AF535" s="184"/>
      <c r="AG535" s="185"/>
      <c r="AH535" s="186"/>
      <c r="AI535" s="187"/>
      <c r="AJ535" s="187"/>
      <c r="AK535" s="188"/>
      <c r="AL535" s="189"/>
      <c r="AM535" s="188"/>
      <c r="AN535" s="181"/>
    </row>
    <row r="536" spans="1:40" ht="26.25" customHeight="1">
      <c r="A536" s="177"/>
      <c r="B536" s="178"/>
      <c r="C536" s="179"/>
      <c r="D536" s="180"/>
      <c r="E536" s="180"/>
      <c r="F536" s="180"/>
      <c r="G536" s="180"/>
      <c r="H536" s="180"/>
      <c r="I536" s="181"/>
      <c r="J536" s="180"/>
      <c r="K536" s="180"/>
      <c r="L536" s="180"/>
      <c r="M536" s="180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1"/>
      <c r="Y536" s="180"/>
      <c r="Z536" s="183"/>
      <c r="AA536" s="183"/>
      <c r="AB536" s="180"/>
      <c r="AC536" s="183"/>
      <c r="AD536" s="183"/>
      <c r="AE536" s="180"/>
      <c r="AF536" s="184"/>
      <c r="AG536" s="185"/>
      <c r="AH536" s="186"/>
      <c r="AI536" s="187"/>
      <c r="AJ536" s="187"/>
      <c r="AK536" s="188"/>
      <c r="AL536" s="189"/>
      <c r="AM536" s="188"/>
      <c r="AN536" s="181"/>
    </row>
    <row r="537" spans="1:40" ht="26.25" customHeight="1">
      <c r="A537" s="177"/>
      <c r="B537" s="178"/>
      <c r="C537" s="179"/>
      <c r="D537" s="180"/>
      <c r="E537" s="180"/>
      <c r="F537" s="180"/>
      <c r="G537" s="180"/>
      <c r="H537" s="180"/>
      <c r="I537" s="181"/>
      <c r="J537" s="180"/>
      <c r="K537" s="180"/>
      <c r="L537" s="180"/>
      <c r="M537" s="180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1"/>
      <c r="Y537" s="180"/>
      <c r="Z537" s="183"/>
      <c r="AA537" s="183"/>
      <c r="AB537" s="180"/>
      <c r="AC537" s="183"/>
      <c r="AD537" s="183"/>
      <c r="AE537" s="180"/>
      <c r="AF537" s="184"/>
      <c r="AG537" s="185"/>
      <c r="AH537" s="186"/>
      <c r="AI537" s="187"/>
      <c r="AJ537" s="187"/>
      <c r="AK537" s="188"/>
      <c r="AL537" s="189"/>
      <c r="AM537" s="188"/>
      <c r="AN537" s="181"/>
    </row>
    <row r="538" spans="1:40" ht="26.25" customHeight="1">
      <c r="A538" s="177"/>
      <c r="B538" s="178"/>
      <c r="C538" s="179"/>
      <c r="D538" s="180"/>
      <c r="E538" s="180"/>
      <c r="F538" s="180"/>
      <c r="G538" s="180"/>
      <c r="H538" s="180"/>
      <c r="I538" s="181"/>
      <c r="J538" s="180"/>
      <c r="K538" s="180"/>
      <c r="L538" s="180"/>
      <c r="M538" s="180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1"/>
      <c r="Y538" s="180"/>
      <c r="Z538" s="183"/>
      <c r="AA538" s="183"/>
      <c r="AB538" s="180"/>
      <c r="AC538" s="183"/>
      <c r="AD538" s="183"/>
      <c r="AE538" s="180"/>
      <c r="AF538" s="184"/>
      <c r="AG538" s="185"/>
      <c r="AH538" s="186"/>
      <c r="AI538" s="187"/>
      <c r="AJ538" s="187"/>
      <c r="AK538" s="188"/>
      <c r="AL538" s="189"/>
      <c r="AM538" s="188"/>
      <c r="AN538" s="181"/>
    </row>
    <row r="539" spans="1:40" ht="26.25" customHeight="1">
      <c r="A539" s="177"/>
      <c r="B539" s="178"/>
      <c r="C539" s="179"/>
      <c r="D539" s="180"/>
      <c r="E539" s="180"/>
      <c r="F539" s="180"/>
      <c r="G539" s="180"/>
      <c r="H539" s="180"/>
      <c r="I539" s="181"/>
      <c r="J539" s="180"/>
      <c r="K539" s="180"/>
      <c r="L539" s="180"/>
      <c r="M539" s="180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1"/>
      <c r="Y539" s="180"/>
      <c r="Z539" s="183"/>
      <c r="AA539" s="183"/>
      <c r="AB539" s="180"/>
      <c r="AC539" s="183"/>
      <c r="AD539" s="183"/>
      <c r="AE539" s="180"/>
      <c r="AF539" s="184"/>
      <c r="AG539" s="185"/>
      <c r="AH539" s="186"/>
      <c r="AI539" s="187"/>
      <c r="AJ539" s="187"/>
      <c r="AK539" s="188"/>
      <c r="AL539" s="189"/>
      <c r="AM539" s="188"/>
      <c r="AN539" s="181"/>
    </row>
    <row r="540" spans="1:40" ht="26.25" customHeight="1">
      <c r="A540" s="177"/>
      <c r="B540" s="178"/>
      <c r="C540" s="179"/>
      <c r="D540" s="180"/>
      <c r="E540" s="180"/>
      <c r="F540" s="180"/>
      <c r="G540" s="180"/>
      <c r="H540" s="180"/>
      <c r="I540" s="181"/>
      <c r="J540" s="180"/>
      <c r="K540" s="180"/>
      <c r="L540" s="180"/>
      <c r="M540" s="180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1"/>
      <c r="Y540" s="180"/>
      <c r="Z540" s="183"/>
      <c r="AA540" s="183"/>
      <c r="AB540" s="180"/>
      <c r="AC540" s="183"/>
      <c r="AD540" s="183"/>
      <c r="AE540" s="180"/>
      <c r="AF540" s="184"/>
      <c r="AG540" s="185"/>
      <c r="AH540" s="186"/>
      <c r="AI540" s="187"/>
      <c r="AJ540" s="187"/>
      <c r="AK540" s="188"/>
      <c r="AL540" s="189"/>
      <c r="AM540" s="188"/>
      <c r="AN540" s="181"/>
    </row>
    <row r="541" spans="1:40" ht="26.25" customHeight="1">
      <c r="A541" s="177"/>
      <c r="B541" s="178"/>
      <c r="C541" s="179"/>
      <c r="D541" s="180"/>
      <c r="E541" s="180"/>
      <c r="F541" s="180"/>
      <c r="G541" s="180"/>
      <c r="H541" s="180"/>
      <c r="I541" s="181"/>
      <c r="J541" s="180"/>
      <c r="K541" s="180"/>
      <c r="L541" s="180"/>
      <c r="M541" s="180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1"/>
      <c r="Y541" s="180"/>
      <c r="Z541" s="183"/>
      <c r="AA541" s="183"/>
      <c r="AB541" s="180"/>
      <c r="AC541" s="183"/>
      <c r="AD541" s="183"/>
      <c r="AE541" s="180"/>
      <c r="AF541" s="184"/>
      <c r="AG541" s="185"/>
      <c r="AH541" s="186"/>
      <c r="AI541" s="187"/>
      <c r="AJ541" s="187"/>
      <c r="AK541" s="188"/>
      <c r="AL541" s="189"/>
      <c r="AM541" s="188"/>
      <c r="AN541" s="181"/>
    </row>
    <row r="542" spans="1:40" ht="26.25" customHeight="1">
      <c r="A542" s="177"/>
      <c r="B542" s="178"/>
      <c r="C542" s="179"/>
      <c r="D542" s="180"/>
      <c r="E542" s="180"/>
      <c r="F542" s="180"/>
      <c r="G542" s="180"/>
      <c r="H542" s="180"/>
      <c r="I542" s="181"/>
      <c r="J542" s="180"/>
      <c r="K542" s="180"/>
      <c r="L542" s="180"/>
      <c r="M542" s="180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1"/>
      <c r="Y542" s="180"/>
      <c r="Z542" s="183"/>
      <c r="AA542" s="183"/>
      <c r="AB542" s="180"/>
      <c r="AC542" s="183"/>
      <c r="AD542" s="183"/>
      <c r="AE542" s="180"/>
      <c r="AF542" s="184"/>
      <c r="AG542" s="185"/>
      <c r="AH542" s="186"/>
      <c r="AI542" s="187"/>
      <c r="AJ542" s="187"/>
      <c r="AK542" s="188"/>
      <c r="AL542" s="189"/>
      <c r="AM542" s="188"/>
      <c r="AN542" s="181"/>
    </row>
    <row r="543" spans="1:40" ht="26.25" customHeight="1">
      <c r="A543" s="177"/>
      <c r="B543" s="178"/>
      <c r="C543" s="179"/>
      <c r="D543" s="180"/>
      <c r="E543" s="180"/>
      <c r="F543" s="180"/>
      <c r="G543" s="180"/>
      <c r="H543" s="180"/>
      <c r="I543" s="181"/>
      <c r="J543" s="180"/>
      <c r="K543" s="180"/>
      <c r="L543" s="180"/>
      <c r="M543" s="180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1"/>
      <c r="Y543" s="180"/>
      <c r="Z543" s="183"/>
      <c r="AA543" s="183"/>
      <c r="AB543" s="180"/>
      <c r="AC543" s="183"/>
      <c r="AD543" s="183"/>
      <c r="AE543" s="180"/>
      <c r="AF543" s="184"/>
      <c r="AG543" s="185"/>
      <c r="AH543" s="186"/>
      <c r="AI543" s="187"/>
      <c r="AJ543" s="187"/>
      <c r="AK543" s="188"/>
      <c r="AL543" s="189"/>
      <c r="AM543" s="188"/>
      <c r="AN543" s="181"/>
    </row>
    <row r="544" spans="1:40" ht="26.25" customHeight="1">
      <c r="A544" s="177"/>
      <c r="B544" s="178"/>
      <c r="C544" s="179"/>
      <c r="D544" s="180"/>
      <c r="E544" s="180"/>
      <c r="F544" s="180"/>
      <c r="G544" s="180"/>
      <c r="H544" s="180"/>
      <c r="I544" s="181"/>
      <c r="J544" s="180"/>
      <c r="K544" s="180"/>
      <c r="L544" s="180"/>
      <c r="M544" s="180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1"/>
      <c r="Y544" s="180"/>
      <c r="Z544" s="183"/>
      <c r="AA544" s="183"/>
      <c r="AB544" s="180"/>
      <c r="AC544" s="183"/>
      <c r="AD544" s="183"/>
      <c r="AE544" s="180"/>
      <c r="AF544" s="184"/>
      <c r="AG544" s="185"/>
      <c r="AH544" s="186"/>
      <c r="AI544" s="187"/>
      <c r="AJ544" s="187"/>
      <c r="AK544" s="188"/>
      <c r="AL544" s="189"/>
      <c r="AM544" s="188"/>
      <c r="AN544" s="181"/>
    </row>
    <row r="545" spans="1:40" ht="26.25" customHeight="1">
      <c r="A545" s="177"/>
      <c r="B545" s="178"/>
      <c r="C545" s="179"/>
      <c r="D545" s="180"/>
      <c r="E545" s="180"/>
      <c r="F545" s="180"/>
      <c r="G545" s="180"/>
      <c r="H545" s="180"/>
      <c r="I545" s="181"/>
      <c r="J545" s="180"/>
      <c r="K545" s="180"/>
      <c r="L545" s="180"/>
      <c r="M545" s="180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1"/>
      <c r="Y545" s="180"/>
      <c r="Z545" s="183"/>
      <c r="AA545" s="183"/>
      <c r="AB545" s="180"/>
      <c r="AC545" s="183"/>
      <c r="AD545" s="183"/>
      <c r="AE545" s="180"/>
      <c r="AF545" s="184"/>
      <c r="AG545" s="185"/>
      <c r="AH545" s="186"/>
      <c r="AI545" s="187"/>
      <c r="AJ545" s="187"/>
      <c r="AK545" s="188"/>
      <c r="AL545" s="189"/>
      <c r="AM545" s="188"/>
      <c r="AN545" s="181"/>
    </row>
    <row r="546" spans="1:40" ht="26.25" customHeight="1">
      <c r="A546" s="177"/>
      <c r="B546" s="178"/>
      <c r="C546" s="179"/>
      <c r="D546" s="180"/>
      <c r="E546" s="180"/>
      <c r="F546" s="180"/>
      <c r="G546" s="180"/>
      <c r="H546" s="180"/>
      <c r="I546" s="181"/>
      <c r="J546" s="180"/>
      <c r="K546" s="180"/>
      <c r="L546" s="180"/>
      <c r="M546" s="180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1"/>
      <c r="Y546" s="180"/>
      <c r="Z546" s="183"/>
      <c r="AA546" s="183"/>
      <c r="AB546" s="180"/>
      <c r="AC546" s="183"/>
      <c r="AD546" s="183"/>
      <c r="AE546" s="180"/>
      <c r="AF546" s="184"/>
      <c r="AG546" s="185"/>
      <c r="AH546" s="186"/>
      <c r="AI546" s="187"/>
      <c r="AJ546" s="187"/>
      <c r="AK546" s="188"/>
      <c r="AL546" s="189"/>
      <c r="AM546" s="188"/>
      <c r="AN546" s="181"/>
    </row>
    <row r="547" spans="1:40" ht="26.25" customHeight="1">
      <c r="A547" s="177"/>
      <c r="B547" s="178"/>
      <c r="C547" s="179"/>
      <c r="D547" s="180"/>
      <c r="E547" s="180"/>
      <c r="F547" s="180"/>
      <c r="G547" s="180"/>
      <c r="H547" s="180"/>
      <c r="I547" s="181"/>
      <c r="J547" s="180"/>
      <c r="K547" s="180"/>
      <c r="L547" s="180"/>
      <c r="M547" s="180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1"/>
      <c r="Y547" s="180"/>
      <c r="Z547" s="183"/>
      <c r="AA547" s="183"/>
      <c r="AB547" s="180"/>
      <c r="AC547" s="183"/>
      <c r="AD547" s="183"/>
      <c r="AE547" s="180"/>
      <c r="AF547" s="184"/>
      <c r="AG547" s="185"/>
      <c r="AH547" s="186"/>
      <c r="AI547" s="187"/>
      <c r="AJ547" s="187"/>
      <c r="AK547" s="188"/>
      <c r="AL547" s="189"/>
      <c r="AM547" s="188"/>
      <c r="AN547" s="181"/>
    </row>
    <row r="548" spans="1:40" ht="26.25" customHeight="1">
      <c r="A548" s="177"/>
      <c r="B548" s="178"/>
      <c r="C548" s="179"/>
      <c r="D548" s="180"/>
      <c r="E548" s="180"/>
      <c r="F548" s="180"/>
      <c r="G548" s="180"/>
      <c r="H548" s="180"/>
      <c r="I548" s="181"/>
      <c r="J548" s="180"/>
      <c r="K548" s="180"/>
      <c r="L548" s="180"/>
      <c r="M548" s="180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1"/>
      <c r="Y548" s="180"/>
      <c r="Z548" s="183"/>
      <c r="AA548" s="183"/>
      <c r="AB548" s="180"/>
      <c r="AC548" s="183"/>
      <c r="AD548" s="183"/>
      <c r="AE548" s="180"/>
      <c r="AF548" s="184"/>
      <c r="AG548" s="185"/>
      <c r="AH548" s="186"/>
      <c r="AI548" s="187"/>
      <c r="AJ548" s="187"/>
      <c r="AK548" s="188"/>
      <c r="AL548" s="189"/>
      <c r="AM548" s="188"/>
      <c r="AN548" s="181"/>
    </row>
    <row r="549" spans="1:40" ht="26.25" customHeight="1">
      <c r="A549" s="177"/>
      <c r="B549" s="178"/>
      <c r="C549" s="179"/>
      <c r="D549" s="180"/>
      <c r="E549" s="180"/>
      <c r="F549" s="180"/>
      <c r="G549" s="180"/>
      <c r="H549" s="180"/>
      <c r="I549" s="181"/>
      <c r="J549" s="180"/>
      <c r="K549" s="180"/>
      <c r="L549" s="180"/>
      <c r="M549" s="180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1"/>
      <c r="Y549" s="180"/>
      <c r="Z549" s="183"/>
      <c r="AA549" s="183"/>
      <c r="AB549" s="180"/>
      <c r="AC549" s="183"/>
      <c r="AD549" s="183"/>
      <c r="AE549" s="180"/>
      <c r="AF549" s="184"/>
      <c r="AG549" s="185"/>
      <c r="AH549" s="186"/>
      <c r="AI549" s="187"/>
      <c r="AJ549" s="187"/>
      <c r="AK549" s="188"/>
      <c r="AL549" s="189"/>
      <c r="AM549" s="188"/>
      <c r="AN549" s="181"/>
    </row>
    <row r="550" spans="1:40" ht="26.25" customHeight="1">
      <c r="A550" s="177"/>
      <c r="B550" s="178"/>
      <c r="C550" s="179"/>
      <c r="D550" s="180"/>
      <c r="E550" s="180"/>
      <c r="F550" s="180"/>
      <c r="G550" s="180"/>
      <c r="H550" s="180"/>
      <c r="I550" s="181"/>
      <c r="J550" s="180"/>
      <c r="K550" s="180"/>
      <c r="L550" s="180"/>
      <c r="M550" s="180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1"/>
      <c r="Y550" s="180"/>
      <c r="Z550" s="183"/>
      <c r="AA550" s="183"/>
      <c r="AB550" s="180"/>
      <c r="AC550" s="183"/>
      <c r="AD550" s="183"/>
      <c r="AE550" s="180"/>
      <c r="AF550" s="184"/>
      <c r="AG550" s="185"/>
      <c r="AH550" s="186"/>
      <c r="AI550" s="187"/>
      <c r="AJ550" s="187"/>
      <c r="AK550" s="188"/>
      <c r="AL550" s="189"/>
      <c r="AM550" s="188"/>
      <c r="AN550" s="181"/>
    </row>
    <row r="551" spans="1:40" ht="26.25" customHeight="1">
      <c r="A551" s="177"/>
      <c r="B551" s="178"/>
      <c r="C551" s="179"/>
      <c r="D551" s="180"/>
      <c r="E551" s="180"/>
      <c r="F551" s="180"/>
      <c r="G551" s="180"/>
      <c r="H551" s="180"/>
      <c r="I551" s="181"/>
      <c r="J551" s="180"/>
      <c r="K551" s="180"/>
      <c r="L551" s="180"/>
      <c r="M551" s="180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1"/>
      <c r="Y551" s="180"/>
      <c r="Z551" s="183"/>
      <c r="AA551" s="183"/>
      <c r="AB551" s="180"/>
      <c r="AC551" s="183"/>
      <c r="AD551" s="183"/>
      <c r="AE551" s="180"/>
      <c r="AF551" s="184"/>
      <c r="AG551" s="185"/>
      <c r="AH551" s="186"/>
      <c r="AI551" s="187"/>
      <c r="AJ551" s="187"/>
      <c r="AK551" s="188"/>
      <c r="AL551" s="189"/>
      <c r="AM551" s="188"/>
      <c r="AN551" s="181"/>
    </row>
    <row r="552" spans="1:40" ht="26.25" customHeight="1">
      <c r="A552" s="177"/>
      <c r="B552" s="178"/>
      <c r="C552" s="179"/>
      <c r="D552" s="180"/>
      <c r="E552" s="180"/>
      <c r="F552" s="180"/>
      <c r="G552" s="180"/>
      <c r="H552" s="180"/>
      <c r="I552" s="181"/>
      <c r="J552" s="180"/>
      <c r="K552" s="180"/>
      <c r="L552" s="180"/>
      <c r="M552" s="180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1"/>
      <c r="Y552" s="180"/>
      <c r="Z552" s="183"/>
      <c r="AA552" s="183"/>
      <c r="AB552" s="180"/>
      <c r="AC552" s="183"/>
      <c r="AD552" s="183"/>
      <c r="AE552" s="180"/>
      <c r="AF552" s="184"/>
      <c r="AG552" s="185"/>
      <c r="AH552" s="186"/>
      <c r="AI552" s="187"/>
      <c r="AJ552" s="187"/>
      <c r="AK552" s="188"/>
      <c r="AL552" s="189"/>
      <c r="AM552" s="188"/>
      <c r="AN552" s="181"/>
    </row>
    <row r="553" spans="1:40" ht="26.25" customHeight="1">
      <c r="A553" s="177"/>
      <c r="B553" s="178"/>
      <c r="C553" s="179"/>
      <c r="D553" s="180"/>
      <c r="E553" s="180"/>
      <c r="F553" s="180"/>
      <c r="G553" s="180"/>
      <c r="H553" s="180"/>
      <c r="I553" s="181"/>
      <c r="J553" s="180"/>
      <c r="K553" s="180"/>
      <c r="L553" s="180"/>
      <c r="M553" s="180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1"/>
      <c r="Y553" s="180"/>
      <c r="Z553" s="183"/>
      <c r="AA553" s="183"/>
      <c r="AB553" s="180"/>
      <c r="AC553" s="183"/>
      <c r="AD553" s="183"/>
      <c r="AE553" s="180"/>
      <c r="AF553" s="184"/>
      <c r="AG553" s="185"/>
      <c r="AH553" s="186"/>
      <c r="AI553" s="187"/>
      <c r="AJ553" s="187"/>
      <c r="AK553" s="188"/>
      <c r="AL553" s="189"/>
      <c r="AM553" s="188"/>
      <c r="AN553" s="181"/>
    </row>
    <row r="554" spans="1:40" ht="26.25" customHeight="1">
      <c r="A554" s="177"/>
      <c r="B554" s="178"/>
      <c r="C554" s="179"/>
      <c r="D554" s="180"/>
      <c r="E554" s="180"/>
      <c r="F554" s="180"/>
      <c r="G554" s="180"/>
      <c r="H554" s="180"/>
      <c r="I554" s="181"/>
      <c r="J554" s="180"/>
      <c r="K554" s="180"/>
      <c r="L554" s="180"/>
      <c r="M554" s="180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1"/>
      <c r="Y554" s="180"/>
      <c r="Z554" s="183"/>
      <c r="AA554" s="183"/>
      <c r="AB554" s="180"/>
      <c r="AC554" s="183"/>
      <c r="AD554" s="183"/>
      <c r="AE554" s="180"/>
      <c r="AF554" s="184"/>
      <c r="AG554" s="185"/>
      <c r="AH554" s="186"/>
      <c r="AI554" s="187"/>
      <c r="AJ554" s="187"/>
      <c r="AK554" s="188"/>
      <c r="AL554" s="189"/>
      <c r="AM554" s="188"/>
      <c r="AN554" s="181"/>
    </row>
    <row r="555" spans="1:40" ht="26.25" customHeight="1">
      <c r="A555" s="177"/>
      <c r="B555" s="178"/>
      <c r="C555" s="179"/>
      <c r="D555" s="180"/>
      <c r="E555" s="180"/>
      <c r="F555" s="180"/>
      <c r="G555" s="180"/>
      <c r="H555" s="180"/>
      <c r="I555" s="181"/>
      <c r="J555" s="180"/>
      <c r="K555" s="180"/>
      <c r="L555" s="180"/>
      <c r="M555" s="180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1"/>
      <c r="Y555" s="180"/>
      <c r="Z555" s="183"/>
      <c r="AA555" s="183"/>
      <c r="AB555" s="180"/>
      <c r="AC555" s="183"/>
      <c r="AD555" s="183"/>
      <c r="AE555" s="180"/>
      <c r="AF555" s="184"/>
      <c r="AG555" s="185"/>
      <c r="AH555" s="186"/>
      <c r="AI555" s="187"/>
      <c r="AJ555" s="187"/>
      <c r="AK555" s="188"/>
      <c r="AL555" s="189"/>
      <c r="AM555" s="188"/>
      <c r="AN555" s="181"/>
    </row>
    <row r="556" spans="1:40" ht="26.25" customHeight="1">
      <c r="A556" s="177"/>
      <c r="B556" s="178"/>
      <c r="C556" s="179"/>
      <c r="D556" s="180"/>
      <c r="E556" s="180"/>
      <c r="F556" s="180"/>
      <c r="G556" s="180"/>
      <c r="H556" s="180"/>
      <c r="I556" s="181"/>
      <c r="J556" s="180"/>
      <c r="K556" s="180"/>
      <c r="L556" s="180"/>
      <c r="M556" s="180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1"/>
      <c r="Y556" s="180"/>
      <c r="Z556" s="183"/>
      <c r="AA556" s="183"/>
      <c r="AB556" s="180"/>
      <c r="AC556" s="183"/>
      <c r="AD556" s="183"/>
      <c r="AE556" s="180"/>
      <c r="AF556" s="184"/>
      <c r="AG556" s="185"/>
      <c r="AH556" s="186"/>
      <c r="AI556" s="187"/>
      <c r="AJ556" s="187"/>
      <c r="AK556" s="188"/>
      <c r="AL556" s="189"/>
      <c r="AM556" s="188"/>
      <c r="AN556" s="181"/>
    </row>
    <row r="557" spans="1:40" ht="26.25" customHeight="1">
      <c r="A557" s="177"/>
      <c r="B557" s="178"/>
      <c r="C557" s="179"/>
      <c r="D557" s="180"/>
      <c r="E557" s="180"/>
      <c r="F557" s="180"/>
      <c r="G557" s="180"/>
      <c r="H557" s="180"/>
      <c r="I557" s="181"/>
      <c r="J557" s="180"/>
      <c r="K557" s="180"/>
      <c r="L557" s="180"/>
      <c r="M557" s="180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1"/>
      <c r="Y557" s="180"/>
      <c r="Z557" s="183"/>
      <c r="AA557" s="183"/>
      <c r="AB557" s="180"/>
      <c r="AC557" s="183"/>
      <c r="AD557" s="183"/>
      <c r="AE557" s="180"/>
      <c r="AF557" s="184"/>
      <c r="AG557" s="185"/>
      <c r="AH557" s="186"/>
      <c r="AI557" s="187"/>
      <c r="AJ557" s="187"/>
      <c r="AK557" s="188"/>
      <c r="AL557" s="189"/>
      <c r="AM557" s="188"/>
      <c r="AN557" s="181"/>
    </row>
    <row r="558" spans="1:40" ht="26.25" customHeight="1">
      <c r="A558" s="177"/>
      <c r="B558" s="178"/>
      <c r="C558" s="179"/>
      <c r="D558" s="180"/>
      <c r="E558" s="180"/>
      <c r="F558" s="180"/>
      <c r="G558" s="180"/>
      <c r="H558" s="180"/>
      <c r="I558" s="181"/>
      <c r="J558" s="180"/>
      <c r="K558" s="180"/>
      <c r="L558" s="180"/>
      <c r="M558" s="180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1"/>
      <c r="Y558" s="180"/>
      <c r="Z558" s="183"/>
      <c r="AA558" s="183"/>
      <c r="AB558" s="180"/>
      <c r="AC558" s="183"/>
      <c r="AD558" s="183"/>
      <c r="AE558" s="180"/>
      <c r="AF558" s="184"/>
      <c r="AG558" s="185"/>
      <c r="AH558" s="186"/>
      <c r="AI558" s="187"/>
      <c r="AJ558" s="187"/>
      <c r="AK558" s="188"/>
      <c r="AL558" s="189"/>
      <c r="AM558" s="188"/>
      <c r="AN558" s="181"/>
    </row>
    <row r="559" spans="1:40" ht="26.25" customHeight="1">
      <c r="A559" s="177"/>
      <c r="B559" s="178"/>
      <c r="C559" s="179"/>
      <c r="D559" s="180"/>
      <c r="E559" s="180"/>
      <c r="F559" s="180"/>
      <c r="G559" s="180"/>
      <c r="H559" s="180"/>
      <c r="I559" s="181"/>
      <c r="J559" s="180"/>
      <c r="K559" s="180"/>
      <c r="L559" s="180"/>
      <c r="M559" s="180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1"/>
      <c r="Y559" s="180"/>
      <c r="Z559" s="183"/>
      <c r="AA559" s="183"/>
      <c r="AB559" s="180"/>
      <c r="AC559" s="183"/>
      <c r="AD559" s="183"/>
      <c r="AE559" s="180"/>
      <c r="AF559" s="184"/>
      <c r="AG559" s="185"/>
      <c r="AH559" s="186"/>
      <c r="AI559" s="187"/>
      <c r="AJ559" s="187"/>
      <c r="AK559" s="188"/>
      <c r="AL559" s="189"/>
      <c r="AM559" s="188"/>
      <c r="AN559" s="181"/>
    </row>
    <row r="560" spans="1:40" ht="26.25" customHeight="1">
      <c r="A560" s="177"/>
      <c r="B560" s="178"/>
      <c r="C560" s="179"/>
      <c r="D560" s="180"/>
      <c r="E560" s="180"/>
      <c r="F560" s="180"/>
      <c r="G560" s="180"/>
      <c r="H560" s="180"/>
      <c r="I560" s="181"/>
      <c r="J560" s="180"/>
      <c r="K560" s="180"/>
      <c r="L560" s="180"/>
      <c r="M560" s="180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1"/>
      <c r="Y560" s="180"/>
      <c r="Z560" s="183"/>
      <c r="AA560" s="183"/>
      <c r="AB560" s="180"/>
      <c r="AC560" s="183"/>
      <c r="AD560" s="183"/>
      <c r="AE560" s="180"/>
      <c r="AF560" s="184"/>
      <c r="AG560" s="185"/>
      <c r="AH560" s="186"/>
      <c r="AI560" s="187"/>
      <c r="AJ560" s="187"/>
      <c r="AK560" s="188"/>
      <c r="AL560" s="189"/>
      <c r="AM560" s="188"/>
      <c r="AN560" s="181"/>
    </row>
    <row r="561" spans="1:40" ht="26.25" customHeight="1">
      <c r="A561" s="177"/>
      <c r="B561" s="178"/>
      <c r="C561" s="179"/>
      <c r="D561" s="180"/>
      <c r="E561" s="180"/>
      <c r="F561" s="180"/>
      <c r="G561" s="180"/>
      <c r="H561" s="180"/>
      <c r="I561" s="181"/>
      <c r="J561" s="180"/>
      <c r="K561" s="180"/>
      <c r="L561" s="180"/>
      <c r="M561" s="180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1"/>
      <c r="Y561" s="180"/>
      <c r="Z561" s="183"/>
      <c r="AA561" s="183"/>
      <c r="AB561" s="180"/>
      <c r="AC561" s="183"/>
      <c r="AD561" s="183"/>
      <c r="AE561" s="180"/>
      <c r="AF561" s="184"/>
      <c r="AG561" s="185"/>
      <c r="AH561" s="186"/>
      <c r="AI561" s="187"/>
      <c r="AJ561" s="187"/>
      <c r="AK561" s="188"/>
      <c r="AL561" s="189"/>
      <c r="AM561" s="188"/>
      <c r="AN561" s="181"/>
    </row>
    <row r="562" spans="1:40" ht="26.25" customHeight="1">
      <c r="A562" s="177"/>
      <c r="B562" s="178"/>
      <c r="C562" s="179"/>
      <c r="D562" s="180"/>
      <c r="E562" s="180"/>
      <c r="F562" s="180"/>
      <c r="G562" s="180"/>
      <c r="H562" s="180"/>
      <c r="I562" s="181"/>
      <c r="J562" s="180"/>
      <c r="K562" s="180"/>
      <c r="L562" s="180"/>
      <c r="M562" s="180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1"/>
      <c r="Y562" s="180"/>
      <c r="Z562" s="183"/>
      <c r="AA562" s="183"/>
      <c r="AB562" s="180"/>
      <c r="AC562" s="183"/>
      <c r="AD562" s="183"/>
      <c r="AE562" s="180"/>
      <c r="AF562" s="184"/>
      <c r="AG562" s="185"/>
      <c r="AH562" s="186"/>
      <c r="AI562" s="187"/>
      <c r="AJ562" s="187"/>
      <c r="AK562" s="188"/>
      <c r="AL562" s="189"/>
      <c r="AM562" s="188"/>
      <c r="AN562" s="181"/>
    </row>
    <row r="563" spans="1:40" ht="26.25" customHeight="1">
      <c r="A563" s="177"/>
      <c r="B563" s="178"/>
      <c r="C563" s="179"/>
      <c r="D563" s="180"/>
      <c r="E563" s="180"/>
      <c r="F563" s="180"/>
      <c r="G563" s="180"/>
      <c r="H563" s="180"/>
      <c r="I563" s="181"/>
      <c r="J563" s="180"/>
      <c r="K563" s="180"/>
      <c r="L563" s="180"/>
      <c r="M563" s="180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1"/>
      <c r="Y563" s="180"/>
      <c r="Z563" s="183"/>
      <c r="AA563" s="183"/>
      <c r="AB563" s="180"/>
      <c r="AC563" s="183"/>
      <c r="AD563" s="183"/>
      <c r="AE563" s="180"/>
      <c r="AF563" s="184"/>
      <c r="AG563" s="185"/>
      <c r="AH563" s="186"/>
      <c r="AI563" s="187"/>
      <c r="AJ563" s="187"/>
      <c r="AK563" s="188"/>
      <c r="AL563" s="189"/>
      <c r="AM563" s="188"/>
      <c r="AN563" s="181"/>
    </row>
    <row r="564" spans="1:40" ht="26.25" customHeight="1">
      <c r="A564" s="177"/>
      <c r="B564" s="178"/>
      <c r="C564" s="179"/>
      <c r="D564" s="180"/>
      <c r="E564" s="180"/>
      <c r="F564" s="180"/>
      <c r="G564" s="180"/>
      <c r="H564" s="180"/>
      <c r="I564" s="181"/>
      <c r="J564" s="180"/>
      <c r="K564" s="180"/>
      <c r="L564" s="180"/>
      <c r="M564" s="180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1"/>
      <c r="Y564" s="180"/>
      <c r="Z564" s="183"/>
      <c r="AA564" s="183"/>
      <c r="AB564" s="180"/>
      <c r="AC564" s="183"/>
      <c r="AD564" s="183"/>
      <c r="AE564" s="180"/>
      <c r="AF564" s="184"/>
      <c r="AG564" s="185"/>
      <c r="AH564" s="186"/>
      <c r="AI564" s="187"/>
      <c r="AJ564" s="187"/>
      <c r="AK564" s="188"/>
      <c r="AL564" s="189"/>
      <c r="AM564" s="188"/>
      <c r="AN564" s="181"/>
    </row>
    <row r="565" spans="1:40" ht="26.25" customHeight="1">
      <c r="A565" s="177"/>
      <c r="B565" s="178"/>
      <c r="C565" s="179"/>
      <c r="D565" s="180"/>
      <c r="E565" s="180"/>
      <c r="F565" s="180"/>
      <c r="G565" s="180"/>
      <c r="H565" s="180"/>
      <c r="I565" s="181"/>
      <c r="J565" s="180"/>
      <c r="K565" s="180"/>
      <c r="L565" s="180"/>
      <c r="M565" s="180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1"/>
      <c r="Y565" s="180"/>
      <c r="Z565" s="183"/>
      <c r="AA565" s="183"/>
      <c r="AB565" s="180"/>
      <c r="AC565" s="183"/>
      <c r="AD565" s="183"/>
      <c r="AE565" s="180"/>
      <c r="AF565" s="184"/>
      <c r="AG565" s="185"/>
      <c r="AH565" s="186"/>
      <c r="AI565" s="187"/>
      <c r="AJ565" s="187"/>
      <c r="AK565" s="188"/>
      <c r="AL565" s="189"/>
      <c r="AM565" s="188"/>
      <c r="AN565" s="181"/>
    </row>
    <row r="566" spans="1:40" ht="26.25" customHeight="1">
      <c r="A566" s="177"/>
      <c r="B566" s="178"/>
      <c r="C566" s="179"/>
      <c r="D566" s="180"/>
      <c r="E566" s="180"/>
      <c r="F566" s="180"/>
      <c r="G566" s="180"/>
      <c r="H566" s="180"/>
      <c r="I566" s="181"/>
      <c r="J566" s="180"/>
      <c r="K566" s="180"/>
      <c r="L566" s="180"/>
      <c r="M566" s="180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1"/>
      <c r="Y566" s="180"/>
      <c r="Z566" s="183"/>
      <c r="AA566" s="183"/>
      <c r="AB566" s="180"/>
      <c r="AC566" s="183"/>
      <c r="AD566" s="183"/>
      <c r="AE566" s="180"/>
      <c r="AF566" s="184"/>
      <c r="AG566" s="185"/>
      <c r="AH566" s="186"/>
      <c r="AI566" s="187"/>
      <c r="AJ566" s="187"/>
      <c r="AK566" s="188"/>
      <c r="AL566" s="189"/>
      <c r="AM566" s="188"/>
      <c r="AN566" s="181"/>
    </row>
    <row r="567" spans="1:40" ht="26.25" customHeight="1">
      <c r="A567" s="177"/>
      <c r="B567" s="178"/>
      <c r="C567" s="179"/>
      <c r="D567" s="180"/>
      <c r="E567" s="180"/>
      <c r="F567" s="180"/>
      <c r="G567" s="180"/>
      <c r="H567" s="180"/>
      <c r="I567" s="181"/>
      <c r="J567" s="180"/>
      <c r="K567" s="180"/>
      <c r="L567" s="180"/>
      <c r="M567" s="180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1"/>
      <c r="Y567" s="180"/>
      <c r="Z567" s="183"/>
      <c r="AA567" s="183"/>
      <c r="AB567" s="180"/>
      <c r="AC567" s="183"/>
      <c r="AD567" s="183"/>
      <c r="AE567" s="180"/>
      <c r="AF567" s="184"/>
      <c r="AG567" s="185"/>
      <c r="AH567" s="186"/>
      <c r="AI567" s="187"/>
      <c r="AJ567" s="187"/>
      <c r="AK567" s="188"/>
      <c r="AL567" s="189"/>
      <c r="AM567" s="188"/>
      <c r="AN567" s="181"/>
    </row>
    <row r="568" spans="1:40" ht="26.25" customHeight="1">
      <c r="A568" s="177"/>
      <c r="B568" s="178"/>
      <c r="C568" s="179"/>
      <c r="D568" s="180"/>
      <c r="E568" s="180"/>
      <c r="F568" s="180"/>
      <c r="G568" s="180"/>
      <c r="H568" s="180"/>
      <c r="I568" s="181"/>
      <c r="J568" s="180"/>
      <c r="K568" s="180"/>
      <c r="L568" s="180"/>
      <c r="M568" s="180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1"/>
      <c r="Y568" s="180"/>
      <c r="Z568" s="183"/>
      <c r="AA568" s="183"/>
      <c r="AB568" s="180"/>
      <c r="AC568" s="183"/>
      <c r="AD568" s="183"/>
      <c r="AE568" s="180"/>
      <c r="AF568" s="184"/>
      <c r="AG568" s="185"/>
      <c r="AH568" s="186"/>
      <c r="AI568" s="187"/>
      <c r="AJ568" s="187"/>
      <c r="AK568" s="188"/>
      <c r="AL568" s="189"/>
      <c r="AM568" s="188"/>
      <c r="AN568" s="181"/>
    </row>
    <row r="569" spans="1:40" ht="26.25" customHeight="1">
      <c r="A569" s="177"/>
      <c r="B569" s="178"/>
      <c r="C569" s="179"/>
      <c r="D569" s="180"/>
      <c r="E569" s="180"/>
      <c r="F569" s="180"/>
      <c r="G569" s="180"/>
      <c r="H569" s="180"/>
      <c r="I569" s="181"/>
      <c r="J569" s="180"/>
      <c r="K569" s="180"/>
      <c r="L569" s="180"/>
      <c r="M569" s="180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1"/>
      <c r="Y569" s="180"/>
      <c r="Z569" s="183"/>
      <c r="AA569" s="183"/>
      <c r="AB569" s="180"/>
      <c r="AC569" s="183"/>
      <c r="AD569" s="183"/>
      <c r="AE569" s="180"/>
      <c r="AF569" s="184"/>
      <c r="AG569" s="185"/>
      <c r="AH569" s="186"/>
      <c r="AI569" s="187"/>
      <c r="AJ569" s="187"/>
      <c r="AK569" s="188"/>
      <c r="AL569" s="189"/>
      <c r="AM569" s="188"/>
      <c r="AN569" s="181"/>
    </row>
    <row r="570" spans="1:40" ht="26.25" customHeight="1">
      <c r="A570" s="177"/>
      <c r="B570" s="178"/>
      <c r="C570" s="179"/>
      <c r="D570" s="180"/>
      <c r="E570" s="180"/>
      <c r="F570" s="180"/>
      <c r="G570" s="180"/>
      <c r="H570" s="180"/>
      <c r="I570" s="181"/>
      <c r="J570" s="180"/>
      <c r="K570" s="180"/>
      <c r="L570" s="180"/>
      <c r="M570" s="180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1"/>
      <c r="Y570" s="180"/>
      <c r="Z570" s="183"/>
      <c r="AA570" s="183"/>
      <c r="AB570" s="180"/>
      <c r="AC570" s="183"/>
      <c r="AD570" s="183"/>
      <c r="AE570" s="180"/>
      <c r="AF570" s="184"/>
      <c r="AG570" s="185"/>
      <c r="AH570" s="186"/>
      <c r="AI570" s="187"/>
      <c r="AJ570" s="187"/>
      <c r="AK570" s="188"/>
      <c r="AL570" s="189"/>
      <c r="AM570" s="188"/>
      <c r="AN570" s="181"/>
    </row>
    <row r="571" spans="1:40" ht="26.25" customHeight="1">
      <c r="A571" s="177"/>
      <c r="B571" s="178"/>
      <c r="C571" s="179"/>
      <c r="D571" s="180"/>
      <c r="E571" s="180"/>
      <c r="F571" s="180"/>
      <c r="G571" s="180"/>
      <c r="H571" s="180"/>
      <c r="I571" s="181"/>
      <c r="J571" s="180"/>
      <c r="K571" s="180"/>
      <c r="L571" s="180"/>
      <c r="M571" s="180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1"/>
      <c r="Y571" s="180"/>
      <c r="Z571" s="183"/>
      <c r="AA571" s="183"/>
      <c r="AB571" s="180"/>
      <c r="AC571" s="183"/>
      <c r="AD571" s="183"/>
      <c r="AE571" s="180"/>
      <c r="AF571" s="184"/>
      <c r="AG571" s="185"/>
      <c r="AH571" s="186"/>
      <c r="AI571" s="187"/>
      <c r="AJ571" s="187"/>
      <c r="AK571" s="188"/>
      <c r="AL571" s="189"/>
      <c r="AM571" s="188"/>
      <c r="AN571" s="181"/>
    </row>
    <row r="572" spans="1:40" ht="26.25" customHeight="1">
      <c r="A572" s="177"/>
      <c r="B572" s="178"/>
      <c r="C572" s="179"/>
      <c r="D572" s="180"/>
      <c r="E572" s="180"/>
      <c r="F572" s="180"/>
      <c r="G572" s="180"/>
      <c r="H572" s="180"/>
      <c r="I572" s="181"/>
      <c r="J572" s="180"/>
      <c r="K572" s="180"/>
      <c r="L572" s="180"/>
      <c r="M572" s="180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1"/>
      <c r="Y572" s="180"/>
      <c r="Z572" s="183"/>
      <c r="AA572" s="183"/>
      <c r="AB572" s="180"/>
      <c r="AC572" s="183"/>
      <c r="AD572" s="183"/>
      <c r="AE572" s="180"/>
      <c r="AF572" s="184"/>
      <c r="AG572" s="185"/>
      <c r="AH572" s="186"/>
      <c r="AI572" s="187"/>
      <c r="AJ572" s="187"/>
      <c r="AK572" s="188"/>
      <c r="AL572" s="189"/>
      <c r="AM572" s="188"/>
      <c r="AN572" s="181"/>
    </row>
    <row r="573" spans="1:40" ht="26.25" customHeight="1">
      <c r="A573" s="177"/>
      <c r="B573" s="178"/>
      <c r="C573" s="179"/>
      <c r="D573" s="180"/>
      <c r="E573" s="180"/>
      <c r="F573" s="180"/>
      <c r="G573" s="180"/>
      <c r="H573" s="180"/>
      <c r="I573" s="181"/>
      <c r="J573" s="180"/>
      <c r="K573" s="180"/>
      <c r="L573" s="180"/>
      <c r="M573" s="180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1"/>
      <c r="Y573" s="180"/>
      <c r="Z573" s="183"/>
      <c r="AA573" s="183"/>
      <c r="AB573" s="180"/>
      <c r="AC573" s="183"/>
      <c r="AD573" s="183"/>
      <c r="AE573" s="180"/>
      <c r="AF573" s="184"/>
      <c r="AG573" s="185"/>
      <c r="AH573" s="186"/>
      <c r="AI573" s="187"/>
      <c r="AJ573" s="187"/>
      <c r="AK573" s="188"/>
      <c r="AL573" s="189"/>
      <c r="AM573" s="188"/>
      <c r="AN573" s="181"/>
    </row>
    <row r="574" spans="1:40" ht="26.25" customHeight="1">
      <c r="A574" s="177"/>
      <c r="B574" s="178"/>
      <c r="C574" s="179"/>
      <c r="D574" s="180"/>
      <c r="E574" s="180"/>
      <c r="F574" s="180"/>
      <c r="G574" s="180"/>
      <c r="H574" s="180"/>
      <c r="I574" s="181"/>
      <c r="J574" s="180"/>
      <c r="K574" s="180"/>
      <c r="L574" s="180"/>
      <c r="M574" s="180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1"/>
      <c r="Y574" s="180"/>
      <c r="Z574" s="183"/>
      <c r="AA574" s="183"/>
      <c r="AB574" s="180"/>
      <c r="AC574" s="183"/>
      <c r="AD574" s="183"/>
      <c r="AE574" s="180"/>
      <c r="AF574" s="184"/>
      <c r="AG574" s="185"/>
      <c r="AH574" s="186"/>
      <c r="AI574" s="187"/>
      <c r="AJ574" s="187"/>
      <c r="AK574" s="188"/>
      <c r="AL574" s="189"/>
      <c r="AM574" s="188"/>
      <c r="AN574" s="181"/>
    </row>
    <row r="575" spans="1:40" ht="26.25" customHeight="1">
      <c r="A575" s="177"/>
      <c r="B575" s="178"/>
      <c r="C575" s="179"/>
      <c r="D575" s="180"/>
      <c r="E575" s="180"/>
      <c r="F575" s="180"/>
      <c r="G575" s="180"/>
      <c r="H575" s="180"/>
      <c r="I575" s="181"/>
      <c r="J575" s="180"/>
      <c r="K575" s="180"/>
      <c r="L575" s="180"/>
      <c r="M575" s="180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1"/>
      <c r="Y575" s="180"/>
      <c r="Z575" s="183"/>
      <c r="AA575" s="183"/>
      <c r="AB575" s="180"/>
      <c r="AC575" s="183"/>
      <c r="AD575" s="183"/>
      <c r="AE575" s="180"/>
      <c r="AF575" s="184"/>
      <c r="AG575" s="185"/>
      <c r="AH575" s="186"/>
      <c r="AI575" s="187"/>
      <c r="AJ575" s="187"/>
      <c r="AK575" s="188"/>
      <c r="AL575" s="189"/>
      <c r="AM575" s="188"/>
      <c r="AN575" s="181"/>
    </row>
    <row r="576" spans="1:40" ht="26.25" customHeight="1">
      <c r="A576" s="177"/>
      <c r="B576" s="178"/>
      <c r="C576" s="179"/>
      <c r="D576" s="180"/>
      <c r="E576" s="180"/>
      <c r="F576" s="180"/>
      <c r="G576" s="180"/>
      <c r="H576" s="180"/>
      <c r="I576" s="181"/>
      <c r="J576" s="180"/>
      <c r="K576" s="180"/>
      <c r="L576" s="180"/>
      <c r="M576" s="180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1"/>
      <c r="Y576" s="180"/>
      <c r="Z576" s="183"/>
      <c r="AA576" s="183"/>
      <c r="AB576" s="180"/>
      <c r="AC576" s="183"/>
      <c r="AD576" s="183"/>
      <c r="AE576" s="180"/>
      <c r="AF576" s="184"/>
      <c r="AG576" s="185"/>
      <c r="AH576" s="186"/>
      <c r="AI576" s="187"/>
      <c r="AJ576" s="187"/>
      <c r="AK576" s="188"/>
      <c r="AL576" s="189"/>
      <c r="AM576" s="188"/>
      <c r="AN576" s="181"/>
    </row>
    <row r="577" spans="1:40" ht="26.25" customHeight="1">
      <c r="A577" s="177"/>
      <c r="B577" s="178"/>
      <c r="C577" s="179"/>
      <c r="D577" s="180"/>
      <c r="E577" s="180"/>
      <c r="F577" s="180"/>
      <c r="G577" s="180"/>
      <c r="H577" s="180"/>
      <c r="I577" s="181"/>
      <c r="J577" s="180"/>
      <c r="K577" s="180"/>
      <c r="L577" s="180"/>
      <c r="M577" s="180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1"/>
      <c r="Y577" s="180"/>
      <c r="Z577" s="183"/>
      <c r="AA577" s="183"/>
      <c r="AB577" s="180"/>
      <c r="AC577" s="183"/>
      <c r="AD577" s="183"/>
      <c r="AE577" s="180"/>
      <c r="AF577" s="184"/>
      <c r="AG577" s="185"/>
      <c r="AH577" s="186"/>
      <c r="AI577" s="187"/>
      <c r="AJ577" s="187"/>
      <c r="AK577" s="188"/>
      <c r="AL577" s="189"/>
      <c r="AM577" s="188"/>
      <c r="AN577" s="181"/>
    </row>
    <row r="578" spans="1:40" ht="26.25" customHeight="1">
      <c r="A578" s="177"/>
      <c r="B578" s="178"/>
      <c r="C578" s="179"/>
      <c r="D578" s="180"/>
      <c r="E578" s="180"/>
      <c r="F578" s="180"/>
      <c r="G578" s="180"/>
      <c r="H578" s="180"/>
      <c r="I578" s="181"/>
      <c r="J578" s="180"/>
      <c r="K578" s="180"/>
      <c r="L578" s="180"/>
      <c r="M578" s="180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1"/>
      <c r="Y578" s="180"/>
      <c r="Z578" s="183"/>
      <c r="AA578" s="183"/>
      <c r="AB578" s="180"/>
      <c r="AC578" s="183"/>
      <c r="AD578" s="183"/>
      <c r="AE578" s="180"/>
      <c r="AF578" s="184"/>
      <c r="AG578" s="185"/>
      <c r="AH578" s="186"/>
      <c r="AI578" s="187"/>
      <c r="AJ578" s="187"/>
      <c r="AK578" s="188"/>
      <c r="AL578" s="189"/>
      <c r="AM578" s="188"/>
      <c r="AN578" s="181"/>
    </row>
    <row r="579" spans="1:40" ht="26.25" customHeight="1">
      <c r="A579" s="177"/>
      <c r="B579" s="178"/>
      <c r="C579" s="179"/>
      <c r="D579" s="180"/>
      <c r="E579" s="180"/>
      <c r="F579" s="180"/>
      <c r="G579" s="180"/>
      <c r="H579" s="180"/>
      <c r="I579" s="181"/>
      <c r="J579" s="180"/>
      <c r="K579" s="180"/>
      <c r="L579" s="180"/>
      <c r="M579" s="180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1"/>
      <c r="Y579" s="180"/>
      <c r="Z579" s="183"/>
      <c r="AA579" s="183"/>
      <c r="AB579" s="180"/>
      <c r="AC579" s="183"/>
      <c r="AD579" s="183"/>
      <c r="AE579" s="180"/>
      <c r="AF579" s="184"/>
      <c r="AG579" s="185"/>
      <c r="AH579" s="186"/>
      <c r="AI579" s="187"/>
      <c r="AJ579" s="187"/>
      <c r="AK579" s="188"/>
      <c r="AL579" s="189"/>
      <c r="AM579" s="188"/>
      <c r="AN579" s="181"/>
    </row>
    <row r="580" spans="1:40" ht="26.25" customHeight="1">
      <c r="A580" s="177"/>
      <c r="B580" s="178"/>
      <c r="C580" s="179"/>
      <c r="D580" s="180"/>
      <c r="E580" s="180"/>
      <c r="F580" s="180"/>
      <c r="G580" s="180"/>
      <c r="H580" s="180"/>
      <c r="I580" s="181"/>
      <c r="J580" s="180"/>
      <c r="K580" s="180"/>
      <c r="L580" s="180"/>
      <c r="M580" s="180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1"/>
      <c r="Y580" s="180"/>
      <c r="Z580" s="183"/>
      <c r="AA580" s="183"/>
      <c r="AB580" s="180"/>
      <c r="AC580" s="183"/>
      <c r="AD580" s="183"/>
      <c r="AE580" s="180"/>
      <c r="AF580" s="184"/>
      <c r="AG580" s="185"/>
      <c r="AH580" s="186"/>
      <c r="AI580" s="187"/>
      <c r="AJ580" s="187"/>
      <c r="AK580" s="188"/>
      <c r="AL580" s="189"/>
      <c r="AM580" s="188"/>
      <c r="AN580" s="181"/>
    </row>
    <row r="581" spans="1:40" ht="26.25" customHeight="1">
      <c r="A581" s="177"/>
      <c r="B581" s="178"/>
      <c r="C581" s="179"/>
      <c r="D581" s="180"/>
      <c r="E581" s="180"/>
      <c r="F581" s="180"/>
      <c r="G581" s="180"/>
      <c r="H581" s="180"/>
      <c r="I581" s="181"/>
      <c r="J581" s="180"/>
      <c r="K581" s="180"/>
      <c r="L581" s="180"/>
      <c r="M581" s="180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1"/>
      <c r="Y581" s="180"/>
      <c r="Z581" s="183"/>
      <c r="AA581" s="183"/>
      <c r="AB581" s="180"/>
      <c r="AC581" s="183"/>
      <c r="AD581" s="183"/>
      <c r="AE581" s="180"/>
      <c r="AF581" s="184"/>
      <c r="AG581" s="185"/>
      <c r="AH581" s="186"/>
      <c r="AI581" s="187"/>
      <c r="AJ581" s="187"/>
      <c r="AK581" s="188"/>
      <c r="AL581" s="189"/>
      <c r="AM581" s="188"/>
      <c r="AN581" s="181"/>
    </row>
    <row r="582" spans="1:40" ht="26.25" customHeight="1">
      <c r="A582" s="177"/>
      <c r="B582" s="178"/>
      <c r="C582" s="179"/>
      <c r="D582" s="180"/>
      <c r="E582" s="180"/>
      <c r="F582" s="180"/>
      <c r="G582" s="180"/>
      <c r="H582" s="180"/>
      <c r="I582" s="181"/>
      <c r="J582" s="180"/>
      <c r="K582" s="180"/>
      <c r="L582" s="180"/>
      <c r="M582" s="180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1"/>
      <c r="Y582" s="180"/>
      <c r="Z582" s="183"/>
      <c r="AA582" s="183"/>
      <c r="AB582" s="180"/>
      <c r="AC582" s="183"/>
      <c r="AD582" s="183"/>
      <c r="AE582" s="180"/>
      <c r="AF582" s="184"/>
      <c r="AG582" s="185"/>
      <c r="AH582" s="186"/>
      <c r="AI582" s="187"/>
      <c r="AJ582" s="187"/>
      <c r="AK582" s="188"/>
      <c r="AL582" s="189"/>
      <c r="AM582" s="188"/>
      <c r="AN582" s="181"/>
    </row>
    <row r="583" spans="1:40" ht="26.25" customHeight="1">
      <c r="A583" s="177"/>
      <c r="B583" s="178"/>
      <c r="C583" s="179"/>
      <c r="D583" s="180"/>
      <c r="E583" s="180"/>
      <c r="F583" s="180"/>
      <c r="G583" s="180"/>
      <c r="H583" s="180"/>
      <c r="I583" s="181"/>
      <c r="J583" s="180"/>
      <c r="K583" s="180"/>
      <c r="L583" s="180"/>
      <c r="M583" s="180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1"/>
      <c r="Y583" s="180"/>
      <c r="Z583" s="183"/>
      <c r="AA583" s="183"/>
      <c r="AB583" s="180"/>
      <c r="AC583" s="183"/>
      <c r="AD583" s="183"/>
      <c r="AE583" s="180"/>
      <c r="AF583" s="184"/>
      <c r="AG583" s="185"/>
      <c r="AH583" s="186"/>
      <c r="AI583" s="187"/>
      <c r="AJ583" s="187"/>
      <c r="AK583" s="188"/>
      <c r="AL583" s="189"/>
      <c r="AM583" s="188"/>
      <c r="AN583" s="181"/>
    </row>
    <row r="584" spans="1:40" ht="26.25" customHeight="1">
      <c r="A584" s="177"/>
      <c r="B584" s="178"/>
      <c r="C584" s="179"/>
      <c r="D584" s="180"/>
      <c r="E584" s="180"/>
      <c r="F584" s="180"/>
      <c r="G584" s="180"/>
      <c r="H584" s="180"/>
      <c r="I584" s="181"/>
      <c r="J584" s="180"/>
      <c r="K584" s="180"/>
      <c r="L584" s="180"/>
      <c r="M584" s="180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1"/>
      <c r="Y584" s="180"/>
      <c r="Z584" s="183"/>
      <c r="AA584" s="183"/>
      <c r="AB584" s="180"/>
      <c r="AC584" s="183"/>
      <c r="AD584" s="183"/>
      <c r="AE584" s="180"/>
      <c r="AF584" s="184"/>
      <c r="AG584" s="185"/>
      <c r="AH584" s="186"/>
      <c r="AI584" s="187"/>
      <c r="AJ584" s="187"/>
      <c r="AK584" s="188"/>
      <c r="AL584" s="189"/>
      <c r="AM584" s="188"/>
      <c r="AN584" s="181"/>
    </row>
    <row r="585" spans="1:40" ht="26.25" customHeight="1">
      <c r="A585" s="177"/>
      <c r="B585" s="178"/>
      <c r="C585" s="179"/>
      <c r="D585" s="180"/>
      <c r="E585" s="180"/>
      <c r="F585" s="180"/>
      <c r="G585" s="180"/>
      <c r="H585" s="180"/>
      <c r="I585" s="181"/>
      <c r="J585" s="180"/>
      <c r="K585" s="180"/>
      <c r="L585" s="180"/>
      <c r="M585" s="180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1"/>
      <c r="Y585" s="180"/>
      <c r="Z585" s="183"/>
      <c r="AA585" s="183"/>
      <c r="AB585" s="180"/>
      <c r="AC585" s="183"/>
      <c r="AD585" s="183"/>
      <c r="AE585" s="180"/>
      <c r="AF585" s="184"/>
      <c r="AG585" s="185"/>
      <c r="AH585" s="186"/>
      <c r="AI585" s="187"/>
      <c r="AJ585" s="187"/>
      <c r="AK585" s="188"/>
      <c r="AL585" s="189"/>
      <c r="AM585" s="188"/>
      <c r="AN585" s="181"/>
    </row>
    <row r="586" spans="1:40" ht="26.25" customHeight="1">
      <c r="A586" s="177"/>
      <c r="B586" s="178"/>
      <c r="C586" s="179"/>
      <c r="D586" s="180"/>
      <c r="E586" s="180"/>
      <c r="F586" s="180"/>
      <c r="G586" s="180"/>
      <c r="H586" s="180"/>
      <c r="I586" s="181"/>
      <c r="J586" s="180"/>
      <c r="K586" s="180"/>
      <c r="L586" s="180"/>
      <c r="M586" s="180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1"/>
      <c r="Y586" s="180"/>
      <c r="Z586" s="183"/>
      <c r="AA586" s="183"/>
      <c r="AB586" s="180"/>
      <c r="AC586" s="183"/>
      <c r="AD586" s="183"/>
      <c r="AE586" s="180"/>
      <c r="AF586" s="184"/>
      <c r="AG586" s="185"/>
      <c r="AH586" s="186"/>
      <c r="AI586" s="187"/>
      <c r="AJ586" s="187"/>
      <c r="AK586" s="188"/>
      <c r="AL586" s="189"/>
      <c r="AM586" s="188"/>
      <c r="AN586" s="181"/>
    </row>
    <row r="587" spans="1:40" ht="26.25" customHeight="1">
      <c r="A587" s="177"/>
      <c r="B587" s="178"/>
      <c r="C587" s="179"/>
      <c r="D587" s="180"/>
      <c r="E587" s="180"/>
      <c r="F587" s="180"/>
      <c r="G587" s="180"/>
      <c r="H587" s="180"/>
      <c r="I587" s="181"/>
      <c r="J587" s="180"/>
      <c r="K587" s="180"/>
      <c r="L587" s="180"/>
      <c r="M587" s="180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1"/>
      <c r="Y587" s="180"/>
      <c r="Z587" s="183"/>
      <c r="AA587" s="183"/>
      <c r="AB587" s="180"/>
      <c r="AC587" s="183"/>
      <c r="AD587" s="183"/>
      <c r="AE587" s="180"/>
      <c r="AF587" s="184"/>
      <c r="AG587" s="185"/>
      <c r="AH587" s="186"/>
      <c r="AI587" s="187"/>
      <c r="AJ587" s="187"/>
      <c r="AK587" s="188"/>
      <c r="AL587" s="189"/>
      <c r="AM587" s="188"/>
      <c r="AN587" s="181"/>
    </row>
    <row r="588" spans="1:40" ht="26.25" customHeight="1">
      <c r="A588" s="177"/>
      <c r="B588" s="178"/>
      <c r="C588" s="179"/>
      <c r="D588" s="180"/>
      <c r="E588" s="180"/>
      <c r="F588" s="180"/>
      <c r="G588" s="180"/>
      <c r="H588" s="180"/>
      <c r="I588" s="181"/>
      <c r="J588" s="180"/>
      <c r="K588" s="180"/>
      <c r="L588" s="180"/>
      <c r="M588" s="180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1"/>
      <c r="Y588" s="180"/>
      <c r="Z588" s="183"/>
      <c r="AA588" s="183"/>
      <c r="AB588" s="180"/>
      <c r="AC588" s="183"/>
      <c r="AD588" s="183"/>
      <c r="AE588" s="180"/>
      <c r="AF588" s="184"/>
      <c r="AG588" s="185"/>
      <c r="AH588" s="186"/>
      <c r="AI588" s="187"/>
      <c r="AJ588" s="187"/>
      <c r="AK588" s="188"/>
      <c r="AL588" s="189"/>
      <c r="AM588" s="188"/>
      <c r="AN588" s="181"/>
    </row>
    <row r="589" spans="1:40" ht="26.25" customHeight="1">
      <c r="A589" s="177"/>
      <c r="B589" s="178"/>
      <c r="C589" s="179"/>
      <c r="D589" s="180"/>
      <c r="E589" s="180"/>
      <c r="F589" s="180"/>
      <c r="G589" s="180"/>
      <c r="H589" s="180"/>
      <c r="I589" s="181"/>
      <c r="J589" s="180"/>
      <c r="K589" s="180"/>
      <c r="L589" s="180"/>
      <c r="M589" s="180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1"/>
      <c r="Y589" s="180"/>
      <c r="Z589" s="183"/>
      <c r="AA589" s="183"/>
      <c r="AB589" s="180"/>
      <c r="AC589" s="183"/>
      <c r="AD589" s="183"/>
      <c r="AE589" s="180"/>
      <c r="AF589" s="184"/>
      <c r="AG589" s="185"/>
      <c r="AH589" s="186"/>
      <c r="AI589" s="187"/>
      <c r="AJ589" s="187"/>
      <c r="AK589" s="188"/>
      <c r="AL589" s="189"/>
      <c r="AM589" s="188"/>
      <c r="AN589" s="181"/>
    </row>
    <row r="590" spans="1:40" ht="26.25" customHeight="1">
      <c r="A590" s="177"/>
      <c r="B590" s="178"/>
      <c r="C590" s="179"/>
      <c r="D590" s="180"/>
      <c r="E590" s="180"/>
      <c r="F590" s="180"/>
      <c r="G590" s="180"/>
      <c r="H590" s="180"/>
      <c r="I590" s="181"/>
      <c r="J590" s="180"/>
      <c r="K590" s="180"/>
      <c r="L590" s="180"/>
      <c r="M590" s="180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1"/>
      <c r="Y590" s="180"/>
      <c r="Z590" s="183"/>
      <c r="AA590" s="183"/>
      <c r="AB590" s="180"/>
      <c r="AC590" s="183"/>
      <c r="AD590" s="183"/>
      <c r="AE590" s="180"/>
      <c r="AF590" s="184"/>
      <c r="AG590" s="185"/>
      <c r="AH590" s="186"/>
      <c r="AI590" s="187"/>
      <c r="AJ590" s="187"/>
      <c r="AK590" s="188"/>
      <c r="AL590" s="189"/>
      <c r="AM590" s="188"/>
      <c r="AN590" s="181"/>
    </row>
    <row r="591" spans="1:40" ht="26.25" customHeight="1">
      <c r="A591" s="177"/>
      <c r="B591" s="178"/>
      <c r="C591" s="179"/>
      <c r="D591" s="180"/>
      <c r="E591" s="180"/>
      <c r="F591" s="180"/>
      <c r="G591" s="180"/>
      <c r="H591" s="180"/>
      <c r="I591" s="181"/>
      <c r="J591" s="180"/>
      <c r="K591" s="180"/>
      <c r="L591" s="180"/>
      <c r="M591" s="180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1"/>
      <c r="Y591" s="180"/>
      <c r="Z591" s="183"/>
      <c r="AA591" s="183"/>
      <c r="AB591" s="180"/>
      <c r="AC591" s="183"/>
      <c r="AD591" s="183"/>
      <c r="AE591" s="180"/>
      <c r="AF591" s="184"/>
      <c r="AG591" s="185"/>
      <c r="AH591" s="186"/>
      <c r="AI591" s="187"/>
      <c r="AJ591" s="187"/>
      <c r="AK591" s="188"/>
      <c r="AL591" s="189"/>
      <c r="AM591" s="188"/>
      <c r="AN591" s="181"/>
    </row>
    <row r="592" spans="1:40" ht="26.25" customHeight="1">
      <c r="A592" s="177"/>
      <c r="B592" s="178"/>
      <c r="C592" s="179"/>
      <c r="D592" s="180"/>
      <c r="E592" s="180"/>
      <c r="F592" s="180"/>
      <c r="G592" s="180"/>
      <c r="H592" s="180"/>
      <c r="I592" s="181"/>
      <c r="J592" s="180"/>
      <c r="K592" s="180"/>
      <c r="L592" s="180"/>
      <c r="M592" s="180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1"/>
      <c r="Y592" s="180"/>
      <c r="Z592" s="183"/>
      <c r="AA592" s="183"/>
      <c r="AB592" s="180"/>
      <c r="AC592" s="183"/>
      <c r="AD592" s="183"/>
      <c r="AE592" s="180"/>
      <c r="AF592" s="184"/>
      <c r="AG592" s="185"/>
      <c r="AH592" s="186"/>
      <c r="AI592" s="187"/>
      <c r="AJ592" s="187"/>
      <c r="AK592" s="188"/>
      <c r="AL592" s="189"/>
      <c r="AM592" s="188"/>
      <c r="AN592" s="181"/>
    </row>
    <row r="593" spans="1:40" ht="26.25" customHeight="1">
      <c r="A593" s="177"/>
      <c r="B593" s="178"/>
      <c r="C593" s="179"/>
      <c r="D593" s="180"/>
      <c r="E593" s="180"/>
      <c r="F593" s="180"/>
      <c r="G593" s="180"/>
      <c r="H593" s="180"/>
      <c r="I593" s="181"/>
      <c r="J593" s="180"/>
      <c r="K593" s="180"/>
      <c r="L593" s="180"/>
      <c r="M593" s="180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1"/>
      <c r="Y593" s="180"/>
      <c r="Z593" s="183"/>
      <c r="AA593" s="183"/>
      <c r="AB593" s="180"/>
      <c r="AC593" s="183"/>
      <c r="AD593" s="183"/>
      <c r="AE593" s="180"/>
      <c r="AF593" s="184"/>
      <c r="AG593" s="185"/>
      <c r="AH593" s="186"/>
      <c r="AI593" s="187"/>
      <c r="AJ593" s="187"/>
      <c r="AK593" s="188"/>
      <c r="AL593" s="189"/>
      <c r="AM593" s="188"/>
      <c r="AN593" s="181"/>
    </row>
    <row r="594" spans="1:40" ht="26.25" customHeight="1">
      <c r="A594" s="177"/>
      <c r="B594" s="178"/>
      <c r="C594" s="179"/>
      <c r="D594" s="180"/>
      <c r="E594" s="180"/>
      <c r="F594" s="180"/>
      <c r="G594" s="180"/>
      <c r="H594" s="180"/>
      <c r="I594" s="181"/>
      <c r="J594" s="180"/>
      <c r="K594" s="180"/>
      <c r="L594" s="180"/>
      <c r="M594" s="180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1"/>
      <c r="Y594" s="180"/>
      <c r="Z594" s="183"/>
      <c r="AA594" s="183"/>
      <c r="AB594" s="180"/>
      <c r="AC594" s="183"/>
      <c r="AD594" s="183"/>
      <c r="AE594" s="180"/>
      <c r="AF594" s="184"/>
      <c r="AG594" s="185"/>
      <c r="AH594" s="186"/>
      <c r="AI594" s="187"/>
      <c r="AJ594" s="187"/>
      <c r="AK594" s="188"/>
      <c r="AL594" s="189"/>
      <c r="AM594" s="188"/>
      <c r="AN594" s="181"/>
    </row>
    <row r="595" spans="1:40" ht="26.25" customHeight="1">
      <c r="A595" s="177"/>
      <c r="B595" s="178"/>
      <c r="C595" s="179"/>
      <c r="D595" s="180"/>
      <c r="E595" s="180"/>
      <c r="F595" s="180"/>
      <c r="G595" s="180"/>
      <c r="H595" s="180"/>
      <c r="I595" s="181"/>
      <c r="J595" s="180"/>
      <c r="K595" s="180"/>
      <c r="L595" s="180"/>
      <c r="M595" s="180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1"/>
      <c r="Y595" s="180"/>
      <c r="Z595" s="183"/>
      <c r="AA595" s="183"/>
      <c r="AB595" s="180"/>
      <c r="AC595" s="183"/>
      <c r="AD595" s="183"/>
      <c r="AE595" s="180"/>
      <c r="AF595" s="184"/>
      <c r="AG595" s="185"/>
      <c r="AH595" s="186"/>
      <c r="AI595" s="187"/>
      <c r="AJ595" s="187"/>
      <c r="AK595" s="188"/>
      <c r="AL595" s="189"/>
      <c r="AM595" s="188"/>
      <c r="AN595" s="181"/>
    </row>
    <row r="596" spans="1:40" ht="26.25" customHeight="1">
      <c r="A596" s="177"/>
      <c r="B596" s="178"/>
      <c r="C596" s="179"/>
      <c r="D596" s="180"/>
      <c r="E596" s="180"/>
      <c r="F596" s="180"/>
      <c r="G596" s="180"/>
      <c r="H596" s="180"/>
      <c r="I596" s="181"/>
      <c r="J596" s="180"/>
      <c r="K596" s="180"/>
      <c r="L596" s="180"/>
      <c r="M596" s="180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1"/>
      <c r="Y596" s="180"/>
      <c r="Z596" s="183"/>
      <c r="AA596" s="183"/>
      <c r="AB596" s="180"/>
      <c r="AC596" s="183"/>
      <c r="AD596" s="183"/>
      <c r="AE596" s="180"/>
      <c r="AF596" s="184"/>
      <c r="AG596" s="185"/>
      <c r="AH596" s="186"/>
      <c r="AI596" s="187"/>
      <c r="AJ596" s="187"/>
      <c r="AK596" s="188"/>
      <c r="AL596" s="189"/>
      <c r="AM596" s="188"/>
      <c r="AN596" s="181"/>
    </row>
    <row r="597" spans="1:40" ht="26.25" customHeight="1">
      <c r="A597" s="177"/>
      <c r="B597" s="178"/>
      <c r="C597" s="179"/>
      <c r="D597" s="180"/>
      <c r="E597" s="180"/>
      <c r="F597" s="180"/>
      <c r="G597" s="180"/>
      <c r="H597" s="180"/>
      <c r="I597" s="181"/>
      <c r="J597" s="180"/>
      <c r="K597" s="180"/>
      <c r="L597" s="180"/>
      <c r="M597" s="180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1"/>
      <c r="Y597" s="180"/>
      <c r="Z597" s="183"/>
      <c r="AA597" s="183"/>
      <c r="AB597" s="180"/>
      <c r="AC597" s="183"/>
      <c r="AD597" s="183"/>
      <c r="AE597" s="180"/>
      <c r="AF597" s="184"/>
      <c r="AG597" s="185"/>
      <c r="AH597" s="186"/>
      <c r="AI597" s="187"/>
      <c r="AJ597" s="187"/>
      <c r="AK597" s="188"/>
      <c r="AL597" s="189"/>
      <c r="AM597" s="188"/>
      <c r="AN597" s="181"/>
    </row>
    <row r="598" spans="1:40" ht="26.25" customHeight="1">
      <c r="A598" s="177"/>
      <c r="B598" s="178"/>
      <c r="C598" s="179"/>
      <c r="D598" s="180"/>
      <c r="E598" s="180"/>
      <c r="F598" s="180"/>
      <c r="G598" s="180"/>
      <c r="H598" s="180"/>
      <c r="I598" s="181"/>
      <c r="J598" s="180"/>
      <c r="K598" s="180"/>
      <c r="L598" s="180"/>
      <c r="M598" s="180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1"/>
      <c r="Y598" s="180"/>
      <c r="Z598" s="183"/>
      <c r="AA598" s="183"/>
      <c r="AB598" s="180"/>
      <c r="AC598" s="183"/>
      <c r="AD598" s="183"/>
      <c r="AE598" s="180"/>
      <c r="AF598" s="184"/>
      <c r="AG598" s="185"/>
      <c r="AH598" s="186"/>
      <c r="AI598" s="187"/>
      <c r="AJ598" s="187"/>
      <c r="AK598" s="188"/>
      <c r="AL598" s="189"/>
      <c r="AM598" s="188"/>
      <c r="AN598" s="181"/>
    </row>
    <row r="599" spans="1:40" ht="26.25" customHeight="1">
      <c r="A599" s="177"/>
      <c r="B599" s="178"/>
      <c r="C599" s="179"/>
      <c r="D599" s="180"/>
      <c r="E599" s="180"/>
      <c r="F599" s="180"/>
      <c r="G599" s="180"/>
      <c r="H599" s="180"/>
      <c r="I599" s="181"/>
      <c r="J599" s="180"/>
      <c r="K599" s="180"/>
      <c r="L599" s="180"/>
      <c r="M599" s="180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1"/>
      <c r="Y599" s="180"/>
      <c r="Z599" s="183"/>
      <c r="AA599" s="183"/>
      <c r="AB599" s="180"/>
      <c r="AC599" s="183"/>
      <c r="AD599" s="183"/>
      <c r="AE599" s="180"/>
      <c r="AF599" s="184"/>
      <c r="AG599" s="185"/>
      <c r="AH599" s="186"/>
      <c r="AI599" s="187"/>
      <c r="AJ599" s="187"/>
      <c r="AK599" s="188"/>
      <c r="AL599" s="189"/>
      <c r="AM599" s="188"/>
      <c r="AN599" s="181"/>
    </row>
    <row r="600" spans="1:40" ht="26.25" customHeight="1">
      <c r="A600" s="177"/>
      <c r="B600" s="178"/>
      <c r="C600" s="179"/>
      <c r="D600" s="180"/>
      <c r="E600" s="180"/>
      <c r="F600" s="180"/>
      <c r="G600" s="180"/>
      <c r="H600" s="180"/>
      <c r="I600" s="181"/>
      <c r="J600" s="180"/>
      <c r="K600" s="180"/>
      <c r="L600" s="180"/>
      <c r="M600" s="180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1"/>
      <c r="Y600" s="180"/>
      <c r="Z600" s="183"/>
      <c r="AA600" s="183"/>
      <c r="AB600" s="180"/>
      <c r="AC600" s="183"/>
      <c r="AD600" s="183"/>
      <c r="AE600" s="180"/>
      <c r="AF600" s="184"/>
      <c r="AG600" s="185"/>
      <c r="AH600" s="186"/>
      <c r="AI600" s="187"/>
      <c r="AJ600" s="187"/>
      <c r="AK600" s="188"/>
      <c r="AL600" s="189"/>
      <c r="AM600" s="188"/>
      <c r="AN600" s="181"/>
    </row>
    <row r="601" spans="1:40" ht="26.25" customHeight="1">
      <c r="A601" s="177"/>
      <c r="B601" s="178"/>
      <c r="C601" s="179"/>
      <c r="D601" s="180"/>
      <c r="E601" s="180"/>
      <c r="F601" s="180"/>
      <c r="G601" s="180"/>
      <c r="H601" s="180"/>
      <c r="I601" s="181"/>
      <c r="J601" s="180"/>
      <c r="K601" s="180"/>
      <c r="L601" s="180"/>
      <c r="M601" s="180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1"/>
      <c r="Y601" s="180"/>
      <c r="Z601" s="183"/>
      <c r="AA601" s="183"/>
      <c r="AB601" s="180"/>
      <c r="AC601" s="183"/>
      <c r="AD601" s="183"/>
      <c r="AE601" s="180"/>
      <c r="AF601" s="184"/>
      <c r="AG601" s="185"/>
      <c r="AH601" s="186"/>
      <c r="AI601" s="187"/>
      <c r="AJ601" s="187"/>
      <c r="AK601" s="188"/>
      <c r="AL601" s="189"/>
      <c r="AM601" s="188"/>
      <c r="AN601" s="181"/>
    </row>
    <row r="602" spans="1:40" ht="26.25" customHeight="1">
      <c r="A602" s="177"/>
      <c r="B602" s="178"/>
      <c r="C602" s="179"/>
      <c r="D602" s="180"/>
      <c r="E602" s="180"/>
      <c r="F602" s="180"/>
      <c r="G602" s="180"/>
      <c r="H602" s="180"/>
      <c r="I602" s="181"/>
      <c r="J602" s="180"/>
      <c r="K602" s="180"/>
      <c r="L602" s="180"/>
      <c r="M602" s="180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1"/>
      <c r="Y602" s="180"/>
      <c r="Z602" s="183"/>
      <c r="AA602" s="183"/>
      <c r="AB602" s="180"/>
      <c r="AC602" s="183"/>
      <c r="AD602" s="183"/>
      <c r="AE602" s="180"/>
      <c r="AF602" s="184"/>
      <c r="AG602" s="185"/>
      <c r="AH602" s="186"/>
      <c r="AI602" s="187"/>
      <c r="AJ602" s="187"/>
      <c r="AK602" s="188"/>
      <c r="AL602" s="189"/>
      <c r="AM602" s="188"/>
      <c r="AN602" s="181"/>
    </row>
    <row r="603" spans="1:40" ht="26.25" customHeight="1">
      <c r="A603" s="177"/>
      <c r="B603" s="178"/>
      <c r="C603" s="179"/>
      <c r="D603" s="180"/>
      <c r="E603" s="180"/>
      <c r="F603" s="180"/>
      <c r="G603" s="180"/>
      <c r="H603" s="180"/>
      <c r="I603" s="181"/>
      <c r="J603" s="180"/>
      <c r="K603" s="180"/>
      <c r="L603" s="180"/>
      <c r="M603" s="180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1"/>
      <c r="Y603" s="180"/>
      <c r="Z603" s="183"/>
      <c r="AA603" s="183"/>
      <c r="AB603" s="180"/>
      <c r="AC603" s="183"/>
      <c r="AD603" s="183"/>
      <c r="AE603" s="180"/>
      <c r="AF603" s="184"/>
      <c r="AG603" s="185"/>
      <c r="AH603" s="186"/>
      <c r="AI603" s="187"/>
      <c r="AJ603" s="187"/>
      <c r="AK603" s="188"/>
      <c r="AL603" s="189"/>
      <c r="AM603" s="188"/>
      <c r="AN603" s="181"/>
    </row>
    <row r="604" spans="1:40" ht="26.25" customHeight="1">
      <c r="A604" s="177"/>
      <c r="B604" s="178"/>
      <c r="C604" s="179"/>
      <c r="D604" s="180"/>
      <c r="E604" s="180"/>
      <c r="F604" s="180"/>
      <c r="G604" s="180"/>
      <c r="H604" s="180"/>
      <c r="I604" s="181"/>
      <c r="J604" s="180"/>
      <c r="K604" s="180"/>
      <c r="L604" s="180"/>
      <c r="M604" s="180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1"/>
      <c r="Y604" s="180"/>
      <c r="Z604" s="183"/>
      <c r="AA604" s="183"/>
      <c r="AB604" s="180"/>
      <c r="AC604" s="183"/>
      <c r="AD604" s="183"/>
      <c r="AE604" s="180"/>
      <c r="AF604" s="184"/>
      <c r="AG604" s="185"/>
      <c r="AH604" s="186"/>
      <c r="AI604" s="187"/>
      <c r="AJ604" s="187"/>
      <c r="AK604" s="188"/>
      <c r="AL604" s="189"/>
      <c r="AM604" s="188"/>
      <c r="AN604" s="181"/>
    </row>
    <row r="605" spans="1:40" ht="26.25" customHeight="1">
      <c r="A605" s="177"/>
      <c r="B605" s="178"/>
      <c r="C605" s="179"/>
      <c r="D605" s="180"/>
      <c r="E605" s="180"/>
      <c r="F605" s="180"/>
      <c r="G605" s="180"/>
      <c r="H605" s="180"/>
      <c r="I605" s="181"/>
      <c r="J605" s="180"/>
      <c r="K605" s="180"/>
      <c r="L605" s="180"/>
      <c r="M605" s="180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1"/>
      <c r="Y605" s="180"/>
      <c r="Z605" s="183"/>
      <c r="AA605" s="183"/>
      <c r="AB605" s="180"/>
      <c r="AC605" s="183"/>
      <c r="AD605" s="183"/>
      <c r="AE605" s="180"/>
      <c r="AF605" s="184"/>
      <c r="AG605" s="185"/>
      <c r="AH605" s="186"/>
      <c r="AI605" s="187"/>
      <c r="AJ605" s="187"/>
      <c r="AK605" s="188"/>
      <c r="AL605" s="189"/>
      <c r="AM605" s="188"/>
      <c r="AN605" s="181"/>
    </row>
    <row r="606" spans="1:40" ht="26.25" customHeight="1">
      <c r="A606" s="177"/>
      <c r="B606" s="178"/>
      <c r="C606" s="179"/>
      <c r="D606" s="180"/>
      <c r="E606" s="180"/>
      <c r="F606" s="180"/>
      <c r="G606" s="180"/>
      <c r="H606" s="180"/>
      <c r="I606" s="181"/>
      <c r="J606" s="180"/>
      <c r="K606" s="180"/>
      <c r="L606" s="180"/>
      <c r="M606" s="180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1"/>
      <c r="Y606" s="180"/>
      <c r="Z606" s="183"/>
      <c r="AA606" s="183"/>
      <c r="AB606" s="180"/>
      <c r="AC606" s="183"/>
      <c r="AD606" s="183"/>
      <c r="AE606" s="180"/>
      <c r="AF606" s="184"/>
      <c r="AG606" s="185"/>
      <c r="AH606" s="186"/>
      <c r="AI606" s="187"/>
      <c r="AJ606" s="187"/>
      <c r="AK606" s="188"/>
      <c r="AL606" s="189"/>
      <c r="AM606" s="188"/>
      <c r="AN606" s="181"/>
    </row>
    <row r="607" spans="1:40" ht="26.25" customHeight="1">
      <c r="A607" s="177"/>
      <c r="B607" s="178"/>
      <c r="C607" s="179"/>
      <c r="D607" s="180"/>
      <c r="E607" s="180"/>
      <c r="F607" s="180"/>
      <c r="G607" s="180"/>
      <c r="H607" s="180"/>
      <c r="I607" s="181"/>
      <c r="J607" s="180"/>
      <c r="K607" s="180"/>
      <c r="L607" s="180"/>
      <c r="M607" s="180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1"/>
      <c r="Y607" s="180"/>
      <c r="Z607" s="183"/>
      <c r="AA607" s="183"/>
      <c r="AB607" s="180"/>
      <c r="AC607" s="183"/>
      <c r="AD607" s="183"/>
      <c r="AE607" s="180"/>
      <c r="AF607" s="184"/>
      <c r="AG607" s="185"/>
      <c r="AH607" s="186"/>
      <c r="AI607" s="187"/>
      <c r="AJ607" s="187"/>
      <c r="AK607" s="188"/>
      <c r="AL607" s="189"/>
      <c r="AM607" s="188"/>
      <c r="AN607" s="181"/>
    </row>
    <row r="608" spans="1:40" ht="26.25" customHeight="1">
      <c r="A608" s="177"/>
      <c r="B608" s="178"/>
      <c r="C608" s="179"/>
      <c r="D608" s="180"/>
      <c r="E608" s="180"/>
      <c r="F608" s="180"/>
      <c r="G608" s="180"/>
      <c r="H608" s="180"/>
      <c r="I608" s="181"/>
      <c r="J608" s="180"/>
      <c r="K608" s="180"/>
      <c r="L608" s="180"/>
      <c r="M608" s="180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1"/>
      <c r="Y608" s="180"/>
      <c r="Z608" s="183"/>
      <c r="AA608" s="183"/>
      <c r="AB608" s="180"/>
      <c r="AC608" s="183"/>
      <c r="AD608" s="183"/>
      <c r="AE608" s="180"/>
      <c r="AF608" s="184"/>
      <c r="AG608" s="185"/>
      <c r="AH608" s="186"/>
      <c r="AI608" s="187"/>
      <c r="AJ608" s="187"/>
      <c r="AK608" s="188"/>
      <c r="AL608" s="189"/>
      <c r="AM608" s="188"/>
      <c r="AN608" s="181"/>
    </row>
    <row r="609" spans="1:40" ht="26.25" customHeight="1">
      <c r="A609" s="177"/>
      <c r="B609" s="178"/>
      <c r="C609" s="179"/>
      <c r="D609" s="180"/>
      <c r="E609" s="180"/>
      <c r="F609" s="180"/>
      <c r="G609" s="180"/>
      <c r="H609" s="180"/>
      <c r="I609" s="181"/>
      <c r="J609" s="180"/>
      <c r="K609" s="180"/>
      <c r="L609" s="180"/>
      <c r="M609" s="180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1"/>
      <c r="Y609" s="180"/>
      <c r="Z609" s="183"/>
      <c r="AA609" s="183"/>
      <c r="AB609" s="180"/>
      <c r="AC609" s="183"/>
      <c r="AD609" s="183"/>
      <c r="AE609" s="180"/>
      <c r="AF609" s="184"/>
      <c r="AG609" s="185"/>
      <c r="AH609" s="186"/>
      <c r="AI609" s="187"/>
      <c r="AJ609" s="187"/>
      <c r="AK609" s="188"/>
      <c r="AL609" s="189"/>
      <c r="AM609" s="188"/>
      <c r="AN609" s="181"/>
    </row>
    <row r="610" spans="1:40" ht="26.25" customHeight="1">
      <c r="A610" s="177"/>
      <c r="B610" s="178"/>
      <c r="C610" s="179"/>
      <c r="D610" s="180"/>
      <c r="E610" s="180"/>
      <c r="F610" s="180"/>
      <c r="G610" s="180"/>
      <c r="H610" s="180"/>
      <c r="I610" s="181"/>
      <c r="J610" s="180"/>
      <c r="K610" s="180"/>
      <c r="L610" s="180"/>
      <c r="M610" s="180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1"/>
      <c r="Y610" s="180"/>
      <c r="Z610" s="183"/>
      <c r="AA610" s="183"/>
      <c r="AB610" s="180"/>
      <c r="AC610" s="183"/>
      <c r="AD610" s="183"/>
      <c r="AE610" s="180"/>
      <c r="AF610" s="184"/>
      <c r="AG610" s="185"/>
      <c r="AH610" s="186"/>
      <c r="AI610" s="187"/>
      <c r="AJ610" s="187"/>
      <c r="AK610" s="188"/>
      <c r="AL610" s="189"/>
      <c r="AM610" s="188"/>
      <c r="AN610" s="181"/>
    </row>
    <row r="611" spans="1:40" ht="26.25" customHeight="1">
      <c r="A611" s="177"/>
      <c r="B611" s="178"/>
      <c r="C611" s="179"/>
      <c r="D611" s="180"/>
      <c r="E611" s="180"/>
      <c r="F611" s="180"/>
      <c r="G611" s="180"/>
      <c r="H611" s="180"/>
      <c r="I611" s="181"/>
      <c r="J611" s="180"/>
      <c r="K611" s="180"/>
      <c r="L611" s="180"/>
      <c r="M611" s="180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1"/>
      <c r="Y611" s="180"/>
      <c r="Z611" s="183"/>
      <c r="AA611" s="183"/>
      <c r="AB611" s="180"/>
      <c r="AC611" s="183"/>
      <c r="AD611" s="183"/>
      <c r="AE611" s="180"/>
      <c r="AF611" s="184"/>
      <c r="AG611" s="185"/>
      <c r="AH611" s="186"/>
      <c r="AI611" s="187"/>
      <c r="AJ611" s="187"/>
      <c r="AK611" s="188"/>
      <c r="AL611" s="189"/>
      <c r="AM611" s="188"/>
      <c r="AN611" s="181"/>
    </row>
    <row r="612" spans="1:40" ht="26.25" customHeight="1">
      <c r="A612" s="177"/>
      <c r="B612" s="178"/>
      <c r="C612" s="179"/>
      <c r="D612" s="180"/>
      <c r="E612" s="180"/>
      <c r="F612" s="180"/>
      <c r="G612" s="180"/>
      <c r="H612" s="180"/>
      <c r="I612" s="181"/>
      <c r="J612" s="180"/>
      <c r="K612" s="180"/>
      <c r="L612" s="180"/>
      <c r="M612" s="180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1"/>
      <c r="Y612" s="180"/>
      <c r="Z612" s="183"/>
      <c r="AA612" s="183"/>
      <c r="AB612" s="180"/>
      <c r="AC612" s="183"/>
      <c r="AD612" s="183"/>
      <c r="AE612" s="180"/>
      <c r="AF612" s="184"/>
      <c r="AG612" s="185"/>
      <c r="AH612" s="186"/>
      <c r="AI612" s="187"/>
      <c r="AJ612" s="187"/>
      <c r="AK612" s="188"/>
      <c r="AL612" s="189"/>
      <c r="AM612" s="188"/>
      <c r="AN612" s="181"/>
    </row>
    <row r="613" spans="1:40" ht="26.25" customHeight="1">
      <c r="A613" s="177"/>
      <c r="B613" s="178"/>
      <c r="C613" s="179"/>
      <c r="D613" s="180"/>
      <c r="E613" s="180"/>
      <c r="F613" s="180"/>
      <c r="G613" s="180"/>
      <c r="H613" s="180"/>
      <c r="I613" s="181"/>
      <c r="J613" s="180"/>
      <c r="K613" s="180"/>
      <c r="L613" s="180"/>
      <c r="M613" s="180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1"/>
      <c r="Y613" s="180"/>
      <c r="Z613" s="183"/>
      <c r="AA613" s="183"/>
      <c r="AB613" s="180"/>
      <c r="AC613" s="183"/>
      <c r="AD613" s="183"/>
      <c r="AE613" s="180"/>
      <c r="AF613" s="184"/>
      <c r="AG613" s="185"/>
      <c r="AH613" s="186"/>
      <c r="AI613" s="187"/>
      <c r="AJ613" s="187"/>
      <c r="AK613" s="188"/>
      <c r="AL613" s="189"/>
      <c r="AM613" s="188"/>
      <c r="AN613" s="181"/>
    </row>
    <row r="614" spans="1:40" ht="26.25" customHeight="1">
      <c r="A614" s="177"/>
      <c r="B614" s="178"/>
      <c r="C614" s="179"/>
      <c r="D614" s="180"/>
      <c r="E614" s="180"/>
      <c r="F614" s="180"/>
      <c r="G614" s="180"/>
      <c r="H614" s="180"/>
      <c r="I614" s="181"/>
      <c r="J614" s="180"/>
      <c r="K614" s="180"/>
      <c r="L614" s="180"/>
      <c r="M614" s="180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1"/>
      <c r="Y614" s="180"/>
      <c r="Z614" s="183"/>
      <c r="AA614" s="183"/>
      <c r="AB614" s="180"/>
      <c r="AC614" s="183"/>
      <c r="AD614" s="183"/>
      <c r="AE614" s="180"/>
      <c r="AF614" s="184"/>
      <c r="AG614" s="185"/>
      <c r="AH614" s="186"/>
      <c r="AI614" s="187"/>
      <c r="AJ614" s="187"/>
      <c r="AK614" s="188"/>
      <c r="AL614" s="189"/>
      <c r="AM614" s="188"/>
      <c r="AN614" s="181"/>
    </row>
    <row r="615" spans="1:40" ht="26.25" customHeight="1">
      <c r="A615" s="177"/>
      <c r="B615" s="178"/>
      <c r="C615" s="179"/>
      <c r="D615" s="180"/>
      <c r="E615" s="180"/>
      <c r="F615" s="180"/>
      <c r="G615" s="180"/>
      <c r="H615" s="180"/>
      <c r="I615" s="181"/>
      <c r="J615" s="180"/>
      <c r="K615" s="180"/>
      <c r="L615" s="180"/>
      <c r="M615" s="180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1"/>
      <c r="Y615" s="180"/>
      <c r="Z615" s="183"/>
      <c r="AA615" s="183"/>
      <c r="AB615" s="180"/>
      <c r="AC615" s="183"/>
      <c r="AD615" s="183"/>
      <c r="AE615" s="180"/>
      <c r="AF615" s="184"/>
      <c r="AG615" s="185"/>
      <c r="AH615" s="186"/>
      <c r="AI615" s="187"/>
      <c r="AJ615" s="187"/>
      <c r="AK615" s="188"/>
      <c r="AL615" s="189"/>
      <c r="AM615" s="188"/>
      <c r="AN615" s="181"/>
    </row>
    <row r="616" spans="1:40" ht="26.25" customHeight="1">
      <c r="A616" s="177"/>
      <c r="B616" s="178"/>
      <c r="C616" s="179"/>
      <c r="D616" s="180"/>
      <c r="E616" s="180"/>
      <c r="F616" s="180"/>
      <c r="G616" s="180"/>
      <c r="H616" s="180"/>
      <c r="I616" s="181"/>
      <c r="J616" s="180"/>
      <c r="K616" s="180"/>
      <c r="L616" s="180"/>
      <c r="M616" s="180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1"/>
      <c r="Y616" s="180"/>
      <c r="Z616" s="183"/>
      <c r="AA616" s="183"/>
      <c r="AB616" s="180"/>
      <c r="AC616" s="183"/>
      <c r="AD616" s="183"/>
      <c r="AE616" s="180"/>
      <c r="AF616" s="184"/>
      <c r="AG616" s="185"/>
      <c r="AH616" s="186"/>
      <c r="AI616" s="187"/>
      <c r="AJ616" s="187"/>
      <c r="AK616" s="188"/>
      <c r="AL616" s="189"/>
      <c r="AM616" s="188"/>
      <c r="AN616" s="181"/>
    </row>
    <row r="617" spans="1:40" ht="26.25" customHeight="1">
      <c r="A617" s="177"/>
      <c r="B617" s="178"/>
      <c r="C617" s="179"/>
      <c r="D617" s="180"/>
      <c r="E617" s="180"/>
      <c r="F617" s="180"/>
      <c r="G617" s="180"/>
      <c r="H617" s="180"/>
      <c r="I617" s="181"/>
      <c r="J617" s="180"/>
      <c r="K617" s="180"/>
      <c r="L617" s="180"/>
      <c r="M617" s="180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1"/>
      <c r="Y617" s="180"/>
      <c r="Z617" s="183"/>
      <c r="AA617" s="183"/>
      <c r="AB617" s="180"/>
      <c r="AC617" s="183"/>
      <c r="AD617" s="183"/>
      <c r="AE617" s="180"/>
      <c r="AF617" s="184"/>
      <c r="AG617" s="185"/>
      <c r="AH617" s="186"/>
      <c r="AI617" s="187"/>
      <c r="AJ617" s="187"/>
      <c r="AK617" s="188"/>
      <c r="AL617" s="189"/>
      <c r="AM617" s="188"/>
      <c r="AN617" s="181"/>
    </row>
    <row r="618" spans="1:40" ht="26.25" customHeight="1">
      <c r="A618" s="177"/>
      <c r="B618" s="178"/>
      <c r="C618" s="179"/>
      <c r="D618" s="180"/>
      <c r="E618" s="180"/>
      <c r="F618" s="180"/>
      <c r="G618" s="180"/>
      <c r="H618" s="180"/>
      <c r="I618" s="181"/>
      <c r="J618" s="180"/>
      <c r="K618" s="180"/>
      <c r="L618" s="180"/>
      <c r="M618" s="180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1"/>
      <c r="Y618" s="180"/>
      <c r="Z618" s="183"/>
      <c r="AA618" s="183"/>
      <c r="AB618" s="180"/>
      <c r="AC618" s="183"/>
      <c r="AD618" s="183"/>
      <c r="AE618" s="180"/>
      <c r="AF618" s="184"/>
      <c r="AG618" s="185"/>
      <c r="AH618" s="186"/>
      <c r="AI618" s="187"/>
      <c r="AJ618" s="187"/>
      <c r="AK618" s="188"/>
      <c r="AL618" s="189"/>
      <c r="AM618" s="188"/>
      <c r="AN618" s="181"/>
    </row>
    <row r="619" spans="1:40" ht="26.25" customHeight="1">
      <c r="A619" s="177"/>
      <c r="B619" s="178"/>
      <c r="C619" s="179"/>
      <c r="D619" s="180"/>
      <c r="E619" s="180"/>
      <c r="F619" s="180"/>
      <c r="G619" s="180"/>
      <c r="H619" s="180"/>
      <c r="I619" s="181"/>
      <c r="J619" s="180"/>
      <c r="K619" s="180"/>
      <c r="L619" s="180"/>
      <c r="M619" s="180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1"/>
      <c r="Y619" s="180"/>
      <c r="Z619" s="183"/>
      <c r="AA619" s="183"/>
      <c r="AB619" s="180"/>
      <c r="AC619" s="183"/>
      <c r="AD619" s="183"/>
      <c r="AE619" s="180"/>
      <c r="AF619" s="184"/>
      <c r="AG619" s="185"/>
      <c r="AH619" s="186"/>
      <c r="AI619" s="187"/>
      <c r="AJ619" s="187"/>
      <c r="AK619" s="188"/>
      <c r="AL619" s="189"/>
      <c r="AM619" s="188"/>
      <c r="AN619" s="181"/>
    </row>
    <row r="620" spans="1:40" ht="26.25" customHeight="1">
      <c r="A620" s="177"/>
      <c r="B620" s="178"/>
      <c r="C620" s="179"/>
      <c r="D620" s="180"/>
      <c r="E620" s="180"/>
      <c r="F620" s="180"/>
      <c r="G620" s="180"/>
      <c r="H620" s="180"/>
      <c r="I620" s="181"/>
      <c r="J620" s="180"/>
      <c r="K620" s="180"/>
      <c r="L620" s="180"/>
      <c r="M620" s="180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1"/>
      <c r="Y620" s="180"/>
      <c r="Z620" s="183"/>
      <c r="AA620" s="183"/>
      <c r="AB620" s="180"/>
      <c r="AC620" s="183"/>
      <c r="AD620" s="183"/>
      <c r="AE620" s="180"/>
      <c r="AF620" s="184"/>
      <c r="AG620" s="185"/>
      <c r="AH620" s="186"/>
      <c r="AI620" s="187"/>
      <c r="AJ620" s="187"/>
      <c r="AK620" s="188"/>
      <c r="AL620" s="189"/>
      <c r="AM620" s="188"/>
      <c r="AN620" s="181"/>
    </row>
    <row r="621" spans="1:40" ht="26.25" customHeight="1">
      <c r="A621" s="177"/>
      <c r="B621" s="178"/>
      <c r="C621" s="179"/>
      <c r="D621" s="180"/>
      <c r="E621" s="180"/>
      <c r="F621" s="180"/>
      <c r="G621" s="180"/>
      <c r="H621" s="180"/>
      <c r="I621" s="181"/>
      <c r="J621" s="180"/>
      <c r="K621" s="180"/>
      <c r="L621" s="180"/>
      <c r="M621" s="180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1"/>
      <c r="Y621" s="180"/>
      <c r="Z621" s="183"/>
      <c r="AA621" s="183"/>
      <c r="AB621" s="180"/>
      <c r="AC621" s="183"/>
      <c r="AD621" s="183"/>
      <c r="AE621" s="180"/>
      <c r="AF621" s="184"/>
      <c r="AG621" s="185"/>
      <c r="AH621" s="186"/>
      <c r="AI621" s="187"/>
      <c r="AJ621" s="187"/>
      <c r="AK621" s="188"/>
      <c r="AL621" s="189"/>
      <c r="AM621" s="188"/>
      <c r="AN621" s="181"/>
    </row>
    <row r="622" spans="1:40" ht="26.25" customHeight="1">
      <c r="A622" s="177"/>
      <c r="B622" s="178"/>
      <c r="C622" s="179"/>
      <c r="D622" s="180"/>
      <c r="E622" s="180"/>
      <c r="F622" s="180"/>
      <c r="G622" s="180"/>
      <c r="H622" s="180"/>
      <c r="I622" s="181"/>
      <c r="J622" s="180"/>
      <c r="K622" s="180"/>
      <c r="L622" s="180"/>
      <c r="M622" s="180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1"/>
      <c r="Y622" s="180"/>
      <c r="Z622" s="183"/>
      <c r="AA622" s="183"/>
      <c r="AB622" s="180"/>
      <c r="AC622" s="183"/>
      <c r="AD622" s="183"/>
      <c r="AE622" s="180"/>
      <c r="AF622" s="184"/>
      <c r="AG622" s="185"/>
      <c r="AH622" s="186"/>
      <c r="AI622" s="187"/>
      <c r="AJ622" s="187"/>
      <c r="AK622" s="188"/>
      <c r="AL622" s="189"/>
      <c r="AM622" s="188"/>
      <c r="AN622" s="181"/>
    </row>
    <row r="623" spans="1:40" ht="26.25" customHeight="1">
      <c r="A623" s="177"/>
      <c r="B623" s="178"/>
      <c r="C623" s="179"/>
      <c r="D623" s="180"/>
      <c r="E623" s="180"/>
      <c r="F623" s="180"/>
      <c r="G623" s="180"/>
      <c r="H623" s="180"/>
      <c r="I623" s="181"/>
      <c r="J623" s="180"/>
      <c r="K623" s="180"/>
      <c r="L623" s="180"/>
      <c r="M623" s="180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1"/>
      <c r="Y623" s="180"/>
      <c r="Z623" s="183"/>
      <c r="AA623" s="183"/>
      <c r="AB623" s="180"/>
      <c r="AC623" s="183"/>
      <c r="AD623" s="183"/>
      <c r="AE623" s="180"/>
      <c r="AF623" s="184"/>
      <c r="AG623" s="185"/>
      <c r="AH623" s="186"/>
      <c r="AI623" s="187"/>
      <c r="AJ623" s="187"/>
      <c r="AK623" s="188"/>
      <c r="AL623" s="189"/>
      <c r="AM623" s="188"/>
      <c r="AN623" s="181"/>
    </row>
    <row r="624" spans="1:40" ht="26.25" customHeight="1">
      <c r="A624" s="177"/>
      <c r="B624" s="178"/>
      <c r="C624" s="179"/>
      <c r="D624" s="180"/>
      <c r="E624" s="180"/>
      <c r="F624" s="180"/>
      <c r="G624" s="180"/>
      <c r="H624" s="180"/>
      <c r="I624" s="181"/>
      <c r="J624" s="180"/>
      <c r="K624" s="180"/>
      <c r="L624" s="180"/>
      <c r="M624" s="180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1"/>
      <c r="Y624" s="180"/>
      <c r="Z624" s="183"/>
      <c r="AA624" s="183"/>
      <c r="AB624" s="180"/>
      <c r="AC624" s="183"/>
      <c r="AD624" s="183"/>
      <c r="AE624" s="180"/>
      <c r="AF624" s="184"/>
      <c r="AG624" s="185"/>
      <c r="AH624" s="186"/>
      <c r="AI624" s="187"/>
      <c r="AJ624" s="187"/>
      <c r="AK624" s="188"/>
      <c r="AL624" s="189"/>
      <c r="AM624" s="188"/>
      <c r="AN624" s="181"/>
    </row>
    <row r="625" spans="1:40" ht="26.25" customHeight="1">
      <c r="A625" s="177"/>
      <c r="B625" s="178"/>
      <c r="C625" s="179"/>
      <c r="D625" s="180"/>
      <c r="E625" s="180"/>
      <c r="F625" s="180"/>
      <c r="G625" s="180"/>
      <c r="H625" s="180"/>
      <c r="I625" s="181"/>
      <c r="J625" s="180"/>
      <c r="K625" s="180"/>
      <c r="L625" s="180"/>
      <c r="M625" s="180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1"/>
      <c r="Y625" s="180"/>
      <c r="Z625" s="183"/>
      <c r="AA625" s="183"/>
      <c r="AB625" s="180"/>
      <c r="AC625" s="183"/>
      <c r="AD625" s="183"/>
      <c r="AE625" s="180"/>
      <c r="AF625" s="184"/>
      <c r="AG625" s="185"/>
      <c r="AH625" s="186"/>
      <c r="AI625" s="187"/>
      <c r="AJ625" s="187"/>
      <c r="AK625" s="188"/>
      <c r="AL625" s="189"/>
      <c r="AM625" s="188"/>
      <c r="AN625" s="181"/>
    </row>
    <row r="626" spans="1:40" ht="26.25" customHeight="1">
      <c r="A626" s="177"/>
      <c r="B626" s="178"/>
      <c r="C626" s="179"/>
      <c r="D626" s="180"/>
      <c r="E626" s="180"/>
      <c r="F626" s="180"/>
      <c r="G626" s="180"/>
      <c r="H626" s="180"/>
      <c r="I626" s="181"/>
      <c r="J626" s="180"/>
      <c r="K626" s="180"/>
      <c r="L626" s="180"/>
      <c r="M626" s="180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1"/>
      <c r="Y626" s="180"/>
      <c r="Z626" s="183"/>
      <c r="AA626" s="183"/>
      <c r="AB626" s="180"/>
      <c r="AC626" s="183"/>
      <c r="AD626" s="183"/>
      <c r="AE626" s="180"/>
      <c r="AF626" s="184"/>
      <c r="AG626" s="185"/>
      <c r="AH626" s="186"/>
      <c r="AI626" s="187"/>
      <c r="AJ626" s="187"/>
      <c r="AK626" s="188"/>
      <c r="AL626" s="189"/>
      <c r="AM626" s="188"/>
      <c r="AN626" s="181"/>
    </row>
    <row r="627" spans="1:40" ht="26.25" customHeight="1">
      <c r="A627" s="177"/>
      <c r="B627" s="178"/>
      <c r="C627" s="179"/>
      <c r="D627" s="180"/>
      <c r="E627" s="180"/>
      <c r="F627" s="180"/>
      <c r="G627" s="180"/>
      <c r="H627" s="180"/>
      <c r="I627" s="181"/>
      <c r="J627" s="180"/>
      <c r="K627" s="180"/>
      <c r="L627" s="180"/>
      <c r="M627" s="180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1"/>
      <c r="Y627" s="180"/>
      <c r="Z627" s="183"/>
      <c r="AA627" s="183"/>
      <c r="AB627" s="180"/>
      <c r="AC627" s="183"/>
      <c r="AD627" s="183"/>
      <c r="AE627" s="180"/>
      <c r="AF627" s="184"/>
      <c r="AG627" s="185"/>
      <c r="AH627" s="186"/>
      <c r="AI627" s="187"/>
      <c r="AJ627" s="187"/>
      <c r="AK627" s="188"/>
      <c r="AL627" s="189"/>
      <c r="AM627" s="188"/>
      <c r="AN627" s="181"/>
    </row>
    <row r="628" spans="1:40" ht="26.25" customHeight="1">
      <c r="A628" s="177"/>
      <c r="B628" s="178"/>
      <c r="C628" s="179"/>
      <c r="D628" s="180"/>
      <c r="E628" s="180"/>
      <c r="F628" s="180"/>
      <c r="G628" s="180"/>
      <c r="H628" s="180"/>
      <c r="I628" s="181"/>
      <c r="J628" s="180"/>
      <c r="K628" s="180"/>
      <c r="L628" s="180"/>
      <c r="M628" s="180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1"/>
      <c r="Y628" s="180"/>
      <c r="Z628" s="183"/>
      <c r="AA628" s="183"/>
      <c r="AB628" s="180"/>
      <c r="AC628" s="183"/>
      <c r="AD628" s="183"/>
      <c r="AE628" s="180"/>
      <c r="AF628" s="184"/>
      <c r="AG628" s="185"/>
      <c r="AH628" s="186"/>
      <c r="AI628" s="187"/>
      <c r="AJ628" s="187"/>
      <c r="AK628" s="188"/>
      <c r="AL628" s="189"/>
      <c r="AM628" s="188"/>
      <c r="AN628" s="181"/>
    </row>
    <row r="629" spans="1:40" ht="26.25" customHeight="1">
      <c r="A629" s="177"/>
      <c r="B629" s="178"/>
      <c r="C629" s="179"/>
      <c r="D629" s="180"/>
      <c r="E629" s="180"/>
      <c r="F629" s="180"/>
      <c r="G629" s="180"/>
      <c r="H629" s="180"/>
      <c r="I629" s="181"/>
      <c r="J629" s="180"/>
      <c r="K629" s="180"/>
      <c r="L629" s="180"/>
      <c r="M629" s="180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1"/>
      <c r="Y629" s="180"/>
      <c r="Z629" s="183"/>
      <c r="AA629" s="183"/>
      <c r="AB629" s="180"/>
      <c r="AC629" s="183"/>
      <c r="AD629" s="183"/>
      <c r="AE629" s="180"/>
      <c r="AF629" s="184"/>
      <c r="AG629" s="185"/>
      <c r="AH629" s="186"/>
      <c r="AI629" s="187"/>
      <c r="AJ629" s="187"/>
      <c r="AK629" s="188"/>
      <c r="AL629" s="189"/>
      <c r="AM629" s="188"/>
      <c r="AN629" s="181"/>
    </row>
    <row r="630" spans="1:40" ht="26.25" customHeight="1">
      <c r="A630" s="177"/>
      <c r="B630" s="178"/>
      <c r="C630" s="179"/>
      <c r="D630" s="180"/>
      <c r="E630" s="180"/>
      <c r="F630" s="180"/>
      <c r="G630" s="180"/>
      <c r="H630" s="180"/>
      <c r="I630" s="181"/>
      <c r="J630" s="180"/>
      <c r="K630" s="180"/>
      <c r="L630" s="180"/>
      <c r="M630" s="180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1"/>
      <c r="Y630" s="180"/>
      <c r="Z630" s="183"/>
      <c r="AA630" s="183"/>
      <c r="AB630" s="180"/>
      <c r="AC630" s="183"/>
      <c r="AD630" s="183"/>
      <c r="AE630" s="180"/>
      <c r="AF630" s="184"/>
      <c r="AG630" s="185"/>
      <c r="AH630" s="186"/>
      <c r="AI630" s="187"/>
      <c r="AJ630" s="187"/>
      <c r="AK630" s="188"/>
      <c r="AL630" s="189"/>
      <c r="AM630" s="188"/>
      <c r="AN630" s="181"/>
    </row>
    <row r="631" spans="1:40" ht="26.25" customHeight="1">
      <c r="A631" s="177"/>
      <c r="B631" s="178"/>
      <c r="C631" s="179"/>
      <c r="D631" s="180"/>
      <c r="E631" s="180"/>
      <c r="F631" s="180"/>
      <c r="G631" s="180"/>
      <c r="H631" s="180"/>
      <c r="I631" s="181"/>
      <c r="J631" s="180"/>
      <c r="K631" s="180"/>
      <c r="L631" s="180"/>
      <c r="M631" s="180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1"/>
      <c r="Y631" s="180"/>
      <c r="Z631" s="183"/>
      <c r="AA631" s="183"/>
      <c r="AB631" s="180"/>
      <c r="AC631" s="183"/>
      <c r="AD631" s="183"/>
      <c r="AE631" s="180"/>
      <c r="AF631" s="184"/>
      <c r="AG631" s="185"/>
      <c r="AH631" s="186"/>
      <c r="AI631" s="187"/>
      <c r="AJ631" s="187"/>
      <c r="AK631" s="188"/>
      <c r="AL631" s="189"/>
      <c r="AM631" s="188"/>
      <c r="AN631" s="181"/>
    </row>
    <row r="632" spans="1:40" ht="26.25" customHeight="1">
      <c r="A632" s="177"/>
      <c r="B632" s="178"/>
      <c r="C632" s="179"/>
      <c r="D632" s="180"/>
      <c r="E632" s="180"/>
      <c r="F632" s="180"/>
      <c r="G632" s="180"/>
      <c r="H632" s="180"/>
      <c r="I632" s="181"/>
      <c r="J632" s="180"/>
      <c r="K632" s="180"/>
      <c r="L632" s="180"/>
      <c r="M632" s="180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1"/>
      <c r="Y632" s="180"/>
      <c r="Z632" s="183"/>
      <c r="AA632" s="183"/>
      <c r="AB632" s="180"/>
      <c r="AC632" s="183"/>
      <c r="AD632" s="183"/>
      <c r="AE632" s="180"/>
      <c r="AF632" s="184"/>
      <c r="AG632" s="185"/>
      <c r="AH632" s="186"/>
      <c r="AI632" s="187"/>
      <c r="AJ632" s="187"/>
      <c r="AK632" s="188"/>
      <c r="AL632" s="189"/>
      <c r="AM632" s="188"/>
      <c r="AN632" s="181"/>
    </row>
    <row r="633" spans="1:40" ht="26.25" customHeight="1">
      <c r="A633" s="177"/>
      <c r="B633" s="178"/>
      <c r="C633" s="179"/>
      <c r="D633" s="180"/>
      <c r="E633" s="180"/>
      <c r="F633" s="180"/>
      <c r="G633" s="180"/>
      <c r="H633" s="180"/>
      <c r="I633" s="181"/>
      <c r="J633" s="180"/>
      <c r="K633" s="180"/>
      <c r="L633" s="180"/>
      <c r="M633" s="180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1"/>
      <c r="Y633" s="180"/>
      <c r="Z633" s="183"/>
      <c r="AA633" s="183"/>
      <c r="AB633" s="180"/>
      <c r="AC633" s="183"/>
      <c r="AD633" s="183"/>
      <c r="AE633" s="180"/>
      <c r="AF633" s="184"/>
      <c r="AG633" s="185"/>
      <c r="AH633" s="186"/>
      <c r="AI633" s="187"/>
      <c r="AJ633" s="187"/>
      <c r="AK633" s="188"/>
      <c r="AL633" s="189"/>
      <c r="AM633" s="188"/>
      <c r="AN633" s="181"/>
    </row>
    <row r="634" spans="1:40" ht="26.25" customHeight="1">
      <c r="A634" s="177"/>
      <c r="B634" s="178"/>
      <c r="C634" s="179"/>
      <c r="D634" s="180"/>
      <c r="E634" s="180"/>
      <c r="F634" s="180"/>
      <c r="G634" s="180"/>
      <c r="H634" s="180"/>
      <c r="I634" s="181"/>
      <c r="J634" s="180"/>
      <c r="K634" s="180"/>
      <c r="L634" s="180"/>
      <c r="M634" s="180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1"/>
      <c r="Y634" s="180"/>
      <c r="Z634" s="183"/>
      <c r="AA634" s="183"/>
      <c r="AB634" s="180"/>
      <c r="AC634" s="183"/>
      <c r="AD634" s="183"/>
      <c r="AE634" s="180"/>
      <c r="AF634" s="184"/>
      <c r="AG634" s="185"/>
      <c r="AH634" s="186"/>
      <c r="AI634" s="187"/>
      <c r="AJ634" s="187"/>
      <c r="AK634" s="188"/>
      <c r="AL634" s="189"/>
      <c r="AM634" s="188"/>
      <c r="AN634" s="181"/>
    </row>
    <row r="635" spans="1:40" ht="26.25" customHeight="1">
      <c r="A635" s="177"/>
      <c r="B635" s="178"/>
      <c r="C635" s="179"/>
      <c r="D635" s="180"/>
      <c r="E635" s="180"/>
      <c r="F635" s="180"/>
      <c r="G635" s="180"/>
      <c r="H635" s="180"/>
      <c r="I635" s="181"/>
      <c r="J635" s="180"/>
      <c r="K635" s="180"/>
      <c r="L635" s="180"/>
      <c r="M635" s="180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1"/>
      <c r="Y635" s="180"/>
      <c r="Z635" s="183"/>
      <c r="AA635" s="183"/>
      <c r="AB635" s="180"/>
      <c r="AC635" s="183"/>
      <c r="AD635" s="183"/>
      <c r="AE635" s="180"/>
      <c r="AF635" s="184"/>
      <c r="AG635" s="185"/>
      <c r="AH635" s="186"/>
      <c r="AI635" s="187"/>
      <c r="AJ635" s="187"/>
      <c r="AK635" s="188"/>
      <c r="AL635" s="189"/>
      <c r="AM635" s="188"/>
      <c r="AN635" s="181"/>
    </row>
    <row r="636" spans="1:40" ht="26.25" customHeight="1">
      <c r="A636" s="177"/>
      <c r="B636" s="178"/>
      <c r="C636" s="179"/>
      <c r="D636" s="180"/>
      <c r="E636" s="180"/>
      <c r="F636" s="180"/>
      <c r="G636" s="180"/>
      <c r="H636" s="180"/>
      <c r="I636" s="181"/>
      <c r="J636" s="180"/>
      <c r="K636" s="180"/>
      <c r="L636" s="180"/>
      <c r="M636" s="180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1"/>
      <c r="Y636" s="180"/>
      <c r="Z636" s="183"/>
      <c r="AA636" s="183"/>
      <c r="AB636" s="180"/>
      <c r="AC636" s="183"/>
      <c r="AD636" s="183"/>
      <c r="AE636" s="180"/>
      <c r="AF636" s="184"/>
      <c r="AG636" s="185"/>
      <c r="AH636" s="186"/>
      <c r="AI636" s="187"/>
      <c r="AJ636" s="187"/>
      <c r="AK636" s="188"/>
      <c r="AL636" s="189"/>
      <c r="AM636" s="188"/>
      <c r="AN636" s="181"/>
    </row>
    <row r="637" spans="1:40" ht="26.25" customHeight="1">
      <c r="A637" s="177"/>
      <c r="B637" s="178"/>
      <c r="C637" s="179"/>
      <c r="D637" s="180"/>
      <c r="E637" s="180"/>
      <c r="F637" s="180"/>
      <c r="G637" s="180"/>
      <c r="H637" s="180"/>
      <c r="I637" s="181"/>
      <c r="J637" s="180"/>
      <c r="K637" s="180"/>
      <c r="L637" s="180"/>
      <c r="M637" s="180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1"/>
      <c r="Y637" s="180"/>
      <c r="Z637" s="183"/>
      <c r="AA637" s="183"/>
      <c r="AB637" s="180"/>
      <c r="AC637" s="183"/>
      <c r="AD637" s="183"/>
      <c r="AE637" s="180"/>
      <c r="AF637" s="184"/>
      <c r="AG637" s="185"/>
      <c r="AH637" s="186"/>
      <c r="AI637" s="187"/>
      <c r="AJ637" s="187"/>
      <c r="AK637" s="188"/>
      <c r="AL637" s="189"/>
      <c r="AM637" s="188"/>
      <c r="AN637" s="181"/>
    </row>
    <row r="638" spans="1:40" ht="26.25" customHeight="1">
      <c r="A638" s="177"/>
      <c r="B638" s="178"/>
      <c r="C638" s="179"/>
      <c r="D638" s="180"/>
      <c r="E638" s="180"/>
      <c r="F638" s="180"/>
      <c r="G638" s="180"/>
      <c r="H638" s="180"/>
      <c r="I638" s="181"/>
      <c r="J638" s="180"/>
      <c r="K638" s="180"/>
      <c r="L638" s="180"/>
      <c r="M638" s="180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1"/>
      <c r="Y638" s="180"/>
      <c r="Z638" s="183"/>
      <c r="AA638" s="183"/>
      <c r="AB638" s="180"/>
      <c r="AC638" s="183"/>
      <c r="AD638" s="183"/>
      <c r="AE638" s="180"/>
      <c r="AF638" s="184"/>
      <c r="AG638" s="185"/>
      <c r="AH638" s="186"/>
      <c r="AI638" s="187"/>
      <c r="AJ638" s="187"/>
      <c r="AK638" s="188"/>
      <c r="AL638" s="189"/>
      <c r="AM638" s="188"/>
      <c r="AN638" s="181"/>
    </row>
    <row r="639" spans="1:40" ht="26.25" customHeight="1">
      <c r="A639" s="177"/>
      <c r="B639" s="178"/>
      <c r="C639" s="179"/>
      <c r="D639" s="180"/>
      <c r="E639" s="180"/>
      <c r="F639" s="180"/>
      <c r="G639" s="180"/>
      <c r="H639" s="180"/>
      <c r="I639" s="181"/>
      <c r="J639" s="180"/>
      <c r="K639" s="180"/>
      <c r="L639" s="180"/>
      <c r="M639" s="180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1"/>
      <c r="Y639" s="180"/>
      <c r="Z639" s="183"/>
      <c r="AA639" s="183"/>
      <c r="AB639" s="180"/>
      <c r="AC639" s="183"/>
      <c r="AD639" s="183"/>
      <c r="AE639" s="180"/>
      <c r="AF639" s="184"/>
      <c r="AG639" s="185"/>
      <c r="AH639" s="186"/>
      <c r="AI639" s="187"/>
      <c r="AJ639" s="187"/>
      <c r="AK639" s="188"/>
      <c r="AL639" s="189"/>
      <c r="AM639" s="188"/>
      <c r="AN639" s="181"/>
    </row>
    <row r="640" spans="1:40" ht="26.25" customHeight="1">
      <c r="A640" s="177"/>
      <c r="B640" s="178"/>
      <c r="C640" s="179"/>
      <c r="D640" s="180"/>
      <c r="E640" s="180"/>
      <c r="F640" s="180"/>
      <c r="G640" s="180"/>
      <c r="H640" s="180"/>
      <c r="I640" s="181"/>
      <c r="J640" s="180"/>
      <c r="K640" s="180"/>
      <c r="L640" s="180"/>
      <c r="M640" s="180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1"/>
      <c r="Y640" s="180"/>
      <c r="Z640" s="183"/>
      <c r="AA640" s="183"/>
      <c r="AB640" s="180"/>
      <c r="AC640" s="183"/>
      <c r="AD640" s="183"/>
      <c r="AE640" s="180"/>
      <c r="AF640" s="184"/>
      <c r="AG640" s="185"/>
      <c r="AH640" s="186"/>
      <c r="AI640" s="187"/>
      <c r="AJ640" s="187"/>
      <c r="AK640" s="188"/>
      <c r="AL640" s="189"/>
      <c r="AM640" s="188"/>
      <c r="AN640" s="181"/>
    </row>
    <row r="641" spans="1:40" ht="26.25" customHeight="1">
      <c r="A641" s="177"/>
      <c r="B641" s="178"/>
      <c r="C641" s="179"/>
      <c r="D641" s="180"/>
      <c r="E641" s="180"/>
      <c r="F641" s="180"/>
      <c r="G641" s="180"/>
      <c r="H641" s="180"/>
      <c r="I641" s="181"/>
      <c r="J641" s="180"/>
      <c r="K641" s="180"/>
      <c r="L641" s="180"/>
      <c r="M641" s="180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1"/>
      <c r="Y641" s="180"/>
      <c r="Z641" s="183"/>
      <c r="AA641" s="183"/>
      <c r="AB641" s="180"/>
      <c r="AC641" s="183"/>
      <c r="AD641" s="183"/>
      <c r="AE641" s="180"/>
      <c r="AF641" s="184"/>
      <c r="AG641" s="185"/>
      <c r="AH641" s="186"/>
      <c r="AI641" s="187"/>
      <c r="AJ641" s="187"/>
      <c r="AK641" s="188"/>
      <c r="AL641" s="189"/>
      <c r="AM641" s="188"/>
      <c r="AN641" s="181"/>
    </row>
    <row r="642" spans="1:40" ht="26.25" customHeight="1">
      <c r="A642" s="177"/>
      <c r="B642" s="178"/>
      <c r="C642" s="179"/>
      <c r="D642" s="180"/>
      <c r="E642" s="180"/>
      <c r="F642" s="180"/>
      <c r="G642" s="180"/>
      <c r="H642" s="180"/>
      <c r="I642" s="181"/>
      <c r="J642" s="180"/>
      <c r="K642" s="180"/>
      <c r="L642" s="180"/>
      <c r="M642" s="180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1"/>
      <c r="Y642" s="180"/>
      <c r="Z642" s="183"/>
      <c r="AA642" s="183"/>
      <c r="AB642" s="180"/>
      <c r="AC642" s="183"/>
      <c r="AD642" s="183"/>
      <c r="AE642" s="180"/>
      <c r="AF642" s="184"/>
      <c r="AG642" s="185"/>
      <c r="AH642" s="186"/>
      <c r="AI642" s="187"/>
      <c r="AJ642" s="187"/>
      <c r="AK642" s="188"/>
      <c r="AL642" s="189"/>
      <c r="AM642" s="188"/>
      <c r="AN642" s="181"/>
    </row>
    <row r="643" spans="1:40" ht="26.25" customHeight="1">
      <c r="A643" s="177"/>
      <c r="B643" s="178"/>
      <c r="C643" s="179"/>
      <c r="D643" s="180"/>
      <c r="E643" s="180"/>
      <c r="F643" s="180"/>
      <c r="G643" s="180"/>
      <c r="H643" s="180"/>
      <c r="I643" s="181"/>
      <c r="J643" s="180"/>
      <c r="K643" s="180"/>
      <c r="L643" s="180"/>
      <c r="M643" s="180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1"/>
      <c r="Y643" s="180"/>
      <c r="Z643" s="183"/>
      <c r="AA643" s="183"/>
      <c r="AB643" s="180"/>
      <c r="AC643" s="183"/>
      <c r="AD643" s="183"/>
      <c r="AE643" s="180"/>
      <c r="AF643" s="184"/>
      <c r="AG643" s="185"/>
      <c r="AH643" s="186"/>
      <c r="AI643" s="187"/>
      <c r="AJ643" s="187"/>
      <c r="AK643" s="188"/>
      <c r="AL643" s="189"/>
      <c r="AM643" s="188"/>
      <c r="AN643" s="181"/>
    </row>
    <row r="644" spans="1:40" ht="26.25" customHeight="1">
      <c r="A644" s="177"/>
      <c r="B644" s="178"/>
      <c r="C644" s="179"/>
      <c r="D644" s="180"/>
      <c r="E644" s="180"/>
      <c r="F644" s="180"/>
      <c r="G644" s="180"/>
      <c r="H644" s="180"/>
      <c r="I644" s="181"/>
      <c r="J644" s="180"/>
      <c r="K644" s="180"/>
      <c r="L644" s="180"/>
      <c r="M644" s="180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1"/>
      <c r="Y644" s="180"/>
      <c r="Z644" s="183"/>
      <c r="AA644" s="183"/>
      <c r="AB644" s="180"/>
      <c r="AC644" s="183"/>
      <c r="AD644" s="183"/>
      <c r="AE644" s="180"/>
      <c r="AF644" s="184"/>
      <c r="AG644" s="185"/>
      <c r="AH644" s="186"/>
      <c r="AI644" s="187"/>
      <c r="AJ644" s="187"/>
      <c r="AK644" s="188"/>
      <c r="AL644" s="189"/>
      <c r="AM644" s="188"/>
      <c r="AN644" s="181"/>
    </row>
    <row r="645" spans="1:40" ht="26.25" customHeight="1">
      <c r="A645" s="177"/>
      <c r="B645" s="178"/>
      <c r="C645" s="179"/>
      <c r="D645" s="180"/>
      <c r="E645" s="180"/>
      <c r="F645" s="180"/>
      <c r="G645" s="180"/>
      <c r="H645" s="180"/>
      <c r="I645" s="181"/>
      <c r="J645" s="180"/>
      <c r="K645" s="180"/>
      <c r="L645" s="180"/>
      <c r="M645" s="180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1"/>
      <c r="Y645" s="180"/>
      <c r="Z645" s="183"/>
      <c r="AA645" s="183"/>
      <c r="AB645" s="180"/>
      <c r="AC645" s="183"/>
      <c r="AD645" s="183"/>
      <c r="AE645" s="180"/>
      <c r="AF645" s="184"/>
      <c r="AG645" s="185"/>
      <c r="AH645" s="186"/>
      <c r="AI645" s="187"/>
      <c r="AJ645" s="187"/>
      <c r="AK645" s="188"/>
      <c r="AL645" s="189"/>
      <c r="AM645" s="188"/>
      <c r="AN645" s="181"/>
    </row>
    <row r="646" spans="1:40" ht="26.25" customHeight="1">
      <c r="A646" s="177"/>
      <c r="B646" s="178"/>
      <c r="C646" s="179"/>
      <c r="D646" s="180"/>
      <c r="E646" s="180"/>
      <c r="F646" s="180"/>
      <c r="G646" s="180"/>
      <c r="H646" s="180"/>
      <c r="I646" s="181"/>
      <c r="J646" s="180"/>
      <c r="K646" s="180"/>
      <c r="L646" s="180"/>
      <c r="M646" s="180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1"/>
      <c r="Y646" s="180"/>
      <c r="Z646" s="183"/>
      <c r="AA646" s="183"/>
      <c r="AB646" s="180"/>
      <c r="AC646" s="183"/>
      <c r="AD646" s="183"/>
      <c r="AE646" s="180"/>
      <c r="AF646" s="184"/>
      <c r="AG646" s="185"/>
      <c r="AH646" s="186"/>
      <c r="AI646" s="187"/>
      <c r="AJ646" s="187"/>
      <c r="AK646" s="188"/>
      <c r="AL646" s="189"/>
      <c r="AM646" s="188"/>
      <c r="AN646" s="181"/>
    </row>
    <row r="647" spans="1:40" ht="26.25" customHeight="1">
      <c r="A647" s="177"/>
      <c r="B647" s="178"/>
      <c r="C647" s="179"/>
      <c r="D647" s="180"/>
      <c r="E647" s="180"/>
      <c r="F647" s="180"/>
      <c r="G647" s="180"/>
      <c r="H647" s="180"/>
      <c r="I647" s="181"/>
      <c r="J647" s="180"/>
      <c r="K647" s="180"/>
      <c r="L647" s="180"/>
      <c r="M647" s="180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1"/>
      <c r="Y647" s="180"/>
      <c r="Z647" s="183"/>
      <c r="AA647" s="183"/>
      <c r="AB647" s="180"/>
      <c r="AC647" s="183"/>
      <c r="AD647" s="183"/>
      <c r="AE647" s="180"/>
      <c r="AF647" s="184"/>
      <c r="AG647" s="185"/>
      <c r="AH647" s="186"/>
      <c r="AI647" s="187"/>
      <c r="AJ647" s="187"/>
      <c r="AK647" s="188"/>
      <c r="AL647" s="189"/>
      <c r="AM647" s="188"/>
      <c r="AN647" s="181"/>
    </row>
    <row r="648" spans="1:40" ht="26.25" customHeight="1">
      <c r="A648" s="177"/>
      <c r="B648" s="178"/>
      <c r="C648" s="179"/>
      <c r="D648" s="180"/>
      <c r="E648" s="180"/>
      <c r="F648" s="180"/>
      <c r="G648" s="180"/>
      <c r="H648" s="180"/>
      <c r="I648" s="181"/>
      <c r="J648" s="180"/>
      <c r="K648" s="180"/>
      <c r="L648" s="180"/>
      <c r="M648" s="180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1"/>
      <c r="Y648" s="180"/>
      <c r="Z648" s="183"/>
      <c r="AA648" s="183"/>
      <c r="AB648" s="180"/>
      <c r="AC648" s="183"/>
      <c r="AD648" s="183"/>
      <c r="AE648" s="180"/>
      <c r="AF648" s="184"/>
      <c r="AG648" s="185"/>
      <c r="AH648" s="186"/>
      <c r="AI648" s="187"/>
      <c r="AJ648" s="187"/>
      <c r="AK648" s="188"/>
      <c r="AL648" s="189"/>
      <c r="AM648" s="188"/>
      <c r="AN648" s="181"/>
    </row>
    <row r="649" spans="1:40" ht="26.25" customHeight="1">
      <c r="A649" s="177"/>
      <c r="B649" s="178"/>
      <c r="C649" s="179"/>
      <c r="D649" s="180"/>
      <c r="E649" s="180"/>
      <c r="F649" s="180"/>
      <c r="G649" s="180"/>
      <c r="H649" s="180"/>
      <c r="I649" s="181"/>
      <c r="J649" s="180"/>
      <c r="K649" s="180"/>
      <c r="L649" s="180"/>
      <c r="M649" s="180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1"/>
      <c r="Y649" s="180"/>
      <c r="Z649" s="183"/>
      <c r="AA649" s="183"/>
      <c r="AB649" s="180"/>
      <c r="AC649" s="183"/>
      <c r="AD649" s="183"/>
      <c r="AE649" s="180"/>
      <c r="AF649" s="184"/>
      <c r="AG649" s="185"/>
      <c r="AH649" s="186"/>
      <c r="AI649" s="187"/>
      <c r="AJ649" s="187"/>
      <c r="AK649" s="188"/>
      <c r="AL649" s="189"/>
      <c r="AM649" s="188"/>
      <c r="AN649" s="181"/>
    </row>
    <row r="650" spans="1:40" ht="26.25" customHeight="1">
      <c r="A650" s="177"/>
      <c r="B650" s="178"/>
      <c r="C650" s="179"/>
      <c r="D650" s="180"/>
      <c r="E650" s="180"/>
      <c r="F650" s="180"/>
      <c r="G650" s="180"/>
      <c r="H650" s="180"/>
      <c r="I650" s="181"/>
      <c r="J650" s="180"/>
      <c r="K650" s="180"/>
      <c r="L650" s="180"/>
      <c r="M650" s="180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1"/>
      <c r="Y650" s="180"/>
      <c r="Z650" s="183"/>
      <c r="AA650" s="183"/>
      <c r="AB650" s="180"/>
      <c r="AC650" s="183"/>
      <c r="AD650" s="183"/>
      <c r="AE650" s="180"/>
      <c r="AF650" s="184"/>
      <c r="AG650" s="185"/>
      <c r="AH650" s="186"/>
      <c r="AI650" s="187"/>
      <c r="AJ650" s="187"/>
      <c r="AK650" s="188"/>
      <c r="AL650" s="189"/>
      <c r="AM650" s="188"/>
      <c r="AN650" s="181"/>
    </row>
    <row r="651" spans="1:40" ht="26.25" customHeight="1">
      <c r="A651" s="177"/>
      <c r="B651" s="178"/>
      <c r="C651" s="179"/>
      <c r="D651" s="180"/>
      <c r="E651" s="180"/>
      <c r="F651" s="180"/>
      <c r="G651" s="180"/>
      <c r="H651" s="180"/>
      <c r="I651" s="181"/>
      <c r="J651" s="180"/>
      <c r="K651" s="180"/>
      <c r="L651" s="180"/>
      <c r="M651" s="180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1"/>
      <c r="Y651" s="180"/>
      <c r="Z651" s="183"/>
      <c r="AA651" s="183"/>
      <c r="AB651" s="180"/>
      <c r="AC651" s="183"/>
      <c r="AD651" s="183"/>
      <c r="AE651" s="180"/>
      <c r="AF651" s="184"/>
      <c r="AG651" s="185"/>
      <c r="AH651" s="186"/>
      <c r="AI651" s="187"/>
      <c r="AJ651" s="187"/>
      <c r="AK651" s="188"/>
      <c r="AL651" s="189"/>
      <c r="AM651" s="188"/>
      <c r="AN651" s="181"/>
    </row>
    <row r="652" spans="1:40" ht="26.25" customHeight="1">
      <c r="A652" s="177"/>
      <c r="B652" s="178"/>
      <c r="C652" s="179"/>
      <c r="D652" s="180"/>
      <c r="E652" s="180"/>
      <c r="F652" s="180"/>
      <c r="G652" s="180"/>
      <c r="H652" s="180"/>
      <c r="I652" s="181"/>
      <c r="J652" s="180"/>
      <c r="K652" s="180"/>
      <c r="L652" s="180"/>
      <c r="M652" s="180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1"/>
      <c r="Y652" s="180"/>
      <c r="Z652" s="183"/>
      <c r="AA652" s="183"/>
      <c r="AB652" s="180"/>
      <c r="AC652" s="183"/>
      <c r="AD652" s="183"/>
      <c r="AE652" s="180"/>
      <c r="AF652" s="184"/>
      <c r="AG652" s="185"/>
      <c r="AH652" s="186"/>
      <c r="AI652" s="187"/>
      <c r="AJ652" s="187"/>
      <c r="AK652" s="188"/>
      <c r="AL652" s="189"/>
      <c r="AM652" s="188"/>
      <c r="AN652" s="181"/>
    </row>
    <row r="653" spans="1:40" ht="26.25" customHeight="1">
      <c r="A653" s="177"/>
      <c r="B653" s="178"/>
      <c r="C653" s="179"/>
      <c r="D653" s="180"/>
      <c r="E653" s="180"/>
      <c r="F653" s="180"/>
      <c r="G653" s="180"/>
      <c r="H653" s="180"/>
      <c r="I653" s="181"/>
      <c r="J653" s="180"/>
      <c r="K653" s="180"/>
      <c r="L653" s="180"/>
      <c r="M653" s="180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1"/>
      <c r="Y653" s="180"/>
      <c r="Z653" s="183"/>
      <c r="AA653" s="183"/>
      <c r="AB653" s="180"/>
      <c r="AC653" s="183"/>
      <c r="AD653" s="183"/>
      <c r="AE653" s="180"/>
      <c r="AF653" s="184"/>
      <c r="AG653" s="185"/>
      <c r="AH653" s="186"/>
      <c r="AI653" s="187"/>
      <c r="AJ653" s="187"/>
      <c r="AK653" s="188"/>
      <c r="AL653" s="189"/>
      <c r="AM653" s="188"/>
      <c r="AN653" s="181"/>
    </row>
    <row r="654" spans="1:40" ht="26.25" customHeight="1">
      <c r="A654" s="177"/>
      <c r="B654" s="178"/>
      <c r="C654" s="179"/>
      <c r="D654" s="180"/>
      <c r="E654" s="180"/>
      <c r="F654" s="180"/>
      <c r="G654" s="180"/>
      <c r="H654" s="180"/>
      <c r="I654" s="181"/>
      <c r="J654" s="180"/>
      <c r="K654" s="180"/>
      <c r="L654" s="180"/>
      <c r="M654" s="180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1"/>
      <c r="Y654" s="180"/>
      <c r="Z654" s="183"/>
      <c r="AA654" s="183"/>
      <c r="AB654" s="180"/>
      <c r="AC654" s="183"/>
      <c r="AD654" s="183"/>
      <c r="AE654" s="180"/>
      <c r="AF654" s="184"/>
      <c r="AG654" s="185"/>
      <c r="AH654" s="186"/>
      <c r="AI654" s="187"/>
      <c r="AJ654" s="187"/>
      <c r="AK654" s="188"/>
      <c r="AL654" s="189"/>
      <c r="AM654" s="188"/>
      <c r="AN654" s="181"/>
    </row>
    <row r="655" spans="1:40" ht="26.25" customHeight="1">
      <c r="A655" s="177"/>
      <c r="B655" s="178"/>
      <c r="C655" s="179"/>
      <c r="D655" s="180"/>
      <c r="E655" s="180"/>
      <c r="F655" s="180"/>
      <c r="G655" s="180"/>
      <c r="H655" s="180"/>
      <c r="I655" s="181"/>
      <c r="J655" s="180"/>
      <c r="K655" s="180"/>
      <c r="L655" s="180"/>
      <c r="M655" s="180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1"/>
      <c r="Y655" s="180"/>
      <c r="Z655" s="183"/>
      <c r="AA655" s="183"/>
      <c r="AB655" s="180"/>
      <c r="AC655" s="183"/>
      <c r="AD655" s="183"/>
      <c r="AE655" s="180"/>
      <c r="AF655" s="184"/>
      <c r="AG655" s="185"/>
      <c r="AH655" s="186"/>
      <c r="AI655" s="187"/>
      <c r="AJ655" s="187"/>
      <c r="AK655" s="188"/>
      <c r="AL655" s="189"/>
      <c r="AM655" s="188"/>
      <c r="AN655" s="181"/>
    </row>
    <row r="656" spans="1:40" ht="26.25" customHeight="1">
      <c r="A656" s="177"/>
      <c r="B656" s="178"/>
      <c r="C656" s="179"/>
      <c r="D656" s="180"/>
      <c r="E656" s="180"/>
      <c r="F656" s="180"/>
      <c r="G656" s="180"/>
      <c r="H656" s="180"/>
      <c r="I656" s="181"/>
      <c r="J656" s="180"/>
      <c r="K656" s="180"/>
      <c r="L656" s="180"/>
      <c r="M656" s="180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1"/>
      <c r="Y656" s="180"/>
      <c r="Z656" s="183"/>
      <c r="AA656" s="183"/>
      <c r="AB656" s="180"/>
      <c r="AC656" s="183"/>
      <c r="AD656" s="183"/>
      <c r="AE656" s="180"/>
      <c r="AF656" s="184"/>
      <c r="AG656" s="185"/>
      <c r="AH656" s="186"/>
      <c r="AI656" s="187"/>
      <c r="AJ656" s="187"/>
      <c r="AK656" s="188"/>
      <c r="AL656" s="189"/>
      <c r="AM656" s="188"/>
      <c r="AN656" s="181"/>
    </row>
    <row r="657" spans="1:40" ht="26.25" customHeight="1">
      <c r="A657" s="177"/>
      <c r="B657" s="178"/>
      <c r="C657" s="179"/>
      <c r="D657" s="180"/>
      <c r="E657" s="180"/>
      <c r="F657" s="180"/>
      <c r="G657" s="180"/>
      <c r="H657" s="180"/>
      <c r="I657" s="181"/>
      <c r="J657" s="180"/>
      <c r="K657" s="180"/>
      <c r="L657" s="180"/>
      <c r="M657" s="180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1"/>
      <c r="Y657" s="180"/>
      <c r="Z657" s="183"/>
      <c r="AA657" s="183"/>
      <c r="AB657" s="180"/>
      <c r="AC657" s="183"/>
      <c r="AD657" s="183"/>
      <c r="AE657" s="180"/>
      <c r="AF657" s="184"/>
      <c r="AG657" s="185"/>
      <c r="AH657" s="186"/>
      <c r="AI657" s="187"/>
      <c r="AJ657" s="187"/>
      <c r="AK657" s="188"/>
      <c r="AL657" s="189"/>
      <c r="AM657" s="188"/>
      <c r="AN657" s="181"/>
    </row>
    <row r="658" spans="1:40" ht="26.25" customHeight="1">
      <c r="A658" s="177"/>
      <c r="B658" s="178"/>
      <c r="C658" s="179"/>
      <c r="D658" s="180"/>
      <c r="E658" s="180"/>
      <c r="F658" s="180"/>
      <c r="G658" s="180"/>
      <c r="H658" s="180"/>
      <c r="I658" s="181"/>
      <c r="J658" s="180"/>
      <c r="K658" s="180"/>
      <c r="L658" s="180"/>
      <c r="M658" s="180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1"/>
      <c r="Y658" s="180"/>
      <c r="Z658" s="183"/>
      <c r="AA658" s="183"/>
      <c r="AB658" s="180"/>
      <c r="AC658" s="183"/>
      <c r="AD658" s="183"/>
      <c r="AE658" s="180"/>
      <c r="AF658" s="184"/>
      <c r="AG658" s="185"/>
      <c r="AH658" s="186"/>
      <c r="AI658" s="187"/>
      <c r="AJ658" s="187"/>
      <c r="AK658" s="188"/>
      <c r="AL658" s="189"/>
      <c r="AM658" s="188"/>
      <c r="AN658" s="181"/>
    </row>
    <row r="659" spans="1:40" ht="26.25" customHeight="1">
      <c r="A659" s="177"/>
      <c r="B659" s="178"/>
      <c r="C659" s="179"/>
      <c r="D659" s="180"/>
      <c r="E659" s="180"/>
      <c r="F659" s="180"/>
      <c r="G659" s="180"/>
      <c r="H659" s="180"/>
      <c r="I659" s="181"/>
      <c r="J659" s="180"/>
      <c r="K659" s="180"/>
      <c r="L659" s="180"/>
      <c r="M659" s="180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1"/>
      <c r="Y659" s="180"/>
      <c r="Z659" s="183"/>
      <c r="AA659" s="183"/>
      <c r="AB659" s="180"/>
      <c r="AC659" s="183"/>
      <c r="AD659" s="183"/>
      <c r="AE659" s="180"/>
      <c r="AF659" s="184"/>
      <c r="AG659" s="185"/>
      <c r="AH659" s="186"/>
      <c r="AI659" s="187"/>
      <c r="AJ659" s="187"/>
      <c r="AK659" s="188"/>
      <c r="AL659" s="189"/>
      <c r="AM659" s="188"/>
      <c r="AN659" s="181"/>
    </row>
    <row r="660" spans="1:40" ht="26.25" customHeight="1">
      <c r="A660" s="177"/>
      <c r="B660" s="178"/>
      <c r="C660" s="179"/>
      <c r="D660" s="180"/>
      <c r="E660" s="180"/>
      <c r="F660" s="180"/>
      <c r="G660" s="180"/>
      <c r="H660" s="180"/>
      <c r="I660" s="181"/>
      <c r="J660" s="180"/>
      <c r="K660" s="180"/>
      <c r="L660" s="180"/>
      <c r="M660" s="180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1"/>
      <c r="Y660" s="180"/>
      <c r="Z660" s="183"/>
      <c r="AA660" s="183"/>
      <c r="AB660" s="180"/>
      <c r="AC660" s="183"/>
      <c r="AD660" s="183"/>
      <c r="AE660" s="180"/>
      <c r="AF660" s="184"/>
      <c r="AG660" s="185"/>
      <c r="AH660" s="186"/>
      <c r="AI660" s="187"/>
      <c r="AJ660" s="187"/>
      <c r="AK660" s="188"/>
      <c r="AL660" s="189"/>
      <c r="AM660" s="188"/>
      <c r="AN660" s="181"/>
    </row>
    <row r="661" spans="1:40" ht="26.25" customHeight="1">
      <c r="A661" s="177"/>
      <c r="B661" s="178"/>
      <c r="C661" s="179"/>
      <c r="D661" s="180"/>
      <c r="E661" s="180"/>
      <c r="F661" s="180"/>
      <c r="G661" s="180"/>
      <c r="H661" s="180"/>
      <c r="I661" s="181"/>
      <c r="J661" s="180"/>
      <c r="K661" s="180"/>
      <c r="L661" s="180"/>
      <c r="M661" s="180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1"/>
      <c r="Y661" s="180"/>
      <c r="Z661" s="183"/>
      <c r="AA661" s="183"/>
      <c r="AB661" s="180"/>
      <c r="AC661" s="183"/>
      <c r="AD661" s="183"/>
      <c r="AE661" s="180"/>
      <c r="AF661" s="184"/>
      <c r="AG661" s="185"/>
      <c r="AH661" s="186"/>
      <c r="AI661" s="187"/>
      <c r="AJ661" s="187"/>
      <c r="AK661" s="188"/>
      <c r="AL661" s="189"/>
      <c r="AM661" s="188"/>
      <c r="AN661" s="181"/>
    </row>
    <row r="662" spans="1:40" ht="26.25" customHeight="1">
      <c r="A662" s="177"/>
      <c r="B662" s="178"/>
      <c r="C662" s="179"/>
      <c r="D662" s="180"/>
      <c r="E662" s="180"/>
      <c r="F662" s="180"/>
      <c r="G662" s="180"/>
      <c r="H662" s="180"/>
      <c r="I662" s="181"/>
      <c r="J662" s="180"/>
      <c r="K662" s="180"/>
      <c r="L662" s="180"/>
      <c r="M662" s="180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1"/>
      <c r="Y662" s="180"/>
      <c r="Z662" s="183"/>
      <c r="AA662" s="183"/>
      <c r="AB662" s="180"/>
      <c r="AC662" s="183"/>
      <c r="AD662" s="183"/>
      <c r="AE662" s="180"/>
      <c r="AF662" s="184"/>
      <c r="AG662" s="185"/>
      <c r="AH662" s="186"/>
      <c r="AI662" s="187"/>
      <c r="AJ662" s="187"/>
      <c r="AK662" s="188"/>
      <c r="AL662" s="189"/>
      <c r="AM662" s="188"/>
      <c r="AN662" s="181"/>
    </row>
    <row r="663" spans="1:40" ht="26.25" customHeight="1">
      <c r="A663" s="177"/>
      <c r="B663" s="178"/>
      <c r="C663" s="179"/>
      <c r="D663" s="180"/>
      <c r="E663" s="180"/>
      <c r="F663" s="180"/>
      <c r="G663" s="180"/>
      <c r="H663" s="180"/>
      <c r="I663" s="181"/>
      <c r="J663" s="180"/>
      <c r="K663" s="180"/>
      <c r="L663" s="180"/>
      <c r="M663" s="180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1"/>
      <c r="Y663" s="180"/>
      <c r="Z663" s="183"/>
      <c r="AA663" s="183"/>
      <c r="AB663" s="180"/>
      <c r="AC663" s="183"/>
      <c r="AD663" s="183"/>
      <c r="AE663" s="180"/>
      <c r="AF663" s="184"/>
      <c r="AG663" s="185"/>
      <c r="AH663" s="186"/>
      <c r="AI663" s="187"/>
      <c r="AJ663" s="187"/>
      <c r="AK663" s="188"/>
      <c r="AL663" s="189"/>
      <c r="AM663" s="188"/>
      <c r="AN663" s="181"/>
    </row>
    <row r="664" spans="1:40" ht="26.25" customHeight="1">
      <c r="A664" s="177"/>
      <c r="B664" s="178"/>
      <c r="C664" s="179"/>
      <c r="D664" s="180"/>
      <c r="E664" s="180"/>
      <c r="F664" s="180"/>
      <c r="G664" s="180"/>
      <c r="H664" s="180"/>
      <c r="I664" s="181"/>
      <c r="J664" s="180"/>
      <c r="K664" s="180"/>
      <c r="L664" s="180"/>
      <c r="M664" s="180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1"/>
      <c r="Y664" s="180"/>
      <c r="Z664" s="183"/>
      <c r="AA664" s="183"/>
      <c r="AB664" s="180"/>
      <c r="AC664" s="183"/>
      <c r="AD664" s="183"/>
      <c r="AE664" s="180"/>
      <c r="AF664" s="184"/>
      <c r="AG664" s="185"/>
      <c r="AH664" s="186"/>
      <c r="AI664" s="187"/>
      <c r="AJ664" s="187"/>
      <c r="AK664" s="188"/>
      <c r="AL664" s="189"/>
      <c r="AM664" s="188"/>
      <c r="AN664" s="181"/>
    </row>
    <row r="665" spans="1:40" ht="26.25" customHeight="1">
      <c r="A665" s="177"/>
      <c r="B665" s="178"/>
      <c r="C665" s="179"/>
      <c r="D665" s="180"/>
      <c r="E665" s="180"/>
      <c r="F665" s="180"/>
      <c r="G665" s="180"/>
      <c r="H665" s="180"/>
      <c r="I665" s="181"/>
      <c r="J665" s="180"/>
      <c r="K665" s="180"/>
      <c r="L665" s="180"/>
      <c r="M665" s="180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1"/>
      <c r="Y665" s="180"/>
      <c r="Z665" s="183"/>
      <c r="AA665" s="183"/>
      <c r="AB665" s="180"/>
      <c r="AC665" s="183"/>
      <c r="AD665" s="183"/>
      <c r="AE665" s="180"/>
      <c r="AF665" s="184"/>
      <c r="AG665" s="185"/>
      <c r="AH665" s="186"/>
      <c r="AI665" s="187"/>
      <c r="AJ665" s="187"/>
      <c r="AK665" s="188"/>
      <c r="AL665" s="189"/>
      <c r="AM665" s="188"/>
      <c r="AN665" s="181"/>
    </row>
    <row r="666" spans="1:40" ht="26.25" customHeight="1">
      <c r="A666" s="177"/>
      <c r="B666" s="178"/>
      <c r="C666" s="179"/>
      <c r="D666" s="180"/>
      <c r="E666" s="180"/>
      <c r="F666" s="180"/>
      <c r="G666" s="180"/>
      <c r="H666" s="180"/>
      <c r="I666" s="181"/>
      <c r="J666" s="180"/>
      <c r="K666" s="180"/>
      <c r="L666" s="180"/>
      <c r="M666" s="180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1"/>
      <c r="Y666" s="180"/>
      <c r="Z666" s="183"/>
      <c r="AA666" s="183"/>
      <c r="AB666" s="180"/>
      <c r="AC666" s="183"/>
      <c r="AD666" s="183"/>
      <c r="AE666" s="180"/>
      <c r="AF666" s="184"/>
      <c r="AG666" s="185"/>
      <c r="AH666" s="186"/>
      <c r="AI666" s="187"/>
      <c r="AJ666" s="187"/>
      <c r="AK666" s="188"/>
      <c r="AL666" s="189"/>
      <c r="AM666" s="188"/>
      <c r="AN666" s="181"/>
    </row>
    <row r="667" spans="1:40" ht="26.25" customHeight="1">
      <c r="A667" s="177"/>
      <c r="B667" s="178"/>
      <c r="C667" s="179"/>
      <c r="D667" s="180"/>
      <c r="E667" s="180"/>
      <c r="F667" s="180"/>
      <c r="G667" s="180"/>
      <c r="H667" s="180"/>
      <c r="I667" s="181"/>
      <c r="J667" s="180"/>
      <c r="K667" s="180"/>
      <c r="L667" s="180"/>
      <c r="M667" s="180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1"/>
      <c r="Y667" s="180"/>
      <c r="Z667" s="183"/>
      <c r="AA667" s="183"/>
      <c r="AB667" s="180"/>
      <c r="AC667" s="183"/>
      <c r="AD667" s="183"/>
      <c r="AE667" s="180"/>
      <c r="AF667" s="184"/>
      <c r="AG667" s="185"/>
      <c r="AH667" s="186"/>
      <c r="AI667" s="187"/>
      <c r="AJ667" s="187"/>
      <c r="AK667" s="188"/>
      <c r="AL667" s="189"/>
      <c r="AM667" s="188"/>
      <c r="AN667" s="181"/>
    </row>
    <row r="668" spans="1:40" ht="26.25" customHeight="1">
      <c r="A668" s="177"/>
      <c r="B668" s="178"/>
      <c r="C668" s="179"/>
      <c r="D668" s="180"/>
      <c r="E668" s="180"/>
      <c r="F668" s="180"/>
      <c r="G668" s="180"/>
      <c r="H668" s="180"/>
      <c r="I668" s="181"/>
      <c r="J668" s="180"/>
      <c r="K668" s="180"/>
      <c r="L668" s="180"/>
      <c r="M668" s="180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1"/>
      <c r="Y668" s="180"/>
      <c r="Z668" s="183"/>
      <c r="AA668" s="183"/>
      <c r="AB668" s="180"/>
      <c r="AC668" s="183"/>
      <c r="AD668" s="183"/>
      <c r="AE668" s="180"/>
      <c r="AF668" s="184"/>
      <c r="AG668" s="185"/>
      <c r="AH668" s="186"/>
      <c r="AI668" s="187"/>
      <c r="AJ668" s="187"/>
      <c r="AK668" s="188"/>
      <c r="AL668" s="189"/>
      <c r="AM668" s="188"/>
      <c r="AN668" s="181"/>
    </row>
    <row r="669" spans="1:40" ht="26.25" customHeight="1">
      <c r="A669" s="177"/>
      <c r="B669" s="178"/>
      <c r="C669" s="179"/>
      <c r="D669" s="180"/>
      <c r="E669" s="180"/>
      <c r="F669" s="180"/>
      <c r="G669" s="180"/>
      <c r="H669" s="180"/>
      <c r="I669" s="181"/>
      <c r="J669" s="180"/>
      <c r="K669" s="180"/>
      <c r="L669" s="180"/>
      <c r="M669" s="180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1"/>
      <c r="Y669" s="180"/>
      <c r="Z669" s="183"/>
      <c r="AA669" s="183"/>
      <c r="AB669" s="180"/>
      <c r="AC669" s="183"/>
      <c r="AD669" s="183"/>
      <c r="AE669" s="180"/>
      <c r="AF669" s="184"/>
      <c r="AG669" s="185"/>
      <c r="AH669" s="186"/>
      <c r="AI669" s="187"/>
      <c r="AJ669" s="187"/>
      <c r="AK669" s="188"/>
      <c r="AL669" s="189"/>
      <c r="AM669" s="188"/>
      <c r="AN669" s="181"/>
    </row>
    <row r="670" spans="1:40" ht="26.25" customHeight="1">
      <c r="A670" s="177"/>
      <c r="B670" s="178"/>
      <c r="C670" s="179"/>
      <c r="D670" s="180"/>
      <c r="E670" s="180"/>
      <c r="F670" s="180"/>
      <c r="G670" s="180"/>
      <c r="H670" s="180"/>
      <c r="I670" s="181"/>
      <c r="J670" s="180"/>
      <c r="K670" s="180"/>
      <c r="L670" s="180"/>
      <c r="M670" s="180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1"/>
      <c r="Y670" s="180"/>
      <c r="Z670" s="183"/>
      <c r="AA670" s="183"/>
      <c r="AB670" s="180"/>
      <c r="AC670" s="183"/>
      <c r="AD670" s="183"/>
      <c r="AE670" s="180"/>
      <c r="AF670" s="184"/>
      <c r="AG670" s="185"/>
      <c r="AH670" s="186"/>
      <c r="AI670" s="187"/>
      <c r="AJ670" s="187"/>
      <c r="AK670" s="188"/>
      <c r="AL670" s="189"/>
      <c r="AM670" s="188"/>
      <c r="AN670" s="181"/>
    </row>
    <row r="671" spans="1:40" ht="26.25" customHeight="1">
      <c r="A671" s="177"/>
      <c r="B671" s="178"/>
      <c r="C671" s="179"/>
      <c r="D671" s="180"/>
      <c r="E671" s="180"/>
      <c r="F671" s="180"/>
      <c r="G671" s="180"/>
      <c r="H671" s="180"/>
      <c r="I671" s="181"/>
      <c r="J671" s="180"/>
      <c r="K671" s="180"/>
      <c r="L671" s="180"/>
      <c r="M671" s="180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1"/>
      <c r="Y671" s="180"/>
      <c r="Z671" s="183"/>
      <c r="AA671" s="183"/>
      <c r="AB671" s="180"/>
      <c r="AC671" s="183"/>
      <c r="AD671" s="183"/>
      <c r="AE671" s="180"/>
      <c r="AF671" s="184"/>
      <c r="AG671" s="185"/>
      <c r="AH671" s="186"/>
      <c r="AI671" s="187"/>
      <c r="AJ671" s="187"/>
      <c r="AK671" s="188"/>
      <c r="AL671" s="189"/>
      <c r="AM671" s="188"/>
      <c r="AN671" s="181"/>
    </row>
    <row r="672" spans="1:40" ht="26.25" customHeight="1">
      <c r="A672" s="177"/>
      <c r="B672" s="178"/>
      <c r="C672" s="179"/>
      <c r="D672" s="180"/>
      <c r="E672" s="180"/>
      <c r="F672" s="180"/>
      <c r="G672" s="180"/>
      <c r="H672" s="180"/>
      <c r="I672" s="181"/>
      <c r="J672" s="180"/>
      <c r="K672" s="180"/>
      <c r="L672" s="180"/>
      <c r="M672" s="180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1"/>
      <c r="Y672" s="180"/>
      <c r="Z672" s="183"/>
      <c r="AA672" s="183"/>
      <c r="AB672" s="180"/>
      <c r="AC672" s="183"/>
      <c r="AD672" s="183"/>
      <c r="AE672" s="180"/>
      <c r="AF672" s="184"/>
      <c r="AG672" s="185"/>
      <c r="AH672" s="186"/>
      <c r="AI672" s="187"/>
      <c r="AJ672" s="187"/>
      <c r="AK672" s="188"/>
      <c r="AL672" s="189"/>
      <c r="AM672" s="188"/>
      <c r="AN672" s="181"/>
    </row>
    <row r="673" spans="1:40" ht="26.25" customHeight="1">
      <c r="A673" s="177"/>
      <c r="B673" s="178"/>
      <c r="C673" s="179"/>
      <c r="D673" s="180"/>
      <c r="E673" s="180"/>
      <c r="F673" s="180"/>
      <c r="G673" s="180"/>
      <c r="H673" s="180"/>
      <c r="I673" s="181"/>
      <c r="J673" s="180"/>
      <c r="K673" s="180"/>
      <c r="L673" s="180"/>
      <c r="M673" s="180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1"/>
      <c r="Y673" s="180"/>
      <c r="Z673" s="183"/>
      <c r="AA673" s="183"/>
      <c r="AB673" s="180"/>
      <c r="AC673" s="183"/>
      <c r="AD673" s="183"/>
      <c r="AE673" s="180"/>
      <c r="AF673" s="184"/>
      <c r="AG673" s="185"/>
      <c r="AH673" s="186"/>
      <c r="AI673" s="187"/>
      <c r="AJ673" s="187"/>
      <c r="AK673" s="188"/>
      <c r="AL673" s="189"/>
      <c r="AM673" s="188"/>
      <c r="AN673" s="181"/>
    </row>
    <row r="674" spans="1:40" ht="26.25" customHeight="1">
      <c r="A674" s="177"/>
      <c r="B674" s="178"/>
      <c r="C674" s="179"/>
      <c r="D674" s="180"/>
      <c r="E674" s="180"/>
      <c r="F674" s="180"/>
      <c r="G674" s="180"/>
      <c r="H674" s="180"/>
      <c r="I674" s="181"/>
      <c r="J674" s="180"/>
      <c r="K674" s="180"/>
      <c r="L674" s="180"/>
      <c r="M674" s="180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1"/>
      <c r="Y674" s="180"/>
      <c r="Z674" s="183"/>
      <c r="AA674" s="183"/>
      <c r="AB674" s="180"/>
      <c r="AC674" s="183"/>
      <c r="AD674" s="183"/>
      <c r="AE674" s="180"/>
      <c r="AF674" s="184"/>
      <c r="AG674" s="185"/>
      <c r="AH674" s="186"/>
      <c r="AI674" s="187"/>
      <c r="AJ674" s="187"/>
      <c r="AK674" s="188"/>
      <c r="AL674" s="189"/>
      <c r="AM674" s="188"/>
      <c r="AN674" s="181"/>
    </row>
    <row r="675" spans="1:40" ht="26.25" customHeight="1">
      <c r="A675" s="177"/>
      <c r="B675" s="178"/>
      <c r="C675" s="179"/>
      <c r="D675" s="180"/>
      <c r="E675" s="180"/>
      <c r="F675" s="180"/>
      <c r="G675" s="180"/>
      <c r="H675" s="180"/>
      <c r="I675" s="181"/>
      <c r="J675" s="180"/>
      <c r="K675" s="180"/>
      <c r="L675" s="180"/>
      <c r="M675" s="180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1"/>
      <c r="Y675" s="180"/>
      <c r="Z675" s="183"/>
      <c r="AA675" s="183"/>
      <c r="AB675" s="180"/>
      <c r="AC675" s="183"/>
      <c r="AD675" s="183"/>
      <c r="AE675" s="180"/>
      <c r="AF675" s="184"/>
      <c r="AG675" s="185"/>
      <c r="AH675" s="186"/>
      <c r="AI675" s="187"/>
      <c r="AJ675" s="187"/>
      <c r="AK675" s="188"/>
      <c r="AL675" s="189"/>
      <c r="AM675" s="188"/>
      <c r="AN675" s="181"/>
    </row>
    <row r="676" spans="1:40" ht="26.25" customHeight="1">
      <c r="A676" s="177"/>
      <c r="B676" s="178"/>
      <c r="C676" s="179"/>
      <c r="D676" s="180"/>
      <c r="E676" s="180"/>
      <c r="F676" s="180"/>
      <c r="G676" s="180"/>
      <c r="H676" s="180"/>
      <c r="I676" s="181"/>
      <c r="J676" s="180"/>
      <c r="K676" s="180"/>
      <c r="L676" s="180"/>
      <c r="M676" s="180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1"/>
      <c r="Y676" s="180"/>
      <c r="Z676" s="183"/>
      <c r="AA676" s="183"/>
      <c r="AB676" s="180"/>
      <c r="AC676" s="183"/>
      <c r="AD676" s="183"/>
      <c r="AE676" s="180"/>
      <c r="AF676" s="184"/>
      <c r="AG676" s="185"/>
      <c r="AH676" s="186"/>
      <c r="AI676" s="187"/>
      <c r="AJ676" s="187"/>
      <c r="AK676" s="188"/>
      <c r="AL676" s="189"/>
      <c r="AM676" s="188"/>
      <c r="AN676" s="181"/>
    </row>
    <row r="677" spans="1:40" ht="26.25" customHeight="1">
      <c r="A677" s="177"/>
      <c r="B677" s="178"/>
      <c r="C677" s="179"/>
      <c r="D677" s="180"/>
      <c r="E677" s="180"/>
      <c r="F677" s="180"/>
      <c r="G677" s="180"/>
      <c r="H677" s="180"/>
      <c r="I677" s="181"/>
      <c r="J677" s="180"/>
      <c r="K677" s="180"/>
      <c r="L677" s="180"/>
      <c r="M677" s="180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1"/>
      <c r="Y677" s="180"/>
      <c r="Z677" s="183"/>
      <c r="AA677" s="183"/>
      <c r="AB677" s="180"/>
      <c r="AC677" s="183"/>
      <c r="AD677" s="183"/>
      <c r="AE677" s="180"/>
      <c r="AF677" s="184"/>
      <c r="AG677" s="185"/>
      <c r="AH677" s="186"/>
      <c r="AI677" s="187"/>
      <c r="AJ677" s="187"/>
      <c r="AK677" s="188"/>
      <c r="AL677" s="189"/>
      <c r="AM677" s="188"/>
      <c r="AN677" s="181"/>
    </row>
    <row r="678" spans="1:40" ht="26.25" customHeight="1">
      <c r="A678" s="177"/>
      <c r="B678" s="178"/>
      <c r="C678" s="179"/>
      <c r="D678" s="180"/>
      <c r="E678" s="180"/>
      <c r="F678" s="180"/>
      <c r="G678" s="180"/>
      <c r="H678" s="180"/>
      <c r="I678" s="181"/>
      <c r="J678" s="180"/>
      <c r="K678" s="180"/>
      <c r="L678" s="180"/>
      <c r="M678" s="180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1"/>
      <c r="Y678" s="180"/>
      <c r="Z678" s="183"/>
      <c r="AA678" s="183"/>
      <c r="AB678" s="180"/>
      <c r="AC678" s="183"/>
      <c r="AD678" s="183"/>
      <c r="AE678" s="180"/>
      <c r="AF678" s="184"/>
      <c r="AG678" s="185"/>
      <c r="AH678" s="186"/>
      <c r="AI678" s="187"/>
      <c r="AJ678" s="187"/>
      <c r="AK678" s="188"/>
      <c r="AL678" s="189"/>
      <c r="AM678" s="188"/>
      <c r="AN678" s="181"/>
    </row>
    <row r="679" spans="1:40" ht="26.25" customHeight="1">
      <c r="A679" s="177"/>
      <c r="B679" s="178"/>
      <c r="C679" s="179"/>
      <c r="D679" s="180"/>
      <c r="E679" s="180"/>
      <c r="F679" s="180"/>
      <c r="G679" s="180"/>
      <c r="H679" s="180"/>
      <c r="I679" s="181"/>
      <c r="J679" s="180"/>
      <c r="K679" s="180"/>
      <c r="L679" s="180"/>
      <c r="M679" s="180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1"/>
      <c r="Y679" s="180"/>
      <c r="Z679" s="183"/>
      <c r="AA679" s="183"/>
      <c r="AB679" s="180"/>
      <c r="AC679" s="183"/>
      <c r="AD679" s="183"/>
      <c r="AE679" s="180"/>
      <c r="AF679" s="184"/>
      <c r="AG679" s="185"/>
      <c r="AH679" s="186"/>
      <c r="AI679" s="187"/>
      <c r="AJ679" s="187"/>
      <c r="AK679" s="188"/>
      <c r="AL679" s="189"/>
      <c r="AM679" s="188"/>
      <c r="AN679" s="181"/>
    </row>
    <row r="680" spans="1:40" ht="26.25" customHeight="1">
      <c r="A680" s="177"/>
      <c r="B680" s="178"/>
      <c r="C680" s="179"/>
      <c r="D680" s="180"/>
      <c r="E680" s="180"/>
      <c r="F680" s="180"/>
      <c r="G680" s="180"/>
      <c r="H680" s="180"/>
      <c r="I680" s="181"/>
      <c r="J680" s="180"/>
      <c r="K680" s="180"/>
      <c r="L680" s="180"/>
      <c r="M680" s="180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1"/>
      <c r="Y680" s="180"/>
      <c r="Z680" s="183"/>
      <c r="AA680" s="183"/>
      <c r="AB680" s="180"/>
      <c r="AC680" s="183"/>
      <c r="AD680" s="183"/>
      <c r="AE680" s="180"/>
      <c r="AF680" s="184"/>
      <c r="AG680" s="185"/>
      <c r="AH680" s="186"/>
      <c r="AI680" s="187"/>
      <c r="AJ680" s="187"/>
      <c r="AK680" s="188"/>
      <c r="AL680" s="189"/>
      <c r="AM680" s="188"/>
      <c r="AN680" s="181"/>
    </row>
    <row r="681" spans="1:40" ht="26.25" customHeight="1">
      <c r="A681" s="177"/>
      <c r="B681" s="178"/>
      <c r="C681" s="179"/>
      <c r="D681" s="180"/>
      <c r="E681" s="180"/>
      <c r="F681" s="180"/>
      <c r="G681" s="180"/>
      <c r="H681" s="180"/>
      <c r="I681" s="181"/>
      <c r="J681" s="180"/>
      <c r="K681" s="180"/>
      <c r="L681" s="180"/>
      <c r="M681" s="180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1"/>
      <c r="Y681" s="180"/>
      <c r="Z681" s="183"/>
      <c r="AA681" s="183"/>
      <c r="AB681" s="180"/>
      <c r="AC681" s="183"/>
      <c r="AD681" s="183"/>
      <c r="AE681" s="180"/>
      <c r="AF681" s="184"/>
      <c r="AG681" s="185"/>
      <c r="AH681" s="186"/>
      <c r="AI681" s="187"/>
      <c r="AJ681" s="187"/>
      <c r="AK681" s="188"/>
      <c r="AL681" s="189"/>
      <c r="AM681" s="188"/>
      <c r="AN681" s="181"/>
    </row>
    <row r="682" spans="1:40" ht="26.25" customHeight="1">
      <c r="A682" s="177"/>
      <c r="B682" s="178"/>
      <c r="C682" s="179"/>
      <c r="D682" s="180"/>
      <c r="E682" s="180"/>
      <c r="F682" s="180"/>
      <c r="G682" s="180"/>
      <c r="H682" s="180"/>
      <c r="I682" s="181"/>
      <c r="J682" s="180"/>
      <c r="K682" s="180"/>
      <c r="L682" s="180"/>
      <c r="M682" s="180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1"/>
      <c r="Y682" s="180"/>
      <c r="Z682" s="183"/>
      <c r="AA682" s="183"/>
      <c r="AB682" s="180"/>
      <c r="AC682" s="183"/>
      <c r="AD682" s="183"/>
      <c r="AE682" s="180"/>
      <c r="AF682" s="184"/>
      <c r="AG682" s="185"/>
      <c r="AH682" s="186"/>
      <c r="AI682" s="187"/>
      <c r="AJ682" s="187"/>
      <c r="AK682" s="188"/>
      <c r="AL682" s="189"/>
      <c r="AM682" s="188"/>
      <c r="AN682" s="181"/>
    </row>
    <row r="683" spans="1:40" ht="26.25" customHeight="1">
      <c r="A683" s="177"/>
      <c r="B683" s="178"/>
      <c r="C683" s="179"/>
      <c r="D683" s="180"/>
      <c r="E683" s="180"/>
      <c r="F683" s="180"/>
      <c r="G683" s="180"/>
      <c r="H683" s="180"/>
      <c r="I683" s="181"/>
      <c r="J683" s="180"/>
      <c r="K683" s="180"/>
      <c r="L683" s="180"/>
      <c r="M683" s="180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1"/>
      <c r="Y683" s="180"/>
      <c r="Z683" s="183"/>
      <c r="AA683" s="183"/>
      <c r="AB683" s="180"/>
      <c r="AC683" s="183"/>
      <c r="AD683" s="183"/>
      <c r="AE683" s="180"/>
      <c r="AF683" s="184"/>
      <c r="AG683" s="185"/>
      <c r="AH683" s="186"/>
      <c r="AI683" s="187"/>
      <c r="AJ683" s="187"/>
      <c r="AK683" s="188"/>
      <c r="AL683" s="189"/>
      <c r="AM683" s="188"/>
      <c r="AN683" s="181"/>
    </row>
    <row r="684" spans="1:40" ht="26.25" customHeight="1">
      <c r="A684" s="177"/>
      <c r="B684" s="178"/>
      <c r="C684" s="179"/>
      <c r="D684" s="180"/>
      <c r="E684" s="180"/>
      <c r="F684" s="180"/>
      <c r="G684" s="180"/>
      <c r="H684" s="180"/>
      <c r="I684" s="181"/>
      <c r="J684" s="180"/>
      <c r="K684" s="180"/>
      <c r="L684" s="180"/>
      <c r="M684" s="180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1"/>
      <c r="Y684" s="180"/>
      <c r="Z684" s="183"/>
      <c r="AA684" s="183"/>
      <c r="AB684" s="180"/>
      <c r="AC684" s="183"/>
      <c r="AD684" s="183"/>
      <c r="AE684" s="180"/>
      <c r="AF684" s="184"/>
      <c r="AG684" s="185"/>
      <c r="AH684" s="186"/>
      <c r="AI684" s="187"/>
      <c r="AJ684" s="187"/>
      <c r="AK684" s="188"/>
      <c r="AL684" s="189"/>
      <c r="AM684" s="188"/>
      <c r="AN684" s="181"/>
    </row>
    <row r="685" spans="1:40" ht="26.25" customHeight="1">
      <c r="A685" s="177"/>
      <c r="B685" s="178"/>
      <c r="C685" s="179"/>
      <c r="D685" s="180"/>
      <c r="E685" s="180"/>
      <c r="F685" s="180"/>
      <c r="G685" s="180"/>
      <c r="H685" s="180"/>
      <c r="I685" s="181"/>
      <c r="J685" s="180"/>
      <c r="K685" s="180"/>
      <c r="L685" s="180"/>
      <c r="M685" s="180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1"/>
      <c r="Y685" s="180"/>
      <c r="Z685" s="183"/>
      <c r="AA685" s="183"/>
      <c r="AB685" s="180"/>
      <c r="AC685" s="183"/>
      <c r="AD685" s="183"/>
      <c r="AE685" s="180"/>
      <c r="AF685" s="184"/>
      <c r="AG685" s="185"/>
      <c r="AH685" s="186"/>
      <c r="AI685" s="187"/>
      <c r="AJ685" s="187"/>
      <c r="AK685" s="188"/>
      <c r="AL685" s="189"/>
      <c r="AM685" s="188"/>
      <c r="AN685" s="181"/>
    </row>
    <row r="686" spans="1:40" ht="26.25" customHeight="1">
      <c r="A686" s="177"/>
      <c r="B686" s="178"/>
      <c r="C686" s="179"/>
      <c r="D686" s="180"/>
      <c r="E686" s="180"/>
      <c r="F686" s="180"/>
      <c r="G686" s="180"/>
      <c r="H686" s="180"/>
      <c r="I686" s="181"/>
      <c r="J686" s="180"/>
      <c r="K686" s="180"/>
      <c r="L686" s="180"/>
      <c r="M686" s="180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1"/>
      <c r="Y686" s="180"/>
      <c r="Z686" s="183"/>
      <c r="AA686" s="183"/>
      <c r="AB686" s="180"/>
      <c r="AC686" s="183"/>
      <c r="AD686" s="183"/>
      <c r="AE686" s="180"/>
      <c r="AF686" s="184"/>
      <c r="AG686" s="185"/>
      <c r="AH686" s="186"/>
      <c r="AI686" s="187"/>
      <c r="AJ686" s="187"/>
      <c r="AK686" s="188"/>
      <c r="AL686" s="189"/>
      <c r="AM686" s="188"/>
      <c r="AN686" s="181"/>
    </row>
    <row r="687" spans="1:40" ht="26.25" customHeight="1">
      <c r="A687" s="177"/>
      <c r="B687" s="178"/>
      <c r="C687" s="179"/>
      <c r="D687" s="180"/>
      <c r="E687" s="180"/>
      <c r="F687" s="180"/>
      <c r="G687" s="180"/>
      <c r="H687" s="180"/>
      <c r="I687" s="181"/>
      <c r="J687" s="180"/>
      <c r="K687" s="180"/>
      <c r="L687" s="180"/>
      <c r="M687" s="180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1"/>
      <c r="Y687" s="180"/>
      <c r="Z687" s="183"/>
      <c r="AA687" s="183"/>
      <c r="AB687" s="180"/>
      <c r="AC687" s="183"/>
      <c r="AD687" s="183"/>
      <c r="AE687" s="180"/>
      <c r="AF687" s="184"/>
      <c r="AG687" s="185"/>
      <c r="AH687" s="186"/>
      <c r="AI687" s="187"/>
      <c r="AJ687" s="187"/>
      <c r="AK687" s="188"/>
      <c r="AL687" s="189"/>
      <c r="AM687" s="188"/>
      <c r="AN687" s="181"/>
    </row>
    <row r="688" spans="1:40" ht="26.25" customHeight="1">
      <c r="A688" s="177"/>
      <c r="B688" s="178"/>
      <c r="C688" s="179"/>
      <c r="D688" s="180"/>
      <c r="E688" s="180"/>
      <c r="F688" s="180"/>
      <c r="G688" s="180"/>
      <c r="H688" s="180"/>
      <c r="I688" s="181"/>
      <c r="J688" s="180"/>
      <c r="K688" s="180"/>
      <c r="L688" s="180"/>
      <c r="M688" s="180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1"/>
      <c r="Y688" s="180"/>
      <c r="Z688" s="183"/>
      <c r="AA688" s="183"/>
      <c r="AB688" s="180"/>
      <c r="AC688" s="183"/>
      <c r="AD688" s="183"/>
      <c r="AE688" s="180"/>
      <c r="AF688" s="184"/>
      <c r="AG688" s="185"/>
      <c r="AH688" s="186"/>
      <c r="AI688" s="187"/>
      <c r="AJ688" s="187"/>
      <c r="AK688" s="188"/>
      <c r="AL688" s="189"/>
      <c r="AM688" s="188"/>
      <c r="AN688" s="181"/>
    </row>
    <row r="689" spans="1:40" ht="26.25" customHeight="1">
      <c r="A689" s="177"/>
      <c r="B689" s="178"/>
      <c r="C689" s="179"/>
      <c r="D689" s="180"/>
      <c r="E689" s="180"/>
      <c r="F689" s="180"/>
      <c r="G689" s="180"/>
      <c r="H689" s="180"/>
      <c r="I689" s="181"/>
      <c r="J689" s="180"/>
      <c r="K689" s="180"/>
      <c r="L689" s="180"/>
      <c r="M689" s="180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1"/>
      <c r="Y689" s="180"/>
      <c r="Z689" s="183"/>
      <c r="AA689" s="183"/>
      <c r="AB689" s="180"/>
      <c r="AC689" s="183"/>
      <c r="AD689" s="183"/>
      <c r="AE689" s="180"/>
      <c r="AF689" s="184"/>
      <c r="AG689" s="185"/>
      <c r="AH689" s="186"/>
      <c r="AI689" s="187"/>
      <c r="AJ689" s="187"/>
      <c r="AK689" s="188"/>
      <c r="AL689" s="189"/>
      <c r="AM689" s="188"/>
      <c r="AN689" s="181"/>
    </row>
    <row r="690" spans="1:40" ht="26.25" customHeight="1">
      <c r="A690" s="177"/>
      <c r="B690" s="178"/>
      <c r="C690" s="179"/>
      <c r="D690" s="180"/>
      <c r="E690" s="180"/>
      <c r="F690" s="180"/>
      <c r="G690" s="180"/>
      <c r="H690" s="180"/>
      <c r="I690" s="181"/>
      <c r="J690" s="180"/>
      <c r="K690" s="180"/>
      <c r="L690" s="180"/>
      <c r="M690" s="180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1"/>
      <c r="Y690" s="180"/>
      <c r="Z690" s="183"/>
      <c r="AA690" s="183"/>
      <c r="AB690" s="180"/>
      <c r="AC690" s="183"/>
      <c r="AD690" s="183"/>
      <c r="AE690" s="180"/>
      <c r="AF690" s="184"/>
      <c r="AG690" s="185"/>
      <c r="AH690" s="186"/>
      <c r="AI690" s="187"/>
      <c r="AJ690" s="187"/>
      <c r="AK690" s="188"/>
      <c r="AL690" s="189"/>
      <c r="AM690" s="188"/>
      <c r="AN690" s="181"/>
    </row>
    <row r="691" spans="1:40" ht="26.25" customHeight="1">
      <c r="A691" s="177"/>
      <c r="B691" s="178"/>
      <c r="C691" s="179"/>
      <c r="D691" s="180"/>
      <c r="E691" s="180"/>
      <c r="F691" s="180"/>
      <c r="G691" s="180"/>
      <c r="H691" s="180"/>
      <c r="I691" s="181"/>
      <c r="J691" s="180"/>
      <c r="K691" s="180"/>
      <c r="L691" s="180"/>
      <c r="M691" s="180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1"/>
      <c r="Y691" s="180"/>
      <c r="Z691" s="183"/>
      <c r="AA691" s="183"/>
      <c r="AB691" s="180"/>
      <c r="AC691" s="183"/>
      <c r="AD691" s="183"/>
      <c r="AE691" s="180"/>
      <c r="AF691" s="184"/>
      <c r="AG691" s="185"/>
      <c r="AH691" s="186"/>
      <c r="AI691" s="187"/>
      <c r="AJ691" s="187"/>
      <c r="AK691" s="188"/>
      <c r="AL691" s="189"/>
      <c r="AM691" s="188"/>
      <c r="AN691" s="181"/>
    </row>
    <row r="692" spans="1:40" ht="26.25" customHeight="1">
      <c r="A692" s="177"/>
      <c r="B692" s="178"/>
      <c r="C692" s="179"/>
      <c r="D692" s="180"/>
      <c r="E692" s="180"/>
      <c r="F692" s="180"/>
      <c r="G692" s="180"/>
      <c r="H692" s="180"/>
      <c r="I692" s="181"/>
      <c r="J692" s="180"/>
      <c r="K692" s="180"/>
      <c r="L692" s="180"/>
      <c r="M692" s="180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1"/>
      <c r="Y692" s="180"/>
      <c r="Z692" s="183"/>
      <c r="AA692" s="183"/>
      <c r="AB692" s="180"/>
      <c r="AC692" s="183"/>
      <c r="AD692" s="183"/>
      <c r="AE692" s="180"/>
      <c r="AF692" s="184"/>
      <c r="AG692" s="185"/>
      <c r="AH692" s="186"/>
      <c r="AI692" s="187"/>
      <c r="AJ692" s="187"/>
      <c r="AK692" s="188"/>
      <c r="AL692" s="189"/>
      <c r="AM692" s="188"/>
      <c r="AN692" s="181"/>
    </row>
    <row r="693" spans="1:40" ht="26.25" customHeight="1">
      <c r="A693" s="177"/>
      <c r="B693" s="178"/>
      <c r="C693" s="179"/>
      <c r="D693" s="180"/>
      <c r="E693" s="180"/>
      <c r="F693" s="180"/>
      <c r="G693" s="180"/>
      <c r="H693" s="180"/>
      <c r="I693" s="181"/>
      <c r="J693" s="180"/>
      <c r="K693" s="180"/>
      <c r="L693" s="180"/>
      <c r="M693" s="180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1"/>
      <c r="Y693" s="180"/>
      <c r="Z693" s="183"/>
      <c r="AA693" s="183"/>
      <c r="AB693" s="180"/>
      <c r="AC693" s="183"/>
      <c r="AD693" s="183"/>
      <c r="AE693" s="180"/>
      <c r="AF693" s="184"/>
      <c r="AG693" s="185"/>
      <c r="AH693" s="186"/>
      <c r="AI693" s="187"/>
      <c r="AJ693" s="187"/>
      <c r="AK693" s="188"/>
      <c r="AL693" s="189"/>
      <c r="AM693" s="188"/>
      <c r="AN693" s="181"/>
    </row>
    <row r="694" spans="1:40" ht="26.25" customHeight="1">
      <c r="A694" s="177"/>
      <c r="B694" s="178"/>
      <c r="C694" s="179"/>
      <c r="D694" s="180"/>
      <c r="E694" s="180"/>
      <c r="F694" s="180"/>
      <c r="G694" s="180"/>
      <c r="H694" s="180"/>
      <c r="I694" s="181"/>
      <c r="J694" s="180"/>
      <c r="K694" s="180"/>
      <c r="L694" s="180"/>
      <c r="M694" s="180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1"/>
      <c r="Y694" s="180"/>
      <c r="Z694" s="183"/>
      <c r="AA694" s="183"/>
      <c r="AB694" s="180"/>
      <c r="AC694" s="183"/>
      <c r="AD694" s="183"/>
      <c r="AE694" s="180"/>
      <c r="AF694" s="184"/>
      <c r="AG694" s="185"/>
      <c r="AH694" s="186"/>
      <c r="AI694" s="187"/>
      <c r="AJ694" s="187"/>
      <c r="AK694" s="188"/>
      <c r="AL694" s="189"/>
      <c r="AM694" s="188"/>
      <c r="AN694" s="181"/>
    </row>
    <row r="695" spans="1:40" ht="26.25" customHeight="1">
      <c r="A695" s="177"/>
      <c r="B695" s="178"/>
      <c r="C695" s="179"/>
      <c r="D695" s="180"/>
      <c r="E695" s="180"/>
      <c r="F695" s="180"/>
      <c r="G695" s="180"/>
      <c r="H695" s="180"/>
      <c r="I695" s="181"/>
      <c r="J695" s="180"/>
      <c r="K695" s="180"/>
      <c r="L695" s="180"/>
      <c r="M695" s="180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1"/>
      <c r="Y695" s="180"/>
      <c r="Z695" s="183"/>
      <c r="AA695" s="183"/>
      <c r="AB695" s="180"/>
      <c r="AC695" s="183"/>
      <c r="AD695" s="183"/>
      <c r="AE695" s="180"/>
      <c r="AF695" s="184"/>
      <c r="AG695" s="185"/>
      <c r="AH695" s="186"/>
      <c r="AI695" s="187"/>
      <c r="AJ695" s="187"/>
      <c r="AK695" s="188"/>
      <c r="AL695" s="189"/>
      <c r="AM695" s="188"/>
      <c r="AN695" s="181"/>
    </row>
    <row r="696" spans="1:40" ht="26.25" customHeight="1">
      <c r="A696" s="177"/>
      <c r="B696" s="178"/>
      <c r="C696" s="179"/>
      <c r="D696" s="180"/>
      <c r="E696" s="180"/>
      <c r="F696" s="180"/>
      <c r="G696" s="180"/>
      <c r="H696" s="180"/>
      <c r="I696" s="181"/>
      <c r="J696" s="180"/>
      <c r="K696" s="180"/>
      <c r="L696" s="180"/>
      <c r="M696" s="180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1"/>
      <c r="Y696" s="180"/>
      <c r="Z696" s="183"/>
      <c r="AA696" s="183"/>
      <c r="AB696" s="180"/>
      <c r="AC696" s="183"/>
      <c r="AD696" s="183"/>
      <c r="AE696" s="180"/>
      <c r="AF696" s="184"/>
      <c r="AG696" s="185"/>
      <c r="AH696" s="186"/>
      <c r="AI696" s="187"/>
      <c r="AJ696" s="187"/>
      <c r="AK696" s="188"/>
      <c r="AL696" s="189"/>
      <c r="AM696" s="188"/>
      <c r="AN696" s="181"/>
    </row>
    <row r="697" spans="1:40" ht="26.25" customHeight="1">
      <c r="A697" s="177"/>
      <c r="B697" s="178"/>
      <c r="C697" s="179"/>
      <c r="D697" s="180"/>
      <c r="E697" s="180"/>
      <c r="F697" s="180"/>
      <c r="G697" s="180"/>
      <c r="H697" s="180"/>
      <c r="I697" s="181"/>
      <c r="J697" s="180"/>
      <c r="K697" s="180"/>
      <c r="L697" s="180"/>
      <c r="M697" s="180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1"/>
      <c r="Y697" s="180"/>
      <c r="Z697" s="183"/>
      <c r="AA697" s="183"/>
      <c r="AB697" s="180"/>
      <c r="AC697" s="183"/>
      <c r="AD697" s="183"/>
      <c r="AE697" s="180"/>
      <c r="AF697" s="184"/>
      <c r="AG697" s="185"/>
      <c r="AH697" s="186"/>
      <c r="AI697" s="187"/>
      <c r="AJ697" s="187"/>
      <c r="AK697" s="188"/>
      <c r="AL697" s="189"/>
      <c r="AM697" s="188"/>
      <c r="AN697" s="181"/>
    </row>
    <row r="698" spans="1:40" ht="26.25" customHeight="1">
      <c r="A698" s="177"/>
      <c r="B698" s="178"/>
      <c r="C698" s="179"/>
      <c r="D698" s="180"/>
      <c r="E698" s="180"/>
      <c r="F698" s="180"/>
      <c r="G698" s="180"/>
      <c r="H698" s="180"/>
      <c r="I698" s="181"/>
      <c r="J698" s="180"/>
      <c r="K698" s="180"/>
      <c r="L698" s="180"/>
      <c r="M698" s="180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1"/>
      <c r="Y698" s="180"/>
      <c r="Z698" s="183"/>
      <c r="AA698" s="183"/>
      <c r="AB698" s="180"/>
      <c r="AC698" s="183"/>
      <c r="AD698" s="183"/>
      <c r="AE698" s="180"/>
      <c r="AF698" s="184"/>
      <c r="AG698" s="185"/>
      <c r="AH698" s="186"/>
      <c r="AI698" s="187"/>
      <c r="AJ698" s="187"/>
      <c r="AK698" s="188"/>
      <c r="AL698" s="189"/>
      <c r="AM698" s="188"/>
      <c r="AN698" s="181"/>
    </row>
    <row r="699" spans="1:40" ht="26.25" customHeight="1">
      <c r="A699" s="177"/>
      <c r="B699" s="178"/>
      <c r="C699" s="179"/>
      <c r="D699" s="180"/>
      <c r="E699" s="180"/>
      <c r="F699" s="180"/>
      <c r="G699" s="180"/>
      <c r="H699" s="180"/>
      <c r="I699" s="181"/>
      <c r="J699" s="180"/>
      <c r="K699" s="180"/>
      <c r="L699" s="180"/>
      <c r="M699" s="180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1"/>
      <c r="Y699" s="180"/>
      <c r="Z699" s="183"/>
      <c r="AA699" s="183"/>
      <c r="AB699" s="180"/>
      <c r="AC699" s="183"/>
      <c r="AD699" s="183"/>
      <c r="AE699" s="180"/>
      <c r="AF699" s="184"/>
      <c r="AG699" s="185"/>
      <c r="AH699" s="186"/>
      <c r="AI699" s="187"/>
      <c r="AJ699" s="187"/>
      <c r="AK699" s="188"/>
      <c r="AL699" s="189"/>
      <c r="AM699" s="188"/>
      <c r="AN699" s="181"/>
    </row>
    <row r="700" spans="1:40" ht="26.25" customHeight="1">
      <c r="A700" s="177"/>
      <c r="B700" s="178"/>
      <c r="C700" s="179"/>
      <c r="D700" s="180"/>
      <c r="E700" s="180"/>
      <c r="F700" s="180"/>
      <c r="G700" s="180"/>
      <c r="H700" s="180"/>
      <c r="I700" s="181"/>
      <c r="J700" s="180"/>
      <c r="K700" s="180"/>
      <c r="L700" s="180"/>
      <c r="M700" s="180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1"/>
      <c r="Y700" s="180"/>
      <c r="Z700" s="183"/>
      <c r="AA700" s="183"/>
      <c r="AB700" s="180"/>
      <c r="AC700" s="183"/>
      <c r="AD700" s="183"/>
      <c r="AE700" s="180"/>
      <c r="AF700" s="184"/>
      <c r="AG700" s="185"/>
      <c r="AH700" s="186"/>
      <c r="AI700" s="187"/>
      <c r="AJ700" s="187"/>
      <c r="AK700" s="188"/>
      <c r="AL700" s="189"/>
      <c r="AM700" s="188"/>
      <c r="AN700" s="181"/>
    </row>
    <row r="701" spans="1:40" ht="26.25" customHeight="1">
      <c r="A701" s="177"/>
      <c r="B701" s="178"/>
      <c r="C701" s="179"/>
      <c r="D701" s="180"/>
      <c r="E701" s="180"/>
      <c r="F701" s="180"/>
      <c r="G701" s="180"/>
      <c r="H701" s="180"/>
      <c r="I701" s="181"/>
      <c r="J701" s="180"/>
      <c r="K701" s="180"/>
      <c r="L701" s="180"/>
      <c r="M701" s="180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1"/>
      <c r="Y701" s="180"/>
      <c r="Z701" s="183"/>
      <c r="AA701" s="183"/>
      <c r="AB701" s="180"/>
      <c r="AC701" s="183"/>
      <c r="AD701" s="183"/>
      <c r="AE701" s="180"/>
      <c r="AF701" s="184"/>
      <c r="AG701" s="185"/>
      <c r="AH701" s="186"/>
      <c r="AI701" s="187"/>
      <c r="AJ701" s="187"/>
      <c r="AK701" s="188"/>
      <c r="AL701" s="189"/>
      <c r="AM701" s="188"/>
      <c r="AN701" s="181"/>
    </row>
    <row r="702" spans="1:40" ht="26.25" customHeight="1">
      <c r="A702" s="177"/>
      <c r="B702" s="178"/>
      <c r="C702" s="179"/>
      <c r="D702" s="180"/>
      <c r="E702" s="180"/>
      <c r="F702" s="180"/>
      <c r="G702" s="180"/>
      <c r="H702" s="180"/>
      <c r="I702" s="181"/>
      <c r="J702" s="180"/>
      <c r="K702" s="180"/>
      <c r="L702" s="180"/>
      <c r="M702" s="180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1"/>
      <c r="Y702" s="180"/>
      <c r="Z702" s="183"/>
      <c r="AA702" s="183"/>
      <c r="AB702" s="180"/>
      <c r="AC702" s="183"/>
      <c r="AD702" s="183"/>
      <c r="AE702" s="180"/>
      <c r="AF702" s="184"/>
      <c r="AG702" s="185"/>
      <c r="AH702" s="186"/>
      <c r="AI702" s="187"/>
      <c r="AJ702" s="187"/>
      <c r="AK702" s="188"/>
      <c r="AL702" s="189"/>
      <c r="AM702" s="188"/>
      <c r="AN702" s="181"/>
    </row>
    <row r="703" spans="1:40" ht="26.25" customHeight="1">
      <c r="A703" s="177"/>
      <c r="B703" s="178"/>
      <c r="C703" s="179"/>
      <c r="D703" s="180"/>
      <c r="E703" s="180"/>
      <c r="F703" s="180"/>
      <c r="G703" s="180"/>
      <c r="H703" s="180"/>
      <c r="I703" s="181"/>
      <c r="J703" s="180"/>
      <c r="K703" s="180"/>
      <c r="L703" s="180"/>
      <c r="M703" s="180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1"/>
      <c r="Y703" s="180"/>
      <c r="Z703" s="183"/>
      <c r="AA703" s="183"/>
      <c r="AB703" s="180"/>
      <c r="AC703" s="183"/>
      <c r="AD703" s="183"/>
      <c r="AE703" s="180"/>
      <c r="AF703" s="184"/>
      <c r="AG703" s="185"/>
      <c r="AH703" s="186"/>
      <c r="AI703" s="187"/>
      <c r="AJ703" s="187"/>
      <c r="AK703" s="188"/>
      <c r="AL703" s="189"/>
      <c r="AM703" s="188"/>
      <c r="AN703" s="181"/>
    </row>
    <row r="704" spans="1:40" ht="26.25" customHeight="1">
      <c r="A704" s="177"/>
      <c r="B704" s="178"/>
      <c r="C704" s="179"/>
      <c r="D704" s="180"/>
      <c r="E704" s="180"/>
      <c r="F704" s="180"/>
      <c r="G704" s="180"/>
      <c r="H704" s="180"/>
      <c r="I704" s="181"/>
      <c r="J704" s="180"/>
      <c r="K704" s="180"/>
      <c r="L704" s="180"/>
      <c r="M704" s="180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1"/>
      <c r="Y704" s="180"/>
      <c r="Z704" s="183"/>
      <c r="AA704" s="183"/>
      <c r="AB704" s="180"/>
      <c r="AC704" s="183"/>
      <c r="AD704" s="183"/>
      <c r="AE704" s="180"/>
      <c r="AF704" s="184"/>
      <c r="AG704" s="185"/>
      <c r="AH704" s="186"/>
      <c r="AI704" s="187"/>
      <c r="AJ704" s="187"/>
      <c r="AK704" s="188"/>
      <c r="AL704" s="189"/>
      <c r="AM704" s="188"/>
      <c r="AN704" s="181"/>
    </row>
    <row r="705" spans="1:40" ht="26.25" customHeight="1">
      <c r="A705" s="177"/>
      <c r="B705" s="178"/>
      <c r="C705" s="179"/>
      <c r="D705" s="180"/>
      <c r="E705" s="180"/>
      <c r="F705" s="180"/>
      <c r="G705" s="180"/>
      <c r="H705" s="180"/>
      <c r="I705" s="181"/>
      <c r="J705" s="180"/>
      <c r="K705" s="180"/>
      <c r="L705" s="180"/>
      <c r="M705" s="180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1"/>
      <c r="Y705" s="180"/>
      <c r="Z705" s="183"/>
      <c r="AA705" s="183"/>
      <c r="AB705" s="180"/>
      <c r="AC705" s="183"/>
      <c r="AD705" s="183"/>
      <c r="AE705" s="180"/>
      <c r="AF705" s="184"/>
      <c r="AG705" s="185"/>
      <c r="AH705" s="186"/>
      <c r="AI705" s="187"/>
      <c r="AJ705" s="187"/>
      <c r="AK705" s="188"/>
      <c r="AL705" s="189"/>
      <c r="AM705" s="188"/>
      <c r="AN705" s="181"/>
    </row>
    <row r="706" spans="1:40" ht="26.25" customHeight="1">
      <c r="A706" s="177"/>
      <c r="B706" s="178"/>
      <c r="C706" s="179"/>
      <c r="D706" s="180"/>
      <c r="E706" s="180"/>
      <c r="F706" s="180"/>
      <c r="G706" s="180"/>
      <c r="H706" s="180"/>
      <c r="I706" s="181"/>
      <c r="J706" s="180"/>
      <c r="K706" s="180"/>
      <c r="L706" s="180"/>
      <c r="M706" s="180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1"/>
      <c r="Y706" s="180"/>
      <c r="Z706" s="183"/>
      <c r="AA706" s="183"/>
      <c r="AB706" s="180"/>
      <c r="AC706" s="183"/>
      <c r="AD706" s="183"/>
      <c r="AE706" s="180"/>
      <c r="AF706" s="184"/>
      <c r="AG706" s="185"/>
      <c r="AH706" s="186"/>
      <c r="AI706" s="187"/>
      <c r="AJ706" s="187"/>
      <c r="AK706" s="188"/>
      <c r="AL706" s="189"/>
      <c r="AM706" s="188"/>
      <c r="AN706" s="181"/>
    </row>
    <row r="707" spans="1:40" ht="26.25" customHeight="1">
      <c r="A707" s="177"/>
      <c r="B707" s="178"/>
      <c r="C707" s="179"/>
      <c r="D707" s="180"/>
      <c r="E707" s="180"/>
      <c r="F707" s="180"/>
      <c r="G707" s="180"/>
      <c r="H707" s="180"/>
      <c r="I707" s="181"/>
      <c r="J707" s="180"/>
      <c r="K707" s="180"/>
      <c r="L707" s="180"/>
      <c r="M707" s="180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1"/>
      <c r="Y707" s="180"/>
      <c r="Z707" s="183"/>
      <c r="AA707" s="183"/>
      <c r="AB707" s="180"/>
      <c r="AC707" s="183"/>
      <c r="AD707" s="183"/>
      <c r="AE707" s="180"/>
      <c r="AF707" s="184"/>
      <c r="AG707" s="185"/>
      <c r="AH707" s="186"/>
      <c r="AI707" s="187"/>
      <c r="AJ707" s="187"/>
      <c r="AK707" s="188"/>
      <c r="AL707" s="189"/>
      <c r="AM707" s="188"/>
      <c r="AN707" s="181"/>
    </row>
    <row r="708" spans="1:40" ht="26.25" customHeight="1">
      <c r="A708" s="177"/>
      <c r="B708" s="178"/>
      <c r="C708" s="179"/>
      <c r="D708" s="180"/>
      <c r="E708" s="180"/>
      <c r="F708" s="180"/>
      <c r="G708" s="180"/>
      <c r="H708" s="180"/>
      <c r="I708" s="181"/>
      <c r="J708" s="180"/>
      <c r="K708" s="180"/>
      <c r="L708" s="180"/>
      <c r="M708" s="180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1"/>
      <c r="Y708" s="180"/>
      <c r="Z708" s="183"/>
      <c r="AA708" s="183"/>
      <c r="AB708" s="180"/>
      <c r="AC708" s="183"/>
      <c r="AD708" s="183"/>
      <c r="AE708" s="180"/>
      <c r="AF708" s="184"/>
      <c r="AG708" s="185"/>
      <c r="AH708" s="186"/>
      <c r="AI708" s="187"/>
      <c r="AJ708" s="187"/>
      <c r="AK708" s="188"/>
      <c r="AL708" s="189"/>
      <c r="AM708" s="188"/>
      <c r="AN708" s="181"/>
    </row>
    <row r="709" spans="1:40" ht="26.25" customHeight="1">
      <c r="A709" s="177"/>
      <c r="B709" s="178"/>
      <c r="C709" s="179"/>
      <c r="D709" s="180"/>
      <c r="E709" s="180"/>
      <c r="F709" s="180"/>
      <c r="G709" s="180"/>
      <c r="H709" s="180"/>
      <c r="I709" s="181"/>
      <c r="J709" s="180"/>
      <c r="K709" s="180"/>
      <c r="L709" s="180"/>
      <c r="M709" s="180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1"/>
      <c r="Y709" s="180"/>
      <c r="Z709" s="183"/>
      <c r="AA709" s="183"/>
      <c r="AB709" s="180"/>
      <c r="AC709" s="183"/>
      <c r="AD709" s="183"/>
      <c r="AE709" s="180"/>
      <c r="AF709" s="184"/>
      <c r="AG709" s="185"/>
      <c r="AH709" s="186"/>
      <c r="AI709" s="187"/>
      <c r="AJ709" s="187"/>
      <c r="AK709" s="188"/>
      <c r="AL709" s="189"/>
      <c r="AM709" s="188"/>
      <c r="AN709" s="181"/>
    </row>
    <row r="710" spans="1:40" ht="26.25" customHeight="1">
      <c r="A710" s="177"/>
      <c r="B710" s="178"/>
      <c r="C710" s="179"/>
      <c r="D710" s="180"/>
      <c r="E710" s="180"/>
      <c r="F710" s="180"/>
      <c r="G710" s="180"/>
      <c r="H710" s="180"/>
      <c r="I710" s="181"/>
      <c r="J710" s="180"/>
      <c r="K710" s="180"/>
      <c r="L710" s="180"/>
      <c r="M710" s="180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1"/>
      <c r="Y710" s="180"/>
      <c r="Z710" s="183"/>
      <c r="AA710" s="183"/>
      <c r="AB710" s="180"/>
      <c r="AC710" s="183"/>
      <c r="AD710" s="183"/>
      <c r="AE710" s="180"/>
      <c r="AF710" s="184"/>
      <c r="AG710" s="185"/>
      <c r="AH710" s="186"/>
      <c r="AI710" s="187"/>
      <c r="AJ710" s="187"/>
      <c r="AK710" s="188"/>
      <c r="AL710" s="189"/>
      <c r="AM710" s="188"/>
      <c r="AN710" s="181"/>
    </row>
    <row r="711" spans="1:40" ht="26.25" customHeight="1">
      <c r="A711" s="177"/>
      <c r="B711" s="178"/>
      <c r="C711" s="179"/>
      <c r="D711" s="180"/>
      <c r="E711" s="180"/>
      <c r="F711" s="180"/>
      <c r="G711" s="180"/>
      <c r="H711" s="180"/>
      <c r="I711" s="181"/>
      <c r="J711" s="180"/>
      <c r="K711" s="180"/>
      <c r="L711" s="180"/>
      <c r="M711" s="180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1"/>
      <c r="Y711" s="180"/>
      <c r="Z711" s="183"/>
      <c r="AA711" s="183"/>
      <c r="AB711" s="180"/>
      <c r="AC711" s="183"/>
      <c r="AD711" s="183"/>
      <c r="AE711" s="180"/>
      <c r="AF711" s="184"/>
      <c r="AG711" s="185"/>
      <c r="AH711" s="186"/>
      <c r="AI711" s="187"/>
      <c r="AJ711" s="187"/>
      <c r="AK711" s="188"/>
      <c r="AL711" s="189"/>
      <c r="AM711" s="188"/>
      <c r="AN711" s="181"/>
    </row>
    <row r="712" spans="1:40" ht="26.25" customHeight="1">
      <c r="A712" s="177"/>
      <c r="B712" s="178"/>
      <c r="C712" s="179"/>
      <c r="D712" s="180"/>
      <c r="E712" s="180"/>
      <c r="F712" s="180"/>
      <c r="G712" s="180"/>
      <c r="H712" s="180"/>
      <c r="I712" s="181"/>
      <c r="J712" s="180"/>
      <c r="K712" s="180"/>
      <c r="L712" s="180"/>
      <c r="M712" s="180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1"/>
      <c r="Y712" s="180"/>
      <c r="Z712" s="183"/>
      <c r="AA712" s="183"/>
      <c r="AB712" s="180"/>
      <c r="AC712" s="183"/>
      <c r="AD712" s="183"/>
      <c r="AE712" s="180"/>
      <c r="AF712" s="184"/>
      <c r="AG712" s="185"/>
      <c r="AH712" s="186"/>
      <c r="AI712" s="187"/>
      <c r="AJ712" s="187"/>
      <c r="AK712" s="188"/>
      <c r="AL712" s="189"/>
      <c r="AM712" s="188"/>
      <c r="AN712" s="181"/>
    </row>
    <row r="713" spans="1:40" ht="26.25" customHeight="1">
      <c r="A713" s="177"/>
      <c r="B713" s="178"/>
      <c r="C713" s="179"/>
      <c r="D713" s="180"/>
      <c r="E713" s="180"/>
      <c r="F713" s="180"/>
      <c r="G713" s="180"/>
      <c r="H713" s="180"/>
      <c r="I713" s="181"/>
      <c r="J713" s="180"/>
      <c r="K713" s="180"/>
      <c r="L713" s="180"/>
      <c r="M713" s="180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1"/>
      <c r="Y713" s="180"/>
      <c r="Z713" s="183"/>
      <c r="AA713" s="183"/>
      <c r="AB713" s="180"/>
      <c r="AC713" s="183"/>
      <c r="AD713" s="183"/>
      <c r="AE713" s="180"/>
      <c r="AF713" s="184"/>
      <c r="AG713" s="185"/>
      <c r="AH713" s="186"/>
      <c r="AI713" s="187"/>
      <c r="AJ713" s="187"/>
      <c r="AK713" s="188"/>
      <c r="AL713" s="189"/>
      <c r="AM713" s="188"/>
      <c r="AN713" s="181"/>
    </row>
    <row r="714" spans="1:40" ht="26.25" customHeight="1">
      <c r="A714" s="177"/>
      <c r="B714" s="178"/>
      <c r="C714" s="179"/>
      <c r="D714" s="180"/>
      <c r="E714" s="180"/>
      <c r="F714" s="180"/>
      <c r="G714" s="180"/>
      <c r="H714" s="180"/>
      <c r="I714" s="181"/>
      <c r="J714" s="180"/>
      <c r="K714" s="180"/>
      <c r="L714" s="180"/>
      <c r="M714" s="180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1"/>
      <c r="Y714" s="180"/>
      <c r="Z714" s="183"/>
      <c r="AA714" s="183"/>
      <c r="AB714" s="180"/>
      <c r="AC714" s="183"/>
      <c r="AD714" s="183"/>
      <c r="AE714" s="180"/>
      <c r="AF714" s="184"/>
      <c r="AG714" s="185"/>
      <c r="AH714" s="186"/>
      <c r="AI714" s="187"/>
      <c r="AJ714" s="187"/>
      <c r="AK714" s="188"/>
      <c r="AL714" s="189"/>
      <c r="AM714" s="188"/>
      <c r="AN714" s="181"/>
    </row>
    <row r="715" spans="1:40" ht="26.25" customHeight="1">
      <c r="A715" s="177"/>
      <c r="B715" s="178"/>
      <c r="C715" s="179"/>
      <c r="D715" s="180"/>
      <c r="E715" s="180"/>
      <c r="F715" s="180"/>
      <c r="G715" s="180"/>
      <c r="H715" s="180"/>
      <c r="I715" s="181"/>
      <c r="J715" s="180"/>
      <c r="K715" s="180"/>
      <c r="L715" s="180"/>
      <c r="M715" s="180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1"/>
      <c r="Y715" s="180"/>
      <c r="Z715" s="183"/>
      <c r="AA715" s="183"/>
      <c r="AB715" s="180"/>
      <c r="AC715" s="183"/>
      <c r="AD715" s="183"/>
      <c r="AE715" s="180"/>
      <c r="AF715" s="184"/>
      <c r="AG715" s="185"/>
      <c r="AH715" s="186"/>
      <c r="AI715" s="187"/>
      <c r="AJ715" s="187"/>
      <c r="AK715" s="188"/>
      <c r="AL715" s="189"/>
      <c r="AM715" s="188"/>
      <c r="AN715" s="181"/>
    </row>
    <row r="716" spans="1:40" ht="26.25" customHeight="1">
      <c r="A716" s="177"/>
      <c r="B716" s="178"/>
      <c r="C716" s="179"/>
      <c r="D716" s="180"/>
      <c r="E716" s="180"/>
      <c r="F716" s="180"/>
      <c r="G716" s="180"/>
      <c r="H716" s="180"/>
      <c r="I716" s="181"/>
      <c r="J716" s="180"/>
      <c r="K716" s="180"/>
      <c r="L716" s="180"/>
      <c r="M716" s="180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1"/>
      <c r="Y716" s="180"/>
      <c r="Z716" s="183"/>
      <c r="AA716" s="183"/>
      <c r="AB716" s="180"/>
      <c r="AC716" s="183"/>
      <c r="AD716" s="183"/>
      <c r="AE716" s="180"/>
      <c r="AF716" s="184"/>
      <c r="AG716" s="185"/>
      <c r="AH716" s="186"/>
      <c r="AI716" s="187"/>
      <c r="AJ716" s="187"/>
      <c r="AK716" s="188"/>
      <c r="AL716" s="189"/>
      <c r="AM716" s="188"/>
      <c r="AN716" s="181"/>
    </row>
    <row r="717" spans="1:40" ht="26.25" customHeight="1">
      <c r="A717" s="177"/>
      <c r="B717" s="178"/>
      <c r="C717" s="179"/>
      <c r="D717" s="180"/>
      <c r="E717" s="180"/>
      <c r="F717" s="180"/>
      <c r="G717" s="180"/>
      <c r="H717" s="180"/>
      <c r="I717" s="181"/>
      <c r="J717" s="180"/>
      <c r="K717" s="180"/>
      <c r="L717" s="180"/>
      <c r="M717" s="180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1"/>
      <c r="Y717" s="180"/>
      <c r="Z717" s="183"/>
      <c r="AA717" s="183"/>
      <c r="AB717" s="180"/>
      <c r="AC717" s="183"/>
      <c r="AD717" s="183"/>
      <c r="AE717" s="180"/>
      <c r="AF717" s="184"/>
      <c r="AG717" s="185"/>
      <c r="AH717" s="186"/>
      <c r="AI717" s="187"/>
      <c r="AJ717" s="187"/>
      <c r="AK717" s="188"/>
      <c r="AL717" s="189"/>
      <c r="AM717" s="188"/>
      <c r="AN717" s="181"/>
    </row>
    <row r="718" spans="1:40" ht="26.25" customHeight="1">
      <c r="A718" s="177"/>
      <c r="B718" s="178"/>
      <c r="C718" s="179"/>
      <c r="D718" s="180"/>
      <c r="E718" s="180"/>
      <c r="F718" s="180"/>
      <c r="G718" s="180"/>
      <c r="H718" s="180"/>
      <c r="I718" s="181"/>
      <c r="J718" s="180"/>
      <c r="K718" s="180"/>
      <c r="L718" s="180"/>
      <c r="M718" s="180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1"/>
      <c r="Y718" s="180"/>
      <c r="Z718" s="183"/>
      <c r="AA718" s="183"/>
      <c r="AB718" s="180"/>
      <c r="AC718" s="183"/>
      <c r="AD718" s="183"/>
      <c r="AE718" s="180"/>
      <c r="AF718" s="184"/>
      <c r="AG718" s="185"/>
      <c r="AH718" s="186"/>
      <c r="AI718" s="187"/>
      <c r="AJ718" s="187"/>
      <c r="AK718" s="188"/>
      <c r="AL718" s="189"/>
      <c r="AM718" s="188"/>
      <c r="AN718" s="181"/>
    </row>
    <row r="719" spans="1:40" ht="26.25" customHeight="1">
      <c r="A719" s="177"/>
      <c r="B719" s="178"/>
      <c r="C719" s="179"/>
      <c r="D719" s="180"/>
      <c r="E719" s="180"/>
      <c r="F719" s="180"/>
      <c r="G719" s="180"/>
      <c r="H719" s="180"/>
      <c r="I719" s="181"/>
      <c r="J719" s="180"/>
      <c r="K719" s="180"/>
      <c r="L719" s="180"/>
      <c r="M719" s="180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1"/>
      <c r="Y719" s="180"/>
      <c r="Z719" s="183"/>
      <c r="AA719" s="183"/>
      <c r="AB719" s="180"/>
      <c r="AC719" s="183"/>
      <c r="AD719" s="183"/>
      <c r="AE719" s="180"/>
      <c r="AF719" s="184"/>
      <c r="AG719" s="185"/>
      <c r="AH719" s="186"/>
      <c r="AI719" s="187"/>
      <c r="AJ719" s="187"/>
      <c r="AK719" s="188"/>
      <c r="AL719" s="189"/>
      <c r="AM719" s="188"/>
      <c r="AN719" s="181"/>
    </row>
    <row r="720" spans="1:40" ht="26.25" customHeight="1">
      <c r="A720" s="177"/>
      <c r="B720" s="178"/>
      <c r="C720" s="179"/>
      <c r="D720" s="180"/>
      <c r="E720" s="180"/>
      <c r="F720" s="180"/>
      <c r="G720" s="180"/>
      <c r="H720" s="180"/>
      <c r="I720" s="181"/>
      <c r="J720" s="180"/>
      <c r="K720" s="180"/>
      <c r="L720" s="180"/>
      <c r="M720" s="180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1"/>
      <c r="Y720" s="180"/>
      <c r="Z720" s="183"/>
      <c r="AA720" s="183"/>
      <c r="AB720" s="180"/>
      <c r="AC720" s="183"/>
      <c r="AD720" s="183"/>
      <c r="AE720" s="180"/>
      <c r="AF720" s="184"/>
      <c r="AG720" s="185"/>
      <c r="AH720" s="186"/>
      <c r="AI720" s="187"/>
      <c r="AJ720" s="187"/>
      <c r="AK720" s="188"/>
      <c r="AL720" s="189"/>
      <c r="AM720" s="188"/>
      <c r="AN720" s="181"/>
    </row>
    <row r="721" spans="1:40" ht="26.25" customHeight="1">
      <c r="A721" s="177"/>
      <c r="B721" s="178"/>
      <c r="C721" s="179"/>
      <c r="D721" s="180"/>
      <c r="E721" s="180"/>
      <c r="F721" s="180"/>
      <c r="G721" s="180"/>
      <c r="H721" s="180"/>
      <c r="I721" s="181"/>
      <c r="J721" s="180"/>
      <c r="K721" s="180"/>
      <c r="L721" s="180"/>
      <c r="M721" s="180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1"/>
      <c r="Y721" s="180"/>
      <c r="Z721" s="183"/>
      <c r="AA721" s="183"/>
      <c r="AB721" s="180"/>
      <c r="AC721" s="183"/>
      <c r="AD721" s="183"/>
      <c r="AE721" s="180"/>
      <c r="AF721" s="184"/>
      <c r="AG721" s="185"/>
      <c r="AH721" s="186"/>
      <c r="AI721" s="187"/>
      <c r="AJ721" s="187"/>
      <c r="AK721" s="188"/>
      <c r="AL721" s="189"/>
      <c r="AM721" s="188"/>
      <c r="AN721" s="181"/>
    </row>
    <row r="722" spans="1:40" ht="26.25" customHeight="1">
      <c r="A722" s="177"/>
      <c r="B722" s="178"/>
      <c r="C722" s="179"/>
      <c r="D722" s="180"/>
      <c r="E722" s="180"/>
      <c r="F722" s="180"/>
      <c r="G722" s="180"/>
      <c r="H722" s="180"/>
      <c r="I722" s="181"/>
      <c r="J722" s="180"/>
      <c r="K722" s="180"/>
      <c r="L722" s="180"/>
      <c r="M722" s="180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1"/>
      <c r="Y722" s="180"/>
      <c r="Z722" s="183"/>
      <c r="AA722" s="183"/>
      <c r="AB722" s="180"/>
      <c r="AC722" s="183"/>
      <c r="AD722" s="183"/>
      <c r="AE722" s="180"/>
      <c r="AF722" s="184"/>
      <c r="AG722" s="185"/>
      <c r="AH722" s="186"/>
      <c r="AI722" s="187"/>
      <c r="AJ722" s="187"/>
      <c r="AK722" s="188"/>
      <c r="AL722" s="189"/>
      <c r="AM722" s="188"/>
      <c r="AN722" s="181"/>
    </row>
    <row r="723" spans="1:40" ht="26.25" customHeight="1">
      <c r="A723" s="177"/>
      <c r="B723" s="178"/>
      <c r="C723" s="179"/>
      <c r="D723" s="180"/>
      <c r="E723" s="180"/>
      <c r="F723" s="180"/>
      <c r="G723" s="180"/>
      <c r="H723" s="180"/>
      <c r="I723" s="181"/>
      <c r="J723" s="180"/>
      <c r="K723" s="180"/>
      <c r="L723" s="180"/>
      <c r="M723" s="180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1"/>
      <c r="Y723" s="180"/>
      <c r="Z723" s="183"/>
      <c r="AA723" s="183"/>
      <c r="AB723" s="180"/>
      <c r="AC723" s="183"/>
      <c r="AD723" s="183"/>
      <c r="AE723" s="180"/>
      <c r="AF723" s="184"/>
      <c r="AG723" s="185"/>
      <c r="AH723" s="186"/>
      <c r="AI723" s="187"/>
      <c r="AJ723" s="187"/>
      <c r="AK723" s="188"/>
      <c r="AL723" s="189"/>
      <c r="AM723" s="188"/>
      <c r="AN723" s="181"/>
    </row>
    <row r="724" spans="1:40" ht="26.25" customHeight="1">
      <c r="A724" s="177"/>
      <c r="B724" s="178"/>
      <c r="C724" s="179"/>
      <c r="D724" s="180"/>
      <c r="E724" s="180"/>
      <c r="F724" s="180"/>
      <c r="G724" s="180"/>
      <c r="H724" s="180"/>
      <c r="I724" s="181"/>
      <c r="J724" s="180"/>
      <c r="K724" s="180"/>
      <c r="L724" s="180"/>
      <c r="M724" s="180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1"/>
      <c r="Y724" s="180"/>
      <c r="Z724" s="183"/>
      <c r="AA724" s="183"/>
      <c r="AB724" s="180"/>
      <c r="AC724" s="183"/>
      <c r="AD724" s="183"/>
      <c r="AE724" s="180"/>
      <c r="AF724" s="184"/>
      <c r="AG724" s="185"/>
      <c r="AH724" s="186"/>
      <c r="AI724" s="187"/>
      <c r="AJ724" s="187"/>
      <c r="AK724" s="188"/>
      <c r="AL724" s="189"/>
      <c r="AM724" s="188"/>
      <c r="AN724" s="181"/>
    </row>
    <row r="725" spans="1:40" ht="26.25" customHeight="1">
      <c r="A725" s="177"/>
      <c r="B725" s="178"/>
      <c r="C725" s="179"/>
      <c r="D725" s="180"/>
      <c r="E725" s="180"/>
      <c r="F725" s="180"/>
      <c r="G725" s="180"/>
      <c r="H725" s="180"/>
      <c r="I725" s="181"/>
      <c r="J725" s="180"/>
      <c r="K725" s="180"/>
      <c r="L725" s="180"/>
      <c r="M725" s="180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1"/>
      <c r="Y725" s="180"/>
      <c r="Z725" s="183"/>
      <c r="AA725" s="183"/>
      <c r="AB725" s="180"/>
      <c r="AC725" s="183"/>
      <c r="AD725" s="183"/>
      <c r="AE725" s="180"/>
      <c r="AF725" s="184"/>
      <c r="AG725" s="185"/>
      <c r="AH725" s="186"/>
      <c r="AI725" s="187"/>
      <c r="AJ725" s="187"/>
      <c r="AK725" s="188"/>
      <c r="AL725" s="189"/>
      <c r="AM725" s="188"/>
      <c r="AN725" s="181"/>
    </row>
    <row r="726" spans="1:40" ht="26.25" customHeight="1">
      <c r="A726" s="177"/>
      <c r="B726" s="178"/>
      <c r="C726" s="179"/>
      <c r="D726" s="180"/>
      <c r="E726" s="180"/>
      <c r="F726" s="180"/>
      <c r="G726" s="180"/>
      <c r="H726" s="180"/>
      <c r="I726" s="181"/>
      <c r="J726" s="180"/>
      <c r="K726" s="180"/>
      <c r="L726" s="180"/>
      <c r="M726" s="180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1"/>
      <c r="Y726" s="180"/>
      <c r="Z726" s="183"/>
      <c r="AA726" s="183"/>
      <c r="AB726" s="180"/>
      <c r="AC726" s="183"/>
      <c r="AD726" s="183"/>
      <c r="AE726" s="180"/>
      <c r="AF726" s="184"/>
      <c r="AG726" s="185"/>
      <c r="AH726" s="186"/>
      <c r="AI726" s="187"/>
      <c r="AJ726" s="187"/>
      <c r="AK726" s="188"/>
      <c r="AL726" s="189"/>
      <c r="AM726" s="188"/>
      <c r="AN726" s="181"/>
    </row>
    <row r="727" spans="1:40" ht="26.25" customHeight="1">
      <c r="A727" s="177"/>
      <c r="B727" s="178"/>
      <c r="C727" s="179"/>
      <c r="D727" s="180"/>
      <c r="E727" s="180"/>
      <c r="F727" s="180"/>
      <c r="G727" s="180"/>
      <c r="H727" s="180"/>
      <c r="I727" s="181"/>
      <c r="J727" s="180"/>
      <c r="K727" s="180"/>
      <c r="L727" s="180"/>
      <c r="M727" s="180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1"/>
      <c r="Y727" s="180"/>
      <c r="Z727" s="183"/>
      <c r="AA727" s="183"/>
      <c r="AB727" s="180"/>
      <c r="AC727" s="183"/>
      <c r="AD727" s="183"/>
      <c r="AE727" s="180"/>
      <c r="AF727" s="184"/>
      <c r="AG727" s="185"/>
      <c r="AH727" s="186"/>
      <c r="AI727" s="187"/>
      <c r="AJ727" s="187"/>
      <c r="AK727" s="188"/>
      <c r="AL727" s="189"/>
      <c r="AM727" s="188"/>
      <c r="AN727" s="181"/>
    </row>
    <row r="728" spans="1:40" ht="26.25" customHeight="1">
      <c r="A728" s="177"/>
      <c r="B728" s="178"/>
      <c r="C728" s="179"/>
      <c r="D728" s="180"/>
      <c r="E728" s="180"/>
      <c r="F728" s="180"/>
      <c r="G728" s="180"/>
      <c r="H728" s="180"/>
      <c r="I728" s="181"/>
      <c r="J728" s="180"/>
      <c r="K728" s="180"/>
      <c r="L728" s="180"/>
      <c r="M728" s="180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1"/>
      <c r="Y728" s="180"/>
      <c r="Z728" s="183"/>
      <c r="AA728" s="183"/>
      <c r="AB728" s="180"/>
      <c r="AC728" s="183"/>
      <c r="AD728" s="183"/>
      <c r="AE728" s="180"/>
      <c r="AF728" s="184"/>
      <c r="AG728" s="185"/>
      <c r="AH728" s="186"/>
      <c r="AI728" s="187"/>
      <c r="AJ728" s="187"/>
      <c r="AK728" s="188"/>
      <c r="AL728" s="189"/>
      <c r="AM728" s="188"/>
      <c r="AN728" s="181"/>
    </row>
    <row r="729" spans="1:40" ht="26.25" customHeight="1">
      <c r="A729" s="177"/>
      <c r="B729" s="178"/>
      <c r="C729" s="179"/>
      <c r="D729" s="180"/>
      <c r="E729" s="180"/>
      <c r="F729" s="180"/>
      <c r="G729" s="180"/>
      <c r="H729" s="180"/>
      <c r="I729" s="181"/>
      <c r="J729" s="180"/>
      <c r="K729" s="180"/>
      <c r="L729" s="180"/>
      <c r="M729" s="180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1"/>
      <c r="Y729" s="180"/>
      <c r="Z729" s="183"/>
      <c r="AA729" s="183"/>
      <c r="AB729" s="180"/>
      <c r="AC729" s="183"/>
      <c r="AD729" s="183"/>
      <c r="AE729" s="180"/>
      <c r="AF729" s="184"/>
      <c r="AG729" s="185"/>
      <c r="AH729" s="186"/>
      <c r="AI729" s="187"/>
      <c r="AJ729" s="187"/>
      <c r="AK729" s="188"/>
      <c r="AL729" s="189"/>
      <c r="AM729" s="188"/>
      <c r="AN729" s="181"/>
    </row>
    <row r="730" spans="1:40" ht="26.25" customHeight="1">
      <c r="A730" s="177"/>
      <c r="B730" s="178"/>
      <c r="C730" s="179"/>
      <c r="D730" s="180"/>
      <c r="E730" s="180"/>
      <c r="F730" s="180"/>
      <c r="G730" s="180"/>
      <c r="H730" s="180"/>
      <c r="I730" s="181"/>
      <c r="J730" s="180"/>
      <c r="K730" s="180"/>
      <c r="L730" s="180"/>
      <c r="M730" s="180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1"/>
      <c r="Y730" s="180"/>
      <c r="Z730" s="183"/>
      <c r="AA730" s="183"/>
      <c r="AB730" s="180"/>
      <c r="AC730" s="183"/>
      <c r="AD730" s="183"/>
      <c r="AE730" s="180"/>
      <c r="AF730" s="184"/>
      <c r="AG730" s="185"/>
      <c r="AH730" s="186"/>
      <c r="AI730" s="187"/>
      <c r="AJ730" s="187"/>
      <c r="AK730" s="188"/>
      <c r="AL730" s="189"/>
      <c r="AM730" s="188"/>
      <c r="AN730" s="181"/>
    </row>
    <row r="731" spans="1:40" ht="26.25" customHeight="1">
      <c r="A731" s="177"/>
      <c r="B731" s="178"/>
      <c r="C731" s="179"/>
      <c r="D731" s="180"/>
      <c r="E731" s="180"/>
      <c r="F731" s="180"/>
      <c r="G731" s="180"/>
      <c r="H731" s="180"/>
      <c r="I731" s="181"/>
      <c r="J731" s="180"/>
      <c r="K731" s="180"/>
      <c r="L731" s="180"/>
      <c r="M731" s="180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1"/>
      <c r="Y731" s="180"/>
      <c r="Z731" s="183"/>
      <c r="AA731" s="183"/>
      <c r="AB731" s="180"/>
      <c r="AC731" s="183"/>
      <c r="AD731" s="183"/>
      <c r="AE731" s="180"/>
      <c r="AF731" s="184"/>
      <c r="AG731" s="185"/>
      <c r="AH731" s="186"/>
      <c r="AI731" s="187"/>
      <c r="AJ731" s="187"/>
      <c r="AK731" s="188"/>
      <c r="AL731" s="189"/>
      <c r="AM731" s="188"/>
      <c r="AN731" s="181"/>
    </row>
    <row r="732" spans="1:40" ht="26.25" customHeight="1">
      <c r="A732" s="177"/>
      <c r="B732" s="178"/>
      <c r="C732" s="179"/>
      <c r="D732" s="180"/>
      <c r="E732" s="180"/>
      <c r="F732" s="180"/>
      <c r="G732" s="180"/>
      <c r="H732" s="180"/>
      <c r="I732" s="181"/>
      <c r="J732" s="180"/>
      <c r="K732" s="180"/>
      <c r="L732" s="180"/>
      <c r="M732" s="180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1"/>
      <c r="Y732" s="180"/>
      <c r="Z732" s="183"/>
      <c r="AA732" s="183"/>
      <c r="AB732" s="180"/>
      <c r="AC732" s="183"/>
      <c r="AD732" s="183"/>
      <c r="AE732" s="180"/>
      <c r="AF732" s="184"/>
      <c r="AG732" s="185"/>
      <c r="AH732" s="186"/>
      <c r="AI732" s="187"/>
      <c r="AJ732" s="187"/>
      <c r="AK732" s="188"/>
      <c r="AL732" s="189"/>
      <c r="AM732" s="188"/>
      <c r="AN732" s="181"/>
    </row>
    <row r="733" spans="1:40" ht="26.25" customHeight="1">
      <c r="A733" s="177"/>
      <c r="B733" s="178"/>
      <c r="C733" s="179"/>
      <c r="D733" s="180"/>
      <c r="E733" s="180"/>
      <c r="F733" s="180"/>
      <c r="G733" s="180"/>
      <c r="H733" s="180"/>
      <c r="I733" s="181"/>
      <c r="J733" s="180"/>
      <c r="K733" s="180"/>
      <c r="L733" s="180"/>
      <c r="M733" s="180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1"/>
      <c r="Y733" s="180"/>
      <c r="Z733" s="183"/>
      <c r="AA733" s="183"/>
      <c r="AB733" s="180"/>
      <c r="AC733" s="183"/>
      <c r="AD733" s="183"/>
      <c r="AE733" s="180"/>
      <c r="AF733" s="184"/>
      <c r="AG733" s="185"/>
      <c r="AH733" s="186"/>
      <c r="AI733" s="187"/>
      <c r="AJ733" s="187"/>
      <c r="AK733" s="188"/>
      <c r="AL733" s="189"/>
      <c r="AM733" s="188"/>
      <c r="AN733" s="181"/>
    </row>
    <row r="734" spans="1:40" ht="26.25" customHeight="1">
      <c r="A734" s="177"/>
      <c r="B734" s="178"/>
      <c r="C734" s="179"/>
      <c r="D734" s="180"/>
      <c r="E734" s="180"/>
      <c r="F734" s="180"/>
      <c r="G734" s="180"/>
      <c r="H734" s="180"/>
      <c r="I734" s="181"/>
      <c r="J734" s="180"/>
      <c r="K734" s="180"/>
      <c r="L734" s="180"/>
      <c r="M734" s="180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1"/>
      <c r="Y734" s="180"/>
      <c r="Z734" s="183"/>
      <c r="AA734" s="183"/>
      <c r="AB734" s="180"/>
      <c r="AC734" s="183"/>
      <c r="AD734" s="183"/>
      <c r="AE734" s="180"/>
      <c r="AF734" s="184"/>
      <c r="AG734" s="185"/>
      <c r="AH734" s="186"/>
      <c r="AI734" s="187"/>
      <c r="AJ734" s="187"/>
      <c r="AK734" s="188"/>
      <c r="AL734" s="189"/>
      <c r="AM734" s="188"/>
      <c r="AN734" s="181"/>
    </row>
    <row r="735" spans="1:40" ht="26.25" customHeight="1">
      <c r="A735" s="177"/>
      <c r="B735" s="178"/>
      <c r="C735" s="179"/>
      <c r="D735" s="180"/>
      <c r="E735" s="180"/>
      <c r="F735" s="180"/>
      <c r="G735" s="180"/>
      <c r="H735" s="180"/>
      <c r="I735" s="181"/>
      <c r="J735" s="180"/>
      <c r="K735" s="180"/>
      <c r="L735" s="180"/>
      <c r="M735" s="180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1"/>
      <c r="Y735" s="180"/>
      <c r="Z735" s="183"/>
      <c r="AA735" s="183"/>
      <c r="AB735" s="180"/>
      <c r="AC735" s="183"/>
      <c r="AD735" s="183"/>
      <c r="AE735" s="180"/>
      <c r="AF735" s="184"/>
      <c r="AG735" s="185"/>
      <c r="AH735" s="186"/>
      <c r="AI735" s="187"/>
      <c r="AJ735" s="187"/>
      <c r="AK735" s="188"/>
      <c r="AL735" s="189"/>
      <c r="AM735" s="188"/>
      <c r="AN735" s="181"/>
    </row>
    <row r="736" spans="1:40" ht="26.25" customHeight="1">
      <c r="A736" s="177"/>
      <c r="B736" s="178"/>
      <c r="C736" s="179"/>
      <c r="D736" s="180"/>
      <c r="E736" s="180"/>
      <c r="F736" s="180"/>
      <c r="G736" s="180"/>
      <c r="H736" s="180"/>
      <c r="I736" s="181"/>
      <c r="J736" s="180"/>
      <c r="K736" s="180"/>
      <c r="L736" s="180"/>
      <c r="M736" s="180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1"/>
      <c r="Y736" s="180"/>
      <c r="Z736" s="183"/>
      <c r="AA736" s="183"/>
      <c r="AB736" s="180"/>
      <c r="AC736" s="183"/>
      <c r="AD736" s="183"/>
      <c r="AE736" s="180"/>
      <c r="AF736" s="184"/>
      <c r="AG736" s="185"/>
      <c r="AH736" s="186"/>
      <c r="AI736" s="187"/>
      <c r="AJ736" s="187"/>
      <c r="AK736" s="188"/>
      <c r="AL736" s="189"/>
      <c r="AM736" s="188"/>
      <c r="AN736" s="181"/>
    </row>
    <row r="737" spans="1:40" ht="26.25" customHeight="1">
      <c r="A737" s="177"/>
      <c r="B737" s="178"/>
      <c r="C737" s="179"/>
      <c r="D737" s="180"/>
      <c r="E737" s="180"/>
      <c r="F737" s="180"/>
      <c r="G737" s="180"/>
      <c r="H737" s="180"/>
      <c r="I737" s="181"/>
      <c r="J737" s="180"/>
      <c r="K737" s="180"/>
      <c r="L737" s="180"/>
      <c r="M737" s="180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1"/>
      <c r="Y737" s="180"/>
      <c r="Z737" s="183"/>
      <c r="AA737" s="183"/>
      <c r="AB737" s="180"/>
      <c r="AC737" s="183"/>
      <c r="AD737" s="183"/>
      <c r="AE737" s="180"/>
      <c r="AF737" s="184"/>
      <c r="AG737" s="185"/>
      <c r="AH737" s="186"/>
      <c r="AI737" s="187"/>
      <c r="AJ737" s="187"/>
      <c r="AK737" s="188"/>
      <c r="AL737" s="189"/>
      <c r="AM737" s="188"/>
      <c r="AN737" s="181"/>
    </row>
    <row r="738" spans="1:40" ht="26.25" customHeight="1">
      <c r="A738" s="177"/>
      <c r="B738" s="178"/>
      <c r="C738" s="179"/>
      <c r="D738" s="180"/>
      <c r="E738" s="180"/>
      <c r="F738" s="180"/>
      <c r="G738" s="180"/>
      <c r="H738" s="180"/>
      <c r="I738" s="181"/>
      <c r="J738" s="180"/>
      <c r="K738" s="180"/>
      <c r="L738" s="180"/>
      <c r="M738" s="180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1"/>
      <c r="Y738" s="180"/>
      <c r="Z738" s="183"/>
      <c r="AA738" s="183"/>
      <c r="AB738" s="180"/>
      <c r="AC738" s="183"/>
      <c r="AD738" s="183"/>
      <c r="AE738" s="180"/>
      <c r="AF738" s="184"/>
      <c r="AG738" s="185"/>
      <c r="AH738" s="186"/>
      <c r="AI738" s="187"/>
      <c r="AJ738" s="187"/>
      <c r="AK738" s="188"/>
      <c r="AL738" s="189"/>
      <c r="AM738" s="188"/>
      <c r="AN738" s="181"/>
    </row>
    <row r="739" spans="1:40" ht="26.25" customHeight="1">
      <c r="A739" s="177"/>
      <c r="B739" s="178"/>
      <c r="C739" s="179"/>
      <c r="D739" s="180"/>
      <c r="E739" s="180"/>
      <c r="F739" s="180"/>
      <c r="G739" s="180"/>
      <c r="H739" s="180"/>
      <c r="I739" s="181"/>
      <c r="J739" s="180"/>
      <c r="K739" s="180"/>
      <c r="L739" s="180"/>
      <c r="M739" s="180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1"/>
      <c r="Y739" s="180"/>
      <c r="Z739" s="183"/>
      <c r="AA739" s="183"/>
      <c r="AB739" s="180"/>
      <c r="AC739" s="183"/>
      <c r="AD739" s="183"/>
      <c r="AE739" s="180"/>
      <c r="AF739" s="184"/>
      <c r="AG739" s="185"/>
      <c r="AH739" s="186"/>
      <c r="AI739" s="187"/>
      <c r="AJ739" s="187"/>
      <c r="AK739" s="188"/>
      <c r="AL739" s="189"/>
      <c r="AM739" s="188"/>
      <c r="AN739" s="181"/>
    </row>
    <row r="740" spans="1:40" ht="26.25" customHeight="1">
      <c r="A740" s="177"/>
      <c r="B740" s="178"/>
      <c r="C740" s="179"/>
      <c r="D740" s="180"/>
      <c r="E740" s="180"/>
      <c r="F740" s="180"/>
      <c r="G740" s="180"/>
      <c r="H740" s="180"/>
      <c r="I740" s="181"/>
      <c r="J740" s="180"/>
      <c r="K740" s="180"/>
      <c r="L740" s="180"/>
      <c r="M740" s="180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1"/>
      <c r="Y740" s="180"/>
      <c r="Z740" s="183"/>
      <c r="AA740" s="183"/>
      <c r="AB740" s="180"/>
      <c r="AC740" s="183"/>
      <c r="AD740" s="183"/>
      <c r="AE740" s="180"/>
      <c r="AF740" s="184"/>
      <c r="AG740" s="185"/>
      <c r="AH740" s="186"/>
      <c r="AI740" s="187"/>
      <c r="AJ740" s="187"/>
      <c r="AK740" s="188"/>
      <c r="AL740" s="189"/>
      <c r="AM740" s="188"/>
      <c r="AN740" s="181"/>
    </row>
    <row r="741" spans="1:40" ht="26.25" customHeight="1">
      <c r="A741" s="177"/>
      <c r="B741" s="178"/>
      <c r="C741" s="179"/>
      <c r="D741" s="180"/>
      <c r="E741" s="180"/>
      <c r="F741" s="180"/>
      <c r="G741" s="180"/>
      <c r="H741" s="180"/>
      <c r="I741" s="181"/>
      <c r="J741" s="180"/>
      <c r="K741" s="180"/>
      <c r="L741" s="180"/>
      <c r="M741" s="180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1"/>
      <c r="Y741" s="180"/>
      <c r="Z741" s="183"/>
      <c r="AA741" s="183"/>
      <c r="AB741" s="180"/>
      <c r="AC741" s="183"/>
      <c r="AD741" s="183"/>
      <c r="AE741" s="180"/>
      <c r="AF741" s="184"/>
      <c r="AG741" s="185"/>
      <c r="AH741" s="186"/>
      <c r="AI741" s="187"/>
      <c r="AJ741" s="187"/>
      <c r="AK741" s="188"/>
      <c r="AL741" s="189"/>
      <c r="AM741" s="188"/>
      <c r="AN741" s="181"/>
    </row>
    <row r="742" spans="1:40" ht="26.25" customHeight="1">
      <c r="A742" s="177"/>
      <c r="B742" s="178"/>
      <c r="C742" s="179"/>
      <c r="D742" s="180"/>
      <c r="E742" s="180"/>
      <c r="F742" s="180"/>
      <c r="G742" s="180"/>
      <c r="H742" s="180"/>
      <c r="I742" s="181"/>
      <c r="J742" s="180"/>
      <c r="K742" s="180"/>
      <c r="L742" s="180"/>
      <c r="M742" s="180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1"/>
      <c r="Y742" s="180"/>
      <c r="Z742" s="183"/>
      <c r="AA742" s="183"/>
      <c r="AB742" s="180"/>
      <c r="AC742" s="183"/>
      <c r="AD742" s="183"/>
      <c r="AE742" s="180"/>
      <c r="AF742" s="184"/>
      <c r="AG742" s="185"/>
      <c r="AH742" s="186"/>
      <c r="AI742" s="187"/>
      <c r="AJ742" s="187"/>
      <c r="AK742" s="188"/>
      <c r="AL742" s="189"/>
      <c r="AM742" s="188"/>
      <c r="AN742" s="181"/>
    </row>
    <row r="743" spans="1:40" ht="26.25" customHeight="1">
      <c r="A743" s="177"/>
      <c r="B743" s="178"/>
      <c r="C743" s="179"/>
      <c r="D743" s="180"/>
      <c r="E743" s="180"/>
      <c r="F743" s="180"/>
      <c r="G743" s="180"/>
      <c r="H743" s="180"/>
      <c r="I743" s="181"/>
      <c r="J743" s="180"/>
      <c r="K743" s="180"/>
      <c r="L743" s="180"/>
      <c r="M743" s="180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1"/>
      <c r="Y743" s="180"/>
      <c r="Z743" s="183"/>
      <c r="AA743" s="183"/>
      <c r="AB743" s="180"/>
      <c r="AC743" s="183"/>
      <c r="AD743" s="183"/>
      <c r="AE743" s="180"/>
      <c r="AF743" s="184"/>
      <c r="AG743" s="185"/>
      <c r="AH743" s="186"/>
      <c r="AI743" s="187"/>
      <c r="AJ743" s="187"/>
      <c r="AK743" s="188"/>
      <c r="AL743" s="189"/>
      <c r="AM743" s="188"/>
      <c r="AN743" s="181"/>
    </row>
    <row r="744" spans="1:40" ht="26.25" customHeight="1">
      <c r="A744" s="177"/>
      <c r="B744" s="178"/>
      <c r="C744" s="179"/>
      <c r="D744" s="180"/>
      <c r="E744" s="180"/>
      <c r="F744" s="180"/>
      <c r="G744" s="180"/>
      <c r="H744" s="180"/>
      <c r="I744" s="181"/>
      <c r="J744" s="180"/>
      <c r="K744" s="180"/>
      <c r="L744" s="180"/>
      <c r="M744" s="180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1"/>
      <c r="Y744" s="180"/>
      <c r="Z744" s="183"/>
      <c r="AA744" s="183"/>
      <c r="AB744" s="180"/>
      <c r="AC744" s="183"/>
      <c r="AD744" s="183"/>
      <c r="AE744" s="180"/>
      <c r="AF744" s="184"/>
      <c r="AG744" s="185"/>
      <c r="AH744" s="186"/>
      <c r="AI744" s="187"/>
      <c r="AJ744" s="187"/>
      <c r="AK744" s="188"/>
      <c r="AL744" s="189"/>
      <c r="AM744" s="188"/>
      <c r="AN744" s="181"/>
    </row>
    <row r="745" spans="1:40" ht="26.25" customHeight="1">
      <c r="A745" s="177"/>
      <c r="B745" s="178"/>
      <c r="C745" s="179"/>
      <c r="D745" s="180"/>
      <c r="E745" s="180"/>
      <c r="F745" s="180"/>
      <c r="G745" s="180"/>
      <c r="H745" s="180"/>
      <c r="I745" s="181"/>
      <c r="J745" s="180"/>
      <c r="K745" s="180"/>
      <c r="L745" s="180"/>
      <c r="M745" s="180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1"/>
      <c r="Y745" s="180"/>
      <c r="Z745" s="183"/>
      <c r="AA745" s="183"/>
      <c r="AB745" s="180"/>
      <c r="AC745" s="183"/>
      <c r="AD745" s="183"/>
      <c r="AE745" s="180"/>
      <c r="AF745" s="184"/>
      <c r="AG745" s="185"/>
      <c r="AH745" s="186"/>
      <c r="AI745" s="187"/>
      <c r="AJ745" s="187"/>
      <c r="AK745" s="188"/>
      <c r="AL745" s="189"/>
      <c r="AM745" s="188"/>
      <c r="AN745" s="181"/>
    </row>
    <row r="746" spans="1:40" ht="26.25" customHeight="1">
      <c r="A746" s="177"/>
      <c r="B746" s="178"/>
      <c r="C746" s="179"/>
      <c r="D746" s="180"/>
      <c r="E746" s="180"/>
      <c r="F746" s="180"/>
      <c r="G746" s="180"/>
      <c r="H746" s="180"/>
      <c r="I746" s="181"/>
      <c r="J746" s="180"/>
      <c r="K746" s="180"/>
      <c r="L746" s="180"/>
      <c r="M746" s="180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1"/>
      <c r="Y746" s="180"/>
      <c r="Z746" s="183"/>
      <c r="AA746" s="183"/>
      <c r="AB746" s="180"/>
      <c r="AC746" s="183"/>
      <c r="AD746" s="183"/>
      <c r="AE746" s="180"/>
      <c r="AF746" s="184"/>
      <c r="AG746" s="185"/>
      <c r="AH746" s="186"/>
      <c r="AI746" s="187"/>
      <c r="AJ746" s="187"/>
      <c r="AK746" s="188"/>
      <c r="AL746" s="189"/>
      <c r="AM746" s="188"/>
      <c r="AN746" s="181"/>
    </row>
    <row r="747" spans="1:40" ht="26.25" customHeight="1">
      <c r="A747" s="177"/>
      <c r="B747" s="178"/>
      <c r="C747" s="179"/>
      <c r="D747" s="180"/>
      <c r="E747" s="180"/>
      <c r="F747" s="180"/>
      <c r="G747" s="180"/>
      <c r="H747" s="180"/>
      <c r="I747" s="181"/>
      <c r="J747" s="180"/>
      <c r="K747" s="180"/>
      <c r="L747" s="180"/>
      <c r="M747" s="180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1"/>
      <c r="Y747" s="180"/>
      <c r="Z747" s="183"/>
      <c r="AA747" s="183"/>
      <c r="AB747" s="180"/>
      <c r="AC747" s="183"/>
      <c r="AD747" s="183"/>
      <c r="AE747" s="180"/>
      <c r="AF747" s="184"/>
      <c r="AG747" s="185"/>
      <c r="AH747" s="186"/>
      <c r="AI747" s="187"/>
      <c r="AJ747" s="187"/>
      <c r="AK747" s="188"/>
      <c r="AL747" s="189"/>
      <c r="AM747" s="188"/>
      <c r="AN747" s="181"/>
    </row>
    <row r="748" spans="1:40" ht="26.25" customHeight="1">
      <c r="A748" s="177"/>
      <c r="B748" s="178"/>
      <c r="C748" s="179"/>
      <c r="D748" s="180"/>
      <c r="E748" s="180"/>
      <c r="F748" s="180"/>
      <c r="G748" s="180"/>
      <c r="H748" s="180"/>
      <c r="I748" s="181"/>
      <c r="J748" s="180"/>
      <c r="K748" s="180"/>
      <c r="L748" s="180"/>
      <c r="M748" s="180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1"/>
      <c r="Y748" s="180"/>
      <c r="Z748" s="183"/>
      <c r="AA748" s="183"/>
      <c r="AB748" s="180"/>
      <c r="AC748" s="183"/>
      <c r="AD748" s="183"/>
      <c r="AE748" s="180"/>
      <c r="AF748" s="184"/>
      <c r="AG748" s="185"/>
      <c r="AH748" s="186"/>
      <c r="AI748" s="187"/>
      <c r="AJ748" s="187"/>
      <c r="AK748" s="188"/>
      <c r="AL748" s="189"/>
      <c r="AM748" s="188"/>
      <c r="AN748" s="181"/>
    </row>
    <row r="749" spans="1:40" ht="26.25" customHeight="1">
      <c r="A749" s="177"/>
      <c r="B749" s="178"/>
      <c r="C749" s="179"/>
      <c r="D749" s="180"/>
      <c r="E749" s="180"/>
      <c r="F749" s="180"/>
      <c r="G749" s="180"/>
      <c r="H749" s="180"/>
      <c r="I749" s="181"/>
      <c r="J749" s="180"/>
      <c r="K749" s="180"/>
      <c r="L749" s="180"/>
      <c r="M749" s="180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1"/>
      <c r="Y749" s="180"/>
      <c r="Z749" s="183"/>
      <c r="AA749" s="183"/>
      <c r="AB749" s="180"/>
      <c r="AC749" s="183"/>
      <c r="AD749" s="183"/>
      <c r="AE749" s="180"/>
      <c r="AF749" s="184"/>
      <c r="AG749" s="185"/>
      <c r="AH749" s="186"/>
      <c r="AI749" s="187"/>
      <c r="AJ749" s="187"/>
      <c r="AK749" s="188"/>
      <c r="AL749" s="189"/>
      <c r="AM749" s="188"/>
      <c r="AN749" s="181"/>
    </row>
    <row r="750" spans="1:40" ht="26.25" customHeight="1">
      <c r="A750" s="177"/>
      <c r="B750" s="178"/>
      <c r="C750" s="179"/>
      <c r="D750" s="180"/>
      <c r="E750" s="180"/>
      <c r="F750" s="180"/>
      <c r="G750" s="180"/>
      <c r="H750" s="180"/>
      <c r="I750" s="181"/>
      <c r="J750" s="180"/>
      <c r="K750" s="180"/>
      <c r="L750" s="180"/>
      <c r="M750" s="180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1"/>
      <c r="Y750" s="180"/>
      <c r="Z750" s="183"/>
      <c r="AA750" s="183"/>
      <c r="AB750" s="180"/>
      <c r="AC750" s="183"/>
      <c r="AD750" s="183"/>
      <c r="AE750" s="180"/>
      <c r="AF750" s="184"/>
      <c r="AG750" s="185"/>
      <c r="AH750" s="186"/>
      <c r="AI750" s="187"/>
      <c r="AJ750" s="187"/>
      <c r="AK750" s="188"/>
      <c r="AL750" s="189"/>
      <c r="AM750" s="188"/>
      <c r="AN750" s="181"/>
    </row>
    <row r="751" spans="1:40" ht="26.25" customHeight="1">
      <c r="A751" s="177"/>
      <c r="B751" s="178"/>
      <c r="C751" s="179"/>
      <c r="D751" s="180"/>
      <c r="E751" s="180"/>
      <c r="F751" s="180"/>
      <c r="G751" s="180"/>
      <c r="H751" s="180"/>
      <c r="I751" s="181"/>
      <c r="J751" s="180"/>
      <c r="K751" s="180"/>
      <c r="L751" s="180"/>
      <c r="M751" s="180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1"/>
      <c r="Y751" s="180"/>
      <c r="Z751" s="183"/>
      <c r="AA751" s="183"/>
      <c r="AB751" s="180"/>
      <c r="AC751" s="183"/>
      <c r="AD751" s="183"/>
      <c r="AE751" s="180"/>
      <c r="AF751" s="184"/>
      <c r="AG751" s="185"/>
      <c r="AH751" s="186"/>
      <c r="AI751" s="187"/>
      <c r="AJ751" s="187"/>
      <c r="AK751" s="188"/>
      <c r="AL751" s="189"/>
      <c r="AM751" s="188"/>
      <c r="AN751" s="181"/>
    </row>
    <row r="752" spans="1:40" ht="26.25" customHeight="1">
      <c r="A752" s="177"/>
      <c r="B752" s="178"/>
      <c r="C752" s="179"/>
      <c r="D752" s="180"/>
      <c r="E752" s="180"/>
      <c r="F752" s="180"/>
      <c r="G752" s="180"/>
      <c r="H752" s="180"/>
      <c r="I752" s="181"/>
      <c r="J752" s="180"/>
      <c r="K752" s="180"/>
      <c r="L752" s="180"/>
      <c r="M752" s="180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1"/>
      <c r="Y752" s="180"/>
      <c r="Z752" s="183"/>
      <c r="AA752" s="183"/>
      <c r="AB752" s="180"/>
      <c r="AC752" s="183"/>
      <c r="AD752" s="183"/>
      <c r="AE752" s="180"/>
      <c r="AF752" s="184"/>
      <c r="AG752" s="185"/>
      <c r="AH752" s="186"/>
      <c r="AI752" s="187"/>
      <c r="AJ752" s="187"/>
      <c r="AK752" s="188"/>
      <c r="AL752" s="189"/>
      <c r="AM752" s="188"/>
      <c r="AN752" s="181"/>
    </row>
    <row r="753" spans="1:40" ht="26.25" customHeight="1">
      <c r="A753" s="177"/>
      <c r="B753" s="178"/>
      <c r="C753" s="179"/>
      <c r="D753" s="180"/>
      <c r="E753" s="180"/>
      <c r="F753" s="180"/>
      <c r="G753" s="180"/>
      <c r="H753" s="180"/>
      <c r="I753" s="181"/>
      <c r="J753" s="180"/>
      <c r="K753" s="180"/>
      <c r="L753" s="180"/>
      <c r="M753" s="180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1"/>
      <c r="Y753" s="180"/>
      <c r="Z753" s="183"/>
      <c r="AA753" s="183"/>
      <c r="AB753" s="180"/>
      <c r="AC753" s="183"/>
      <c r="AD753" s="183"/>
      <c r="AE753" s="180"/>
      <c r="AF753" s="184"/>
      <c r="AG753" s="185"/>
      <c r="AH753" s="186"/>
      <c r="AI753" s="187"/>
      <c r="AJ753" s="187"/>
      <c r="AK753" s="188"/>
      <c r="AL753" s="189"/>
      <c r="AM753" s="188"/>
      <c r="AN753" s="181"/>
    </row>
    <row r="754" spans="1:40" ht="26.25" customHeight="1">
      <c r="A754" s="177"/>
      <c r="B754" s="178"/>
      <c r="C754" s="179"/>
      <c r="D754" s="180"/>
      <c r="E754" s="180"/>
      <c r="F754" s="180"/>
      <c r="G754" s="180"/>
      <c r="H754" s="180"/>
      <c r="I754" s="181"/>
      <c r="J754" s="180"/>
      <c r="K754" s="180"/>
      <c r="L754" s="180"/>
      <c r="M754" s="180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1"/>
      <c r="Y754" s="180"/>
      <c r="Z754" s="183"/>
      <c r="AA754" s="183"/>
      <c r="AB754" s="180"/>
      <c r="AC754" s="183"/>
      <c r="AD754" s="183"/>
      <c r="AE754" s="180"/>
      <c r="AF754" s="184"/>
      <c r="AG754" s="185"/>
      <c r="AH754" s="186"/>
      <c r="AI754" s="187"/>
      <c r="AJ754" s="187"/>
      <c r="AK754" s="188"/>
      <c r="AL754" s="189"/>
      <c r="AM754" s="188"/>
      <c r="AN754" s="181"/>
    </row>
    <row r="755" spans="1:40" ht="26.25" customHeight="1">
      <c r="A755" s="177"/>
      <c r="B755" s="178"/>
      <c r="C755" s="179"/>
      <c r="D755" s="180"/>
      <c r="E755" s="180"/>
      <c r="F755" s="180"/>
      <c r="G755" s="180"/>
      <c r="H755" s="180"/>
      <c r="I755" s="181"/>
      <c r="J755" s="180"/>
      <c r="K755" s="180"/>
      <c r="L755" s="180"/>
      <c r="M755" s="180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1"/>
      <c r="Y755" s="180"/>
      <c r="Z755" s="183"/>
      <c r="AA755" s="183"/>
      <c r="AB755" s="180"/>
      <c r="AC755" s="183"/>
      <c r="AD755" s="183"/>
      <c r="AE755" s="180"/>
      <c r="AF755" s="184"/>
      <c r="AG755" s="185"/>
      <c r="AH755" s="186"/>
      <c r="AI755" s="187"/>
      <c r="AJ755" s="187"/>
      <c r="AK755" s="188"/>
      <c r="AL755" s="189"/>
      <c r="AM755" s="188"/>
      <c r="AN755" s="181"/>
    </row>
    <row r="756" spans="1:40" ht="26.25" customHeight="1">
      <c r="A756" s="177"/>
      <c r="B756" s="178"/>
      <c r="C756" s="179"/>
      <c r="D756" s="180"/>
      <c r="E756" s="180"/>
      <c r="F756" s="180"/>
      <c r="G756" s="180"/>
      <c r="H756" s="180"/>
      <c r="I756" s="181"/>
      <c r="J756" s="180"/>
      <c r="K756" s="180"/>
      <c r="L756" s="180"/>
      <c r="M756" s="180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1"/>
      <c r="Y756" s="180"/>
      <c r="Z756" s="183"/>
      <c r="AA756" s="183"/>
      <c r="AB756" s="180"/>
      <c r="AC756" s="183"/>
      <c r="AD756" s="183"/>
      <c r="AE756" s="180"/>
      <c r="AF756" s="184"/>
      <c r="AG756" s="185"/>
      <c r="AH756" s="186"/>
      <c r="AI756" s="187"/>
      <c r="AJ756" s="187"/>
      <c r="AK756" s="188"/>
      <c r="AL756" s="189"/>
      <c r="AM756" s="188"/>
      <c r="AN756" s="181"/>
    </row>
    <row r="757" spans="1:40" ht="26.25" customHeight="1">
      <c r="A757" s="177"/>
      <c r="B757" s="178"/>
      <c r="C757" s="179"/>
      <c r="D757" s="180"/>
      <c r="E757" s="180"/>
      <c r="F757" s="180"/>
      <c r="G757" s="180"/>
      <c r="H757" s="180"/>
      <c r="I757" s="181"/>
      <c r="J757" s="180"/>
      <c r="K757" s="180"/>
      <c r="L757" s="180"/>
      <c r="M757" s="180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1"/>
      <c r="Y757" s="180"/>
      <c r="Z757" s="183"/>
      <c r="AA757" s="183"/>
      <c r="AB757" s="180"/>
      <c r="AC757" s="183"/>
      <c r="AD757" s="183"/>
      <c r="AE757" s="180"/>
      <c r="AF757" s="184"/>
      <c r="AG757" s="185"/>
      <c r="AH757" s="186"/>
      <c r="AI757" s="187"/>
      <c r="AJ757" s="187"/>
      <c r="AK757" s="188"/>
      <c r="AL757" s="189"/>
      <c r="AM757" s="188"/>
      <c r="AN757" s="181"/>
    </row>
    <row r="758" spans="1:40" ht="26.25" customHeight="1">
      <c r="A758" s="177"/>
      <c r="B758" s="178"/>
      <c r="C758" s="179"/>
      <c r="D758" s="180"/>
      <c r="E758" s="180"/>
      <c r="F758" s="180"/>
      <c r="G758" s="180"/>
      <c r="H758" s="180"/>
      <c r="I758" s="181"/>
      <c r="J758" s="180"/>
      <c r="K758" s="180"/>
      <c r="L758" s="180"/>
      <c r="M758" s="180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1"/>
      <c r="Y758" s="180"/>
      <c r="Z758" s="183"/>
      <c r="AA758" s="183"/>
      <c r="AB758" s="180"/>
      <c r="AC758" s="183"/>
      <c r="AD758" s="183"/>
      <c r="AE758" s="180"/>
      <c r="AF758" s="184"/>
      <c r="AG758" s="185"/>
      <c r="AH758" s="186"/>
      <c r="AI758" s="187"/>
      <c r="AJ758" s="187"/>
      <c r="AK758" s="188"/>
      <c r="AL758" s="189"/>
      <c r="AM758" s="188"/>
      <c r="AN758" s="181"/>
    </row>
    <row r="759" spans="1:40" ht="26.25" customHeight="1">
      <c r="A759" s="177"/>
      <c r="B759" s="178"/>
      <c r="C759" s="179"/>
      <c r="D759" s="180"/>
      <c r="E759" s="180"/>
      <c r="F759" s="180"/>
      <c r="G759" s="180"/>
      <c r="H759" s="180"/>
      <c r="I759" s="181"/>
      <c r="J759" s="180"/>
      <c r="K759" s="180"/>
      <c r="L759" s="180"/>
      <c r="M759" s="180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1"/>
      <c r="Y759" s="180"/>
      <c r="Z759" s="183"/>
      <c r="AA759" s="183"/>
      <c r="AB759" s="180"/>
      <c r="AC759" s="183"/>
      <c r="AD759" s="183"/>
      <c r="AE759" s="180"/>
      <c r="AF759" s="184"/>
      <c r="AG759" s="185"/>
      <c r="AH759" s="186"/>
      <c r="AI759" s="187"/>
      <c r="AJ759" s="187"/>
      <c r="AK759" s="188"/>
      <c r="AL759" s="189"/>
      <c r="AM759" s="188"/>
      <c r="AN759" s="181"/>
    </row>
    <row r="760" spans="1:40" ht="26.25" customHeight="1">
      <c r="A760" s="177"/>
      <c r="B760" s="178"/>
      <c r="C760" s="179"/>
      <c r="D760" s="180"/>
      <c r="E760" s="180"/>
      <c r="F760" s="180"/>
      <c r="G760" s="180"/>
      <c r="H760" s="180"/>
      <c r="I760" s="181"/>
      <c r="J760" s="180"/>
      <c r="K760" s="180"/>
      <c r="L760" s="180"/>
      <c r="M760" s="180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1"/>
      <c r="Y760" s="180"/>
      <c r="Z760" s="183"/>
      <c r="AA760" s="183"/>
      <c r="AB760" s="180"/>
      <c r="AC760" s="183"/>
      <c r="AD760" s="183"/>
      <c r="AE760" s="180"/>
      <c r="AF760" s="184"/>
      <c r="AG760" s="185"/>
      <c r="AH760" s="186"/>
      <c r="AI760" s="187"/>
      <c r="AJ760" s="187"/>
      <c r="AK760" s="188"/>
      <c r="AL760" s="189"/>
      <c r="AM760" s="188"/>
      <c r="AN760" s="181"/>
    </row>
    <row r="761" spans="1:40" ht="26.25" customHeight="1">
      <c r="A761" s="177"/>
      <c r="B761" s="178"/>
      <c r="C761" s="179"/>
      <c r="D761" s="180"/>
      <c r="E761" s="180"/>
      <c r="F761" s="180"/>
      <c r="G761" s="180"/>
      <c r="H761" s="180"/>
      <c r="I761" s="181"/>
      <c r="J761" s="180"/>
      <c r="K761" s="180"/>
      <c r="L761" s="180"/>
      <c r="M761" s="180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1"/>
      <c r="Y761" s="180"/>
      <c r="Z761" s="183"/>
      <c r="AA761" s="183"/>
      <c r="AB761" s="180"/>
      <c r="AC761" s="183"/>
      <c r="AD761" s="183"/>
      <c r="AE761" s="180"/>
      <c r="AF761" s="184"/>
      <c r="AG761" s="185"/>
      <c r="AH761" s="186"/>
      <c r="AI761" s="187"/>
      <c r="AJ761" s="187"/>
      <c r="AK761" s="188"/>
      <c r="AL761" s="189"/>
      <c r="AM761" s="188"/>
      <c r="AN761" s="181"/>
    </row>
    <row r="762" spans="1:40" ht="26.25" customHeight="1">
      <c r="A762" s="177"/>
      <c r="B762" s="178"/>
      <c r="C762" s="179"/>
      <c r="D762" s="180"/>
      <c r="E762" s="180"/>
      <c r="F762" s="180"/>
      <c r="G762" s="180"/>
      <c r="H762" s="180"/>
      <c r="I762" s="181"/>
      <c r="J762" s="180"/>
      <c r="K762" s="180"/>
      <c r="L762" s="180"/>
      <c r="M762" s="180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1"/>
      <c r="Y762" s="180"/>
      <c r="Z762" s="183"/>
      <c r="AA762" s="183"/>
      <c r="AB762" s="180"/>
      <c r="AC762" s="183"/>
      <c r="AD762" s="183"/>
      <c r="AE762" s="180"/>
      <c r="AF762" s="184"/>
      <c r="AG762" s="185"/>
      <c r="AH762" s="186"/>
      <c r="AI762" s="187"/>
      <c r="AJ762" s="187"/>
      <c r="AK762" s="188"/>
      <c r="AL762" s="189"/>
      <c r="AM762" s="188"/>
      <c r="AN762" s="181"/>
    </row>
    <row r="763" spans="1:40" ht="26.25" customHeight="1">
      <c r="A763" s="177"/>
      <c r="B763" s="178"/>
      <c r="C763" s="179"/>
      <c r="D763" s="180"/>
      <c r="E763" s="180"/>
      <c r="F763" s="180"/>
      <c r="G763" s="180"/>
      <c r="H763" s="180"/>
      <c r="I763" s="181"/>
      <c r="J763" s="180"/>
      <c r="K763" s="180"/>
      <c r="L763" s="180"/>
      <c r="M763" s="180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1"/>
      <c r="Y763" s="180"/>
      <c r="Z763" s="183"/>
      <c r="AA763" s="183"/>
      <c r="AB763" s="180"/>
      <c r="AC763" s="183"/>
      <c r="AD763" s="183"/>
      <c r="AE763" s="180"/>
      <c r="AF763" s="184"/>
      <c r="AG763" s="185"/>
      <c r="AH763" s="186"/>
      <c r="AI763" s="187"/>
      <c r="AJ763" s="187"/>
      <c r="AK763" s="188"/>
      <c r="AL763" s="189"/>
      <c r="AM763" s="188"/>
      <c r="AN763" s="181"/>
    </row>
    <row r="764" spans="1:40" ht="26.25" customHeight="1">
      <c r="A764" s="177"/>
      <c r="B764" s="178"/>
      <c r="C764" s="179"/>
      <c r="D764" s="180"/>
      <c r="E764" s="180"/>
      <c r="F764" s="180"/>
      <c r="G764" s="180"/>
      <c r="H764" s="180"/>
      <c r="I764" s="181"/>
      <c r="J764" s="180"/>
      <c r="K764" s="180"/>
      <c r="L764" s="180"/>
      <c r="M764" s="180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1"/>
      <c r="Y764" s="180"/>
      <c r="Z764" s="183"/>
      <c r="AA764" s="183"/>
      <c r="AB764" s="180"/>
      <c r="AC764" s="183"/>
      <c r="AD764" s="183"/>
      <c r="AE764" s="180"/>
      <c r="AF764" s="184"/>
      <c r="AG764" s="185"/>
      <c r="AH764" s="186"/>
      <c r="AI764" s="187"/>
      <c r="AJ764" s="187"/>
      <c r="AK764" s="188"/>
      <c r="AL764" s="189"/>
      <c r="AM764" s="188"/>
      <c r="AN764" s="181"/>
    </row>
    <row r="765" spans="1:40" ht="26.25" customHeight="1">
      <c r="A765" s="177"/>
      <c r="B765" s="178"/>
      <c r="C765" s="179"/>
      <c r="D765" s="180"/>
      <c r="E765" s="180"/>
      <c r="F765" s="180"/>
      <c r="G765" s="180"/>
      <c r="H765" s="180"/>
      <c r="I765" s="181"/>
      <c r="J765" s="180"/>
      <c r="K765" s="180"/>
      <c r="L765" s="180"/>
      <c r="M765" s="180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1"/>
      <c r="Y765" s="180"/>
      <c r="Z765" s="183"/>
      <c r="AA765" s="183"/>
      <c r="AB765" s="180"/>
      <c r="AC765" s="183"/>
      <c r="AD765" s="183"/>
      <c r="AE765" s="180"/>
      <c r="AF765" s="184"/>
      <c r="AG765" s="185"/>
      <c r="AH765" s="186"/>
      <c r="AI765" s="187"/>
      <c r="AJ765" s="187"/>
      <c r="AK765" s="188"/>
      <c r="AL765" s="189"/>
      <c r="AM765" s="188"/>
      <c r="AN765" s="181"/>
    </row>
    <row r="766" spans="1:40" ht="26.25" customHeight="1">
      <c r="A766" s="177"/>
      <c r="B766" s="178"/>
      <c r="C766" s="179"/>
      <c r="D766" s="180"/>
      <c r="E766" s="180"/>
      <c r="F766" s="180"/>
      <c r="G766" s="180"/>
      <c r="H766" s="180"/>
      <c r="I766" s="181"/>
      <c r="J766" s="180"/>
      <c r="K766" s="180"/>
      <c r="L766" s="180"/>
      <c r="M766" s="180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1"/>
      <c r="Y766" s="180"/>
      <c r="Z766" s="183"/>
      <c r="AA766" s="183"/>
      <c r="AB766" s="180"/>
      <c r="AC766" s="183"/>
      <c r="AD766" s="183"/>
      <c r="AE766" s="180"/>
      <c r="AF766" s="184"/>
      <c r="AG766" s="185"/>
      <c r="AH766" s="186"/>
      <c r="AI766" s="187"/>
      <c r="AJ766" s="187"/>
      <c r="AK766" s="188"/>
      <c r="AL766" s="189"/>
      <c r="AM766" s="188"/>
      <c r="AN766" s="181"/>
    </row>
    <row r="767" spans="1:40" ht="26.25" customHeight="1">
      <c r="A767" s="177"/>
      <c r="B767" s="178"/>
      <c r="C767" s="179"/>
      <c r="D767" s="180"/>
      <c r="E767" s="180"/>
      <c r="F767" s="180"/>
      <c r="G767" s="180"/>
      <c r="H767" s="180"/>
      <c r="I767" s="181"/>
      <c r="J767" s="180"/>
      <c r="K767" s="180"/>
      <c r="L767" s="180"/>
      <c r="M767" s="180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1"/>
      <c r="Y767" s="180"/>
      <c r="Z767" s="183"/>
      <c r="AA767" s="183"/>
      <c r="AB767" s="180"/>
      <c r="AC767" s="183"/>
      <c r="AD767" s="183"/>
      <c r="AE767" s="180"/>
      <c r="AF767" s="184"/>
      <c r="AG767" s="185"/>
      <c r="AH767" s="186"/>
      <c r="AI767" s="187"/>
      <c r="AJ767" s="187"/>
      <c r="AK767" s="188"/>
      <c r="AL767" s="189"/>
      <c r="AM767" s="188"/>
      <c r="AN767" s="181"/>
    </row>
    <row r="768" spans="1:40" ht="26.25" customHeight="1">
      <c r="A768" s="177"/>
      <c r="B768" s="178"/>
      <c r="C768" s="179"/>
      <c r="D768" s="180"/>
      <c r="E768" s="180"/>
      <c r="F768" s="180"/>
      <c r="G768" s="180"/>
      <c r="H768" s="180"/>
      <c r="I768" s="181"/>
      <c r="J768" s="180"/>
      <c r="K768" s="180"/>
      <c r="L768" s="180"/>
      <c r="M768" s="180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1"/>
      <c r="Y768" s="180"/>
      <c r="Z768" s="183"/>
      <c r="AA768" s="183"/>
      <c r="AB768" s="180"/>
      <c r="AC768" s="183"/>
      <c r="AD768" s="183"/>
      <c r="AE768" s="180"/>
      <c r="AF768" s="184"/>
      <c r="AG768" s="185"/>
      <c r="AH768" s="186"/>
      <c r="AI768" s="187"/>
      <c r="AJ768" s="187"/>
      <c r="AK768" s="188"/>
      <c r="AL768" s="189"/>
      <c r="AM768" s="188"/>
      <c r="AN768" s="181"/>
    </row>
    <row r="769" spans="1:40" ht="26.25" customHeight="1">
      <c r="A769" s="177"/>
      <c r="B769" s="178"/>
      <c r="C769" s="179"/>
      <c r="D769" s="180"/>
      <c r="E769" s="180"/>
      <c r="F769" s="180"/>
      <c r="G769" s="180"/>
      <c r="H769" s="180"/>
      <c r="I769" s="181"/>
      <c r="J769" s="180"/>
      <c r="K769" s="180"/>
      <c r="L769" s="180"/>
      <c r="M769" s="180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1"/>
      <c r="Y769" s="180"/>
      <c r="Z769" s="183"/>
      <c r="AA769" s="183"/>
      <c r="AB769" s="180"/>
      <c r="AC769" s="183"/>
      <c r="AD769" s="183"/>
      <c r="AE769" s="180"/>
      <c r="AF769" s="184"/>
      <c r="AG769" s="185"/>
      <c r="AH769" s="186"/>
      <c r="AI769" s="187"/>
      <c r="AJ769" s="187"/>
      <c r="AK769" s="188"/>
      <c r="AL769" s="189"/>
      <c r="AM769" s="188"/>
      <c r="AN769" s="181"/>
    </row>
    <row r="770" spans="1:40" ht="26.25" customHeight="1">
      <c r="A770" s="177"/>
      <c r="B770" s="178"/>
      <c r="C770" s="179"/>
      <c r="D770" s="180"/>
      <c r="E770" s="180"/>
      <c r="F770" s="180"/>
      <c r="G770" s="180"/>
      <c r="H770" s="180"/>
      <c r="I770" s="181"/>
      <c r="J770" s="180"/>
      <c r="K770" s="180"/>
      <c r="L770" s="180"/>
      <c r="M770" s="180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1"/>
      <c r="Y770" s="180"/>
      <c r="Z770" s="183"/>
      <c r="AA770" s="183"/>
      <c r="AB770" s="180"/>
      <c r="AC770" s="183"/>
      <c r="AD770" s="183"/>
      <c r="AE770" s="180"/>
      <c r="AF770" s="184"/>
      <c r="AG770" s="185"/>
      <c r="AH770" s="186"/>
      <c r="AI770" s="187"/>
      <c r="AJ770" s="187"/>
      <c r="AK770" s="188"/>
      <c r="AL770" s="189"/>
      <c r="AM770" s="188"/>
      <c r="AN770" s="181"/>
    </row>
    <row r="771" spans="1:40" ht="26.25" customHeight="1">
      <c r="A771" s="177"/>
      <c r="B771" s="178"/>
      <c r="C771" s="179"/>
      <c r="D771" s="180"/>
      <c r="E771" s="180"/>
      <c r="F771" s="180"/>
      <c r="G771" s="180"/>
      <c r="H771" s="180"/>
      <c r="I771" s="181"/>
      <c r="J771" s="180"/>
      <c r="K771" s="180"/>
      <c r="L771" s="180"/>
      <c r="M771" s="180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1"/>
      <c r="Y771" s="180"/>
      <c r="Z771" s="183"/>
      <c r="AA771" s="183"/>
      <c r="AB771" s="180"/>
      <c r="AC771" s="183"/>
      <c r="AD771" s="183"/>
      <c r="AE771" s="180"/>
      <c r="AF771" s="184"/>
      <c r="AG771" s="185"/>
      <c r="AH771" s="186"/>
      <c r="AI771" s="187"/>
      <c r="AJ771" s="187"/>
      <c r="AK771" s="188"/>
      <c r="AL771" s="189"/>
      <c r="AM771" s="188"/>
      <c r="AN771" s="181"/>
    </row>
    <row r="772" spans="1:40" ht="26.25" customHeight="1">
      <c r="A772" s="177"/>
      <c r="B772" s="178"/>
      <c r="C772" s="179"/>
      <c r="D772" s="180"/>
      <c r="E772" s="180"/>
      <c r="F772" s="180"/>
      <c r="G772" s="180"/>
      <c r="H772" s="180"/>
      <c r="I772" s="181"/>
      <c r="J772" s="180"/>
      <c r="K772" s="180"/>
      <c r="L772" s="180"/>
      <c r="M772" s="180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1"/>
      <c r="Y772" s="180"/>
      <c r="Z772" s="183"/>
      <c r="AA772" s="183"/>
      <c r="AB772" s="180"/>
      <c r="AC772" s="183"/>
      <c r="AD772" s="183"/>
      <c r="AE772" s="180"/>
      <c r="AF772" s="184"/>
      <c r="AG772" s="185"/>
      <c r="AH772" s="186"/>
      <c r="AI772" s="187"/>
      <c r="AJ772" s="187"/>
      <c r="AK772" s="188"/>
      <c r="AL772" s="189"/>
      <c r="AM772" s="188"/>
      <c r="AN772" s="181"/>
    </row>
    <row r="773" spans="1:40" ht="26.25" customHeight="1">
      <c r="A773" s="177"/>
      <c r="B773" s="178"/>
      <c r="C773" s="179"/>
      <c r="D773" s="180"/>
      <c r="E773" s="180"/>
      <c r="F773" s="180"/>
      <c r="G773" s="180"/>
      <c r="H773" s="180"/>
      <c r="I773" s="181"/>
      <c r="J773" s="180"/>
      <c r="K773" s="180"/>
      <c r="L773" s="180"/>
      <c r="M773" s="180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1"/>
      <c r="Y773" s="180"/>
      <c r="Z773" s="183"/>
      <c r="AA773" s="183"/>
      <c r="AB773" s="180"/>
      <c r="AC773" s="183"/>
      <c r="AD773" s="183"/>
      <c r="AE773" s="180"/>
      <c r="AF773" s="184"/>
      <c r="AG773" s="185"/>
      <c r="AH773" s="186"/>
      <c r="AI773" s="187"/>
      <c r="AJ773" s="187"/>
      <c r="AK773" s="188"/>
      <c r="AL773" s="189"/>
      <c r="AM773" s="188"/>
      <c r="AN773" s="181"/>
    </row>
    <row r="774" spans="1:40" ht="26.25" customHeight="1">
      <c r="A774" s="177"/>
      <c r="B774" s="178"/>
      <c r="C774" s="179"/>
      <c r="D774" s="180"/>
      <c r="E774" s="180"/>
      <c r="F774" s="180"/>
      <c r="G774" s="180"/>
      <c r="H774" s="180"/>
      <c r="I774" s="181"/>
      <c r="J774" s="180"/>
      <c r="K774" s="180"/>
      <c r="L774" s="180"/>
      <c r="M774" s="180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1"/>
      <c r="Y774" s="180"/>
      <c r="Z774" s="183"/>
      <c r="AA774" s="183"/>
      <c r="AB774" s="180"/>
      <c r="AC774" s="183"/>
      <c r="AD774" s="183"/>
      <c r="AE774" s="180"/>
      <c r="AF774" s="184"/>
      <c r="AG774" s="185"/>
      <c r="AH774" s="186"/>
      <c r="AI774" s="187"/>
      <c r="AJ774" s="187"/>
      <c r="AK774" s="188"/>
      <c r="AL774" s="189"/>
      <c r="AM774" s="188"/>
      <c r="AN774" s="181"/>
    </row>
    <row r="775" spans="1:40" ht="26.25" customHeight="1">
      <c r="A775" s="177"/>
      <c r="B775" s="178"/>
      <c r="C775" s="179"/>
      <c r="D775" s="180"/>
      <c r="E775" s="180"/>
      <c r="F775" s="180"/>
      <c r="G775" s="180"/>
      <c r="H775" s="180"/>
      <c r="I775" s="181"/>
      <c r="J775" s="180"/>
      <c r="K775" s="180"/>
      <c r="L775" s="180"/>
      <c r="M775" s="180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1"/>
      <c r="Y775" s="180"/>
      <c r="Z775" s="183"/>
      <c r="AA775" s="183"/>
      <c r="AB775" s="180"/>
      <c r="AC775" s="183"/>
      <c r="AD775" s="183"/>
      <c r="AE775" s="180"/>
      <c r="AF775" s="184"/>
      <c r="AG775" s="185"/>
      <c r="AH775" s="186"/>
      <c r="AI775" s="187"/>
      <c r="AJ775" s="187"/>
      <c r="AK775" s="188"/>
      <c r="AL775" s="189"/>
      <c r="AM775" s="188"/>
      <c r="AN775" s="181"/>
    </row>
    <row r="776" spans="1:40" ht="26.25" customHeight="1">
      <c r="A776" s="177"/>
      <c r="B776" s="178"/>
      <c r="C776" s="179"/>
      <c r="D776" s="180"/>
      <c r="E776" s="180"/>
      <c r="F776" s="180"/>
      <c r="G776" s="180"/>
      <c r="H776" s="180"/>
      <c r="I776" s="181"/>
      <c r="J776" s="180"/>
      <c r="K776" s="180"/>
      <c r="L776" s="180"/>
      <c r="M776" s="180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1"/>
      <c r="Y776" s="180"/>
      <c r="Z776" s="183"/>
      <c r="AA776" s="183"/>
      <c r="AB776" s="180"/>
      <c r="AC776" s="183"/>
      <c r="AD776" s="183"/>
      <c r="AE776" s="180"/>
      <c r="AF776" s="184"/>
      <c r="AG776" s="185"/>
      <c r="AH776" s="186"/>
      <c r="AI776" s="187"/>
      <c r="AJ776" s="187"/>
      <c r="AK776" s="188"/>
      <c r="AL776" s="189"/>
      <c r="AM776" s="188"/>
      <c r="AN776" s="181"/>
    </row>
    <row r="777" spans="1:40" ht="26.25" customHeight="1">
      <c r="A777" s="177"/>
      <c r="B777" s="178"/>
      <c r="C777" s="179"/>
      <c r="D777" s="180"/>
      <c r="E777" s="180"/>
      <c r="F777" s="180"/>
      <c r="G777" s="180"/>
      <c r="H777" s="180"/>
      <c r="I777" s="181"/>
      <c r="J777" s="180"/>
      <c r="K777" s="180"/>
      <c r="L777" s="180"/>
      <c r="M777" s="180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1"/>
      <c r="Y777" s="180"/>
      <c r="Z777" s="183"/>
      <c r="AA777" s="183"/>
      <c r="AB777" s="180"/>
      <c r="AC777" s="183"/>
      <c r="AD777" s="183"/>
      <c r="AE777" s="180"/>
      <c r="AF777" s="184"/>
      <c r="AG777" s="185"/>
      <c r="AH777" s="186"/>
      <c r="AI777" s="187"/>
      <c r="AJ777" s="187"/>
      <c r="AK777" s="188"/>
      <c r="AL777" s="189"/>
      <c r="AM777" s="188"/>
      <c r="AN777" s="181"/>
    </row>
    <row r="778" spans="1:40" ht="26.25" customHeight="1">
      <c r="A778" s="177"/>
      <c r="B778" s="178"/>
      <c r="C778" s="179"/>
      <c r="D778" s="180"/>
      <c r="E778" s="180"/>
      <c r="F778" s="180"/>
      <c r="G778" s="180"/>
      <c r="H778" s="180"/>
      <c r="I778" s="181"/>
      <c r="J778" s="180"/>
      <c r="K778" s="180"/>
      <c r="L778" s="180"/>
      <c r="M778" s="180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1"/>
      <c r="Y778" s="180"/>
      <c r="Z778" s="183"/>
      <c r="AA778" s="183"/>
      <c r="AB778" s="180"/>
      <c r="AC778" s="183"/>
      <c r="AD778" s="183"/>
      <c r="AE778" s="180"/>
      <c r="AF778" s="184"/>
      <c r="AG778" s="185"/>
      <c r="AH778" s="186"/>
      <c r="AI778" s="187"/>
      <c r="AJ778" s="187"/>
      <c r="AK778" s="188"/>
      <c r="AL778" s="189"/>
      <c r="AM778" s="188"/>
      <c r="AN778" s="181"/>
    </row>
    <row r="779" spans="1:40" ht="26.25" customHeight="1">
      <c r="A779" s="177"/>
      <c r="B779" s="178"/>
      <c r="C779" s="179"/>
      <c r="D779" s="180"/>
      <c r="E779" s="180"/>
      <c r="F779" s="180"/>
      <c r="G779" s="180"/>
      <c r="H779" s="180"/>
      <c r="I779" s="181"/>
      <c r="J779" s="180"/>
      <c r="K779" s="180"/>
      <c r="L779" s="180"/>
      <c r="M779" s="180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1"/>
      <c r="Y779" s="180"/>
      <c r="Z779" s="183"/>
      <c r="AA779" s="183"/>
      <c r="AB779" s="180"/>
      <c r="AC779" s="183"/>
      <c r="AD779" s="183"/>
      <c r="AE779" s="180"/>
      <c r="AF779" s="184"/>
      <c r="AG779" s="185"/>
      <c r="AH779" s="186"/>
      <c r="AI779" s="187"/>
      <c r="AJ779" s="187"/>
      <c r="AK779" s="188"/>
      <c r="AL779" s="189"/>
      <c r="AM779" s="188"/>
      <c r="AN779" s="181"/>
    </row>
    <row r="780" spans="1:40" ht="26.25" customHeight="1">
      <c r="A780" s="177"/>
      <c r="B780" s="178"/>
      <c r="C780" s="179"/>
      <c r="D780" s="180"/>
      <c r="E780" s="180"/>
      <c r="F780" s="180"/>
      <c r="G780" s="180"/>
      <c r="H780" s="180"/>
      <c r="I780" s="181"/>
      <c r="J780" s="180"/>
      <c r="K780" s="180"/>
      <c r="L780" s="180"/>
      <c r="M780" s="180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1"/>
      <c r="Y780" s="180"/>
      <c r="Z780" s="183"/>
      <c r="AA780" s="183"/>
      <c r="AB780" s="180"/>
      <c r="AC780" s="183"/>
      <c r="AD780" s="183"/>
      <c r="AE780" s="180"/>
      <c r="AF780" s="184"/>
      <c r="AG780" s="185"/>
      <c r="AH780" s="186"/>
      <c r="AI780" s="187"/>
      <c r="AJ780" s="187"/>
      <c r="AK780" s="188"/>
      <c r="AL780" s="189"/>
      <c r="AM780" s="188"/>
      <c r="AN780" s="181"/>
    </row>
    <row r="781" spans="1:40" ht="26.25" customHeight="1">
      <c r="A781" s="177"/>
      <c r="B781" s="178"/>
      <c r="C781" s="179"/>
      <c r="D781" s="180"/>
      <c r="E781" s="180"/>
      <c r="F781" s="180"/>
      <c r="G781" s="180"/>
      <c r="H781" s="180"/>
      <c r="I781" s="181"/>
      <c r="J781" s="180"/>
      <c r="K781" s="180"/>
      <c r="L781" s="180"/>
      <c r="M781" s="180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1"/>
      <c r="Y781" s="180"/>
      <c r="Z781" s="183"/>
      <c r="AA781" s="183"/>
      <c r="AB781" s="180"/>
      <c r="AC781" s="183"/>
      <c r="AD781" s="183"/>
      <c r="AE781" s="180"/>
      <c r="AF781" s="184"/>
      <c r="AG781" s="185"/>
      <c r="AH781" s="186"/>
      <c r="AI781" s="187"/>
      <c r="AJ781" s="187"/>
      <c r="AK781" s="188"/>
      <c r="AL781" s="189"/>
      <c r="AM781" s="188"/>
      <c r="AN781" s="181"/>
    </row>
    <row r="782" spans="1:40" ht="26.25" customHeight="1">
      <c r="A782" s="177"/>
      <c r="B782" s="178"/>
      <c r="C782" s="179"/>
      <c r="D782" s="180"/>
      <c r="E782" s="180"/>
      <c r="F782" s="180"/>
      <c r="G782" s="180"/>
      <c r="H782" s="180"/>
      <c r="I782" s="181"/>
      <c r="J782" s="180"/>
      <c r="K782" s="180"/>
      <c r="L782" s="180"/>
      <c r="M782" s="180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1"/>
      <c r="Y782" s="180"/>
      <c r="Z782" s="183"/>
      <c r="AA782" s="183"/>
      <c r="AB782" s="180"/>
      <c r="AC782" s="183"/>
      <c r="AD782" s="183"/>
      <c r="AE782" s="180"/>
      <c r="AF782" s="184"/>
      <c r="AG782" s="185"/>
      <c r="AH782" s="186"/>
      <c r="AI782" s="187"/>
      <c r="AJ782" s="187"/>
      <c r="AK782" s="188"/>
      <c r="AL782" s="189"/>
      <c r="AM782" s="188"/>
      <c r="AN782" s="181"/>
    </row>
    <row r="783" spans="1:40" ht="26.25" customHeight="1">
      <c r="A783" s="177"/>
      <c r="B783" s="178"/>
      <c r="C783" s="179"/>
      <c r="D783" s="180"/>
      <c r="E783" s="180"/>
      <c r="F783" s="180"/>
      <c r="G783" s="180"/>
      <c r="H783" s="180"/>
      <c r="I783" s="181"/>
      <c r="J783" s="180"/>
      <c r="K783" s="180"/>
      <c r="L783" s="180"/>
      <c r="M783" s="180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1"/>
      <c r="Y783" s="180"/>
      <c r="Z783" s="183"/>
      <c r="AA783" s="183"/>
      <c r="AB783" s="180"/>
      <c r="AC783" s="183"/>
      <c r="AD783" s="183"/>
      <c r="AE783" s="180"/>
      <c r="AF783" s="184"/>
      <c r="AG783" s="185"/>
      <c r="AH783" s="186"/>
      <c r="AI783" s="187"/>
      <c r="AJ783" s="187"/>
      <c r="AK783" s="188"/>
      <c r="AL783" s="189"/>
      <c r="AM783" s="188"/>
      <c r="AN783" s="181"/>
    </row>
    <row r="784" spans="1:40" ht="26.25" customHeight="1">
      <c r="A784" s="177"/>
      <c r="B784" s="178"/>
      <c r="C784" s="179"/>
      <c r="D784" s="180"/>
      <c r="E784" s="180"/>
      <c r="F784" s="180"/>
      <c r="G784" s="180"/>
      <c r="H784" s="180"/>
      <c r="I784" s="181"/>
      <c r="J784" s="180"/>
      <c r="K784" s="180"/>
      <c r="L784" s="180"/>
      <c r="M784" s="180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1"/>
      <c r="Y784" s="180"/>
      <c r="Z784" s="183"/>
      <c r="AA784" s="183"/>
      <c r="AB784" s="180"/>
      <c r="AC784" s="183"/>
      <c r="AD784" s="183"/>
      <c r="AE784" s="180"/>
      <c r="AF784" s="184"/>
      <c r="AG784" s="185"/>
      <c r="AH784" s="186"/>
      <c r="AI784" s="187"/>
      <c r="AJ784" s="187"/>
      <c r="AK784" s="188"/>
      <c r="AL784" s="189"/>
      <c r="AM784" s="188"/>
      <c r="AN784" s="181"/>
    </row>
    <row r="785" spans="1:40" ht="26.25" customHeight="1">
      <c r="A785" s="177"/>
      <c r="B785" s="178"/>
      <c r="C785" s="179"/>
      <c r="D785" s="180"/>
      <c r="E785" s="180"/>
      <c r="F785" s="180"/>
      <c r="G785" s="180"/>
      <c r="H785" s="180"/>
      <c r="I785" s="181"/>
      <c r="J785" s="180"/>
      <c r="K785" s="180"/>
      <c r="L785" s="180"/>
      <c r="M785" s="180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1"/>
      <c r="Y785" s="180"/>
      <c r="Z785" s="183"/>
      <c r="AA785" s="183"/>
      <c r="AB785" s="180"/>
      <c r="AC785" s="183"/>
      <c r="AD785" s="183"/>
      <c r="AE785" s="180"/>
      <c r="AF785" s="184"/>
      <c r="AG785" s="185"/>
      <c r="AH785" s="186"/>
      <c r="AI785" s="187"/>
      <c r="AJ785" s="187"/>
      <c r="AK785" s="188"/>
      <c r="AL785" s="189"/>
      <c r="AM785" s="188"/>
      <c r="AN785" s="181"/>
    </row>
    <row r="786" spans="1:40" ht="26.25" customHeight="1">
      <c r="A786" s="177"/>
      <c r="B786" s="178"/>
      <c r="C786" s="179"/>
      <c r="D786" s="180"/>
      <c r="E786" s="180"/>
      <c r="F786" s="180"/>
      <c r="G786" s="180"/>
      <c r="H786" s="180"/>
      <c r="I786" s="181"/>
      <c r="J786" s="180"/>
      <c r="K786" s="180"/>
      <c r="L786" s="180"/>
      <c r="M786" s="180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1"/>
      <c r="Y786" s="180"/>
      <c r="Z786" s="183"/>
      <c r="AA786" s="183"/>
      <c r="AB786" s="180"/>
      <c r="AC786" s="183"/>
      <c r="AD786" s="183"/>
      <c r="AE786" s="180"/>
      <c r="AF786" s="184"/>
      <c r="AG786" s="185"/>
      <c r="AH786" s="186"/>
      <c r="AI786" s="187"/>
      <c r="AJ786" s="187"/>
      <c r="AK786" s="188"/>
      <c r="AL786" s="189"/>
      <c r="AM786" s="188"/>
      <c r="AN786" s="181"/>
    </row>
    <row r="787" spans="1:40" ht="26.25" customHeight="1">
      <c r="A787" s="177"/>
      <c r="B787" s="178"/>
      <c r="C787" s="179"/>
      <c r="D787" s="180"/>
      <c r="E787" s="180"/>
      <c r="F787" s="180"/>
      <c r="G787" s="180"/>
      <c r="H787" s="180"/>
      <c r="I787" s="181"/>
      <c r="J787" s="180"/>
      <c r="K787" s="180"/>
      <c r="L787" s="180"/>
      <c r="M787" s="180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1"/>
      <c r="Y787" s="180"/>
      <c r="Z787" s="183"/>
      <c r="AA787" s="183"/>
      <c r="AB787" s="180"/>
      <c r="AC787" s="183"/>
      <c r="AD787" s="183"/>
      <c r="AE787" s="180"/>
      <c r="AF787" s="184"/>
      <c r="AG787" s="185"/>
      <c r="AH787" s="186"/>
      <c r="AI787" s="187"/>
      <c r="AJ787" s="187"/>
      <c r="AK787" s="188"/>
      <c r="AL787" s="189"/>
      <c r="AM787" s="188"/>
      <c r="AN787" s="181"/>
    </row>
    <row r="788" spans="1:40" ht="26.25" customHeight="1">
      <c r="A788" s="177"/>
      <c r="B788" s="178"/>
      <c r="C788" s="179"/>
      <c r="D788" s="180"/>
      <c r="E788" s="180"/>
      <c r="F788" s="180"/>
      <c r="G788" s="180"/>
      <c r="H788" s="180"/>
      <c r="I788" s="181"/>
      <c r="J788" s="180"/>
      <c r="K788" s="180"/>
      <c r="L788" s="180"/>
      <c r="M788" s="180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1"/>
      <c r="Y788" s="180"/>
      <c r="Z788" s="183"/>
      <c r="AA788" s="183"/>
      <c r="AB788" s="180"/>
      <c r="AC788" s="183"/>
      <c r="AD788" s="183"/>
      <c r="AE788" s="180"/>
      <c r="AF788" s="184"/>
      <c r="AG788" s="185"/>
      <c r="AH788" s="186"/>
      <c r="AI788" s="187"/>
      <c r="AJ788" s="187"/>
      <c r="AK788" s="188"/>
      <c r="AL788" s="189"/>
      <c r="AM788" s="188"/>
      <c r="AN788" s="181"/>
    </row>
    <row r="789" spans="1:40" ht="26.25" customHeight="1">
      <c r="A789" s="177"/>
      <c r="B789" s="178"/>
      <c r="C789" s="179"/>
      <c r="D789" s="180"/>
      <c r="E789" s="180"/>
      <c r="F789" s="180"/>
      <c r="G789" s="180"/>
      <c r="H789" s="180"/>
      <c r="I789" s="181"/>
      <c r="J789" s="180"/>
      <c r="K789" s="180"/>
      <c r="L789" s="180"/>
      <c r="M789" s="180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1"/>
      <c r="Y789" s="180"/>
      <c r="Z789" s="183"/>
      <c r="AA789" s="183"/>
      <c r="AB789" s="180"/>
      <c r="AC789" s="183"/>
      <c r="AD789" s="183"/>
      <c r="AE789" s="180"/>
      <c r="AF789" s="184"/>
      <c r="AG789" s="185"/>
      <c r="AH789" s="186"/>
      <c r="AI789" s="187"/>
      <c r="AJ789" s="187"/>
      <c r="AK789" s="188"/>
      <c r="AL789" s="189"/>
      <c r="AM789" s="188"/>
      <c r="AN789" s="181"/>
    </row>
    <row r="790" spans="1:40" ht="26.25" customHeight="1">
      <c r="A790" s="177"/>
      <c r="B790" s="178"/>
      <c r="C790" s="179"/>
      <c r="D790" s="180"/>
      <c r="E790" s="180"/>
      <c r="F790" s="180"/>
      <c r="G790" s="180"/>
      <c r="H790" s="180"/>
      <c r="I790" s="181"/>
      <c r="J790" s="180"/>
      <c r="K790" s="180"/>
      <c r="L790" s="180"/>
      <c r="M790" s="180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1"/>
      <c r="Y790" s="180"/>
      <c r="Z790" s="183"/>
      <c r="AA790" s="183"/>
      <c r="AB790" s="180"/>
      <c r="AC790" s="183"/>
      <c r="AD790" s="183"/>
      <c r="AE790" s="180"/>
      <c r="AF790" s="184"/>
      <c r="AG790" s="185"/>
      <c r="AH790" s="186"/>
      <c r="AI790" s="187"/>
      <c r="AJ790" s="187"/>
      <c r="AK790" s="188"/>
      <c r="AL790" s="189"/>
      <c r="AM790" s="188"/>
      <c r="AN790" s="181"/>
    </row>
    <row r="791" spans="1:40" ht="26.25" customHeight="1">
      <c r="A791" s="177"/>
      <c r="B791" s="178"/>
      <c r="C791" s="179"/>
      <c r="D791" s="180"/>
      <c r="E791" s="180"/>
      <c r="F791" s="180"/>
      <c r="G791" s="180"/>
      <c r="H791" s="180"/>
      <c r="I791" s="181"/>
      <c r="J791" s="180"/>
      <c r="K791" s="180"/>
      <c r="L791" s="180"/>
      <c r="M791" s="180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1"/>
      <c r="Y791" s="180"/>
      <c r="Z791" s="183"/>
      <c r="AA791" s="183"/>
      <c r="AB791" s="180"/>
      <c r="AC791" s="183"/>
      <c r="AD791" s="183"/>
      <c r="AE791" s="180"/>
      <c r="AF791" s="184"/>
      <c r="AG791" s="185"/>
      <c r="AH791" s="186"/>
      <c r="AI791" s="187"/>
      <c r="AJ791" s="187"/>
      <c r="AK791" s="188"/>
      <c r="AL791" s="189"/>
      <c r="AM791" s="188"/>
      <c r="AN791" s="181"/>
    </row>
    <row r="792" spans="1:40" ht="26.25" customHeight="1">
      <c r="A792" s="177"/>
      <c r="B792" s="178"/>
      <c r="C792" s="179"/>
      <c r="D792" s="180"/>
      <c r="E792" s="180"/>
      <c r="F792" s="180"/>
      <c r="G792" s="180"/>
      <c r="H792" s="180"/>
      <c r="I792" s="181"/>
      <c r="J792" s="180"/>
      <c r="K792" s="180"/>
      <c r="L792" s="180"/>
      <c r="M792" s="180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1"/>
      <c r="Y792" s="180"/>
      <c r="Z792" s="183"/>
      <c r="AA792" s="183"/>
      <c r="AB792" s="180"/>
      <c r="AC792" s="183"/>
      <c r="AD792" s="183"/>
      <c r="AE792" s="180"/>
      <c r="AF792" s="184"/>
      <c r="AG792" s="185"/>
      <c r="AH792" s="186"/>
      <c r="AI792" s="187"/>
      <c r="AJ792" s="187"/>
      <c r="AK792" s="188"/>
      <c r="AL792" s="189"/>
      <c r="AM792" s="188"/>
      <c r="AN792" s="181"/>
    </row>
    <row r="793" spans="1:40" ht="26.25" customHeight="1">
      <c r="A793" s="177"/>
      <c r="B793" s="178"/>
      <c r="C793" s="179"/>
      <c r="D793" s="180"/>
      <c r="E793" s="180"/>
      <c r="F793" s="180"/>
      <c r="G793" s="180"/>
      <c r="H793" s="180"/>
      <c r="I793" s="181"/>
      <c r="J793" s="180"/>
      <c r="K793" s="180"/>
      <c r="L793" s="180"/>
      <c r="M793" s="180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1"/>
      <c r="Y793" s="180"/>
      <c r="Z793" s="183"/>
      <c r="AA793" s="183"/>
      <c r="AB793" s="180"/>
      <c r="AC793" s="183"/>
      <c r="AD793" s="183"/>
      <c r="AE793" s="180"/>
      <c r="AF793" s="184"/>
      <c r="AG793" s="185"/>
      <c r="AH793" s="186"/>
      <c r="AI793" s="187"/>
      <c r="AJ793" s="187"/>
      <c r="AK793" s="188"/>
      <c r="AL793" s="189"/>
      <c r="AM793" s="188"/>
      <c r="AN793" s="181"/>
    </row>
    <row r="794" spans="1:40" ht="26.25" customHeight="1">
      <c r="A794" s="177"/>
      <c r="B794" s="178"/>
      <c r="C794" s="179"/>
      <c r="D794" s="180"/>
      <c r="E794" s="180"/>
      <c r="F794" s="180"/>
      <c r="G794" s="180"/>
      <c r="H794" s="180"/>
      <c r="I794" s="181"/>
      <c r="J794" s="180"/>
      <c r="K794" s="180"/>
      <c r="L794" s="180"/>
      <c r="M794" s="180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1"/>
      <c r="Y794" s="180"/>
      <c r="Z794" s="183"/>
      <c r="AA794" s="183"/>
      <c r="AB794" s="180"/>
      <c r="AC794" s="183"/>
      <c r="AD794" s="183"/>
      <c r="AE794" s="180"/>
      <c r="AF794" s="184"/>
      <c r="AG794" s="185"/>
      <c r="AH794" s="186"/>
      <c r="AI794" s="187"/>
      <c r="AJ794" s="187"/>
      <c r="AK794" s="188"/>
      <c r="AL794" s="189"/>
      <c r="AM794" s="188"/>
      <c r="AN794" s="181"/>
    </row>
    <row r="795" spans="1:40" ht="26.25" customHeight="1">
      <c r="A795" s="177"/>
      <c r="B795" s="178"/>
      <c r="C795" s="179"/>
      <c r="D795" s="180"/>
      <c r="E795" s="180"/>
      <c r="F795" s="180"/>
      <c r="G795" s="180"/>
      <c r="H795" s="180"/>
      <c r="I795" s="181"/>
      <c r="J795" s="180"/>
      <c r="K795" s="180"/>
      <c r="L795" s="180"/>
      <c r="M795" s="180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1"/>
      <c r="Y795" s="180"/>
      <c r="Z795" s="183"/>
      <c r="AA795" s="183"/>
      <c r="AB795" s="180"/>
      <c r="AC795" s="183"/>
      <c r="AD795" s="183"/>
      <c r="AE795" s="180"/>
      <c r="AF795" s="184"/>
      <c r="AG795" s="185"/>
      <c r="AH795" s="186"/>
      <c r="AI795" s="187"/>
      <c r="AJ795" s="187"/>
      <c r="AK795" s="188"/>
      <c r="AL795" s="189"/>
      <c r="AM795" s="188"/>
      <c r="AN795" s="181"/>
    </row>
    <row r="796" spans="1:40" ht="26.25" customHeight="1">
      <c r="A796" s="177"/>
      <c r="B796" s="178"/>
      <c r="C796" s="179"/>
      <c r="D796" s="180"/>
      <c r="E796" s="180"/>
      <c r="F796" s="180"/>
      <c r="G796" s="180"/>
      <c r="H796" s="180"/>
      <c r="I796" s="181"/>
      <c r="J796" s="180"/>
      <c r="K796" s="180"/>
      <c r="L796" s="180"/>
      <c r="M796" s="180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1"/>
      <c r="Y796" s="180"/>
      <c r="Z796" s="183"/>
      <c r="AA796" s="183"/>
      <c r="AB796" s="180"/>
      <c r="AC796" s="183"/>
      <c r="AD796" s="183"/>
      <c r="AE796" s="180"/>
      <c r="AF796" s="184"/>
      <c r="AG796" s="185"/>
      <c r="AH796" s="186"/>
      <c r="AI796" s="187"/>
      <c r="AJ796" s="187"/>
      <c r="AK796" s="188"/>
      <c r="AL796" s="189"/>
      <c r="AM796" s="188"/>
      <c r="AN796" s="181"/>
    </row>
    <row r="797" spans="1:40" ht="26.25" customHeight="1">
      <c r="A797" s="177"/>
      <c r="B797" s="178"/>
      <c r="C797" s="179"/>
      <c r="D797" s="180"/>
      <c r="E797" s="180"/>
      <c r="F797" s="180"/>
      <c r="G797" s="180"/>
      <c r="H797" s="180"/>
      <c r="I797" s="181"/>
      <c r="J797" s="180"/>
      <c r="K797" s="180"/>
      <c r="L797" s="180"/>
      <c r="M797" s="180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1"/>
      <c r="Y797" s="180"/>
      <c r="Z797" s="183"/>
      <c r="AA797" s="183"/>
      <c r="AB797" s="180"/>
      <c r="AC797" s="183"/>
      <c r="AD797" s="183"/>
      <c r="AE797" s="180"/>
      <c r="AF797" s="184"/>
      <c r="AG797" s="185"/>
      <c r="AH797" s="186"/>
      <c r="AI797" s="187"/>
      <c r="AJ797" s="187"/>
      <c r="AK797" s="188"/>
      <c r="AL797" s="189"/>
      <c r="AM797" s="188"/>
      <c r="AN797" s="181"/>
    </row>
    <row r="798" spans="1:40" ht="26.25" customHeight="1">
      <c r="A798" s="177"/>
      <c r="B798" s="178"/>
      <c r="C798" s="179"/>
      <c r="D798" s="180"/>
      <c r="E798" s="180"/>
      <c r="F798" s="180"/>
      <c r="G798" s="180"/>
      <c r="H798" s="180"/>
      <c r="I798" s="181"/>
      <c r="J798" s="180"/>
      <c r="K798" s="180"/>
      <c r="L798" s="180"/>
      <c r="M798" s="180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1"/>
      <c r="Y798" s="180"/>
      <c r="Z798" s="183"/>
      <c r="AA798" s="183"/>
      <c r="AB798" s="180"/>
      <c r="AC798" s="183"/>
      <c r="AD798" s="183"/>
      <c r="AE798" s="180"/>
      <c r="AF798" s="184"/>
      <c r="AG798" s="185"/>
      <c r="AH798" s="186"/>
      <c r="AI798" s="187"/>
      <c r="AJ798" s="187"/>
      <c r="AK798" s="188"/>
      <c r="AL798" s="189"/>
      <c r="AM798" s="188"/>
      <c r="AN798" s="181"/>
    </row>
    <row r="799" spans="1:40" ht="26.25" customHeight="1">
      <c r="A799" s="177"/>
      <c r="B799" s="178"/>
      <c r="C799" s="179"/>
      <c r="D799" s="180"/>
      <c r="E799" s="180"/>
      <c r="F799" s="180"/>
      <c r="G799" s="180"/>
      <c r="H799" s="180"/>
      <c r="I799" s="181"/>
      <c r="J799" s="180"/>
      <c r="K799" s="180"/>
      <c r="L799" s="180"/>
      <c r="M799" s="180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1"/>
      <c r="Y799" s="180"/>
      <c r="Z799" s="183"/>
      <c r="AA799" s="183"/>
      <c r="AB799" s="180"/>
      <c r="AC799" s="183"/>
      <c r="AD799" s="183"/>
      <c r="AE799" s="180"/>
      <c r="AF799" s="184"/>
      <c r="AG799" s="185"/>
      <c r="AH799" s="186"/>
      <c r="AI799" s="187"/>
      <c r="AJ799" s="187"/>
      <c r="AK799" s="188"/>
      <c r="AL799" s="189"/>
      <c r="AM799" s="188"/>
      <c r="AN799" s="181"/>
    </row>
    <row r="800" spans="1:40" ht="26.25" customHeight="1">
      <c r="A800" s="177"/>
      <c r="B800" s="178"/>
      <c r="C800" s="179"/>
      <c r="D800" s="180"/>
      <c r="E800" s="180"/>
      <c r="F800" s="180"/>
      <c r="G800" s="180"/>
      <c r="H800" s="180"/>
      <c r="I800" s="181"/>
      <c r="J800" s="180"/>
      <c r="K800" s="180"/>
      <c r="L800" s="180"/>
      <c r="M800" s="180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1"/>
      <c r="Y800" s="180"/>
      <c r="Z800" s="183"/>
      <c r="AA800" s="183"/>
      <c r="AB800" s="180"/>
      <c r="AC800" s="183"/>
      <c r="AD800" s="183"/>
      <c r="AE800" s="180"/>
      <c r="AF800" s="184"/>
      <c r="AG800" s="185"/>
      <c r="AH800" s="186"/>
      <c r="AI800" s="187"/>
      <c r="AJ800" s="187"/>
      <c r="AK800" s="188"/>
      <c r="AL800" s="189"/>
      <c r="AM800" s="188"/>
      <c r="AN800" s="181"/>
    </row>
    <row r="801" spans="1:40" ht="26.25" customHeight="1">
      <c r="A801" s="177"/>
      <c r="B801" s="178"/>
      <c r="C801" s="179"/>
      <c r="D801" s="180"/>
      <c r="E801" s="180"/>
      <c r="F801" s="180"/>
      <c r="G801" s="180"/>
      <c r="H801" s="180"/>
      <c r="I801" s="181"/>
      <c r="J801" s="180"/>
      <c r="K801" s="180"/>
      <c r="L801" s="180"/>
      <c r="M801" s="180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1"/>
      <c r="Y801" s="180"/>
      <c r="Z801" s="183"/>
      <c r="AA801" s="183"/>
      <c r="AB801" s="180"/>
      <c r="AC801" s="183"/>
      <c r="AD801" s="183"/>
      <c r="AE801" s="180"/>
      <c r="AF801" s="184"/>
      <c r="AG801" s="185"/>
      <c r="AH801" s="186"/>
      <c r="AI801" s="187"/>
      <c r="AJ801" s="187"/>
      <c r="AK801" s="188"/>
      <c r="AL801" s="189"/>
      <c r="AM801" s="188"/>
      <c r="AN801" s="181"/>
    </row>
    <row r="802" spans="1:40" ht="26.25" customHeight="1">
      <c r="A802" s="177"/>
      <c r="B802" s="178"/>
      <c r="C802" s="179"/>
      <c r="D802" s="180"/>
      <c r="E802" s="180"/>
      <c r="F802" s="180"/>
      <c r="G802" s="180"/>
      <c r="H802" s="180"/>
      <c r="I802" s="181"/>
      <c r="J802" s="180"/>
      <c r="K802" s="180"/>
      <c r="L802" s="180"/>
      <c r="M802" s="180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1"/>
      <c r="Y802" s="180"/>
      <c r="Z802" s="183"/>
      <c r="AA802" s="183"/>
      <c r="AB802" s="180"/>
      <c r="AC802" s="183"/>
      <c r="AD802" s="183"/>
      <c r="AE802" s="180"/>
      <c r="AF802" s="184"/>
      <c r="AG802" s="185"/>
      <c r="AH802" s="186"/>
      <c r="AI802" s="187"/>
      <c r="AJ802" s="187"/>
      <c r="AK802" s="188"/>
      <c r="AL802" s="189"/>
      <c r="AM802" s="188"/>
      <c r="AN802" s="181"/>
    </row>
    <row r="803" spans="1:40" ht="26.25" customHeight="1">
      <c r="A803" s="177"/>
      <c r="B803" s="178"/>
      <c r="C803" s="179"/>
      <c r="D803" s="180"/>
      <c r="E803" s="180"/>
      <c r="F803" s="180"/>
      <c r="G803" s="180"/>
      <c r="H803" s="180"/>
      <c r="I803" s="181"/>
      <c r="J803" s="180"/>
      <c r="K803" s="180"/>
      <c r="L803" s="180"/>
      <c r="M803" s="180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1"/>
      <c r="Y803" s="180"/>
      <c r="Z803" s="183"/>
      <c r="AA803" s="183"/>
      <c r="AB803" s="180"/>
      <c r="AC803" s="183"/>
      <c r="AD803" s="183"/>
      <c r="AE803" s="180"/>
      <c r="AF803" s="184"/>
      <c r="AG803" s="185"/>
      <c r="AH803" s="186"/>
      <c r="AI803" s="187"/>
      <c r="AJ803" s="187"/>
      <c r="AK803" s="188"/>
      <c r="AL803" s="189"/>
      <c r="AM803" s="188"/>
      <c r="AN803" s="181"/>
    </row>
    <row r="804" spans="1:40" ht="26.25" customHeight="1">
      <c r="A804" s="177"/>
      <c r="B804" s="178"/>
      <c r="C804" s="179"/>
      <c r="D804" s="180"/>
      <c r="E804" s="180"/>
      <c r="F804" s="180"/>
      <c r="G804" s="180"/>
      <c r="H804" s="180"/>
      <c r="I804" s="181"/>
      <c r="J804" s="180"/>
      <c r="K804" s="180"/>
      <c r="L804" s="180"/>
      <c r="M804" s="180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1"/>
      <c r="Y804" s="180"/>
      <c r="Z804" s="183"/>
      <c r="AA804" s="183"/>
      <c r="AB804" s="180"/>
      <c r="AC804" s="183"/>
      <c r="AD804" s="183"/>
      <c r="AE804" s="180"/>
      <c r="AF804" s="184"/>
      <c r="AG804" s="185"/>
      <c r="AH804" s="186"/>
      <c r="AI804" s="187"/>
      <c r="AJ804" s="187"/>
      <c r="AK804" s="188"/>
      <c r="AL804" s="189"/>
      <c r="AM804" s="188"/>
      <c r="AN804" s="181"/>
    </row>
    <row r="805" spans="1:40" ht="26.25" customHeight="1">
      <c r="A805" s="177"/>
      <c r="B805" s="178"/>
      <c r="C805" s="179"/>
      <c r="D805" s="180"/>
      <c r="E805" s="180"/>
      <c r="F805" s="180"/>
      <c r="G805" s="180"/>
      <c r="H805" s="180"/>
      <c r="I805" s="181"/>
      <c r="J805" s="180"/>
      <c r="K805" s="180"/>
      <c r="L805" s="180"/>
      <c r="M805" s="180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1"/>
      <c r="Y805" s="180"/>
      <c r="Z805" s="183"/>
      <c r="AA805" s="183"/>
      <c r="AB805" s="180"/>
      <c r="AC805" s="183"/>
      <c r="AD805" s="183"/>
      <c r="AE805" s="180"/>
      <c r="AF805" s="184"/>
      <c r="AG805" s="185"/>
      <c r="AH805" s="186"/>
      <c r="AI805" s="187"/>
      <c r="AJ805" s="187"/>
      <c r="AK805" s="188"/>
      <c r="AL805" s="189"/>
      <c r="AM805" s="188"/>
      <c r="AN805" s="181"/>
    </row>
    <row r="806" spans="1:40" ht="26.25" customHeight="1">
      <c r="A806" s="177"/>
      <c r="B806" s="178"/>
      <c r="C806" s="179"/>
      <c r="D806" s="180"/>
      <c r="E806" s="180"/>
      <c r="F806" s="180"/>
      <c r="G806" s="180"/>
      <c r="H806" s="180"/>
      <c r="I806" s="181"/>
      <c r="J806" s="180"/>
      <c r="K806" s="180"/>
      <c r="L806" s="180"/>
      <c r="M806" s="180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1"/>
      <c r="Y806" s="180"/>
      <c r="Z806" s="183"/>
      <c r="AA806" s="183"/>
      <c r="AB806" s="180"/>
      <c r="AC806" s="183"/>
      <c r="AD806" s="183"/>
      <c r="AE806" s="180"/>
      <c r="AF806" s="184"/>
      <c r="AG806" s="185"/>
      <c r="AH806" s="186"/>
      <c r="AI806" s="187"/>
      <c r="AJ806" s="187"/>
      <c r="AK806" s="188"/>
      <c r="AL806" s="189"/>
      <c r="AM806" s="188"/>
      <c r="AN806" s="181"/>
    </row>
    <row r="807" spans="1:40" ht="26.25" customHeight="1">
      <c r="A807" s="177"/>
      <c r="B807" s="178"/>
      <c r="C807" s="179"/>
      <c r="D807" s="180"/>
      <c r="E807" s="180"/>
      <c r="F807" s="180"/>
      <c r="G807" s="180"/>
      <c r="H807" s="180"/>
      <c r="I807" s="181"/>
      <c r="J807" s="180"/>
      <c r="K807" s="180"/>
      <c r="L807" s="180"/>
      <c r="M807" s="180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1"/>
      <c r="Y807" s="180"/>
      <c r="Z807" s="183"/>
      <c r="AA807" s="183"/>
      <c r="AB807" s="180"/>
      <c r="AC807" s="183"/>
      <c r="AD807" s="183"/>
      <c r="AE807" s="180"/>
      <c r="AF807" s="184"/>
      <c r="AG807" s="185"/>
      <c r="AH807" s="186"/>
      <c r="AI807" s="187"/>
      <c r="AJ807" s="187"/>
      <c r="AK807" s="188"/>
      <c r="AL807" s="189"/>
      <c r="AM807" s="188"/>
      <c r="AN807" s="181"/>
    </row>
    <row r="808" spans="1:40" ht="26.25" customHeight="1">
      <c r="A808" s="177"/>
      <c r="B808" s="178"/>
      <c r="C808" s="179"/>
      <c r="D808" s="180"/>
      <c r="E808" s="180"/>
      <c r="F808" s="180"/>
      <c r="G808" s="180"/>
      <c r="H808" s="180"/>
      <c r="I808" s="181"/>
      <c r="J808" s="180"/>
      <c r="K808" s="180"/>
      <c r="L808" s="180"/>
      <c r="M808" s="180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1"/>
      <c r="Y808" s="180"/>
      <c r="Z808" s="183"/>
      <c r="AA808" s="183"/>
      <c r="AB808" s="180"/>
      <c r="AC808" s="183"/>
      <c r="AD808" s="183"/>
      <c r="AE808" s="180"/>
      <c r="AF808" s="184"/>
      <c r="AG808" s="185"/>
      <c r="AH808" s="186"/>
      <c r="AI808" s="187"/>
      <c r="AJ808" s="187"/>
      <c r="AK808" s="188"/>
      <c r="AL808" s="189"/>
      <c r="AM808" s="188"/>
      <c r="AN808" s="181"/>
    </row>
    <row r="809" spans="1:40" ht="26.25" customHeight="1">
      <c r="A809" s="177"/>
      <c r="B809" s="178"/>
      <c r="C809" s="179"/>
      <c r="D809" s="180"/>
      <c r="E809" s="180"/>
      <c r="F809" s="180"/>
      <c r="G809" s="180"/>
      <c r="H809" s="180"/>
      <c r="I809" s="181"/>
      <c r="J809" s="180"/>
      <c r="K809" s="180"/>
      <c r="L809" s="180"/>
      <c r="M809" s="180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1"/>
      <c r="Y809" s="180"/>
      <c r="Z809" s="183"/>
      <c r="AA809" s="183"/>
      <c r="AB809" s="180"/>
      <c r="AC809" s="183"/>
      <c r="AD809" s="183"/>
      <c r="AE809" s="180"/>
      <c r="AF809" s="184"/>
      <c r="AG809" s="185"/>
      <c r="AH809" s="186"/>
      <c r="AI809" s="187"/>
      <c r="AJ809" s="187"/>
      <c r="AK809" s="188"/>
      <c r="AL809" s="189"/>
      <c r="AM809" s="188"/>
      <c r="AN809" s="181"/>
    </row>
    <row r="810" spans="1:40" ht="26.25" customHeight="1">
      <c r="A810" s="177"/>
      <c r="B810" s="178"/>
      <c r="C810" s="179"/>
      <c r="D810" s="180"/>
      <c r="E810" s="180"/>
      <c r="F810" s="180"/>
      <c r="G810" s="180"/>
      <c r="H810" s="180"/>
      <c r="I810" s="181"/>
      <c r="J810" s="180"/>
      <c r="K810" s="180"/>
      <c r="L810" s="180"/>
      <c r="M810" s="180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1"/>
      <c r="Y810" s="180"/>
      <c r="Z810" s="183"/>
      <c r="AA810" s="183"/>
      <c r="AB810" s="180"/>
      <c r="AC810" s="183"/>
      <c r="AD810" s="183"/>
      <c r="AE810" s="180"/>
      <c r="AF810" s="184"/>
      <c r="AG810" s="185"/>
      <c r="AH810" s="186"/>
      <c r="AI810" s="187"/>
      <c r="AJ810" s="187"/>
      <c r="AK810" s="188"/>
      <c r="AL810" s="189"/>
      <c r="AM810" s="188"/>
      <c r="AN810" s="181"/>
    </row>
    <row r="811" spans="1:40" ht="26.25" customHeight="1">
      <c r="A811" s="177"/>
      <c r="B811" s="178"/>
      <c r="C811" s="179"/>
      <c r="D811" s="180"/>
      <c r="E811" s="180"/>
      <c r="F811" s="180"/>
      <c r="G811" s="180"/>
      <c r="H811" s="180"/>
      <c r="I811" s="181"/>
      <c r="J811" s="180"/>
      <c r="K811" s="180"/>
      <c r="L811" s="180"/>
      <c r="M811" s="180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1"/>
      <c r="Y811" s="180"/>
      <c r="Z811" s="183"/>
      <c r="AA811" s="183"/>
      <c r="AB811" s="180"/>
      <c r="AC811" s="183"/>
      <c r="AD811" s="183"/>
      <c r="AE811" s="180"/>
      <c r="AF811" s="184"/>
      <c r="AG811" s="185"/>
      <c r="AH811" s="186"/>
      <c r="AI811" s="187"/>
      <c r="AJ811" s="187"/>
      <c r="AK811" s="188"/>
      <c r="AL811" s="189"/>
      <c r="AM811" s="188"/>
      <c r="AN811" s="181"/>
    </row>
    <row r="812" spans="1:40" ht="26.25" customHeight="1">
      <c r="A812" s="177"/>
      <c r="B812" s="178"/>
      <c r="C812" s="179"/>
      <c r="D812" s="180"/>
      <c r="E812" s="180"/>
      <c r="F812" s="180"/>
      <c r="G812" s="180"/>
      <c r="H812" s="180"/>
      <c r="I812" s="181"/>
      <c r="J812" s="180"/>
      <c r="K812" s="180"/>
      <c r="L812" s="180"/>
      <c r="M812" s="180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1"/>
      <c r="Y812" s="180"/>
      <c r="Z812" s="183"/>
      <c r="AA812" s="183"/>
      <c r="AB812" s="180"/>
      <c r="AC812" s="183"/>
      <c r="AD812" s="183"/>
      <c r="AE812" s="180"/>
      <c r="AF812" s="184"/>
      <c r="AG812" s="185"/>
      <c r="AH812" s="186"/>
      <c r="AI812" s="187"/>
      <c r="AJ812" s="187"/>
      <c r="AK812" s="188"/>
      <c r="AL812" s="189"/>
      <c r="AM812" s="188"/>
      <c r="AN812" s="181"/>
    </row>
    <row r="813" spans="1:40" ht="26.25" customHeight="1">
      <c r="A813" s="177"/>
      <c r="B813" s="178"/>
      <c r="C813" s="179"/>
      <c r="D813" s="180"/>
      <c r="E813" s="180"/>
      <c r="F813" s="180"/>
      <c r="G813" s="180"/>
      <c r="H813" s="180"/>
      <c r="I813" s="181"/>
      <c r="J813" s="180"/>
      <c r="K813" s="180"/>
      <c r="L813" s="180"/>
      <c r="M813" s="180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1"/>
      <c r="Y813" s="180"/>
      <c r="Z813" s="183"/>
      <c r="AA813" s="183"/>
      <c r="AB813" s="180"/>
      <c r="AC813" s="183"/>
      <c r="AD813" s="183"/>
      <c r="AE813" s="180"/>
      <c r="AF813" s="184"/>
      <c r="AG813" s="185"/>
      <c r="AH813" s="186"/>
      <c r="AI813" s="187"/>
      <c r="AJ813" s="187"/>
      <c r="AK813" s="188"/>
      <c r="AL813" s="189"/>
      <c r="AM813" s="188"/>
      <c r="AN813" s="181"/>
    </row>
    <row r="814" spans="1:40" ht="26.25" customHeight="1">
      <c r="A814" s="177"/>
      <c r="B814" s="178"/>
      <c r="C814" s="179"/>
      <c r="D814" s="180"/>
      <c r="E814" s="180"/>
      <c r="F814" s="180"/>
      <c r="G814" s="180"/>
      <c r="H814" s="180"/>
      <c r="I814" s="181"/>
      <c r="J814" s="180"/>
      <c r="K814" s="180"/>
      <c r="L814" s="180"/>
      <c r="M814" s="180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1"/>
      <c r="Y814" s="180"/>
      <c r="Z814" s="183"/>
      <c r="AA814" s="183"/>
      <c r="AB814" s="180"/>
      <c r="AC814" s="183"/>
      <c r="AD814" s="183"/>
      <c r="AE814" s="180"/>
      <c r="AF814" s="184"/>
      <c r="AG814" s="185"/>
      <c r="AH814" s="186"/>
      <c r="AI814" s="187"/>
      <c r="AJ814" s="187"/>
      <c r="AK814" s="188"/>
      <c r="AL814" s="189"/>
      <c r="AM814" s="188"/>
      <c r="AN814" s="181"/>
    </row>
    <row r="815" spans="1:40" ht="26.25" customHeight="1">
      <c r="A815" s="177"/>
      <c r="B815" s="178"/>
      <c r="C815" s="179"/>
      <c r="D815" s="180"/>
      <c r="E815" s="180"/>
      <c r="F815" s="180"/>
      <c r="G815" s="180"/>
      <c r="H815" s="180"/>
      <c r="I815" s="181"/>
      <c r="J815" s="180"/>
      <c r="K815" s="180"/>
      <c r="L815" s="180"/>
      <c r="M815" s="180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1"/>
      <c r="Y815" s="180"/>
      <c r="Z815" s="183"/>
      <c r="AA815" s="183"/>
      <c r="AB815" s="180"/>
      <c r="AC815" s="183"/>
      <c r="AD815" s="183"/>
      <c r="AE815" s="180"/>
      <c r="AF815" s="184"/>
      <c r="AG815" s="185"/>
      <c r="AH815" s="186"/>
      <c r="AI815" s="187"/>
      <c r="AJ815" s="187"/>
      <c r="AK815" s="188"/>
      <c r="AL815" s="189"/>
      <c r="AM815" s="188"/>
      <c r="AN815" s="181"/>
    </row>
    <row r="816" spans="1:40" ht="26.25" customHeight="1">
      <c r="A816" s="177"/>
      <c r="B816" s="178"/>
      <c r="C816" s="179"/>
      <c r="D816" s="180"/>
      <c r="E816" s="180"/>
      <c r="F816" s="180"/>
      <c r="G816" s="180"/>
      <c r="H816" s="180"/>
      <c r="I816" s="181"/>
      <c r="J816" s="180"/>
      <c r="K816" s="180"/>
      <c r="L816" s="180"/>
      <c r="M816" s="180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1"/>
      <c r="Y816" s="180"/>
      <c r="Z816" s="183"/>
      <c r="AA816" s="183"/>
      <c r="AB816" s="180"/>
      <c r="AC816" s="183"/>
      <c r="AD816" s="183"/>
      <c r="AE816" s="180"/>
      <c r="AF816" s="184"/>
      <c r="AG816" s="185"/>
      <c r="AH816" s="186"/>
      <c r="AI816" s="187"/>
      <c r="AJ816" s="187"/>
      <c r="AK816" s="188"/>
      <c r="AL816" s="189"/>
      <c r="AM816" s="188"/>
      <c r="AN816" s="181"/>
    </row>
    <row r="817" spans="1:40" ht="26.25" customHeight="1">
      <c r="A817" s="177"/>
      <c r="B817" s="178"/>
      <c r="C817" s="179"/>
      <c r="D817" s="180"/>
      <c r="E817" s="180"/>
      <c r="F817" s="180"/>
      <c r="G817" s="180"/>
      <c r="H817" s="180"/>
      <c r="I817" s="181"/>
      <c r="J817" s="180"/>
      <c r="K817" s="180"/>
      <c r="L817" s="180"/>
      <c r="M817" s="180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1"/>
      <c r="Y817" s="180"/>
      <c r="Z817" s="183"/>
      <c r="AA817" s="183"/>
      <c r="AB817" s="180"/>
      <c r="AC817" s="183"/>
      <c r="AD817" s="183"/>
      <c r="AE817" s="180"/>
      <c r="AF817" s="184"/>
      <c r="AG817" s="185"/>
      <c r="AH817" s="186"/>
      <c r="AI817" s="187"/>
      <c r="AJ817" s="187"/>
      <c r="AK817" s="188"/>
      <c r="AL817" s="189"/>
      <c r="AM817" s="188"/>
      <c r="AN817" s="181"/>
    </row>
    <row r="818" spans="1:40" ht="26.25" customHeight="1">
      <c r="A818" s="177"/>
      <c r="B818" s="178"/>
      <c r="C818" s="179"/>
      <c r="D818" s="180"/>
      <c r="E818" s="180"/>
      <c r="F818" s="180"/>
      <c r="G818" s="180"/>
      <c r="H818" s="180"/>
      <c r="I818" s="181"/>
      <c r="J818" s="180"/>
      <c r="K818" s="180"/>
      <c r="L818" s="180"/>
      <c r="M818" s="180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1"/>
      <c r="Y818" s="180"/>
      <c r="Z818" s="183"/>
      <c r="AA818" s="183"/>
      <c r="AB818" s="180"/>
      <c r="AC818" s="183"/>
      <c r="AD818" s="183"/>
      <c r="AE818" s="180"/>
      <c r="AF818" s="184"/>
      <c r="AG818" s="185"/>
      <c r="AH818" s="186"/>
      <c r="AI818" s="187"/>
      <c r="AJ818" s="187"/>
      <c r="AK818" s="188"/>
      <c r="AL818" s="189"/>
      <c r="AM818" s="188"/>
      <c r="AN818" s="181"/>
    </row>
    <row r="819" spans="1:40" ht="26.25" customHeight="1">
      <c r="A819" s="177"/>
      <c r="B819" s="178"/>
      <c r="C819" s="179"/>
      <c r="D819" s="180"/>
      <c r="E819" s="180"/>
      <c r="F819" s="180"/>
      <c r="G819" s="180"/>
      <c r="H819" s="180"/>
      <c r="I819" s="181"/>
      <c r="J819" s="180"/>
      <c r="K819" s="180"/>
      <c r="L819" s="180"/>
      <c r="M819" s="180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1"/>
      <c r="Y819" s="180"/>
      <c r="Z819" s="183"/>
      <c r="AA819" s="183"/>
      <c r="AB819" s="180"/>
      <c r="AC819" s="183"/>
      <c r="AD819" s="183"/>
      <c r="AE819" s="180"/>
      <c r="AF819" s="184"/>
      <c r="AG819" s="185"/>
      <c r="AH819" s="186"/>
      <c r="AI819" s="187"/>
      <c r="AJ819" s="187"/>
      <c r="AK819" s="188"/>
      <c r="AL819" s="189"/>
      <c r="AM819" s="188"/>
      <c r="AN819" s="181"/>
    </row>
    <row r="820" spans="1:40" ht="26.25" customHeight="1">
      <c r="A820" s="177"/>
      <c r="B820" s="178"/>
      <c r="C820" s="179"/>
      <c r="D820" s="180"/>
      <c r="E820" s="180"/>
      <c r="F820" s="180"/>
      <c r="G820" s="180"/>
      <c r="H820" s="180"/>
      <c r="I820" s="181"/>
      <c r="J820" s="180"/>
      <c r="K820" s="180"/>
      <c r="L820" s="180"/>
      <c r="M820" s="180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1"/>
      <c r="Y820" s="180"/>
      <c r="Z820" s="183"/>
      <c r="AA820" s="183"/>
      <c r="AB820" s="180"/>
      <c r="AC820" s="183"/>
      <c r="AD820" s="183"/>
      <c r="AE820" s="180"/>
      <c r="AF820" s="184"/>
      <c r="AG820" s="185"/>
      <c r="AH820" s="186"/>
      <c r="AI820" s="187"/>
      <c r="AJ820" s="187"/>
      <c r="AK820" s="188"/>
      <c r="AL820" s="189"/>
      <c r="AM820" s="188"/>
      <c r="AN820" s="181"/>
    </row>
    <row r="821" spans="1:40" ht="26.25" customHeight="1">
      <c r="A821" s="177"/>
      <c r="B821" s="178"/>
      <c r="C821" s="179"/>
      <c r="D821" s="180"/>
      <c r="E821" s="180"/>
      <c r="F821" s="180"/>
      <c r="G821" s="180"/>
      <c r="H821" s="180"/>
      <c r="I821" s="181"/>
      <c r="J821" s="180"/>
      <c r="K821" s="180"/>
      <c r="L821" s="180"/>
      <c r="M821" s="180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1"/>
      <c r="Y821" s="180"/>
      <c r="Z821" s="183"/>
      <c r="AA821" s="183"/>
      <c r="AB821" s="180"/>
      <c r="AC821" s="183"/>
      <c r="AD821" s="183"/>
      <c r="AE821" s="180"/>
      <c r="AF821" s="184"/>
      <c r="AG821" s="185"/>
      <c r="AH821" s="186"/>
      <c r="AI821" s="187"/>
      <c r="AJ821" s="187"/>
      <c r="AK821" s="188"/>
      <c r="AL821" s="189"/>
      <c r="AM821" s="188"/>
      <c r="AN821" s="181"/>
    </row>
    <row r="822" spans="1:40" ht="26.25" customHeight="1">
      <c r="A822" s="177"/>
      <c r="B822" s="178"/>
      <c r="C822" s="179"/>
      <c r="D822" s="180"/>
      <c r="E822" s="180"/>
      <c r="F822" s="180"/>
      <c r="G822" s="180"/>
      <c r="H822" s="180"/>
      <c r="I822" s="181"/>
      <c r="J822" s="180"/>
      <c r="K822" s="180"/>
      <c r="L822" s="180"/>
      <c r="M822" s="180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1"/>
      <c r="Y822" s="180"/>
      <c r="Z822" s="183"/>
      <c r="AA822" s="183"/>
      <c r="AB822" s="180"/>
      <c r="AC822" s="183"/>
      <c r="AD822" s="183"/>
      <c r="AE822" s="180"/>
      <c r="AF822" s="184"/>
      <c r="AG822" s="185"/>
      <c r="AH822" s="186"/>
      <c r="AI822" s="187"/>
      <c r="AJ822" s="187"/>
      <c r="AK822" s="188"/>
      <c r="AL822" s="189"/>
      <c r="AM822" s="188"/>
      <c r="AN822" s="181"/>
    </row>
    <row r="823" spans="1:40" ht="26.25" customHeight="1">
      <c r="A823" s="177"/>
      <c r="B823" s="178"/>
      <c r="C823" s="179"/>
      <c r="D823" s="180"/>
      <c r="E823" s="180"/>
      <c r="F823" s="180"/>
      <c r="G823" s="180"/>
      <c r="H823" s="180"/>
      <c r="I823" s="181"/>
      <c r="J823" s="180"/>
      <c r="K823" s="180"/>
      <c r="L823" s="180"/>
      <c r="M823" s="180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1"/>
      <c r="Y823" s="180"/>
      <c r="Z823" s="183"/>
      <c r="AA823" s="183"/>
      <c r="AB823" s="180"/>
      <c r="AC823" s="183"/>
      <c r="AD823" s="183"/>
      <c r="AE823" s="180"/>
      <c r="AF823" s="184"/>
      <c r="AG823" s="185"/>
      <c r="AH823" s="186"/>
      <c r="AI823" s="187"/>
      <c r="AJ823" s="187"/>
      <c r="AK823" s="188"/>
      <c r="AL823" s="189"/>
      <c r="AM823" s="188"/>
      <c r="AN823" s="181"/>
    </row>
    <row r="824" spans="1:40" ht="26.25" customHeight="1">
      <c r="A824" s="177"/>
      <c r="B824" s="178"/>
      <c r="C824" s="179"/>
      <c r="D824" s="180"/>
      <c r="E824" s="180"/>
      <c r="F824" s="180"/>
      <c r="G824" s="180"/>
      <c r="H824" s="180"/>
      <c r="I824" s="181"/>
      <c r="J824" s="180"/>
      <c r="K824" s="180"/>
      <c r="L824" s="180"/>
      <c r="M824" s="180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1"/>
      <c r="Y824" s="180"/>
      <c r="Z824" s="183"/>
      <c r="AA824" s="183"/>
      <c r="AB824" s="180"/>
      <c r="AC824" s="183"/>
      <c r="AD824" s="183"/>
      <c r="AE824" s="180"/>
      <c r="AF824" s="184"/>
      <c r="AG824" s="185"/>
      <c r="AH824" s="186"/>
      <c r="AI824" s="187"/>
      <c r="AJ824" s="187"/>
      <c r="AK824" s="188"/>
      <c r="AL824" s="189"/>
      <c r="AM824" s="188"/>
      <c r="AN824" s="181"/>
    </row>
    <row r="825" spans="1:40" ht="26.25" customHeight="1">
      <c r="A825" s="177"/>
      <c r="B825" s="178"/>
      <c r="C825" s="179"/>
      <c r="D825" s="180"/>
      <c r="E825" s="180"/>
      <c r="F825" s="180"/>
      <c r="G825" s="180"/>
      <c r="H825" s="180"/>
      <c r="I825" s="181"/>
      <c r="J825" s="180"/>
      <c r="K825" s="180"/>
      <c r="L825" s="180"/>
      <c r="M825" s="180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1"/>
      <c r="Y825" s="180"/>
      <c r="Z825" s="183"/>
      <c r="AA825" s="183"/>
      <c r="AB825" s="180"/>
      <c r="AC825" s="183"/>
      <c r="AD825" s="183"/>
      <c r="AE825" s="180"/>
      <c r="AF825" s="184"/>
      <c r="AG825" s="185"/>
      <c r="AH825" s="186"/>
      <c r="AI825" s="187"/>
      <c r="AJ825" s="187"/>
      <c r="AK825" s="188"/>
      <c r="AL825" s="189"/>
      <c r="AM825" s="188"/>
      <c r="AN825" s="181"/>
    </row>
    <row r="826" spans="1:40" ht="26.25" customHeight="1">
      <c r="A826" s="177"/>
      <c r="B826" s="178"/>
      <c r="C826" s="179"/>
      <c r="D826" s="180"/>
      <c r="E826" s="180"/>
      <c r="F826" s="180"/>
      <c r="G826" s="180"/>
      <c r="H826" s="180"/>
      <c r="I826" s="181"/>
      <c r="J826" s="180"/>
      <c r="K826" s="180"/>
      <c r="L826" s="180"/>
      <c r="M826" s="180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1"/>
      <c r="Y826" s="180"/>
      <c r="Z826" s="183"/>
      <c r="AA826" s="183"/>
      <c r="AB826" s="180"/>
      <c r="AC826" s="183"/>
      <c r="AD826" s="183"/>
      <c r="AE826" s="180"/>
      <c r="AF826" s="184"/>
      <c r="AG826" s="185"/>
      <c r="AH826" s="186"/>
      <c r="AI826" s="187"/>
      <c r="AJ826" s="187"/>
      <c r="AK826" s="188"/>
      <c r="AL826" s="189"/>
      <c r="AM826" s="188"/>
      <c r="AN826" s="181"/>
    </row>
    <row r="827" spans="1:40" ht="26.25" customHeight="1">
      <c r="A827" s="177"/>
      <c r="B827" s="178"/>
      <c r="C827" s="179"/>
      <c r="D827" s="180"/>
      <c r="E827" s="180"/>
      <c r="F827" s="180"/>
      <c r="G827" s="180"/>
      <c r="H827" s="180"/>
      <c r="I827" s="181"/>
      <c r="J827" s="180"/>
      <c r="K827" s="180"/>
      <c r="L827" s="180"/>
      <c r="M827" s="180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1"/>
      <c r="Y827" s="180"/>
      <c r="Z827" s="183"/>
      <c r="AA827" s="183"/>
      <c r="AB827" s="180"/>
      <c r="AC827" s="183"/>
      <c r="AD827" s="183"/>
      <c r="AE827" s="180"/>
      <c r="AF827" s="184"/>
      <c r="AG827" s="185"/>
      <c r="AH827" s="186"/>
      <c r="AI827" s="187"/>
      <c r="AJ827" s="187"/>
      <c r="AK827" s="188"/>
      <c r="AL827" s="189"/>
      <c r="AM827" s="188"/>
      <c r="AN827" s="181"/>
    </row>
    <row r="828" spans="1:40" ht="26.25" customHeight="1">
      <c r="A828" s="177"/>
      <c r="B828" s="178"/>
      <c r="C828" s="179"/>
      <c r="D828" s="180"/>
      <c r="E828" s="180"/>
      <c r="F828" s="180"/>
      <c r="G828" s="180"/>
      <c r="H828" s="180"/>
      <c r="I828" s="181"/>
      <c r="J828" s="180"/>
      <c r="K828" s="180"/>
      <c r="L828" s="180"/>
      <c r="M828" s="180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1"/>
      <c r="Y828" s="180"/>
      <c r="Z828" s="183"/>
      <c r="AA828" s="183"/>
      <c r="AB828" s="180"/>
      <c r="AC828" s="183"/>
      <c r="AD828" s="183"/>
      <c r="AE828" s="180"/>
      <c r="AF828" s="184"/>
      <c r="AG828" s="185"/>
      <c r="AH828" s="186"/>
      <c r="AI828" s="187"/>
      <c r="AJ828" s="187"/>
      <c r="AK828" s="188"/>
      <c r="AL828" s="189"/>
      <c r="AM828" s="188"/>
      <c r="AN828" s="181"/>
    </row>
    <row r="829" spans="1:40" ht="26.25" customHeight="1">
      <c r="A829" s="177"/>
      <c r="B829" s="178"/>
      <c r="C829" s="179"/>
      <c r="D829" s="180"/>
      <c r="E829" s="180"/>
      <c r="F829" s="180"/>
      <c r="G829" s="180"/>
      <c r="H829" s="180"/>
      <c r="I829" s="181"/>
      <c r="J829" s="180"/>
      <c r="K829" s="180"/>
      <c r="L829" s="180"/>
      <c r="M829" s="180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1"/>
      <c r="Y829" s="180"/>
      <c r="Z829" s="183"/>
      <c r="AA829" s="183"/>
      <c r="AB829" s="180"/>
      <c r="AC829" s="183"/>
      <c r="AD829" s="183"/>
      <c r="AE829" s="180"/>
      <c r="AF829" s="184"/>
      <c r="AG829" s="185"/>
      <c r="AH829" s="186"/>
      <c r="AI829" s="187"/>
      <c r="AJ829" s="187"/>
      <c r="AK829" s="188"/>
      <c r="AL829" s="189"/>
      <c r="AM829" s="188"/>
      <c r="AN829" s="181"/>
    </row>
    <row r="830" spans="1:40" ht="26.25" customHeight="1">
      <c r="A830" s="177"/>
      <c r="B830" s="178"/>
      <c r="C830" s="179"/>
      <c r="D830" s="180"/>
      <c r="E830" s="180"/>
      <c r="F830" s="180"/>
      <c r="G830" s="180"/>
      <c r="H830" s="180"/>
      <c r="I830" s="181"/>
      <c r="J830" s="180"/>
      <c r="K830" s="180"/>
      <c r="L830" s="180"/>
      <c r="M830" s="180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1"/>
      <c r="Y830" s="180"/>
      <c r="Z830" s="183"/>
      <c r="AA830" s="183"/>
      <c r="AB830" s="180"/>
      <c r="AC830" s="183"/>
      <c r="AD830" s="183"/>
      <c r="AE830" s="180"/>
      <c r="AF830" s="184"/>
      <c r="AG830" s="185"/>
      <c r="AH830" s="186"/>
      <c r="AI830" s="187"/>
      <c r="AJ830" s="187"/>
      <c r="AK830" s="188"/>
      <c r="AL830" s="189"/>
      <c r="AM830" s="188"/>
      <c r="AN830" s="181"/>
    </row>
    <row r="831" spans="1:40" ht="26.25" customHeight="1">
      <c r="A831" s="177"/>
      <c r="B831" s="178"/>
      <c r="C831" s="179"/>
      <c r="D831" s="180"/>
      <c r="E831" s="180"/>
      <c r="F831" s="180"/>
      <c r="G831" s="180"/>
      <c r="H831" s="180"/>
      <c r="I831" s="181"/>
      <c r="J831" s="180"/>
      <c r="K831" s="180"/>
      <c r="L831" s="180"/>
      <c r="M831" s="180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1"/>
      <c r="Y831" s="180"/>
      <c r="Z831" s="183"/>
      <c r="AA831" s="183"/>
      <c r="AB831" s="180"/>
      <c r="AC831" s="183"/>
      <c r="AD831" s="183"/>
      <c r="AE831" s="180"/>
      <c r="AF831" s="184"/>
      <c r="AG831" s="185"/>
      <c r="AH831" s="186"/>
      <c r="AI831" s="187"/>
      <c r="AJ831" s="187"/>
      <c r="AK831" s="188"/>
      <c r="AL831" s="189"/>
      <c r="AM831" s="188"/>
      <c r="AN831" s="181"/>
    </row>
    <row r="832" spans="1:40" ht="26.25" customHeight="1">
      <c r="A832" s="177"/>
      <c r="B832" s="178"/>
      <c r="C832" s="179"/>
      <c r="D832" s="180"/>
      <c r="E832" s="180"/>
      <c r="F832" s="180"/>
      <c r="G832" s="180"/>
      <c r="H832" s="180"/>
      <c r="I832" s="181"/>
      <c r="J832" s="180"/>
      <c r="K832" s="180"/>
      <c r="L832" s="180"/>
      <c r="M832" s="180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1"/>
      <c r="Y832" s="180"/>
      <c r="Z832" s="183"/>
      <c r="AA832" s="183"/>
      <c r="AB832" s="180"/>
      <c r="AC832" s="183"/>
      <c r="AD832" s="183"/>
      <c r="AE832" s="180"/>
      <c r="AF832" s="184"/>
      <c r="AG832" s="185"/>
      <c r="AH832" s="186"/>
      <c r="AI832" s="187"/>
      <c r="AJ832" s="187"/>
      <c r="AK832" s="188"/>
      <c r="AL832" s="189"/>
      <c r="AM832" s="188"/>
      <c r="AN832" s="181"/>
    </row>
    <row r="833" spans="1:40" ht="26.25" customHeight="1">
      <c r="A833" s="177"/>
      <c r="B833" s="178"/>
      <c r="C833" s="179"/>
      <c r="D833" s="180"/>
      <c r="E833" s="180"/>
      <c r="F833" s="180"/>
      <c r="G833" s="180"/>
      <c r="H833" s="180"/>
      <c r="I833" s="181"/>
      <c r="J833" s="180"/>
      <c r="K833" s="180"/>
      <c r="L833" s="180"/>
      <c r="M833" s="180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1"/>
      <c r="Y833" s="180"/>
      <c r="Z833" s="183"/>
      <c r="AA833" s="183"/>
      <c r="AB833" s="180"/>
      <c r="AC833" s="183"/>
      <c r="AD833" s="183"/>
      <c r="AE833" s="180"/>
      <c r="AF833" s="184"/>
      <c r="AG833" s="185"/>
      <c r="AH833" s="186"/>
      <c r="AI833" s="187"/>
      <c r="AJ833" s="187"/>
      <c r="AK833" s="188"/>
      <c r="AL833" s="189"/>
      <c r="AM833" s="188"/>
      <c r="AN833" s="181"/>
    </row>
    <row r="834" spans="1:40" ht="26.25" customHeight="1">
      <c r="A834" s="177"/>
      <c r="B834" s="178"/>
      <c r="C834" s="179"/>
      <c r="D834" s="180"/>
      <c r="E834" s="180"/>
      <c r="F834" s="180"/>
      <c r="G834" s="180"/>
      <c r="H834" s="180"/>
      <c r="I834" s="181"/>
      <c r="J834" s="180"/>
      <c r="K834" s="180"/>
      <c r="L834" s="180"/>
      <c r="M834" s="180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1"/>
      <c r="Y834" s="180"/>
      <c r="Z834" s="183"/>
      <c r="AA834" s="183"/>
      <c r="AB834" s="180"/>
      <c r="AC834" s="183"/>
      <c r="AD834" s="183"/>
      <c r="AE834" s="180"/>
      <c r="AF834" s="184"/>
      <c r="AG834" s="185"/>
      <c r="AH834" s="186"/>
      <c r="AI834" s="187"/>
      <c r="AJ834" s="187"/>
      <c r="AK834" s="188"/>
      <c r="AL834" s="189"/>
      <c r="AM834" s="188"/>
      <c r="AN834" s="181"/>
    </row>
    <row r="835" spans="1:40" ht="26.25" customHeight="1">
      <c r="A835" s="177"/>
      <c r="B835" s="178"/>
      <c r="C835" s="179"/>
      <c r="D835" s="180"/>
      <c r="E835" s="180"/>
      <c r="F835" s="180"/>
      <c r="G835" s="180"/>
      <c r="H835" s="180"/>
      <c r="I835" s="181"/>
      <c r="J835" s="180"/>
      <c r="K835" s="180"/>
      <c r="L835" s="180"/>
      <c r="M835" s="180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1"/>
      <c r="Y835" s="180"/>
      <c r="Z835" s="183"/>
      <c r="AA835" s="183"/>
      <c r="AB835" s="180"/>
      <c r="AC835" s="183"/>
      <c r="AD835" s="183"/>
      <c r="AE835" s="180"/>
      <c r="AF835" s="184"/>
      <c r="AG835" s="185"/>
      <c r="AH835" s="186"/>
      <c r="AI835" s="187"/>
      <c r="AJ835" s="187"/>
      <c r="AK835" s="188"/>
      <c r="AL835" s="189"/>
      <c r="AM835" s="188"/>
      <c r="AN835" s="181"/>
    </row>
    <row r="836" spans="1:40" ht="26.25" customHeight="1">
      <c r="A836" s="177"/>
      <c r="B836" s="178"/>
      <c r="C836" s="179"/>
      <c r="D836" s="180"/>
      <c r="E836" s="180"/>
      <c r="F836" s="180"/>
      <c r="G836" s="180"/>
      <c r="H836" s="180"/>
      <c r="I836" s="181"/>
      <c r="J836" s="180"/>
      <c r="K836" s="180"/>
      <c r="L836" s="180"/>
      <c r="M836" s="180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1"/>
      <c r="Y836" s="180"/>
      <c r="Z836" s="183"/>
      <c r="AA836" s="183"/>
      <c r="AB836" s="180"/>
      <c r="AC836" s="183"/>
      <c r="AD836" s="183"/>
      <c r="AE836" s="180"/>
      <c r="AF836" s="184"/>
      <c r="AG836" s="185"/>
      <c r="AH836" s="186"/>
      <c r="AI836" s="187"/>
      <c r="AJ836" s="187"/>
      <c r="AK836" s="188"/>
      <c r="AL836" s="189"/>
      <c r="AM836" s="188"/>
      <c r="AN836" s="181"/>
    </row>
    <row r="837" spans="1:40" ht="26.25" customHeight="1">
      <c r="A837" s="177"/>
      <c r="B837" s="178"/>
      <c r="C837" s="179"/>
      <c r="D837" s="180"/>
      <c r="E837" s="180"/>
      <c r="F837" s="180"/>
      <c r="G837" s="180"/>
      <c r="H837" s="180"/>
      <c r="I837" s="181"/>
      <c r="J837" s="180"/>
      <c r="K837" s="180"/>
      <c r="L837" s="180"/>
      <c r="M837" s="180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1"/>
      <c r="Y837" s="180"/>
      <c r="Z837" s="183"/>
      <c r="AA837" s="183"/>
      <c r="AB837" s="180"/>
      <c r="AC837" s="183"/>
      <c r="AD837" s="183"/>
      <c r="AE837" s="180"/>
      <c r="AF837" s="184"/>
      <c r="AG837" s="185"/>
      <c r="AH837" s="186"/>
      <c r="AI837" s="187"/>
      <c r="AJ837" s="187"/>
      <c r="AK837" s="188"/>
      <c r="AL837" s="189"/>
      <c r="AM837" s="188"/>
      <c r="AN837" s="181"/>
    </row>
    <row r="838" spans="1:40" ht="26.25" customHeight="1">
      <c r="A838" s="177"/>
      <c r="B838" s="178"/>
      <c r="C838" s="179"/>
      <c r="D838" s="180"/>
      <c r="E838" s="180"/>
      <c r="F838" s="180"/>
      <c r="G838" s="180"/>
      <c r="H838" s="180"/>
      <c r="I838" s="181"/>
      <c r="J838" s="180"/>
      <c r="K838" s="180"/>
      <c r="L838" s="180"/>
      <c r="M838" s="180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1"/>
      <c r="Y838" s="180"/>
      <c r="Z838" s="183"/>
      <c r="AA838" s="183"/>
      <c r="AB838" s="180"/>
      <c r="AC838" s="183"/>
      <c r="AD838" s="183"/>
      <c r="AE838" s="180"/>
      <c r="AF838" s="184"/>
      <c r="AG838" s="185"/>
      <c r="AH838" s="186"/>
      <c r="AI838" s="187"/>
      <c r="AJ838" s="187"/>
      <c r="AK838" s="188"/>
      <c r="AL838" s="189"/>
      <c r="AM838" s="188"/>
      <c r="AN838" s="181"/>
    </row>
    <row r="839" spans="1:40" ht="26.25" customHeight="1">
      <c r="A839" s="177"/>
      <c r="B839" s="178"/>
      <c r="C839" s="179"/>
      <c r="D839" s="180"/>
      <c r="E839" s="180"/>
      <c r="F839" s="180"/>
      <c r="G839" s="180"/>
      <c r="H839" s="180"/>
      <c r="I839" s="181"/>
      <c r="J839" s="180"/>
      <c r="K839" s="180"/>
      <c r="L839" s="180"/>
      <c r="M839" s="180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1"/>
      <c r="Y839" s="180"/>
      <c r="Z839" s="183"/>
      <c r="AA839" s="183"/>
      <c r="AB839" s="180"/>
      <c r="AC839" s="183"/>
      <c r="AD839" s="183"/>
      <c r="AE839" s="180"/>
      <c r="AF839" s="184"/>
      <c r="AG839" s="185"/>
      <c r="AH839" s="186"/>
      <c r="AI839" s="187"/>
      <c r="AJ839" s="187"/>
      <c r="AK839" s="188"/>
      <c r="AL839" s="189"/>
      <c r="AM839" s="188"/>
      <c r="AN839" s="181"/>
    </row>
    <row r="840" spans="1:40" ht="26.25" customHeight="1">
      <c r="A840" s="177"/>
      <c r="B840" s="178"/>
      <c r="C840" s="179"/>
      <c r="D840" s="180"/>
      <c r="E840" s="180"/>
      <c r="F840" s="180"/>
      <c r="G840" s="180"/>
      <c r="H840" s="180"/>
      <c r="I840" s="181"/>
      <c r="J840" s="180"/>
      <c r="K840" s="180"/>
      <c r="L840" s="180"/>
      <c r="M840" s="180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1"/>
      <c r="Y840" s="180"/>
      <c r="Z840" s="183"/>
      <c r="AA840" s="183"/>
      <c r="AB840" s="180"/>
      <c r="AC840" s="183"/>
      <c r="AD840" s="183"/>
      <c r="AE840" s="180"/>
      <c r="AF840" s="184"/>
      <c r="AG840" s="185"/>
      <c r="AH840" s="186"/>
      <c r="AI840" s="187"/>
      <c r="AJ840" s="187"/>
      <c r="AK840" s="188"/>
      <c r="AL840" s="189"/>
      <c r="AM840" s="188"/>
      <c r="AN840" s="181"/>
    </row>
    <row r="841" spans="1:40" ht="26.25" customHeight="1">
      <c r="A841" s="177"/>
      <c r="B841" s="178"/>
      <c r="C841" s="179"/>
      <c r="D841" s="180"/>
      <c r="E841" s="180"/>
      <c r="F841" s="180"/>
      <c r="G841" s="180"/>
      <c r="H841" s="180"/>
      <c r="I841" s="181"/>
      <c r="J841" s="180"/>
      <c r="K841" s="180"/>
      <c r="L841" s="180"/>
      <c r="M841" s="180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1"/>
      <c r="Y841" s="180"/>
      <c r="Z841" s="183"/>
      <c r="AA841" s="183"/>
      <c r="AB841" s="180"/>
      <c r="AC841" s="183"/>
      <c r="AD841" s="183"/>
      <c r="AE841" s="180"/>
      <c r="AF841" s="184"/>
      <c r="AG841" s="185"/>
      <c r="AH841" s="186"/>
      <c r="AI841" s="187"/>
      <c r="AJ841" s="187"/>
      <c r="AK841" s="188"/>
      <c r="AL841" s="189"/>
      <c r="AM841" s="188"/>
      <c r="AN841" s="181"/>
    </row>
    <row r="842" spans="1:40" ht="26.25" customHeight="1">
      <c r="A842" s="177"/>
      <c r="B842" s="178"/>
      <c r="C842" s="179"/>
      <c r="D842" s="180"/>
      <c r="E842" s="180"/>
      <c r="F842" s="180"/>
      <c r="G842" s="180"/>
      <c r="H842" s="180"/>
      <c r="I842" s="181"/>
      <c r="J842" s="180"/>
      <c r="K842" s="180"/>
      <c r="L842" s="180"/>
      <c r="M842" s="180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1"/>
      <c r="Y842" s="180"/>
      <c r="Z842" s="183"/>
      <c r="AA842" s="183"/>
      <c r="AB842" s="180"/>
      <c r="AC842" s="183"/>
      <c r="AD842" s="183"/>
      <c r="AE842" s="180"/>
      <c r="AF842" s="184"/>
      <c r="AG842" s="185"/>
      <c r="AH842" s="186"/>
      <c r="AI842" s="187"/>
      <c r="AJ842" s="187"/>
      <c r="AK842" s="188"/>
      <c r="AL842" s="189"/>
      <c r="AM842" s="188"/>
      <c r="AN842" s="181"/>
    </row>
    <row r="843" spans="1:40" ht="26.25" customHeight="1">
      <c r="A843" s="177"/>
      <c r="B843" s="178"/>
      <c r="C843" s="179"/>
      <c r="D843" s="180"/>
      <c r="E843" s="180"/>
      <c r="F843" s="180"/>
      <c r="G843" s="180"/>
      <c r="H843" s="180"/>
      <c r="I843" s="181"/>
      <c r="J843" s="180"/>
      <c r="K843" s="180"/>
      <c r="L843" s="180"/>
      <c r="M843" s="180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1"/>
      <c r="Y843" s="180"/>
      <c r="Z843" s="183"/>
      <c r="AA843" s="183"/>
      <c r="AB843" s="180"/>
      <c r="AC843" s="183"/>
      <c r="AD843" s="183"/>
      <c r="AE843" s="180"/>
      <c r="AF843" s="184"/>
      <c r="AG843" s="185"/>
      <c r="AH843" s="186"/>
      <c r="AI843" s="187"/>
      <c r="AJ843" s="187"/>
      <c r="AK843" s="188"/>
      <c r="AL843" s="189"/>
      <c r="AM843" s="188"/>
      <c r="AN843" s="181"/>
    </row>
    <row r="844" spans="1:40" ht="26.25" customHeight="1">
      <c r="A844" s="177"/>
      <c r="B844" s="178"/>
      <c r="C844" s="179"/>
      <c r="D844" s="180"/>
      <c r="E844" s="180"/>
      <c r="F844" s="180"/>
      <c r="G844" s="180"/>
      <c r="H844" s="180"/>
      <c r="I844" s="181"/>
      <c r="J844" s="180"/>
      <c r="K844" s="180"/>
      <c r="L844" s="180"/>
      <c r="M844" s="180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1"/>
      <c r="Y844" s="180"/>
      <c r="Z844" s="183"/>
      <c r="AA844" s="183"/>
      <c r="AB844" s="180"/>
      <c r="AC844" s="183"/>
      <c r="AD844" s="183"/>
      <c r="AE844" s="180"/>
      <c r="AF844" s="184"/>
      <c r="AG844" s="185"/>
      <c r="AH844" s="186"/>
      <c r="AI844" s="187"/>
      <c r="AJ844" s="187"/>
      <c r="AK844" s="188"/>
      <c r="AL844" s="189"/>
      <c r="AM844" s="188"/>
      <c r="AN844" s="181"/>
    </row>
    <row r="845" spans="1:40" ht="26.25" customHeight="1">
      <c r="A845" s="177"/>
      <c r="B845" s="178"/>
      <c r="C845" s="179"/>
      <c r="D845" s="180"/>
      <c r="E845" s="180"/>
      <c r="F845" s="180"/>
      <c r="G845" s="180"/>
      <c r="H845" s="180"/>
      <c r="I845" s="181"/>
      <c r="J845" s="180"/>
      <c r="K845" s="180"/>
      <c r="L845" s="180"/>
      <c r="M845" s="180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1"/>
      <c r="Y845" s="180"/>
      <c r="Z845" s="183"/>
      <c r="AA845" s="183"/>
      <c r="AB845" s="180"/>
      <c r="AC845" s="183"/>
      <c r="AD845" s="183"/>
      <c r="AE845" s="180"/>
      <c r="AF845" s="184"/>
      <c r="AG845" s="185"/>
      <c r="AH845" s="186"/>
      <c r="AI845" s="187"/>
      <c r="AJ845" s="187"/>
      <c r="AK845" s="188"/>
      <c r="AL845" s="189"/>
      <c r="AM845" s="188"/>
      <c r="AN845" s="181"/>
    </row>
    <row r="846" spans="1:40" ht="26.25" customHeight="1">
      <c r="A846" s="177"/>
      <c r="B846" s="178"/>
      <c r="C846" s="179"/>
      <c r="D846" s="180"/>
      <c r="E846" s="180"/>
      <c r="F846" s="180"/>
      <c r="G846" s="180"/>
      <c r="H846" s="180"/>
      <c r="I846" s="181"/>
      <c r="J846" s="180"/>
      <c r="K846" s="180"/>
      <c r="L846" s="180"/>
      <c r="M846" s="180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1"/>
      <c r="Y846" s="180"/>
      <c r="Z846" s="183"/>
      <c r="AA846" s="183"/>
      <c r="AB846" s="180"/>
      <c r="AC846" s="183"/>
      <c r="AD846" s="183"/>
      <c r="AE846" s="180"/>
      <c r="AF846" s="184"/>
      <c r="AG846" s="185"/>
      <c r="AH846" s="186"/>
      <c r="AI846" s="187"/>
      <c r="AJ846" s="187"/>
      <c r="AK846" s="188"/>
      <c r="AL846" s="189"/>
      <c r="AM846" s="188"/>
      <c r="AN846" s="181"/>
    </row>
    <row r="847" spans="1:40" ht="26.25" customHeight="1">
      <c r="A847" s="177"/>
      <c r="B847" s="178"/>
      <c r="C847" s="179"/>
      <c r="D847" s="180"/>
      <c r="E847" s="180"/>
      <c r="F847" s="180"/>
      <c r="G847" s="180"/>
      <c r="H847" s="180"/>
      <c r="I847" s="181"/>
      <c r="J847" s="180"/>
      <c r="K847" s="180"/>
      <c r="L847" s="180"/>
      <c r="M847" s="180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1"/>
      <c r="Y847" s="180"/>
      <c r="Z847" s="183"/>
      <c r="AA847" s="183"/>
      <c r="AB847" s="180"/>
      <c r="AC847" s="183"/>
      <c r="AD847" s="183"/>
      <c r="AE847" s="180"/>
      <c r="AF847" s="184"/>
      <c r="AG847" s="185"/>
      <c r="AH847" s="186"/>
      <c r="AI847" s="187"/>
      <c r="AJ847" s="187"/>
      <c r="AK847" s="188"/>
      <c r="AL847" s="189"/>
      <c r="AM847" s="188"/>
      <c r="AN847" s="181"/>
    </row>
    <row r="848" spans="1:40" ht="26.25" customHeight="1">
      <c r="A848" s="177"/>
      <c r="B848" s="178"/>
      <c r="C848" s="179"/>
      <c r="D848" s="180"/>
      <c r="E848" s="180"/>
      <c r="F848" s="180"/>
      <c r="G848" s="180"/>
      <c r="H848" s="180"/>
      <c r="I848" s="181"/>
      <c r="J848" s="180"/>
      <c r="K848" s="180"/>
      <c r="L848" s="180"/>
      <c r="M848" s="180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1"/>
      <c r="Y848" s="180"/>
      <c r="Z848" s="183"/>
      <c r="AA848" s="183"/>
      <c r="AB848" s="180"/>
      <c r="AC848" s="183"/>
      <c r="AD848" s="183"/>
      <c r="AE848" s="180"/>
      <c r="AF848" s="184"/>
      <c r="AG848" s="185"/>
      <c r="AH848" s="186"/>
      <c r="AI848" s="187"/>
      <c r="AJ848" s="187"/>
      <c r="AK848" s="188"/>
      <c r="AL848" s="189"/>
      <c r="AM848" s="188"/>
      <c r="AN848" s="181"/>
    </row>
    <row r="849" spans="1:40" ht="26.25" customHeight="1">
      <c r="A849" s="177"/>
      <c r="B849" s="178"/>
      <c r="C849" s="179"/>
      <c r="D849" s="180"/>
      <c r="E849" s="180"/>
      <c r="F849" s="180"/>
      <c r="G849" s="180"/>
      <c r="H849" s="180"/>
      <c r="I849" s="181"/>
      <c r="J849" s="180"/>
      <c r="K849" s="180"/>
      <c r="L849" s="180"/>
      <c r="M849" s="180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1"/>
      <c r="Y849" s="180"/>
      <c r="Z849" s="183"/>
      <c r="AA849" s="183"/>
      <c r="AB849" s="180"/>
      <c r="AC849" s="183"/>
      <c r="AD849" s="183"/>
      <c r="AE849" s="180"/>
      <c r="AF849" s="184"/>
      <c r="AG849" s="185"/>
      <c r="AH849" s="186"/>
      <c r="AI849" s="187"/>
      <c r="AJ849" s="187"/>
      <c r="AK849" s="188"/>
      <c r="AL849" s="189"/>
      <c r="AM849" s="188"/>
      <c r="AN849" s="181"/>
    </row>
    <row r="850" spans="1:40" ht="26.25" customHeight="1">
      <c r="A850" s="177"/>
      <c r="B850" s="178"/>
      <c r="C850" s="179"/>
      <c r="D850" s="180"/>
      <c r="E850" s="180"/>
      <c r="F850" s="180"/>
      <c r="G850" s="180"/>
      <c r="H850" s="180"/>
      <c r="I850" s="181"/>
      <c r="J850" s="180"/>
      <c r="K850" s="180"/>
      <c r="L850" s="180"/>
      <c r="M850" s="180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1"/>
      <c r="Y850" s="180"/>
      <c r="Z850" s="183"/>
      <c r="AA850" s="183"/>
      <c r="AB850" s="180"/>
      <c r="AC850" s="183"/>
      <c r="AD850" s="183"/>
      <c r="AE850" s="180"/>
      <c r="AF850" s="184"/>
      <c r="AG850" s="185"/>
      <c r="AH850" s="186"/>
      <c r="AI850" s="187"/>
      <c r="AJ850" s="187"/>
      <c r="AK850" s="188"/>
      <c r="AL850" s="189"/>
      <c r="AM850" s="188"/>
      <c r="AN850" s="181"/>
    </row>
    <row r="851" spans="1:40" ht="26.25" customHeight="1">
      <c r="A851" s="177"/>
      <c r="B851" s="178"/>
      <c r="C851" s="179"/>
      <c r="D851" s="180"/>
      <c r="E851" s="180"/>
      <c r="F851" s="180"/>
      <c r="G851" s="180"/>
      <c r="H851" s="180"/>
      <c r="I851" s="181"/>
      <c r="J851" s="180"/>
      <c r="K851" s="180"/>
      <c r="L851" s="180"/>
      <c r="M851" s="180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1"/>
      <c r="Y851" s="180"/>
      <c r="Z851" s="183"/>
      <c r="AA851" s="183"/>
      <c r="AB851" s="180"/>
      <c r="AC851" s="183"/>
      <c r="AD851" s="183"/>
      <c r="AE851" s="180"/>
      <c r="AF851" s="184"/>
      <c r="AG851" s="185"/>
      <c r="AH851" s="186"/>
      <c r="AI851" s="187"/>
      <c r="AJ851" s="187"/>
      <c r="AK851" s="188"/>
      <c r="AL851" s="189"/>
      <c r="AM851" s="188"/>
      <c r="AN851" s="181"/>
    </row>
    <row r="852" spans="1:40" ht="26.25" customHeight="1">
      <c r="A852" s="177"/>
      <c r="B852" s="178"/>
      <c r="C852" s="179"/>
      <c r="D852" s="180"/>
      <c r="E852" s="180"/>
      <c r="F852" s="180"/>
      <c r="G852" s="180"/>
      <c r="H852" s="180"/>
      <c r="I852" s="181"/>
      <c r="J852" s="180"/>
      <c r="K852" s="180"/>
      <c r="L852" s="180"/>
      <c r="M852" s="180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1"/>
      <c r="Y852" s="180"/>
      <c r="Z852" s="183"/>
      <c r="AA852" s="183"/>
      <c r="AB852" s="180"/>
      <c r="AC852" s="183"/>
      <c r="AD852" s="183"/>
      <c r="AE852" s="180"/>
      <c r="AF852" s="184"/>
      <c r="AG852" s="185"/>
      <c r="AH852" s="186"/>
      <c r="AI852" s="187"/>
      <c r="AJ852" s="187"/>
      <c r="AK852" s="188"/>
      <c r="AL852" s="189"/>
      <c r="AM852" s="188"/>
      <c r="AN852" s="181"/>
    </row>
    <row r="853" spans="1:40" ht="26.25" customHeight="1">
      <c r="A853" s="177"/>
      <c r="B853" s="178"/>
      <c r="C853" s="179"/>
      <c r="D853" s="180"/>
      <c r="E853" s="180"/>
      <c r="F853" s="180"/>
      <c r="G853" s="180"/>
      <c r="H853" s="180"/>
      <c r="I853" s="181"/>
      <c r="J853" s="180"/>
      <c r="K853" s="180"/>
      <c r="L853" s="180"/>
      <c r="M853" s="180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1"/>
      <c r="Y853" s="180"/>
      <c r="Z853" s="183"/>
      <c r="AA853" s="183"/>
      <c r="AB853" s="180"/>
      <c r="AC853" s="183"/>
      <c r="AD853" s="183"/>
      <c r="AE853" s="180"/>
      <c r="AF853" s="184"/>
      <c r="AG853" s="185"/>
      <c r="AH853" s="186"/>
      <c r="AI853" s="187"/>
      <c r="AJ853" s="187"/>
      <c r="AK853" s="188"/>
      <c r="AL853" s="189"/>
      <c r="AM853" s="188"/>
      <c r="AN853" s="181"/>
    </row>
    <row r="854" spans="1:40" ht="26.25" customHeight="1">
      <c r="A854" s="177"/>
      <c r="B854" s="178"/>
      <c r="C854" s="179"/>
      <c r="D854" s="180"/>
      <c r="E854" s="180"/>
      <c r="F854" s="180"/>
      <c r="G854" s="180"/>
      <c r="H854" s="180"/>
      <c r="I854" s="181"/>
      <c r="J854" s="180"/>
      <c r="K854" s="180"/>
      <c r="L854" s="180"/>
      <c r="M854" s="180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1"/>
      <c r="Y854" s="180"/>
      <c r="Z854" s="183"/>
      <c r="AA854" s="183"/>
      <c r="AB854" s="180"/>
      <c r="AC854" s="183"/>
      <c r="AD854" s="183"/>
      <c r="AE854" s="180"/>
      <c r="AF854" s="184"/>
      <c r="AG854" s="185"/>
      <c r="AH854" s="186"/>
      <c r="AI854" s="187"/>
      <c r="AJ854" s="187"/>
      <c r="AK854" s="188"/>
      <c r="AL854" s="189"/>
      <c r="AM854" s="188"/>
      <c r="AN854" s="181"/>
    </row>
    <row r="855" spans="1:40" ht="26.25" customHeight="1">
      <c r="A855" s="177"/>
      <c r="B855" s="178"/>
      <c r="C855" s="179"/>
      <c r="D855" s="180"/>
      <c r="E855" s="180"/>
      <c r="F855" s="180"/>
      <c r="G855" s="180"/>
      <c r="H855" s="180"/>
      <c r="I855" s="181"/>
      <c r="J855" s="180"/>
      <c r="K855" s="180"/>
      <c r="L855" s="180"/>
      <c r="M855" s="180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1"/>
      <c r="Y855" s="180"/>
      <c r="Z855" s="183"/>
      <c r="AA855" s="183"/>
      <c r="AB855" s="180"/>
      <c r="AC855" s="183"/>
      <c r="AD855" s="183"/>
      <c r="AE855" s="180"/>
      <c r="AF855" s="184"/>
      <c r="AG855" s="185"/>
      <c r="AH855" s="186"/>
      <c r="AI855" s="187"/>
      <c r="AJ855" s="187"/>
      <c r="AK855" s="188"/>
      <c r="AL855" s="189"/>
      <c r="AM855" s="188"/>
      <c r="AN855" s="181"/>
    </row>
    <row r="856" spans="1:40" ht="26.25" customHeight="1">
      <c r="A856" s="177"/>
      <c r="B856" s="178"/>
      <c r="C856" s="179"/>
      <c r="D856" s="180"/>
      <c r="E856" s="180"/>
      <c r="F856" s="180"/>
      <c r="G856" s="180"/>
      <c r="H856" s="180"/>
      <c r="I856" s="181"/>
      <c r="J856" s="180"/>
      <c r="K856" s="180"/>
      <c r="L856" s="180"/>
      <c r="M856" s="180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1"/>
      <c r="Y856" s="180"/>
      <c r="Z856" s="183"/>
      <c r="AA856" s="183"/>
      <c r="AB856" s="180"/>
      <c r="AC856" s="183"/>
      <c r="AD856" s="183"/>
      <c r="AE856" s="180"/>
      <c r="AF856" s="184"/>
      <c r="AG856" s="185"/>
      <c r="AH856" s="186"/>
      <c r="AI856" s="187"/>
      <c r="AJ856" s="187"/>
      <c r="AK856" s="188"/>
      <c r="AL856" s="189"/>
      <c r="AM856" s="188"/>
      <c r="AN856" s="181"/>
    </row>
    <row r="857" spans="1:40" ht="26.25" customHeight="1">
      <c r="A857" s="177"/>
      <c r="B857" s="178"/>
      <c r="C857" s="179"/>
      <c r="D857" s="180"/>
      <c r="E857" s="180"/>
      <c r="F857" s="180"/>
      <c r="G857" s="180"/>
      <c r="H857" s="180"/>
      <c r="I857" s="181"/>
      <c r="J857" s="180"/>
      <c r="K857" s="180"/>
      <c r="L857" s="180"/>
      <c r="M857" s="180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1"/>
      <c r="Y857" s="180"/>
      <c r="Z857" s="183"/>
      <c r="AA857" s="183"/>
      <c r="AB857" s="180"/>
      <c r="AC857" s="183"/>
      <c r="AD857" s="183"/>
      <c r="AE857" s="180"/>
      <c r="AF857" s="184"/>
      <c r="AG857" s="185"/>
      <c r="AH857" s="186"/>
      <c r="AI857" s="187"/>
      <c r="AJ857" s="187"/>
      <c r="AK857" s="188"/>
      <c r="AL857" s="189"/>
      <c r="AM857" s="188"/>
      <c r="AN857" s="181"/>
    </row>
    <row r="858" spans="1:40" ht="26.25" customHeight="1">
      <c r="A858" s="177"/>
      <c r="B858" s="178"/>
      <c r="C858" s="179"/>
      <c r="D858" s="180"/>
      <c r="E858" s="180"/>
      <c r="F858" s="180"/>
      <c r="G858" s="180"/>
      <c r="H858" s="180"/>
      <c r="I858" s="181"/>
      <c r="J858" s="180"/>
      <c r="K858" s="180"/>
      <c r="L858" s="180"/>
      <c r="M858" s="180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1"/>
      <c r="Y858" s="180"/>
      <c r="Z858" s="183"/>
      <c r="AA858" s="183"/>
      <c r="AB858" s="180"/>
      <c r="AC858" s="183"/>
      <c r="AD858" s="183"/>
      <c r="AE858" s="180"/>
      <c r="AF858" s="184"/>
      <c r="AG858" s="185"/>
      <c r="AH858" s="186"/>
      <c r="AI858" s="187"/>
      <c r="AJ858" s="187"/>
      <c r="AK858" s="188"/>
      <c r="AL858" s="189"/>
      <c r="AM858" s="188"/>
      <c r="AN858" s="181"/>
    </row>
    <row r="859" spans="1:40" ht="26.25" customHeight="1">
      <c r="A859" s="177"/>
      <c r="B859" s="178"/>
      <c r="C859" s="179"/>
      <c r="D859" s="180"/>
      <c r="E859" s="180"/>
      <c r="F859" s="180"/>
      <c r="G859" s="180"/>
      <c r="H859" s="180"/>
      <c r="I859" s="181"/>
      <c r="J859" s="180"/>
      <c r="K859" s="180"/>
      <c r="L859" s="180"/>
      <c r="M859" s="180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1"/>
      <c r="Y859" s="180"/>
      <c r="Z859" s="183"/>
      <c r="AA859" s="183"/>
      <c r="AB859" s="180"/>
      <c r="AC859" s="183"/>
      <c r="AD859" s="183"/>
      <c r="AE859" s="180"/>
      <c r="AF859" s="184"/>
      <c r="AG859" s="185"/>
      <c r="AH859" s="186"/>
      <c r="AI859" s="187"/>
      <c r="AJ859" s="187"/>
      <c r="AK859" s="188"/>
      <c r="AL859" s="189"/>
      <c r="AM859" s="188"/>
      <c r="AN859" s="181"/>
    </row>
    <row r="860" spans="1:40" ht="26.25" customHeight="1">
      <c r="A860" s="177"/>
      <c r="B860" s="178"/>
      <c r="C860" s="179"/>
      <c r="D860" s="180"/>
      <c r="E860" s="180"/>
      <c r="F860" s="180"/>
      <c r="G860" s="180"/>
      <c r="H860" s="180"/>
      <c r="I860" s="181"/>
      <c r="J860" s="180"/>
      <c r="K860" s="180"/>
      <c r="L860" s="180"/>
      <c r="M860" s="180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1"/>
      <c r="Y860" s="180"/>
      <c r="Z860" s="183"/>
      <c r="AA860" s="183"/>
      <c r="AB860" s="180"/>
      <c r="AC860" s="183"/>
      <c r="AD860" s="183"/>
      <c r="AE860" s="180"/>
      <c r="AF860" s="184"/>
      <c r="AG860" s="185"/>
      <c r="AH860" s="186"/>
      <c r="AI860" s="187"/>
      <c r="AJ860" s="187"/>
      <c r="AK860" s="188"/>
      <c r="AL860" s="189"/>
      <c r="AM860" s="188"/>
      <c r="AN860" s="181"/>
    </row>
    <row r="861" spans="1:40" ht="26.25" customHeight="1">
      <c r="A861" s="177"/>
      <c r="B861" s="178"/>
      <c r="C861" s="179"/>
      <c r="D861" s="180"/>
      <c r="E861" s="180"/>
      <c r="F861" s="180"/>
      <c r="G861" s="180"/>
      <c r="H861" s="180"/>
      <c r="I861" s="181"/>
      <c r="J861" s="180"/>
      <c r="K861" s="180"/>
      <c r="L861" s="180"/>
      <c r="M861" s="180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1"/>
      <c r="Y861" s="180"/>
      <c r="Z861" s="183"/>
      <c r="AA861" s="183"/>
      <c r="AB861" s="180"/>
      <c r="AC861" s="183"/>
      <c r="AD861" s="183"/>
      <c r="AE861" s="180"/>
      <c r="AF861" s="184"/>
      <c r="AG861" s="185"/>
      <c r="AH861" s="186"/>
      <c r="AI861" s="187"/>
      <c r="AJ861" s="187"/>
      <c r="AK861" s="188"/>
      <c r="AL861" s="189"/>
      <c r="AM861" s="188"/>
      <c r="AN861" s="181"/>
    </row>
    <row r="862" spans="1:40" ht="26.25" customHeight="1">
      <c r="A862" s="177"/>
      <c r="B862" s="178"/>
      <c r="C862" s="179"/>
      <c r="D862" s="180"/>
      <c r="E862" s="180"/>
      <c r="F862" s="180"/>
      <c r="G862" s="180"/>
      <c r="H862" s="180"/>
      <c r="I862" s="181"/>
      <c r="J862" s="180"/>
      <c r="K862" s="180"/>
      <c r="L862" s="180"/>
      <c r="M862" s="180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1"/>
      <c r="Y862" s="180"/>
      <c r="Z862" s="183"/>
      <c r="AA862" s="183"/>
      <c r="AB862" s="180"/>
      <c r="AC862" s="183"/>
      <c r="AD862" s="183"/>
      <c r="AE862" s="180"/>
      <c r="AF862" s="184"/>
      <c r="AG862" s="185"/>
      <c r="AH862" s="186"/>
      <c r="AI862" s="187"/>
      <c r="AJ862" s="187"/>
      <c r="AK862" s="188"/>
      <c r="AL862" s="189"/>
      <c r="AM862" s="188"/>
      <c r="AN862" s="181"/>
    </row>
    <row r="863" spans="1:40" ht="26.25" customHeight="1">
      <c r="A863" s="177"/>
      <c r="B863" s="178"/>
      <c r="C863" s="179"/>
      <c r="D863" s="180"/>
      <c r="E863" s="180"/>
      <c r="F863" s="180"/>
      <c r="G863" s="180"/>
      <c r="H863" s="180"/>
      <c r="I863" s="181"/>
      <c r="J863" s="180"/>
      <c r="K863" s="180"/>
      <c r="L863" s="180"/>
      <c r="M863" s="180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1"/>
      <c r="Y863" s="180"/>
      <c r="Z863" s="183"/>
      <c r="AA863" s="183"/>
      <c r="AB863" s="180"/>
      <c r="AC863" s="183"/>
      <c r="AD863" s="183"/>
      <c r="AE863" s="180"/>
      <c r="AF863" s="184"/>
      <c r="AG863" s="185"/>
      <c r="AH863" s="186"/>
      <c r="AI863" s="187"/>
      <c r="AJ863" s="187"/>
      <c r="AK863" s="188"/>
      <c r="AL863" s="189"/>
      <c r="AM863" s="188"/>
      <c r="AN863" s="181"/>
    </row>
    <row r="864" spans="1:40" ht="26.25" customHeight="1">
      <c r="A864" s="177"/>
      <c r="B864" s="178"/>
      <c r="C864" s="179"/>
      <c r="D864" s="180"/>
      <c r="E864" s="180"/>
      <c r="F864" s="180"/>
      <c r="G864" s="180"/>
      <c r="H864" s="180"/>
      <c r="I864" s="181"/>
      <c r="J864" s="180"/>
      <c r="K864" s="180"/>
      <c r="L864" s="180"/>
      <c r="M864" s="180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1"/>
      <c r="Y864" s="180"/>
      <c r="Z864" s="183"/>
      <c r="AA864" s="183"/>
      <c r="AB864" s="180"/>
      <c r="AC864" s="183"/>
      <c r="AD864" s="183"/>
      <c r="AE864" s="180"/>
      <c r="AF864" s="184"/>
      <c r="AG864" s="185"/>
      <c r="AH864" s="186"/>
      <c r="AI864" s="187"/>
      <c r="AJ864" s="187"/>
      <c r="AK864" s="188"/>
      <c r="AL864" s="189"/>
      <c r="AM864" s="188"/>
      <c r="AN864" s="181"/>
    </row>
    <row r="865" spans="1:40" ht="26.25" customHeight="1">
      <c r="A865" s="177"/>
      <c r="B865" s="178"/>
      <c r="C865" s="179"/>
      <c r="D865" s="180"/>
      <c r="E865" s="180"/>
      <c r="F865" s="180"/>
      <c r="G865" s="180"/>
      <c r="H865" s="180"/>
      <c r="I865" s="181"/>
      <c r="J865" s="180"/>
      <c r="K865" s="180"/>
      <c r="L865" s="180"/>
      <c r="M865" s="180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1"/>
      <c r="Y865" s="180"/>
      <c r="Z865" s="183"/>
      <c r="AA865" s="183"/>
      <c r="AB865" s="180"/>
      <c r="AC865" s="183"/>
      <c r="AD865" s="183"/>
      <c r="AE865" s="180"/>
      <c r="AF865" s="184"/>
      <c r="AG865" s="185"/>
      <c r="AH865" s="186"/>
      <c r="AI865" s="187"/>
      <c r="AJ865" s="187"/>
      <c r="AK865" s="188"/>
      <c r="AL865" s="189"/>
      <c r="AM865" s="188"/>
      <c r="AN865" s="181"/>
    </row>
    <row r="866" spans="1:40" ht="26.25" customHeight="1">
      <c r="A866" s="177"/>
      <c r="B866" s="178"/>
      <c r="C866" s="179"/>
      <c r="D866" s="180"/>
      <c r="E866" s="180"/>
      <c r="F866" s="180"/>
      <c r="G866" s="180"/>
      <c r="H866" s="180"/>
      <c r="I866" s="181"/>
      <c r="J866" s="180"/>
      <c r="K866" s="180"/>
      <c r="L866" s="180"/>
      <c r="M866" s="180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1"/>
      <c r="Y866" s="180"/>
      <c r="Z866" s="183"/>
      <c r="AA866" s="183"/>
      <c r="AB866" s="180"/>
      <c r="AC866" s="183"/>
      <c r="AD866" s="183"/>
      <c r="AE866" s="180"/>
      <c r="AF866" s="184"/>
      <c r="AG866" s="185"/>
      <c r="AH866" s="186"/>
      <c r="AI866" s="187"/>
      <c r="AJ866" s="187"/>
      <c r="AK866" s="188"/>
      <c r="AL866" s="189"/>
      <c r="AM866" s="188"/>
      <c r="AN866" s="181"/>
    </row>
    <row r="867" spans="1:40" ht="26.25" customHeight="1">
      <c r="A867" s="177"/>
      <c r="B867" s="178"/>
      <c r="C867" s="179"/>
      <c r="D867" s="180"/>
      <c r="E867" s="180"/>
      <c r="F867" s="180"/>
      <c r="G867" s="180"/>
      <c r="H867" s="180"/>
      <c r="I867" s="181"/>
      <c r="J867" s="180"/>
      <c r="K867" s="180"/>
      <c r="L867" s="180"/>
      <c r="M867" s="180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1"/>
      <c r="Y867" s="180"/>
      <c r="Z867" s="183"/>
      <c r="AA867" s="183"/>
      <c r="AB867" s="180"/>
      <c r="AC867" s="183"/>
      <c r="AD867" s="183"/>
      <c r="AE867" s="180"/>
      <c r="AF867" s="184"/>
      <c r="AG867" s="185"/>
      <c r="AH867" s="186"/>
      <c r="AI867" s="187"/>
      <c r="AJ867" s="187"/>
      <c r="AK867" s="188"/>
      <c r="AL867" s="189"/>
      <c r="AM867" s="188"/>
      <c r="AN867" s="181"/>
    </row>
    <row r="868" spans="1:40" ht="26.25" customHeight="1">
      <c r="A868" s="177"/>
      <c r="B868" s="178"/>
      <c r="C868" s="179"/>
      <c r="D868" s="180"/>
      <c r="E868" s="180"/>
      <c r="F868" s="180"/>
      <c r="G868" s="180"/>
      <c r="H868" s="180"/>
      <c r="I868" s="181"/>
      <c r="J868" s="180"/>
      <c r="K868" s="180"/>
      <c r="L868" s="180"/>
      <c r="M868" s="180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1"/>
      <c r="Y868" s="180"/>
      <c r="Z868" s="183"/>
      <c r="AA868" s="183"/>
      <c r="AB868" s="180"/>
      <c r="AC868" s="183"/>
      <c r="AD868" s="183"/>
      <c r="AE868" s="180"/>
      <c r="AF868" s="184"/>
      <c r="AG868" s="185"/>
      <c r="AH868" s="186"/>
      <c r="AI868" s="187"/>
      <c r="AJ868" s="187"/>
      <c r="AK868" s="188"/>
      <c r="AL868" s="189"/>
      <c r="AM868" s="188"/>
      <c r="AN868" s="181"/>
    </row>
    <row r="869" spans="1:40" ht="26.25" customHeight="1">
      <c r="A869" s="177"/>
      <c r="B869" s="178"/>
      <c r="C869" s="179"/>
      <c r="D869" s="180"/>
      <c r="E869" s="180"/>
      <c r="F869" s="180"/>
      <c r="G869" s="180"/>
      <c r="H869" s="180"/>
      <c r="I869" s="181"/>
      <c r="J869" s="180"/>
      <c r="K869" s="180"/>
      <c r="L869" s="180"/>
      <c r="M869" s="180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1"/>
      <c r="Y869" s="180"/>
      <c r="Z869" s="183"/>
      <c r="AA869" s="183"/>
      <c r="AB869" s="180"/>
      <c r="AC869" s="183"/>
      <c r="AD869" s="183"/>
      <c r="AE869" s="180"/>
      <c r="AF869" s="184"/>
      <c r="AG869" s="185"/>
      <c r="AH869" s="186"/>
      <c r="AI869" s="187"/>
      <c r="AJ869" s="187"/>
      <c r="AK869" s="188"/>
      <c r="AL869" s="189"/>
      <c r="AM869" s="188"/>
      <c r="AN869" s="181"/>
    </row>
    <row r="870" spans="1:40" ht="26.25" customHeight="1">
      <c r="A870" s="177"/>
      <c r="B870" s="178"/>
      <c r="C870" s="179"/>
      <c r="D870" s="180"/>
      <c r="E870" s="180"/>
      <c r="F870" s="180"/>
      <c r="G870" s="180"/>
      <c r="H870" s="180"/>
      <c r="I870" s="181"/>
      <c r="J870" s="180"/>
      <c r="K870" s="180"/>
      <c r="L870" s="180"/>
      <c r="M870" s="180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1"/>
      <c r="Y870" s="180"/>
      <c r="Z870" s="183"/>
      <c r="AA870" s="183"/>
      <c r="AB870" s="180"/>
      <c r="AC870" s="183"/>
      <c r="AD870" s="183"/>
      <c r="AE870" s="180"/>
      <c r="AF870" s="184"/>
      <c r="AG870" s="185"/>
      <c r="AH870" s="186"/>
      <c r="AI870" s="187"/>
      <c r="AJ870" s="187"/>
      <c r="AK870" s="188"/>
      <c r="AL870" s="189"/>
      <c r="AM870" s="188"/>
      <c r="AN870" s="181"/>
    </row>
    <row r="871" spans="1:40" ht="26.25" customHeight="1">
      <c r="A871" s="177"/>
      <c r="B871" s="178"/>
      <c r="C871" s="179"/>
      <c r="D871" s="180"/>
      <c r="E871" s="180"/>
      <c r="F871" s="180"/>
      <c r="G871" s="180"/>
      <c r="H871" s="180"/>
      <c r="I871" s="181"/>
      <c r="J871" s="180"/>
      <c r="K871" s="180"/>
      <c r="L871" s="180"/>
      <c r="M871" s="180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1"/>
      <c r="Y871" s="180"/>
      <c r="Z871" s="183"/>
      <c r="AA871" s="183"/>
      <c r="AB871" s="180"/>
      <c r="AC871" s="183"/>
      <c r="AD871" s="183"/>
      <c r="AE871" s="180"/>
      <c r="AF871" s="184"/>
      <c r="AG871" s="185"/>
      <c r="AH871" s="186"/>
      <c r="AI871" s="187"/>
      <c r="AJ871" s="187"/>
      <c r="AK871" s="188"/>
      <c r="AL871" s="189"/>
      <c r="AM871" s="188"/>
      <c r="AN871" s="181"/>
    </row>
    <row r="872" spans="1:40" ht="26.25" customHeight="1">
      <c r="A872" s="177"/>
      <c r="B872" s="178"/>
      <c r="C872" s="179"/>
      <c r="D872" s="180"/>
      <c r="E872" s="180"/>
      <c r="F872" s="180"/>
      <c r="G872" s="180"/>
      <c r="H872" s="180"/>
      <c r="I872" s="181"/>
      <c r="J872" s="180"/>
      <c r="K872" s="180"/>
      <c r="L872" s="180"/>
      <c r="M872" s="180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1"/>
      <c r="Y872" s="180"/>
      <c r="Z872" s="183"/>
      <c r="AA872" s="183"/>
      <c r="AB872" s="180"/>
      <c r="AC872" s="183"/>
      <c r="AD872" s="183"/>
      <c r="AE872" s="180"/>
      <c r="AF872" s="184"/>
      <c r="AG872" s="185"/>
      <c r="AH872" s="186"/>
      <c r="AI872" s="187"/>
      <c r="AJ872" s="187"/>
      <c r="AK872" s="188"/>
      <c r="AL872" s="189"/>
      <c r="AM872" s="188"/>
      <c r="AN872" s="181"/>
    </row>
    <row r="873" spans="1:40" ht="26.25" customHeight="1">
      <c r="A873" s="177"/>
      <c r="B873" s="178"/>
      <c r="C873" s="179"/>
      <c r="D873" s="180"/>
      <c r="E873" s="180"/>
      <c r="F873" s="180"/>
      <c r="G873" s="180"/>
      <c r="H873" s="180"/>
      <c r="I873" s="181"/>
      <c r="J873" s="180"/>
      <c r="K873" s="180"/>
      <c r="L873" s="180"/>
      <c r="M873" s="180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1"/>
      <c r="Y873" s="180"/>
      <c r="Z873" s="183"/>
      <c r="AA873" s="183"/>
      <c r="AB873" s="180"/>
      <c r="AC873" s="183"/>
      <c r="AD873" s="183"/>
      <c r="AE873" s="180"/>
      <c r="AF873" s="184"/>
      <c r="AG873" s="185"/>
      <c r="AH873" s="186"/>
      <c r="AI873" s="187"/>
      <c r="AJ873" s="187"/>
      <c r="AK873" s="188"/>
      <c r="AL873" s="189"/>
      <c r="AM873" s="188"/>
      <c r="AN873" s="181"/>
    </row>
    <row r="874" spans="1:40" ht="26.25" customHeight="1">
      <c r="A874" s="177"/>
      <c r="B874" s="178"/>
      <c r="C874" s="179"/>
      <c r="D874" s="180"/>
      <c r="E874" s="180"/>
      <c r="F874" s="180"/>
      <c r="G874" s="180"/>
      <c r="H874" s="180"/>
      <c r="I874" s="181"/>
      <c r="J874" s="180"/>
      <c r="K874" s="180"/>
      <c r="L874" s="180"/>
      <c r="M874" s="180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1"/>
      <c r="Y874" s="180"/>
      <c r="Z874" s="183"/>
      <c r="AA874" s="183"/>
      <c r="AB874" s="180"/>
      <c r="AC874" s="183"/>
      <c r="AD874" s="183"/>
      <c r="AE874" s="180"/>
      <c r="AF874" s="184"/>
      <c r="AG874" s="185"/>
      <c r="AH874" s="186"/>
      <c r="AI874" s="187"/>
      <c r="AJ874" s="187"/>
      <c r="AK874" s="188"/>
      <c r="AL874" s="189"/>
      <c r="AM874" s="188"/>
      <c r="AN874" s="181"/>
    </row>
    <row r="875" spans="1:40" ht="26.25" customHeight="1">
      <c r="A875" s="177"/>
      <c r="B875" s="178"/>
      <c r="C875" s="179"/>
      <c r="D875" s="180"/>
      <c r="E875" s="180"/>
      <c r="F875" s="180"/>
      <c r="G875" s="180"/>
      <c r="H875" s="180"/>
      <c r="I875" s="181"/>
      <c r="J875" s="180"/>
      <c r="K875" s="180"/>
      <c r="L875" s="180"/>
      <c r="M875" s="180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1"/>
      <c r="Y875" s="180"/>
      <c r="Z875" s="183"/>
      <c r="AA875" s="183"/>
      <c r="AB875" s="180"/>
      <c r="AC875" s="183"/>
      <c r="AD875" s="183"/>
      <c r="AE875" s="180"/>
      <c r="AF875" s="184"/>
      <c r="AG875" s="185"/>
      <c r="AH875" s="186"/>
      <c r="AI875" s="187"/>
      <c r="AJ875" s="187"/>
      <c r="AK875" s="188"/>
      <c r="AL875" s="189"/>
      <c r="AM875" s="188"/>
      <c r="AN875" s="181"/>
    </row>
    <row r="876" spans="1:40" ht="26.25" customHeight="1">
      <c r="A876" s="177"/>
      <c r="B876" s="178"/>
      <c r="C876" s="179"/>
      <c r="D876" s="180"/>
      <c r="E876" s="180"/>
      <c r="F876" s="180"/>
      <c r="G876" s="180"/>
      <c r="H876" s="180"/>
      <c r="I876" s="181"/>
      <c r="J876" s="180"/>
      <c r="K876" s="180"/>
      <c r="L876" s="180"/>
      <c r="M876" s="180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1"/>
      <c r="Y876" s="180"/>
      <c r="Z876" s="183"/>
      <c r="AA876" s="183"/>
      <c r="AB876" s="180"/>
      <c r="AC876" s="183"/>
      <c r="AD876" s="183"/>
      <c r="AE876" s="180"/>
      <c r="AF876" s="184"/>
      <c r="AG876" s="185"/>
      <c r="AH876" s="186"/>
      <c r="AI876" s="187"/>
      <c r="AJ876" s="187"/>
      <c r="AK876" s="188"/>
      <c r="AL876" s="189"/>
      <c r="AM876" s="188"/>
      <c r="AN876" s="181"/>
    </row>
    <row r="877" spans="1:40" ht="26.25" customHeight="1">
      <c r="A877" s="177"/>
      <c r="B877" s="178"/>
      <c r="C877" s="179"/>
      <c r="D877" s="180"/>
      <c r="E877" s="180"/>
      <c r="F877" s="180"/>
      <c r="G877" s="180"/>
      <c r="H877" s="180"/>
      <c r="I877" s="181"/>
      <c r="J877" s="180"/>
      <c r="K877" s="180"/>
      <c r="L877" s="180"/>
      <c r="M877" s="180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1"/>
      <c r="Y877" s="180"/>
      <c r="Z877" s="183"/>
      <c r="AA877" s="183"/>
      <c r="AB877" s="180"/>
      <c r="AC877" s="183"/>
      <c r="AD877" s="183"/>
      <c r="AE877" s="180"/>
      <c r="AF877" s="184"/>
      <c r="AG877" s="185"/>
      <c r="AH877" s="186"/>
      <c r="AI877" s="187"/>
      <c r="AJ877" s="187"/>
      <c r="AK877" s="188"/>
      <c r="AL877" s="189"/>
      <c r="AM877" s="188"/>
      <c r="AN877" s="181"/>
    </row>
    <row r="878" spans="1:40" ht="26.25" customHeight="1">
      <c r="A878" s="177"/>
      <c r="B878" s="178"/>
      <c r="C878" s="179"/>
      <c r="D878" s="180"/>
      <c r="E878" s="180"/>
      <c r="F878" s="180"/>
      <c r="G878" s="180"/>
      <c r="H878" s="180"/>
      <c r="I878" s="181"/>
      <c r="J878" s="180"/>
      <c r="K878" s="180"/>
      <c r="L878" s="180"/>
      <c r="M878" s="180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1"/>
      <c r="Y878" s="180"/>
      <c r="Z878" s="183"/>
      <c r="AA878" s="183"/>
      <c r="AB878" s="180"/>
      <c r="AC878" s="183"/>
      <c r="AD878" s="183"/>
      <c r="AE878" s="180"/>
      <c r="AF878" s="184"/>
      <c r="AG878" s="185"/>
      <c r="AH878" s="186"/>
      <c r="AI878" s="187"/>
      <c r="AJ878" s="187"/>
      <c r="AK878" s="188"/>
      <c r="AL878" s="189"/>
      <c r="AM878" s="188"/>
      <c r="AN878" s="181"/>
    </row>
    <row r="879" spans="1:40" ht="26.25" customHeight="1">
      <c r="A879" s="177"/>
      <c r="B879" s="178"/>
      <c r="C879" s="179"/>
      <c r="D879" s="180"/>
      <c r="E879" s="180"/>
      <c r="F879" s="180"/>
      <c r="G879" s="180"/>
      <c r="H879" s="180"/>
      <c r="I879" s="181"/>
      <c r="J879" s="180"/>
      <c r="K879" s="180"/>
      <c r="L879" s="180"/>
      <c r="M879" s="180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1"/>
      <c r="Y879" s="180"/>
      <c r="Z879" s="183"/>
      <c r="AA879" s="183"/>
      <c r="AB879" s="180"/>
      <c r="AC879" s="183"/>
      <c r="AD879" s="183"/>
      <c r="AE879" s="180"/>
      <c r="AF879" s="184"/>
      <c r="AG879" s="185"/>
      <c r="AH879" s="186"/>
      <c r="AI879" s="187"/>
      <c r="AJ879" s="187"/>
      <c r="AK879" s="188"/>
      <c r="AL879" s="189"/>
      <c r="AM879" s="188"/>
      <c r="AN879" s="181"/>
    </row>
    <row r="880" spans="1:40" ht="26.25" customHeight="1">
      <c r="A880" s="177"/>
      <c r="B880" s="178"/>
      <c r="C880" s="179"/>
      <c r="D880" s="180"/>
      <c r="E880" s="180"/>
      <c r="F880" s="180"/>
      <c r="G880" s="180"/>
      <c r="H880" s="180"/>
      <c r="I880" s="181"/>
      <c r="J880" s="180"/>
      <c r="K880" s="180"/>
      <c r="L880" s="180"/>
      <c r="M880" s="180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1"/>
      <c r="Y880" s="180"/>
      <c r="Z880" s="183"/>
      <c r="AA880" s="183"/>
      <c r="AB880" s="180"/>
      <c r="AC880" s="183"/>
      <c r="AD880" s="183"/>
      <c r="AE880" s="180"/>
      <c r="AF880" s="184"/>
      <c r="AG880" s="185"/>
      <c r="AH880" s="186"/>
      <c r="AI880" s="187"/>
      <c r="AJ880" s="187"/>
      <c r="AK880" s="188"/>
      <c r="AL880" s="189"/>
      <c r="AM880" s="188"/>
      <c r="AN880" s="181"/>
    </row>
    <row r="881" spans="1:40" ht="26.25" customHeight="1">
      <c r="A881" s="177"/>
      <c r="B881" s="178"/>
      <c r="C881" s="179"/>
      <c r="D881" s="180"/>
      <c r="E881" s="180"/>
      <c r="F881" s="180"/>
      <c r="G881" s="180"/>
      <c r="H881" s="180"/>
      <c r="I881" s="181"/>
      <c r="J881" s="180"/>
      <c r="K881" s="180"/>
      <c r="L881" s="180"/>
      <c r="M881" s="180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1"/>
      <c r="Y881" s="180"/>
      <c r="Z881" s="183"/>
      <c r="AA881" s="183"/>
      <c r="AB881" s="180"/>
      <c r="AC881" s="183"/>
      <c r="AD881" s="183"/>
      <c r="AE881" s="180"/>
      <c r="AF881" s="184"/>
      <c r="AG881" s="185"/>
      <c r="AH881" s="186"/>
      <c r="AI881" s="187"/>
      <c r="AJ881" s="187"/>
      <c r="AK881" s="188"/>
      <c r="AL881" s="189"/>
      <c r="AM881" s="188"/>
      <c r="AN881" s="181"/>
    </row>
    <row r="882" spans="1:40" ht="26.25" customHeight="1">
      <c r="A882" s="177"/>
      <c r="B882" s="178"/>
      <c r="C882" s="179"/>
      <c r="D882" s="180"/>
      <c r="E882" s="180"/>
      <c r="F882" s="180"/>
      <c r="G882" s="180"/>
      <c r="H882" s="180"/>
      <c r="I882" s="181"/>
      <c r="J882" s="180"/>
      <c r="K882" s="180"/>
      <c r="L882" s="180"/>
      <c r="M882" s="180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1"/>
      <c r="Y882" s="180"/>
      <c r="Z882" s="183"/>
      <c r="AA882" s="183"/>
      <c r="AB882" s="180"/>
      <c r="AC882" s="183"/>
      <c r="AD882" s="183"/>
      <c r="AE882" s="180"/>
      <c r="AF882" s="184"/>
      <c r="AG882" s="185"/>
      <c r="AH882" s="186"/>
      <c r="AI882" s="187"/>
      <c r="AJ882" s="187"/>
      <c r="AK882" s="188"/>
      <c r="AL882" s="189"/>
      <c r="AM882" s="188"/>
      <c r="AN882" s="181"/>
    </row>
    <row r="883" spans="1:40" ht="26.25" customHeight="1">
      <c r="A883" s="177"/>
      <c r="B883" s="178"/>
      <c r="C883" s="179"/>
      <c r="D883" s="180"/>
      <c r="E883" s="180"/>
      <c r="F883" s="180"/>
      <c r="G883" s="180"/>
      <c r="H883" s="180"/>
      <c r="I883" s="181"/>
      <c r="J883" s="180"/>
      <c r="K883" s="180"/>
      <c r="L883" s="180"/>
      <c r="M883" s="180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1"/>
      <c r="Y883" s="180"/>
      <c r="Z883" s="183"/>
      <c r="AA883" s="183"/>
      <c r="AB883" s="180"/>
      <c r="AC883" s="183"/>
      <c r="AD883" s="183"/>
      <c r="AE883" s="180"/>
      <c r="AF883" s="184"/>
      <c r="AG883" s="185"/>
      <c r="AH883" s="186"/>
      <c r="AI883" s="187"/>
      <c r="AJ883" s="187"/>
      <c r="AK883" s="188"/>
      <c r="AL883" s="189"/>
      <c r="AM883" s="188"/>
      <c r="AN883" s="181"/>
    </row>
    <row r="884" spans="1:40" ht="26.25" customHeight="1">
      <c r="A884" s="177"/>
      <c r="B884" s="178"/>
      <c r="C884" s="179"/>
      <c r="D884" s="180"/>
      <c r="E884" s="180"/>
      <c r="F884" s="180"/>
      <c r="G884" s="180"/>
      <c r="H884" s="180"/>
      <c r="I884" s="181"/>
      <c r="J884" s="180"/>
      <c r="K884" s="180"/>
      <c r="L884" s="180"/>
      <c r="M884" s="180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1"/>
      <c r="Y884" s="180"/>
      <c r="Z884" s="183"/>
      <c r="AA884" s="183"/>
      <c r="AB884" s="180"/>
      <c r="AC884" s="183"/>
      <c r="AD884" s="183"/>
      <c r="AE884" s="180"/>
      <c r="AF884" s="184"/>
      <c r="AG884" s="185"/>
      <c r="AH884" s="186"/>
      <c r="AI884" s="187"/>
      <c r="AJ884" s="187"/>
      <c r="AK884" s="188"/>
      <c r="AL884" s="189"/>
      <c r="AM884" s="188"/>
      <c r="AN884" s="181"/>
    </row>
    <row r="885" spans="1:40" ht="26.25" customHeight="1">
      <c r="A885" s="177"/>
      <c r="B885" s="178"/>
      <c r="C885" s="179"/>
      <c r="D885" s="180"/>
      <c r="E885" s="180"/>
      <c r="F885" s="180"/>
      <c r="G885" s="180"/>
      <c r="H885" s="180"/>
      <c r="I885" s="181"/>
      <c r="J885" s="180"/>
      <c r="K885" s="180"/>
      <c r="L885" s="180"/>
      <c r="M885" s="180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1"/>
      <c r="Y885" s="180"/>
      <c r="Z885" s="183"/>
      <c r="AA885" s="183"/>
      <c r="AB885" s="180"/>
      <c r="AC885" s="183"/>
      <c r="AD885" s="183"/>
      <c r="AE885" s="180"/>
      <c r="AF885" s="184"/>
      <c r="AG885" s="185"/>
      <c r="AH885" s="186"/>
      <c r="AI885" s="187"/>
      <c r="AJ885" s="187"/>
      <c r="AK885" s="188"/>
      <c r="AL885" s="189"/>
      <c r="AM885" s="188"/>
      <c r="AN885" s="181"/>
    </row>
    <row r="886" spans="1:40" ht="26.25" customHeight="1">
      <c r="A886" s="177"/>
      <c r="B886" s="178"/>
      <c r="C886" s="179"/>
      <c r="D886" s="180"/>
      <c r="E886" s="180"/>
      <c r="F886" s="180"/>
      <c r="G886" s="180"/>
      <c r="H886" s="180"/>
      <c r="I886" s="181"/>
      <c r="J886" s="180"/>
      <c r="K886" s="180"/>
      <c r="L886" s="180"/>
      <c r="M886" s="180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1"/>
      <c r="Y886" s="180"/>
      <c r="Z886" s="183"/>
      <c r="AA886" s="183"/>
      <c r="AB886" s="180"/>
      <c r="AC886" s="183"/>
      <c r="AD886" s="183"/>
      <c r="AE886" s="180"/>
      <c r="AF886" s="184"/>
      <c r="AG886" s="185"/>
      <c r="AH886" s="186"/>
      <c r="AI886" s="187"/>
      <c r="AJ886" s="187"/>
      <c r="AK886" s="188"/>
      <c r="AL886" s="189"/>
      <c r="AM886" s="188"/>
      <c r="AN886" s="181"/>
    </row>
    <row r="887" spans="1:40" ht="26.25" customHeight="1">
      <c r="A887" s="177"/>
      <c r="B887" s="178"/>
      <c r="C887" s="179"/>
      <c r="D887" s="180"/>
      <c r="E887" s="180"/>
      <c r="F887" s="180"/>
      <c r="G887" s="180"/>
      <c r="H887" s="180"/>
      <c r="I887" s="181"/>
      <c r="J887" s="180"/>
      <c r="K887" s="180"/>
      <c r="L887" s="180"/>
      <c r="M887" s="180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1"/>
      <c r="Y887" s="180"/>
      <c r="Z887" s="183"/>
      <c r="AA887" s="183"/>
      <c r="AB887" s="180"/>
      <c r="AC887" s="183"/>
      <c r="AD887" s="183"/>
      <c r="AE887" s="180"/>
      <c r="AF887" s="184"/>
      <c r="AG887" s="185"/>
      <c r="AH887" s="186"/>
      <c r="AI887" s="187"/>
      <c r="AJ887" s="187"/>
      <c r="AK887" s="188"/>
      <c r="AL887" s="189"/>
      <c r="AM887" s="188"/>
      <c r="AN887" s="181"/>
    </row>
    <row r="888" spans="1:40" ht="26.25" customHeight="1">
      <c r="A888" s="177"/>
      <c r="B888" s="178"/>
      <c r="C888" s="179"/>
      <c r="D888" s="180"/>
      <c r="E888" s="180"/>
      <c r="F888" s="180"/>
      <c r="G888" s="180"/>
      <c r="H888" s="180"/>
      <c r="I888" s="181"/>
      <c r="J888" s="180"/>
      <c r="K888" s="180"/>
      <c r="L888" s="180"/>
      <c r="M888" s="180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1"/>
      <c r="Y888" s="180"/>
      <c r="Z888" s="183"/>
      <c r="AA888" s="183"/>
      <c r="AB888" s="180"/>
      <c r="AC888" s="183"/>
      <c r="AD888" s="183"/>
      <c r="AE888" s="180"/>
      <c r="AF888" s="184"/>
      <c r="AG888" s="185"/>
      <c r="AH888" s="186"/>
      <c r="AI888" s="187"/>
      <c r="AJ888" s="187"/>
      <c r="AK888" s="188"/>
      <c r="AL888" s="189"/>
      <c r="AM888" s="188"/>
      <c r="AN888" s="181"/>
    </row>
    <row r="889" spans="1:40" ht="26.25" customHeight="1">
      <c r="A889" s="177"/>
      <c r="B889" s="178"/>
      <c r="C889" s="179"/>
      <c r="D889" s="180"/>
      <c r="E889" s="180"/>
      <c r="F889" s="180"/>
      <c r="G889" s="180"/>
      <c r="H889" s="180"/>
      <c r="I889" s="181"/>
      <c r="J889" s="180"/>
      <c r="K889" s="180"/>
      <c r="L889" s="180"/>
      <c r="M889" s="180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1"/>
      <c r="Y889" s="180"/>
      <c r="Z889" s="183"/>
      <c r="AA889" s="183"/>
      <c r="AB889" s="180"/>
      <c r="AC889" s="183"/>
      <c r="AD889" s="183"/>
      <c r="AE889" s="180"/>
      <c r="AF889" s="184"/>
      <c r="AG889" s="185"/>
      <c r="AH889" s="186"/>
      <c r="AI889" s="187"/>
      <c r="AJ889" s="187"/>
      <c r="AK889" s="188"/>
      <c r="AL889" s="189"/>
      <c r="AM889" s="188"/>
      <c r="AN889" s="181"/>
    </row>
    <row r="890" spans="1:40" ht="26.25" customHeight="1">
      <c r="A890" s="177"/>
      <c r="B890" s="178"/>
      <c r="C890" s="179"/>
      <c r="D890" s="180"/>
      <c r="E890" s="180"/>
      <c r="F890" s="180"/>
      <c r="G890" s="180"/>
      <c r="H890" s="180"/>
      <c r="I890" s="181"/>
      <c r="J890" s="180"/>
      <c r="K890" s="180"/>
      <c r="L890" s="180"/>
      <c r="M890" s="180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1"/>
      <c r="Y890" s="180"/>
      <c r="Z890" s="183"/>
      <c r="AA890" s="183"/>
      <c r="AB890" s="180"/>
      <c r="AC890" s="183"/>
      <c r="AD890" s="183"/>
      <c r="AE890" s="180"/>
      <c r="AF890" s="184"/>
      <c r="AG890" s="185"/>
      <c r="AH890" s="186"/>
      <c r="AI890" s="187"/>
      <c r="AJ890" s="187"/>
      <c r="AK890" s="188"/>
      <c r="AL890" s="189"/>
      <c r="AM890" s="188"/>
      <c r="AN890" s="181"/>
    </row>
    <row r="891" spans="1:40" ht="26.25" customHeight="1">
      <c r="A891" s="177"/>
      <c r="B891" s="178"/>
      <c r="C891" s="179"/>
      <c r="D891" s="180"/>
      <c r="E891" s="180"/>
      <c r="F891" s="180"/>
      <c r="G891" s="180"/>
      <c r="H891" s="180"/>
      <c r="I891" s="181"/>
      <c r="J891" s="180"/>
      <c r="K891" s="180"/>
      <c r="L891" s="180"/>
      <c r="M891" s="180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1"/>
      <c r="Y891" s="180"/>
      <c r="Z891" s="183"/>
      <c r="AA891" s="183"/>
      <c r="AB891" s="180"/>
      <c r="AC891" s="183"/>
      <c r="AD891" s="183"/>
      <c r="AE891" s="180"/>
      <c r="AF891" s="184"/>
      <c r="AG891" s="185"/>
      <c r="AH891" s="186"/>
      <c r="AI891" s="187"/>
      <c r="AJ891" s="187"/>
      <c r="AK891" s="188"/>
      <c r="AL891" s="189"/>
      <c r="AM891" s="188"/>
      <c r="AN891" s="181"/>
    </row>
    <row r="892" spans="1:40" ht="26.25" customHeight="1">
      <c r="A892" s="177"/>
      <c r="B892" s="178"/>
      <c r="C892" s="179"/>
      <c r="D892" s="180"/>
      <c r="E892" s="180"/>
      <c r="F892" s="180"/>
      <c r="G892" s="180"/>
      <c r="H892" s="180"/>
      <c r="I892" s="181"/>
      <c r="J892" s="180"/>
      <c r="K892" s="180"/>
      <c r="L892" s="180"/>
      <c r="M892" s="180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1"/>
      <c r="Y892" s="180"/>
      <c r="Z892" s="183"/>
      <c r="AA892" s="183"/>
      <c r="AB892" s="180"/>
      <c r="AC892" s="183"/>
      <c r="AD892" s="183"/>
      <c r="AE892" s="180"/>
      <c r="AF892" s="184"/>
      <c r="AG892" s="185"/>
      <c r="AH892" s="186"/>
      <c r="AI892" s="187"/>
      <c r="AJ892" s="187"/>
      <c r="AK892" s="188"/>
      <c r="AL892" s="189"/>
      <c r="AM892" s="188"/>
      <c r="AN892" s="181"/>
    </row>
    <row r="893" spans="1:40" ht="26.25" customHeight="1">
      <c r="A893" s="177"/>
      <c r="B893" s="178"/>
      <c r="C893" s="179"/>
      <c r="D893" s="180"/>
      <c r="E893" s="180"/>
      <c r="F893" s="180"/>
      <c r="G893" s="180"/>
      <c r="H893" s="180"/>
      <c r="I893" s="181"/>
      <c r="J893" s="180"/>
      <c r="K893" s="180"/>
      <c r="L893" s="180"/>
      <c r="M893" s="180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1"/>
      <c r="Y893" s="180"/>
      <c r="Z893" s="183"/>
      <c r="AA893" s="183"/>
      <c r="AB893" s="180"/>
      <c r="AC893" s="183"/>
      <c r="AD893" s="183"/>
      <c r="AE893" s="180"/>
      <c r="AF893" s="184"/>
      <c r="AG893" s="185"/>
      <c r="AH893" s="186"/>
      <c r="AI893" s="187"/>
      <c r="AJ893" s="187"/>
      <c r="AK893" s="188"/>
      <c r="AL893" s="189"/>
      <c r="AM893" s="188"/>
      <c r="AN893" s="181"/>
    </row>
    <row r="894" spans="1:40" ht="26.25" customHeight="1">
      <c r="A894" s="177"/>
      <c r="B894" s="178"/>
      <c r="C894" s="179"/>
      <c r="D894" s="180"/>
      <c r="E894" s="180"/>
      <c r="F894" s="180"/>
      <c r="G894" s="180"/>
      <c r="H894" s="180"/>
      <c r="I894" s="181"/>
      <c r="J894" s="180"/>
      <c r="K894" s="180"/>
      <c r="L894" s="180"/>
      <c r="M894" s="180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1"/>
      <c r="Y894" s="180"/>
      <c r="Z894" s="183"/>
      <c r="AA894" s="183"/>
      <c r="AB894" s="180"/>
      <c r="AC894" s="183"/>
      <c r="AD894" s="183"/>
      <c r="AE894" s="180"/>
      <c r="AF894" s="184"/>
      <c r="AG894" s="185"/>
      <c r="AH894" s="186"/>
      <c r="AI894" s="187"/>
      <c r="AJ894" s="187"/>
      <c r="AK894" s="188"/>
      <c r="AL894" s="189"/>
      <c r="AM894" s="188"/>
      <c r="AN894" s="181"/>
    </row>
    <row r="895" spans="1:40" ht="26.25" customHeight="1">
      <c r="A895" s="177"/>
      <c r="B895" s="178"/>
      <c r="C895" s="179"/>
      <c r="D895" s="180"/>
      <c r="E895" s="180"/>
      <c r="F895" s="180"/>
      <c r="G895" s="180"/>
      <c r="H895" s="180"/>
      <c r="I895" s="181"/>
      <c r="J895" s="180"/>
      <c r="K895" s="180"/>
      <c r="L895" s="180"/>
      <c r="M895" s="180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1"/>
      <c r="Y895" s="180"/>
      <c r="Z895" s="183"/>
      <c r="AA895" s="183"/>
      <c r="AB895" s="180"/>
      <c r="AC895" s="183"/>
      <c r="AD895" s="183"/>
      <c r="AE895" s="180"/>
      <c r="AF895" s="184"/>
      <c r="AG895" s="185"/>
      <c r="AH895" s="186"/>
      <c r="AI895" s="187"/>
      <c r="AJ895" s="187"/>
      <c r="AK895" s="188"/>
      <c r="AL895" s="189"/>
      <c r="AM895" s="188"/>
      <c r="AN895" s="181"/>
    </row>
    <row r="896" spans="1:40" ht="26.25" customHeight="1">
      <c r="A896" s="177"/>
      <c r="B896" s="178"/>
      <c r="C896" s="179"/>
      <c r="D896" s="180"/>
      <c r="E896" s="180"/>
      <c r="F896" s="180"/>
      <c r="G896" s="180"/>
      <c r="H896" s="180"/>
      <c r="I896" s="181"/>
      <c r="J896" s="180"/>
      <c r="K896" s="180"/>
      <c r="L896" s="180"/>
      <c r="M896" s="180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1"/>
      <c r="Y896" s="180"/>
      <c r="Z896" s="183"/>
      <c r="AA896" s="183"/>
      <c r="AB896" s="180"/>
      <c r="AC896" s="183"/>
      <c r="AD896" s="183"/>
      <c r="AE896" s="180"/>
      <c r="AF896" s="184"/>
      <c r="AG896" s="185"/>
      <c r="AH896" s="186"/>
      <c r="AI896" s="187"/>
      <c r="AJ896" s="187"/>
      <c r="AK896" s="188"/>
      <c r="AL896" s="189"/>
      <c r="AM896" s="188"/>
      <c r="AN896" s="181"/>
    </row>
    <row r="897" spans="1:40" ht="26.25" customHeight="1">
      <c r="A897" s="177"/>
      <c r="B897" s="178"/>
      <c r="C897" s="179"/>
      <c r="D897" s="180"/>
      <c r="E897" s="180"/>
      <c r="F897" s="180"/>
      <c r="G897" s="180"/>
      <c r="H897" s="180"/>
      <c r="I897" s="181"/>
      <c r="J897" s="180"/>
      <c r="K897" s="180"/>
      <c r="L897" s="180"/>
      <c r="M897" s="180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1"/>
      <c r="Y897" s="180"/>
      <c r="Z897" s="183"/>
      <c r="AA897" s="183"/>
      <c r="AB897" s="180"/>
      <c r="AC897" s="183"/>
      <c r="AD897" s="183"/>
      <c r="AE897" s="180"/>
      <c r="AF897" s="184"/>
      <c r="AG897" s="185"/>
      <c r="AH897" s="186"/>
      <c r="AI897" s="187"/>
      <c r="AJ897" s="187"/>
      <c r="AK897" s="188"/>
      <c r="AL897" s="189"/>
      <c r="AM897" s="188"/>
      <c r="AN897" s="181"/>
    </row>
    <row r="898" spans="1:40" ht="26.25" customHeight="1">
      <c r="A898" s="177"/>
      <c r="B898" s="178"/>
      <c r="C898" s="179"/>
      <c r="D898" s="180"/>
      <c r="E898" s="180"/>
      <c r="F898" s="180"/>
      <c r="G898" s="180"/>
      <c r="H898" s="180"/>
      <c r="I898" s="181"/>
      <c r="J898" s="180"/>
      <c r="K898" s="180"/>
      <c r="L898" s="180"/>
      <c r="M898" s="180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1"/>
      <c r="Y898" s="180"/>
      <c r="Z898" s="183"/>
      <c r="AA898" s="183"/>
      <c r="AB898" s="180"/>
      <c r="AC898" s="183"/>
      <c r="AD898" s="183"/>
      <c r="AE898" s="180"/>
      <c r="AF898" s="184"/>
      <c r="AG898" s="185"/>
      <c r="AH898" s="186"/>
      <c r="AI898" s="187"/>
      <c r="AJ898" s="187"/>
      <c r="AK898" s="188"/>
      <c r="AL898" s="189"/>
      <c r="AM898" s="188"/>
      <c r="AN898" s="181"/>
    </row>
    <row r="899" spans="1:40" ht="26.25" customHeight="1">
      <c r="A899" s="177"/>
      <c r="B899" s="178"/>
      <c r="C899" s="179"/>
      <c r="D899" s="180"/>
      <c r="E899" s="180"/>
      <c r="F899" s="180"/>
      <c r="G899" s="180"/>
      <c r="H899" s="180"/>
      <c r="I899" s="181"/>
      <c r="J899" s="180"/>
      <c r="K899" s="180"/>
      <c r="L899" s="180"/>
      <c r="M899" s="180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1"/>
      <c r="Y899" s="180"/>
      <c r="Z899" s="183"/>
      <c r="AA899" s="183"/>
      <c r="AB899" s="180"/>
      <c r="AC899" s="183"/>
      <c r="AD899" s="183"/>
      <c r="AE899" s="180"/>
      <c r="AF899" s="184"/>
      <c r="AG899" s="185"/>
      <c r="AH899" s="186"/>
      <c r="AI899" s="187"/>
      <c r="AJ899" s="187"/>
      <c r="AK899" s="188"/>
      <c r="AL899" s="189"/>
      <c r="AM899" s="188"/>
      <c r="AN899" s="181"/>
    </row>
    <row r="900" spans="1:40" ht="26.25" customHeight="1">
      <c r="A900" s="177"/>
      <c r="B900" s="178"/>
      <c r="C900" s="179"/>
      <c r="D900" s="180"/>
      <c r="E900" s="180"/>
      <c r="F900" s="180"/>
      <c r="G900" s="180"/>
      <c r="H900" s="180"/>
      <c r="I900" s="181"/>
      <c r="J900" s="180"/>
      <c r="K900" s="180"/>
      <c r="L900" s="180"/>
      <c r="M900" s="180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1"/>
      <c r="Y900" s="180"/>
      <c r="Z900" s="183"/>
      <c r="AA900" s="183"/>
      <c r="AB900" s="180"/>
      <c r="AC900" s="183"/>
      <c r="AD900" s="183"/>
      <c r="AE900" s="180"/>
      <c r="AF900" s="184"/>
      <c r="AG900" s="185"/>
      <c r="AH900" s="186"/>
      <c r="AI900" s="187"/>
      <c r="AJ900" s="187"/>
      <c r="AK900" s="188"/>
      <c r="AL900" s="189"/>
      <c r="AM900" s="188"/>
      <c r="AN900" s="181"/>
    </row>
    <row r="901" spans="1:40" ht="26.25" customHeight="1">
      <c r="A901" s="177"/>
      <c r="B901" s="178"/>
      <c r="C901" s="179"/>
      <c r="D901" s="180"/>
      <c r="E901" s="180"/>
      <c r="F901" s="180"/>
      <c r="G901" s="180"/>
      <c r="H901" s="180"/>
      <c r="I901" s="181"/>
      <c r="J901" s="180"/>
      <c r="K901" s="180"/>
      <c r="L901" s="180"/>
      <c r="M901" s="180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1"/>
      <c r="Y901" s="180"/>
      <c r="Z901" s="183"/>
      <c r="AA901" s="183"/>
      <c r="AB901" s="180"/>
      <c r="AC901" s="183"/>
      <c r="AD901" s="183"/>
      <c r="AE901" s="180"/>
      <c r="AF901" s="184"/>
      <c r="AG901" s="185"/>
      <c r="AH901" s="186"/>
      <c r="AI901" s="187"/>
      <c r="AJ901" s="187"/>
      <c r="AK901" s="188"/>
      <c r="AL901" s="189"/>
      <c r="AM901" s="188"/>
      <c r="AN901" s="181"/>
    </row>
    <row r="902" spans="1:40" ht="26.25" customHeight="1">
      <c r="A902" s="177"/>
      <c r="B902" s="178"/>
      <c r="C902" s="179"/>
      <c r="D902" s="180"/>
      <c r="E902" s="180"/>
      <c r="F902" s="180"/>
      <c r="G902" s="180"/>
      <c r="H902" s="180"/>
      <c r="I902" s="181"/>
      <c r="J902" s="180"/>
      <c r="K902" s="180"/>
      <c r="L902" s="180"/>
      <c r="M902" s="180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1"/>
      <c r="Y902" s="180"/>
      <c r="Z902" s="183"/>
      <c r="AA902" s="183"/>
      <c r="AB902" s="180"/>
      <c r="AC902" s="183"/>
      <c r="AD902" s="183"/>
      <c r="AE902" s="180"/>
      <c r="AF902" s="184"/>
      <c r="AG902" s="185"/>
      <c r="AH902" s="186"/>
      <c r="AI902" s="187"/>
      <c r="AJ902" s="187"/>
      <c r="AK902" s="188"/>
      <c r="AL902" s="189"/>
      <c r="AM902" s="188"/>
      <c r="AN902" s="181"/>
    </row>
    <row r="903" spans="1:40" ht="26.25" customHeight="1">
      <c r="A903" s="177"/>
      <c r="B903" s="178"/>
      <c r="C903" s="179"/>
      <c r="D903" s="180"/>
      <c r="E903" s="180"/>
      <c r="F903" s="180"/>
      <c r="G903" s="180"/>
      <c r="H903" s="180"/>
      <c r="I903" s="181"/>
      <c r="J903" s="180"/>
      <c r="K903" s="180"/>
      <c r="L903" s="180"/>
      <c r="M903" s="180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1"/>
      <c r="Y903" s="180"/>
      <c r="Z903" s="183"/>
      <c r="AA903" s="183"/>
      <c r="AB903" s="180"/>
      <c r="AC903" s="183"/>
      <c r="AD903" s="183"/>
      <c r="AE903" s="180"/>
      <c r="AF903" s="184"/>
      <c r="AG903" s="185"/>
      <c r="AH903" s="186"/>
      <c r="AI903" s="187"/>
      <c r="AJ903" s="187"/>
      <c r="AK903" s="188"/>
      <c r="AL903" s="189"/>
      <c r="AM903" s="188"/>
      <c r="AN903" s="181"/>
    </row>
    <row r="904" spans="1:40" ht="26.25" customHeight="1">
      <c r="A904" s="177"/>
      <c r="B904" s="178"/>
      <c r="C904" s="179"/>
      <c r="D904" s="180"/>
      <c r="E904" s="180"/>
      <c r="F904" s="180"/>
      <c r="G904" s="180"/>
      <c r="H904" s="180"/>
      <c r="I904" s="181"/>
      <c r="J904" s="180"/>
      <c r="K904" s="180"/>
      <c r="L904" s="180"/>
      <c r="M904" s="180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1"/>
      <c r="Y904" s="180"/>
      <c r="Z904" s="183"/>
      <c r="AA904" s="183"/>
      <c r="AB904" s="180"/>
      <c r="AC904" s="183"/>
      <c r="AD904" s="183"/>
      <c r="AE904" s="180"/>
      <c r="AF904" s="184"/>
      <c r="AG904" s="185"/>
      <c r="AH904" s="186"/>
      <c r="AI904" s="187"/>
      <c r="AJ904" s="187"/>
      <c r="AK904" s="188"/>
      <c r="AL904" s="189"/>
      <c r="AM904" s="188"/>
      <c r="AN904" s="181"/>
    </row>
    <row r="905" spans="1:40" ht="26.25" customHeight="1">
      <c r="A905" s="177"/>
      <c r="B905" s="178"/>
      <c r="C905" s="179"/>
      <c r="D905" s="180"/>
      <c r="E905" s="180"/>
      <c r="F905" s="180"/>
      <c r="G905" s="180"/>
      <c r="H905" s="180"/>
      <c r="I905" s="181"/>
      <c r="J905" s="180"/>
      <c r="K905" s="180"/>
      <c r="L905" s="180"/>
      <c r="M905" s="180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1"/>
      <c r="Y905" s="180"/>
      <c r="Z905" s="183"/>
      <c r="AA905" s="183"/>
      <c r="AB905" s="180"/>
      <c r="AC905" s="183"/>
      <c r="AD905" s="183"/>
      <c r="AE905" s="180"/>
      <c r="AF905" s="184"/>
      <c r="AG905" s="185"/>
      <c r="AH905" s="186"/>
      <c r="AI905" s="187"/>
      <c r="AJ905" s="187"/>
      <c r="AK905" s="188"/>
      <c r="AL905" s="189"/>
      <c r="AM905" s="188"/>
      <c r="AN905" s="181"/>
    </row>
    <row r="906" spans="1:40" ht="26.25" customHeight="1">
      <c r="A906" s="177"/>
      <c r="B906" s="178"/>
      <c r="C906" s="179"/>
      <c r="D906" s="180"/>
      <c r="E906" s="180"/>
      <c r="F906" s="180"/>
      <c r="G906" s="180"/>
      <c r="H906" s="180"/>
      <c r="I906" s="181"/>
      <c r="J906" s="180"/>
      <c r="K906" s="180"/>
      <c r="L906" s="180"/>
      <c r="M906" s="180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1"/>
      <c r="Y906" s="180"/>
      <c r="Z906" s="183"/>
      <c r="AA906" s="183"/>
      <c r="AB906" s="180"/>
      <c r="AC906" s="183"/>
      <c r="AD906" s="183"/>
      <c r="AE906" s="180"/>
      <c r="AF906" s="184"/>
      <c r="AG906" s="185"/>
      <c r="AH906" s="186"/>
      <c r="AI906" s="187"/>
      <c r="AJ906" s="187"/>
      <c r="AK906" s="188"/>
      <c r="AL906" s="189"/>
      <c r="AM906" s="188"/>
      <c r="AN906" s="181"/>
    </row>
    <row r="907" spans="1:40" ht="26.25" customHeight="1">
      <c r="A907" s="177"/>
      <c r="B907" s="178"/>
      <c r="C907" s="179"/>
      <c r="D907" s="180"/>
      <c r="E907" s="180"/>
      <c r="F907" s="180"/>
      <c r="G907" s="180"/>
      <c r="H907" s="180"/>
      <c r="I907" s="181"/>
      <c r="J907" s="180"/>
      <c r="K907" s="180"/>
      <c r="L907" s="180"/>
      <c r="M907" s="180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1"/>
      <c r="Y907" s="180"/>
      <c r="Z907" s="183"/>
      <c r="AA907" s="183"/>
      <c r="AB907" s="180"/>
      <c r="AC907" s="183"/>
      <c r="AD907" s="183"/>
      <c r="AE907" s="180"/>
      <c r="AF907" s="184"/>
      <c r="AG907" s="185"/>
      <c r="AH907" s="186"/>
      <c r="AI907" s="187"/>
      <c r="AJ907" s="187"/>
      <c r="AK907" s="188"/>
      <c r="AL907" s="189"/>
      <c r="AM907" s="188"/>
      <c r="AN907" s="181"/>
    </row>
    <row r="908" spans="1:40" ht="26.25" customHeight="1">
      <c r="A908" s="177"/>
      <c r="B908" s="178"/>
      <c r="C908" s="179"/>
      <c r="D908" s="180"/>
      <c r="E908" s="180"/>
      <c r="F908" s="180"/>
      <c r="G908" s="180"/>
      <c r="H908" s="180"/>
      <c r="I908" s="181"/>
      <c r="J908" s="180"/>
      <c r="K908" s="180"/>
      <c r="L908" s="180"/>
      <c r="M908" s="180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1"/>
      <c r="Y908" s="180"/>
      <c r="Z908" s="183"/>
      <c r="AA908" s="183"/>
      <c r="AB908" s="180"/>
      <c r="AC908" s="183"/>
      <c r="AD908" s="183"/>
      <c r="AE908" s="180"/>
      <c r="AF908" s="184"/>
      <c r="AG908" s="185"/>
      <c r="AH908" s="186"/>
      <c r="AI908" s="187"/>
      <c r="AJ908" s="187"/>
      <c r="AK908" s="188"/>
      <c r="AL908" s="189"/>
      <c r="AM908" s="188"/>
      <c r="AN908" s="181"/>
    </row>
    <row r="909" spans="1:40" ht="26.25" customHeight="1">
      <c r="A909" s="177"/>
      <c r="B909" s="178"/>
      <c r="C909" s="179"/>
      <c r="D909" s="180"/>
      <c r="E909" s="180"/>
      <c r="F909" s="180"/>
      <c r="G909" s="180"/>
      <c r="H909" s="180"/>
      <c r="I909" s="181"/>
      <c r="J909" s="180"/>
      <c r="K909" s="180"/>
      <c r="L909" s="180"/>
      <c r="M909" s="180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1"/>
      <c r="Y909" s="180"/>
      <c r="Z909" s="183"/>
      <c r="AA909" s="183"/>
      <c r="AB909" s="180"/>
      <c r="AC909" s="183"/>
      <c r="AD909" s="183"/>
      <c r="AE909" s="180"/>
      <c r="AF909" s="184"/>
      <c r="AG909" s="185"/>
      <c r="AH909" s="186"/>
      <c r="AI909" s="187"/>
      <c r="AJ909" s="187"/>
      <c r="AK909" s="188"/>
      <c r="AL909" s="189"/>
      <c r="AM909" s="188"/>
      <c r="AN909" s="181"/>
    </row>
    <row r="910" spans="1:40" ht="26.25" customHeight="1">
      <c r="A910" s="177"/>
      <c r="B910" s="178"/>
      <c r="C910" s="179"/>
      <c r="D910" s="180"/>
      <c r="E910" s="180"/>
      <c r="F910" s="180"/>
      <c r="G910" s="180"/>
      <c r="H910" s="180"/>
      <c r="I910" s="181"/>
      <c r="J910" s="180"/>
      <c r="K910" s="180"/>
      <c r="L910" s="180"/>
      <c r="M910" s="180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1"/>
      <c r="Y910" s="180"/>
      <c r="Z910" s="183"/>
      <c r="AA910" s="183"/>
      <c r="AB910" s="180"/>
      <c r="AC910" s="183"/>
      <c r="AD910" s="183"/>
      <c r="AE910" s="180"/>
      <c r="AF910" s="184"/>
      <c r="AG910" s="185"/>
      <c r="AH910" s="186"/>
      <c r="AI910" s="187"/>
      <c r="AJ910" s="187"/>
      <c r="AK910" s="188"/>
      <c r="AL910" s="189"/>
      <c r="AM910" s="188"/>
      <c r="AN910" s="181"/>
    </row>
    <row r="911" spans="1:40" ht="26.25" customHeight="1">
      <c r="A911" s="177"/>
      <c r="B911" s="178"/>
      <c r="C911" s="179"/>
      <c r="D911" s="180"/>
      <c r="E911" s="180"/>
      <c r="F911" s="180"/>
      <c r="G911" s="180"/>
      <c r="H911" s="180"/>
      <c r="I911" s="181"/>
      <c r="J911" s="180"/>
      <c r="K911" s="180"/>
      <c r="L911" s="180"/>
      <c r="M911" s="180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1"/>
      <c r="Y911" s="180"/>
      <c r="Z911" s="183"/>
      <c r="AA911" s="183"/>
      <c r="AB911" s="180"/>
      <c r="AC911" s="183"/>
      <c r="AD911" s="183"/>
      <c r="AE911" s="180"/>
      <c r="AF911" s="184"/>
      <c r="AG911" s="185"/>
      <c r="AH911" s="186"/>
      <c r="AI911" s="187"/>
      <c r="AJ911" s="187"/>
      <c r="AK911" s="188"/>
      <c r="AL911" s="189"/>
      <c r="AM911" s="188"/>
      <c r="AN911" s="181"/>
    </row>
    <row r="912" spans="1:40" ht="26.25" customHeight="1">
      <c r="A912" s="177"/>
      <c r="B912" s="178"/>
      <c r="C912" s="179"/>
      <c r="D912" s="180"/>
      <c r="E912" s="180"/>
      <c r="F912" s="180"/>
      <c r="G912" s="180"/>
      <c r="H912" s="180"/>
      <c r="I912" s="181"/>
      <c r="J912" s="180"/>
      <c r="K912" s="180"/>
      <c r="L912" s="180"/>
      <c r="M912" s="180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1"/>
      <c r="Y912" s="180"/>
      <c r="Z912" s="183"/>
      <c r="AA912" s="183"/>
      <c r="AB912" s="180"/>
      <c r="AC912" s="183"/>
      <c r="AD912" s="183"/>
      <c r="AE912" s="180"/>
      <c r="AF912" s="184"/>
      <c r="AG912" s="185"/>
      <c r="AH912" s="186"/>
      <c r="AI912" s="187"/>
      <c r="AJ912" s="187"/>
      <c r="AK912" s="188"/>
      <c r="AL912" s="189"/>
      <c r="AM912" s="188"/>
      <c r="AN912" s="181"/>
    </row>
    <row r="913" spans="1:40" ht="26.25" customHeight="1">
      <c r="A913" s="177"/>
      <c r="B913" s="178"/>
      <c r="C913" s="179"/>
      <c r="D913" s="180"/>
      <c r="E913" s="180"/>
      <c r="F913" s="180"/>
      <c r="G913" s="180"/>
      <c r="H913" s="180"/>
      <c r="I913" s="181"/>
      <c r="J913" s="180"/>
      <c r="K913" s="180"/>
      <c r="L913" s="180"/>
      <c r="M913" s="180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1"/>
      <c r="Y913" s="180"/>
      <c r="Z913" s="183"/>
      <c r="AA913" s="183"/>
      <c r="AB913" s="180"/>
      <c r="AC913" s="183"/>
      <c r="AD913" s="183"/>
      <c r="AE913" s="180"/>
      <c r="AF913" s="184"/>
      <c r="AG913" s="185"/>
      <c r="AH913" s="186"/>
      <c r="AI913" s="187"/>
      <c r="AJ913" s="187"/>
      <c r="AK913" s="188"/>
      <c r="AL913" s="189"/>
      <c r="AM913" s="188"/>
      <c r="AN913" s="181"/>
    </row>
    <row r="914" spans="1:40" ht="26.25" customHeight="1">
      <c r="A914" s="177"/>
      <c r="B914" s="178"/>
      <c r="C914" s="179"/>
      <c r="D914" s="180"/>
      <c r="E914" s="180"/>
      <c r="F914" s="180"/>
      <c r="G914" s="180"/>
      <c r="H914" s="180"/>
      <c r="I914" s="181"/>
      <c r="J914" s="180"/>
      <c r="K914" s="180"/>
      <c r="L914" s="180"/>
      <c r="M914" s="180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1"/>
      <c r="Y914" s="180"/>
      <c r="Z914" s="183"/>
      <c r="AA914" s="183"/>
      <c r="AB914" s="180"/>
      <c r="AC914" s="183"/>
      <c r="AD914" s="183"/>
      <c r="AE914" s="180"/>
      <c r="AF914" s="184"/>
      <c r="AG914" s="185"/>
      <c r="AH914" s="186"/>
      <c r="AI914" s="187"/>
      <c r="AJ914" s="187"/>
      <c r="AK914" s="188"/>
      <c r="AL914" s="189"/>
      <c r="AM914" s="188"/>
      <c r="AN914" s="181"/>
    </row>
    <row r="915" spans="1:40" ht="26.25" customHeight="1">
      <c r="A915" s="177"/>
      <c r="B915" s="178"/>
      <c r="C915" s="179"/>
      <c r="D915" s="180"/>
      <c r="E915" s="180"/>
      <c r="F915" s="180"/>
      <c r="G915" s="180"/>
      <c r="H915" s="180"/>
      <c r="I915" s="181"/>
      <c r="J915" s="180"/>
      <c r="K915" s="180"/>
      <c r="L915" s="180"/>
      <c r="M915" s="180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1"/>
      <c r="Y915" s="180"/>
      <c r="Z915" s="183"/>
      <c r="AA915" s="183"/>
      <c r="AB915" s="180"/>
      <c r="AC915" s="183"/>
      <c r="AD915" s="183"/>
      <c r="AE915" s="180"/>
      <c r="AF915" s="184"/>
      <c r="AG915" s="185"/>
      <c r="AH915" s="186"/>
      <c r="AI915" s="187"/>
      <c r="AJ915" s="187"/>
      <c r="AK915" s="188"/>
      <c r="AL915" s="189"/>
      <c r="AM915" s="188"/>
      <c r="AN915" s="181"/>
    </row>
    <row r="916" spans="1:40" ht="26.25" customHeight="1">
      <c r="A916" s="177"/>
      <c r="B916" s="178"/>
      <c r="C916" s="179"/>
      <c r="D916" s="180"/>
      <c r="E916" s="180"/>
      <c r="F916" s="180"/>
      <c r="G916" s="180"/>
      <c r="H916" s="180"/>
      <c r="I916" s="181"/>
      <c r="J916" s="180"/>
      <c r="K916" s="180"/>
      <c r="L916" s="180"/>
      <c r="M916" s="180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1"/>
      <c r="Y916" s="180"/>
      <c r="Z916" s="183"/>
      <c r="AA916" s="183"/>
      <c r="AB916" s="180"/>
      <c r="AC916" s="183"/>
      <c r="AD916" s="183"/>
      <c r="AE916" s="180"/>
      <c r="AF916" s="184"/>
      <c r="AG916" s="185"/>
      <c r="AH916" s="186"/>
      <c r="AI916" s="187"/>
      <c r="AJ916" s="187"/>
      <c r="AK916" s="188"/>
      <c r="AL916" s="189"/>
      <c r="AM916" s="188"/>
      <c r="AN916" s="181"/>
    </row>
    <row r="917" spans="1:40" ht="26.25" customHeight="1">
      <c r="A917" s="177"/>
      <c r="B917" s="178"/>
      <c r="C917" s="179"/>
      <c r="D917" s="180"/>
      <c r="E917" s="180"/>
      <c r="F917" s="180"/>
      <c r="G917" s="180"/>
      <c r="H917" s="180"/>
      <c r="I917" s="181"/>
      <c r="J917" s="180"/>
      <c r="K917" s="180"/>
      <c r="L917" s="180"/>
      <c r="M917" s="180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1"/>
      <c r="Y917" s="180"/>
      <c r="Z917" s="183"/>
      <c r="AA917" s="183"/>
      <c r="AB917" s="180"/>
      <c r="AC917" s="183"/>
      <c r="AD917" s="183"/>
      <c r="AE917" s="180"/>
      <c r="AF917" s="184"/>
      <c r="AG917" s="185"/>
      <c r="AH917" s="186"/>
      <c r="AI917" s="187"/>
      <c r="AJ917" s="187"/>
      <c r="AK917" s="188"/>
      <c r="AL917" s="189"/>
      <c r="AM917" s="188"/>
      <c r="AN917" s="181"/>
    </row>
    <row r="918" spans="1:40" ht="26.25" customHeight="1">
      <c r="A918" s="177"/>
      <c r="B918" s="178"/>
      <c r="C918" s="179"/>
      <c r="D918" s="180"/>
      <c r="E918" s="180"/>
      <c r="F918" s="180"/>
      <c r="G918" s="180"/>
      <c r="H918" s="180"/>
      <c r="I918" s="181"/>
      <c r="J918" s="180"/>
      <c r="K918" s="180"/>
      <c r="L918" s="180"/>
      <c r="M918" s="180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1"/>
      <c r="Y918" s="180"/>
      <c r="Z918" s="183"/>
      <c r="AA918" s="183"/>
      <c r="AB918" s="180"/>
      <c r="AC918" s="183"/>
      <c r="AD918" s="183"/>
      <c r="AE918" s="180"/>
      <c r="AF918" s="184"/>
      <c r="AG918" s="185"/>
      <c r="AH918" s="186"/>
      <c r="AI918" s="187"/>
      <c r="AJ918" s="187"/>
      <c r="AK918" s="188"/>
      <c r="AL918" s="189"/>
      <c r="AM918" s="188"/>
      <c r="AN918" s="181"/>
    </row>
    <row r="919" spans="1:40" ht="26.25" customHeight="1">
      <c r="A919" s="177"/>
      <c r="B919" s="178"/>
      <c r="C919" s="179"/>
      <c r="D919" s="180"/>
      <c r="E919" s="180"/>
      <c r="F919" s="180"/>
      <c r="G919" s="180"/>
      <c r="H919" s="180"/>
      <c r="I919" s="181"/>
      <c r="J919" s="180"/>
      <c r="K919" s="180"/>
      <c r="L919" s="180"/>
      <c r="M919" s="180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1"/>
      <c r="Y919" s="180"/>
      <c r="Z919" s="183"/>
      <c r="AA919" s="183"/>
      <c r="AB919" s="180"/>
      <c r="AC919" s="183"/>
      <c r="AD919" s="183"/>
      <c r="AE919" s="180"/>
      <c r="AF919" s="184"/>
      <c r="AG919" s="185"/>
      <c r="AH919" s="186"/>
      <c r="AI919" s="187"/>
      <c r="AJ919" s="187"/>
      <c r="AK919" s="188"/>
      <c r="AL919" s="189"/>
      <c r="AM919" s="188"/>
      <c r="AN919" s="181"/>
    </row>
    <row r="920" spans="1:40" ht="26.25" customHeight="1">
      <c r="A920" s="177"/>
      <c r="B920" s="178"/>
      <c r="C920" s="179"/>
      <c r="D920" s="180"/>
      <c r="E920" s="180"/>
      <c r="F920" s="180"/>
      <c r="G920" s="180"/>
      <c r="H920" s="180"/>
      <c r="I920" s="181"/>
      <c r="J920" s="180"/>
      <c r="K920" s="180"/>
      <c r="L920" s="180"/>
      <c r="M920" s="180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1"/>
      <c r="Y920" s="180"/>
      <c r="Z920" s="183"/>
      <c r="AA920" s="183"/>
      <c r="AB920" s="180"/>
      <c r="AC920" s="183"/>
      <c r="AD920" s="183"/>
      <c r="AE920" s="180"/>
      <c r="AF920" s="184"/>
      <c r="AG920" s="185"/>
      <c r="AH920" s="186"/>
      <c r="AI920" s="187"/>
      <c r="AJ920" s="187"/>
      <c r="AK920" s="188"/>
      <c r="AL920" s="189"/>
      <c r="AM920" s="188"/>
      <c r="AN920" s="181"/>
    </row>
    <row r="921" spans="1:40" ht="26.25" customHeight="1">
      <c r="A921" s="177"/>
      <c r="B921" s="178"/>
      <c r="C921" s="179"/>
      <c r="D921" s="180"/>
      <c r="E921" s="180"/>
      <c r="F921" s="180"/>
      <c r="G921" s="180"/>
      <c r="H921" s="180"/>
      <c r="I921" s="181"/>
      <c r="J921" s="180"/>
      <c r="K921" s="180"/>
      <c r="L921" s="180"/>
      <c r="M921" s="180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1"/>
      <c r="Y921" s="180"/>
      <c r="Z921" s="183"/>
      <c r="AA921" s="183"/>
      <c r="AB921" s="180"/>
      <c r="AC921" s="183"/>
      <c r="AD921" s="183"/>
      <c r="AE921" s="180"/>
      <c r="AF921" s="184"/>
      <c r="AG921" s="185"/>
      <c r="AH921" s="186"/>
      <c r="AI921" s="187"/>
      <c r="AJ921" s="187"/>
      <c r="AK921" s="188"/>
      <c r="AL921" s="189"/>
      <c r="AM921" s="188"/>
      <c r="AN921" s="181"/>
    </row>
    <row r="922" spans="1:40" ht="26.25" customHeight="1">
      <c r="A922" s="177"/>
      <c r="B922" s="178"/>
      <c r="C922" s="179"/>
      <c r="D922" s="180"/>
      <c r="E922" s="180"/>
      <c r="F922" s="180"/>
      <c r="G922" s="180"/>
      <c r="H922" s="180"/>
      <c r="I922" s="181"/>
      <c r="J922" s="180"/>
      <c r="K922" s="180"/>
      <c r="L922" s="180"/>
      <c r="M922" s="180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1"/>
      <c r="Y922" s="180"/>
      <c r="Z922" s="183"/>
      <c r="AA922" s="183"/>
      <c r="AB922" s="180"/>
      <c r="AC922" s="183"/>
      <c r="AD922" s="183"/>
      <c r="AE922" s="180"/>
      <c r="AF922" s="184"/>
      <c r="AG922" s="185"/>
      <c r="AH922" s="186"/>
      <c r="AI922" s="187"/>
      <c r="AJ922" s="187"/>
      <c r="AK922" s="188"/>
      <c r="AL922" s="189"/>
      <c r="AM922" s="188"/>
      <c r="AN922" s="181"/>
    </row>
    <row r="923" spans="1:40" ht="26.25" customHeight="1">
      <c r="A923" s="177"/>
      <c r="B923" s="178"/>
      <c r="C923" s="179"/>
      <c r="D923" s="180"/>
      <c r="E923" s="180"/>
      <c r="F923" s="180"/>
      <c r="G923" s="180"/>
      <c r="H923" s="180"/>
      <c r="I923" s="181"/>
      <c r="J923" s="180"/>
      <c r="K923" s="180"/>
      <c r="L923" s="180"/>
      <c r="M923" s="180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1"/>
      <c r="Y923" s="180"/>
      <c r="Z923" s="183"/>
      <c r="AA923" s="183"/>
      <c r="AB923" s="180"/>
      <c r="AC923" s="183"/>
      <c r="AD923" s="183"/>
      <c r="AE923" s="180"/>
      <c r="AF923" s="184"/>
      <c r="AG923" s="185"/>
      <c r="AH923" s="186"/>
      <c r="AI923" s="187"/>
      <c r="AJ923" s="187"/>
      <c r="AK923" s="188"/>
      <c r="AL923" s="189"/>
      <c r="AM923" s="188"/>
      <c r="AN923" s="181"/>
    </row>
    <row r="924" spans="1:40" ht="26.25" customHeight="1">
      <c r="A924" s="177"/>
      <c r="B924" s="178"/>
      <c r="C924" s="179"/>
      <c r="D924" s="180"/>
      <c r="E924" s="180"/>
      <c r="F924" s="180"/>
      <c r="G924" s="180"/>
      <c r="H924" s="180"/>
      <c r="I924" s="181"/>
      <c r="J924" s="180"/>
      <c r="K924" s="180"/>
      <c r="L924" s="180"/>
      <c r="M924" s="180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1"/>
      <c r="Y924" s="180"/>
      <c r="Z924" s="183"/>
      <c r="AA924" s="183"/>
      <c r="AB924" s="180"/>
      <c r="AC924" s="183"/>
      <c r="AD924" s="183"/>
      <c r="AE924" s="180"/>
      <c r="AF924" s="184"/>
      <c r="AG924" s="185"/>
      <c r="AH924" s="186"/>
      <c r="AI924" s="187"/>
      <c r="AJ924" s="187"/>
      <c r="AK924" s="188"/>
      <c r="AL924" s="189"/>
      <c r="AM924" s="188"/>
      <c r="AN924" s="181"/>
    </row>
    <row r="925" spans="1:40" ht="26.25" customHeight="1">
      <c r="A925" s="177"/>
      <c r="B925" s="178"/>
      <c r="C925" s="179"/>
      <c r="D925" s="180"/>
      <c r="E925" s="180"/>
      <c r="F925" s="180"/>
      <c r="G925" s="180"/>
      <c r="H925" s="180"/>
      <c r="I925" s="181"/>
      <c r="J925" s="180"/>
      <c r="K925" s="180"/>
      <c r="L925" s="180"/>
      <c r="M925" s="180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1"/>
      <c r="Y925" s="180"/>
      <c r="Z925" s="183"/>
      <c r="AA925" s="183"/>
      <c r="AB925" s="180"/>
      <c r="AC925" s="183"/>
      <c r="AD925" s="183"/>
      <c r="AE925" s="180"/>
      <c r="AF925" s="184"/>
      <c r="AG925" s="185"/>
      <c r="AH925" s="186"/>
      <c r="AI925" s="187"/>
      <c r="AJ925" s="187"/>
      <c r="AK925" s="188"/>
      <c r="AL925" s="189"/>
      <c r="AM925" s="188"/>
      <c r="AN925" s="181"/>
    </row>
    <row r="926" spans="1:40" ht="26.25" customHeight="1">
      <c r="A926" s="177"/>
      <c r="B926" s="178"/>
      <c r="C926" s="179"/>
      <c r="D926" s="180"/>
      <c r="E926" s="180"/>
      <c r="F926" s="180"/>
      <c r="G926" s="180"/>
      <c r="H926" s="180"/>
      <c r="I926" s="181"/>
      <c r="J926" s="180"/>
      <c r="K926" s="180"/>
      <c r="L926" s="180"/>
      <c r="M926" s="180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1"/>
      <c r="Y926" s="180"/>
      <c r="Z926" s="183"/>
      <c r="AA926" s="183"/>
      <c r="AB926" s="180"/>
      <c r="AC926" s="183"/>
      <c r="AD926" s="183"/>
      <c r="AE926" s="180"/>
      <c r="AF926" s="184"/>
      <c r="AG926" s="185"/>
      <c r="AH926" s="186"/>
      <c r="AI926" s="187"/>
      <c r="AJ926" s="187"/>
      <c r="AK926" s="188"/>
      <c r="AL926" s="189"/>
      <c r="AM926" s="188"/>
      <c r="AN926" s="181"/>
    </row>
    <row r="927" spans="1:40" ht="26.25" customHeight="1">
      <c r="A927" s="177"/>
      <c r="B927" s="178"/>
      <c r="C927" s="179"/>
      <c r="D927" s="180"/>
      <c r="E927" s="180"/>
      <c r="F927" s="180"/>
      <c r="G927" s="180"/>
      <c r="H927" s="180"/>
      <c r="I927" s="181"/>
      <c r="J927" s="180"/>
      <c r="K927" s="180"/>
      <c r="L927" s="180"/>
      <c r="M927" s="180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1"/>
      <c r="Y927" s="180"/>
      <c r="Z927" s="183"/>
      <c r="AA927" s="183"/>
      <c r="AB927" s="180"/>
      <c r="AC927" s="183"/>
      <c r="AD927" s="183"/>
      <c r="AE927" s="180"/>
      <c r="AF927" s="184"/>
      <c r="AG927" s="185"/>
      <c r="AH927" s="186"/>
      <c r="AI927" s="187"/>
      <c r="AJ927" s="187"/>
      <c r="AK927" s="188"/>
      <c r="AL927" s="189"/>
      <c r="AM927" s="188"/>
      <c r="AN927" s="181"/>
    </row>
    <row r="928" spans="1:40" ht="26.25" customHeight="1">
      <c r="A928" s="177"/>
      <c r="B928" s="178"/>
      <c r="C928" s="179"/>
      <c r="D928" s="180"/>
      <c r="E928" s="180"/>
      <c r="F928" s="180"/>
      <c r="G928" s="180"/>
      <c r="H928" s="180"/>
      <c r="I928" s="181"/>
      <c r="J928" s="180"/>
      <c r="K928" s="180"/>
      <c r="L928" s="180"/>
      <c r="M928" s="180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1"/>
      <c r="Y928" s="180"/>
      <c r="Z928" s="183"/>
      <c r="AA928" s="183"/>
      <c r="AB928" s="180"/>
      <c r="AC928" s="183"/>
      <c r="AD928" s="183"/>
      <c r="AE928" s="180"/>
      <c r="AF928" s="184"/>
      <c r="AG928" s="185"/>
      <c r="AH928" s="186"/>
      <c r="AI928" s="187"/>
      <c r="AJ928" s="187"/>
      <c r="AK928" s="188"/>
      <c r="AL928" s="189"/>
      <c r="AM928" s="188"/>
      <c r="AN928" s="181"/>
    </row>
    <row r="929" spans="1:40" ht="26.25" customHeight="1">
      <c r="A929" s="177"/>
      <c r="B929" s="178"/>
      <c r="C929" s="179"/>
      <c r="D929" s="180"/>
      <c r="E929" s="180"/>
      <c r="F929" s="180"/>
      <c r="G929" s="180"/>
      <c r="H929" s="180"/>
      <c r="I929" s="181"/>
      <c r="J929" s="180"/>
      <c r="K929" s="180"/>
      <c r="L929" s="180"/>
      <c r="M929" s="180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1"/>
      <c r="Y929" s="180"/>
      <c r="Z929" s="183"/>
      <c r="AA929" s="183"/>
      <c r="AB929" s="180"/>
      <c r="AC929" s="183"/>
      <c r="AD929" s="183"/>
      <c r="AE929" s="180"/>
      <c r="AF929" s="184"/>
      <c r="AG929" s="185"/>
      <c r="AH929" s="186"/>
      <c r="AI929" s="187"/>
      <c r="AJ929" s="187"/>
      <c r="AK929" s="188"/>
      <c r="AL929" s="189"/>
      <c r="AM929" s="188"/>
      <c r="AN929" s="181"/>
    </row>
    <row r="930" spans="1:40" ht="26.25" customHeight="1">
      <c r="A930" s="177"/>
      <c r="B930" s="178"/>
      <c r="C930" s="179"/>
      <c r="D930" s="180"/>
      <c r="E930" s="180"/>
      <c r="F930" s="180"/>
      <c r="G930" s="180"/>
      <c r="H930" s="180"/>
      <c r="I930" s="181"/>
      <c r="J930" s="180"/>
      <c r="K930" s="180"/>
      <c r="L930" s="180"/>
      <c r="M930" s="180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1"/>
      <c r="Y930" s="180"/>
      <c r="Z930" s="183"/>
      <c r="AA930" s="183"/>
      <c r="AB930" s="180"/>
      <c r="AC930" s="183"/>
      <c r="AD930" s="183"/>
      <c r="AE930" s="180"/>
      <c r="AF930" s="184"/>
      <c r="AG930" s="185"/>
      <c r="AH930" s="186"/>
      <c r="AI930" s="187"/>
      <c r="AJ930" s="187"/>
      <c r="AK930" s="188"/>
      <c r="AL930" s="189"/>
      <c r="AM930" s="188"/>
      <c r="AN930" s="181"/>
    </row>
    <row r="931" spans="1:40" ht="26.25" customHeight="1">
      <c r="A931" s="177"/>
      <c r="B931" s="178"/>
      <c r="C931" s="179"/>
      <c r="D931" s="180"/>
      <c r="E931" s="180"/>
      <c r="F931" s="180"/>
      <c r="G931" s="180"/>
      <c r="H931" s="180"/>
      <c r="I931" s="181"/>
      <c r="J931" s="180"/>
      <c r="K931" s="180"/>
      <c r="L931" s="180"/>
      <c r="M931" s="180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1"/>
      <c r="Y931" s="180"/>
      <c r="Z931" s="183"/>
      <c r="AA931" s="183"/>
      <c r="AB931" s="180"/>
      <c r="AC931" s="183"/>
      <c r="AD931" s="183"/>
      <c r="AE931" s="180"/>
      <c r="AF931" s="184"/>
      <c r="AG931" s="185"/>
      <c r="AH931" s="186"/>
      <c r="AI931" s="187"/>
      <c r="AJ931" s="187"/>
      <c r="AK931" s="188"/>
      <c r="AL931" s="189"/>
      <c r="AM931" s="188"/>
      <c r="AN931" s="181"/>
    </row>
    <row r="932" spans="1:40" ht="26.25" customHeight="1">
      <c r="A932" s="177"/>
      <c r="B932" s="178"/>
      <c r="C932" s="179"/>
      <c r="D932" s="180"/>
      <c r="E932" s="180"/>
      <c r="F932" s="180"/>
      <c r="G932" s="180"/>
      <c r="H932" s="180"/>
      <c r="I932" s="181"/>
      <c r="J932" s="180"/>
      <c r="K932" s="180"/>
      <c r="L932" s="180"/>
      <c r="M932" s="180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1"/>
      <c r="Y932" s="180"/>
      <c r="Z932" s="183"/>
      <c r="AA932" s="183"/>
      <c r="AB932" s="180"/>
      <c r="AC932" s="183"/>
      <c r="AD932" s="183"/>
      <c r="AE932" s="180"/>
      <c r="AF932" s="184"/>
      <c r="AG932" s="185"/>
      <c r="AH932" s="186"/>
      <c r="AI932" s="187"/>
      <c r="AJ932" s="187"/>
      <c r="AK932" s="188"/>
      <c r="AL932" s="189"/>
      <c r="AM932" s="188"/>
      <c r="AN932" s="181"/>
    </row>
    <row r="933" spans="1:40" ht="26.25" customHeight="1">
      <c r="A933" s="177"/>
      <c r="B933" s="178"/>
      <c r="C933" s="179"/>
      <c r="D933" s="180"/>
      <c r="E933" s="180"/>
      <c r="F933" s="180"/>
      <c r="G933" s="180"/>
      <c r="H933" s="180"/>
      <c r="I933" s="181"/>
      <c r="J933" s="180"/>
      <c r="K933" s="180"/>
      <c r="L933" s="180"/>
      <c r="M933" s="180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1"/>
      <c r="Y933" s="180"/>
      <c r="Z933" s="183"/>
      <c r="AA933" s="183"/>
      <c r="AB933" s="180"/>
      <c r="AC933" s="183"/>
      <c r="AD933" s="183"/>
      <c r="AE933" s="180"/>
      <c r="AF933" s="184"/>
      <c r="AG933" s="185"/>
      <c r="AH933" s="186"/>
      <c r="AI933" s="187"/>
      <c r="AJ933" s="187"/>
      <c r="AK933" s="188"/>
      <c r="AL933" s="189"/>
      <c r="AM933" s="188"/>
      <c r="AN933" s="181"/>
    </row>
    <row r="934" spans="1:40" ht="26.25" customHeight="1">
      <c r="A934" s="177"/>
      <c r="B934" s="178"/>
      <c r="C934" s="179"/>
      <c r="D934" s="180"/>
      <c r="E934" s="180"/>
      <c r="F934" s="180"/>
      <c r="G934" s="180"/>
      <c r="H934" s="180"/>
      <c r="I934" s="181"/>
      <c r="J934" s="180"/>
      <c r="K934" s="180"/>
      <c r="L934" s="180"/>
      <c r="M934" s="180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1"/>
      <c r="Y934" s="180"/>
      <c r="Z934" s="183"/>
      <c r="AA934" s="183"/>
      <c r="AB934" s="180"/>
      <c r="AC934" s="183"/>
      <c r="AD934" s="183"/>
      <c r="AE934" s="180"/>
      <c r="AF934" s="184"/>
      <c r="AG934" s="185"/>
      <c r="AH934" s="186"/>
      <c r="AI934" s="187"/>
      <c r="AJ934" s="187"/>
      <c r="AK934" s="188"/>
      <c r="AL934" s="189"/>
      <c r="AM934" s="188"/>
      <c r="AN934" s="181"/>
    </row>
    <row r="935" spans="1:40" ht="26.25" customHeight="1">
      <c r="A935" s="177"/>
      <c r="B935" s="178"/>
      <c r="C935" s="179"/>
      <c r="D935" s="180"/>
      <c r="E935" s="180"/>
      <c r="F935" s="180"/>
      <c r="G935" s="180"/>
      <c r="H935" s="180"/>
      <c r="I935" s="181"/>
      <c r="J935" s="180"/>
      <c r="K935" s="180"/>
      <c r="L935" s="180"/>
      <c r="M935" s="180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1"/>
      <c r="Y935" s="180"/>
      <c r="Z935" s="183"/>
      <c r="AA935" s="183"/>
      <c r="AB935" s="180"/>
      <c r="AC935" s="183"/>
      <c r="AD935" s="183"/>
      <c r="AE935" s="180"/>
      <c r="AF935" s="184"/>
      <c r="AG935" s="185"/>
      <c r="AH935" s="186"/>
      <c r="AI935" s="187"/>
      <c r="AJ935" s="187"/>
      <c r="AK935" s="188"/>
      <c r="AL935" s="189"/>
      <c r="AM935" s="188"/>
      <c r="AN935" s="181"/>
    </row>
    <row r="936" spans="1:40" ht="26.25" customHeight="1">
      <c r="A936" s="177"/>
      <c r="B936" s="178"/>
      <c r="C936" s="179"/>
      <c r="D936" s="180"/>
      <c r="E936" s="180"/>
      <c r="F936" s="180"/>
      <c r="G936" s="180"/>
      <c r="H936" s="180"/>
      <c r="I936" s="181"/>
      <c r="J936" s="180"/>
      <c r="K936" s="180"/>
      <c r="L936" s="180"/>
      <c r="M936" s="180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1"/>
      <c r="Y936" s="180"/>
      <c r="Z936" s="183"/>
      <c r="AA936" s="183"/>
      <c r="AB936" s="180"/>
      <c r="AC936" s="183"/>
      <c r="AD936" s="183"/>
      <c r="AE936" s="180"/>
      <c r="AF936" s="184"/>
      <c r="AG936" s="185"/>
      <c r="AH936" s="186"/>
      <c r="AI936" s="187"/>
      <c r="AJ936" s="187"/>
      <c r="AK936" s="188"/>
      <c r="AL936" s="189"/>
      <c r="AM936" s="188"/>
      <c r="AN936" s="181"/>
    </row>
    <row r="937" spans="1:40" ht="26.25" customHeight="1">
      <c r="A937" s="177"/>
      <c r="B937" s="178"/>
      <c r="C937" s="179"/>
      <c r="D937" s="180"/>
      <c r="E937" s="180"/>
      <c r="F937" s="180"/>
      <c r="G937" s="180"/>
      <c r="H937" s="180"/>
      <c r="I937" s="181"/>
      <c r="J937" s="180"/>
      <c r="K937" s="180"/>
      <c r="L937" s="180"/>
      <c r="M937" s="180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1"/>
      <c r="Y937" s="180"/>
      <c r="Z937" s="183"/>
      <c r="AA937" s="183"/>
      <c r="AB937" s="180"/>
      <c r="AC937" s="183"/>
      <c r="AD937" s="183"/>
      <c r="AE937" s="180"/>
      <c r="AF937" s="184"/>
      <c r="AG937" s="185"/>
      <c r="AH937" s="186"/>
      <c r="AI937" s="187"/>
      <c r="AJ937" s="187"/>
      <c r="AK937" s="188"/>
      <c r="AL937" s="189"/>
      <c r="AM937" s="188"/>
      <c r="AN937" s="181"/>
    </row>
    <row r="938" spans="1:40" ht="26.25" customHeight="1">
      <c r="A938" s="177"/>
      <c r="B938" s="178"/>
      <c r="C938" s="179"/>
      <c r="D938" s="180"/>
      <c r="E938" s="180"/>
      <c r="F938" s="180"/>
      <c r="G938" s="180"/>
      <c r="H938" s="180"/>
      <c r="I938" s="181"/>
      <c r="J938" s="180"/>
      <c r="K938" s="180"/>
      <c r="L938" s="180"/>
      <c r="M938" s="180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1"/>
      <c r="Y938" s="180"/>
      <c r="Z938" s="183"/>
      <c r="AA938" s="183"/>
      <c r="AB938" s="180"/>
      <c r="AC938" s="183"/>
      <c r="AD938" s="183"/>
      <c r="AE938" s="180"/>
      <c r="AF938" s="184"/>
      <c r="AG938" s="185"/>
      <c r="AH938" s="186"/>
      <c r="AI938" s="187"/>
      <c r="AJ938" s="187"/>
      <c r="AK938" s="188"/>
      <c r="AL938" s="189"/>
      <c r="AM938" s="188"/>
      <c r="AN938" s="181"/>
    </row>
    <row r="939" spans="1:40" ht="26.25" customHeight="1">
      <c r="A939" s="177"/>
      <c r="B939" s="178"/>
      <c r="C939" s="179"/>
      <c r="D939" s="180"/>
      <c r="E939" s="180"/>
      <c r="F939" s="180"/>
      <c r="G939" s="180"/>
      <c r="H939" s="180"/>
      <c r="I939" s="181"/>
      <c r="J939" s="180"/>
      <c r="K939" s="180"/>
      <c r="L939" s="180"/>
      <c r="M939" s="180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1"/>
      <c r="Y939" s="180"/>
      <c r="Z939" s="183"/>
      <c r="AA939" s="183"/>
      <c r="AB939" s="180"/>
      <c r="AC939" s="183"/>
      <c r="AD939" s="183"/>
      <c r="AE939" s="180"/>
      <c r="AF939" s="184"/>
      <c r="AG939" s="185"/>
      <c r="AH939" s="186"/>
      <c r="AI939" s="187"/>
      <c r="AJ939" s="187"/>
      <c r="AK939" s="188"/>
      <c r="AL939" s="189"/>
      <c r="AM939" s="188"/>
      <c r="AN939" s="181"/>
    </row>
    <row r="940" spans="1:40" ht="26.25" customHeight="1">
      <c r="A940" s="177"/>
      <c r="B940" s="178"/>
      <c r="C940" s="179"/>
      <c r="D940" s="180"/>
      <c r="E940" s="180"/>
      <c r="F940" s="180"/>
      <c r="G940" s="180"/>
      <c r="H940" s="180"/>
      <c r="I940" s="181"/>
      <c r="J940" s="180"/>
      <c r="K940" s="180"/>
      <c r="L940" s="180"/>
      <c r="M940" s="180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1"/>
      <c r="Y940" s="180"/>
      <c r="Z940" s="183"/>
      <c r="AA940" s="183"/>
      <c r="AB940" s="180"/>
      <c r="AC940" s="183"/>
      <c r="AD940" s="183"/>
      <c r="AE940" s="180"/>
      <c r="AF940" s="184"/>
      <c r="AG940" s="185"/>
      <c r="AH940" s="186"/>
      <c r="AI940" s="187"/>
      <c r="AJ940" s="187"/>
      <c r="AK940" s="188"/>
      <c r="AL940" s="189"/>
      <c r="AM940" s="188"/>
      <c r="AN940" s="181"/>
    </row>
    <row r="941" spans="1:40" ht="26.25" customHeight="1">
      <c r="A941" s="177"/>
      <c r="B941" s="178"/>
      <c r="C941" s="179"/>
      <c r="D941" s="180"/>
      <c r="E941" s="180"/>
      <c r="F941" s="180"/>
      <c r="G941" s="180"/>
      <c r="H941" s="180"/>
      <c r="I941" s="181"/>
      <c r="J941" s="180"/>
      <c r="K941" s="180"/>
      <c r="L941" s="180"/>
      <c r="M941" s="180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1"/>
      <c r="Y941" s="180"/>
      <c r="Z941" s="183"/>
      <c r="AA941" s="183"/>
      <c r="AB941" s="180"/>
      <c r="AC941" s="183"/>
      <c r="AD941" s="183"/>
      <c r="AE941" s="180"/>
      <c r="AF941" s="184"/>
      <c r="AG941" s="185"/>
      <c r="AH941" s="186"/>
      <c r="AI941" s="187"/>
      <c r="AJ941" s="187"/>
      <c r="AK941" s="188"/>
      <c r="AL941" s="189"/>
      <c r="AM941" s="188"/>
      <c r="AN941" s="181"/>
    </row>
    <row r="942" spans="1:40" ht="26.25" customHeight="1">
      <c r="A942" s="177"/>
      <c r="B942" s="178"/>
      <c r="C942" s="179"/>
      <c r="D942" s="180"/>
      <c r="E942" s="180"/>
      <c r="F942" s="180"/>
      <c r="G942" s="180"/>
      <c r="H942" s="180"/>
      <c r="I942" s="181"/>
      <c r="J942" s="180"/>
      <c r="K942" s="180"/>
      <c r="L942" s="180"/>
      <c r="M942" s="180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1"/>
      <c r="Y942" s="180"/>
      <c r="Z942" s="183"/>
      <c r="AA942" s="183"/>
      <c r="AB942" s="180"/>
      <c r="AC942" s="183"/>
      <c r="AD942" s="183"/>
      <c r="AE942" s="180"/>
      <c r="AF942" s="184"/>
      <c r="AG942" s="185"/>
      <c r="AH942" s="186"/>
      <c r="AI942" s="187"/>
      <c r="AJ942" s="187"/>
      <c r="AK942" s="188"/>
      <c r="AL942" s="189"/>
      <c r="AM942" s="188"/>
      <c r="AN942" s="181"/>
    </row>
    <row r="943" spans="1:40" ht="26.25" customHeight="1">
      <c r="A943" s="177"/>
      <c r="B943" s="178"/>
      <c r="C943" s="179"/>
      <c r="D943" s="180"/>
      <c r="E943" s="180"/>
      <c r="F943" s="180"/>
      <c r="G943" s="180"/>
      <c r="H943" s="180"/>
      <c r="I943" s="181"/>
      <c r="J943" s="180"/>
      <c r="K943" s="180"/>
      <c r="L943" s="180"/>
      <c r="M943" s="180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1"/>
      <c r="Y943" s="180"/>
      <c r="Z943" s="183"/>
      <c r="AA943" s="183"/>
      <c r="AB943" s="180"/>
      <c r="AC943" s="183"/>
      <c r="AD943" s="183"/>
      <c r="AE943" s="180"/>
      <c r="AF943" s="184"/>
      <c r="AG943" s="185"/>
      <c r="AH943" s="186"/>
      <c r="AI943" s="187"/>
      <c r="AJ943" s="187"/>
      <c r="AK943" s="188"/>
      <c r="AL943" s="189"/>
      <c r="AM943" s="188"/>
      <c r="AN943" s="181"/>
    </row>
    <row r="944" spans="1:40" ht="26.25" customHeight="1">
      <c r="A944" s="177"/>
      <c r="B944" s="178"/>
      <c r="C944" s="179"/>
      <c r="D944" s="180"/>
      <c r="E944" s="180"/>
      <c r="F944" s="180"/>
      <c r="G944" s="180"/>
      <c r="H944" s="180"/>
      <c r="I944" s="181"/>
      <c r="J944" s="180"/>
      <c r="K944" s="180"/>
      <c r="L944" s="180"/>
      <c r="M944" s="180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1"/>
      <c r="Y944" s="180"/>
      <c r="Z944" s="183"/>
      <c r="AA944" s="183"/>
      <c r="AB944" s="180"/>
      <c r="AC944" s="183"/>
      <c r="AD944" s="183"/>
      <c r="AE944" s="180"/>
      <c r="AF944" s="184"/>
      <c r="AG944" s="185"/>
      <c r="AH944" s="186"/>
      <c r="AI944" s="187"/>
      <c r="AJ944" s="187"/>
      <c r="AK944" s="188"/>
      <c r="AL944" s="189"/>
      <c r="AM944" s="188"/>
      <c r="AN944" s="181"/>
    </row>
    <row r="945" spans="1:40" ht="26.25" customHeight="1">
      <c r="A945" s="177"/>
      <c r="B945" s="178"/>
      <c r="C945" s="179"/>
      <c r="D945" s="180"/>
      <c r="E945" s="180"/>
      <c r="F945" s="180"/>
      <c r="G945" s="180"/>
      <c r="H945" s="180"/>
      <c r="I945" s="181"/>
      <c r="J945" s="180"/>
      <c r="K945" s="180"/>
      <c r="L945" s="180"/>
      <c r="M945" s="180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1"/>
      <c r="Y945" s="180"/>
      <c r="Z945" s="183"/>
      <c r="AA945" s="183"/>
      <c r="AB945" s="180"/>
      <c r="AC945" s="183"/>
      <c r="AD945" s="183"/>
      <c r="AE945" s="180"/>
      <c r="AF945" s="184"/>
      <c r="AG945" s="185"/>
      <c r="AH945" s="186"/>
      <c r="AI945" s="187"/>
      <c r="AJ945" s="187"/>
      <c r="AK945" s="188"/>
      <c r="AL945" s="189"/>
      <c r="AM945" s="188"/>
      <c r="AN945" s="181"/>
    </row>
    <row r="946" spans="1:40" ht="26.25" customHeight="1">
      <c r="A946" s="177"/>
      <c r="B946" s="178"/>
      <c r="C946" s="179"/>
      <c r="D946" s="180"/>
      <c r="E946" s="180"/>
      <c r="F946" s="180"/>
      <c r="G946" s="180"/>
      <c r="H946" s="180"/>
      <c r="I946" s="181"/>
      <c r="J946" s="180"/>
      <c r="K946" s="180"/>
      <c r="L946" s="180"/>
      <c r="M946" s="180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1"/>
      <c r="Y946" s="180"/>
      <c r="Z946" s="183"/>
      <c r="AA946" s="183"/>
      <c r="AB946" s="180"/>
      <c r="AC946" s="183"/>
      <c r="AD946" s="183"/>
      <c r="AE946" s="180"/>
      <c r="AF946" s="184"/>
      <c r="AG946" s="185"/>
      <c r="AH946" s="186"/>
      <c r="AI946" s="187"/>
      <c r="AJ946" s="187"/>
      <c r="AK946" s="188"/>
      <c r="AL946" s="189"/>
      <c r="AM946" s="188"/>
      <c r="AN946" s="181"/>
    </row>
    <row r="947" spans="1:40" ht="26.25" customHeight="1">
      <c r="A947" s="177"/>
      <c r="B947" s="178"/>
      <c r="C947" s="179"/>
      <c r="D947" s="180"/>
      <c r="E947" s="180"/>
      <c r="F947" s="180"/>
      <c r="G947" s="180"/>
      <c r="H947" s="180"/>
      <c r="I947" s="181"/>
      <c r="J947" s="180"/>
      <c r="K947" s="180"/>
      <c r="L947" s="180"/>
      <c r="M947" s="180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1"/>
      <c r="Y947" s="180"/>
      <c r="Z947" s="183"/>
      <c r="AA947" s="183"/>
      <c r="AB947" s="180"/>
      <c r="AC947" s="183"/>
      <c r="AD947" s="183"/>
      <c r="AE947" s="180"/>
      <c r="AF947" s="184"/>
      <c r="AG947" s="185"/>
      <c r="AH947" s="186"/>
      <c r="AI947" s="187"/>
      <c r="AJ947" s="187"/>
      <c r="AK947" s="188"/>
      <c r="AL947" s="189"/>
      <c r="AM947" s="188"/>
      <c r="AN947" s="181"/>
    </row>
    <row r="948" spans="1:40" ht="26.25" customHeight="1">
      <c r="A948" s="177"/>
      <c r="B948" s="178"/>
      <c r="C948" s="179"/>
      <c r="D948" s="180"/>
      <c r="E948" s="180"/>
      <c r="F948" s="180"/>
      <c r="G948" s="180"/>
      <c r="H948" s="180"/>
      <c r="I948" s="181"/>
      <c r="J948" s="180"/>
      <c r="K948" s="180"/>
      <c r="L948" s="180"/>
      <c r="M948" s="180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1"/>
      <c r="Y948" s="180"/>
      <c r="Z948" s="183"/>
      <c r="AA948" s="183"/>
      <c r="AB948" s="180"/>
      <c r="AC948" s="183"/>
      <c r="AD948" s="183"/>
      <c r="AE948" s="180"/>
      <c r="AF948" s="184"/>
      <c r="AG948" s="185"/>
      <c r="AH948" s="186"/>
      <c r="AI948" s="187"/>
      <c r="AJ948" s="187"/>
      <c r="AK948" s="188"/>
      <c r="AL948" s="189"/>
      <c r="AM948" s="188"/>
      <c r="AN948" s="181"/>
    </row>
    <row r="949" spans="1:40" ht="26.25" customHeight="1">
      <c r="A949" s="177"/>
      <c r="B949" s="178"/>
      <c r="C949" s="179"/>
      <c r="D949" s="180"/>
      <c r="E949" s="180"/>
      <c r="F949" s="180"/>
      <c r="G949" s="180"/>
      <c r="H949" s="180"/>
      <c r="I949" s="181"/>
      <c r="J949" s="180"/>
      <c r="K949" s="180"/>
      <c r="L949" s="180"/>
      <c r="M949" s="180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1"/>
      <c r="Y949" s="180"/>
      <c r="Z949" s="183"/>
      <c r="AA949" s="183"/>
      <c r="AB949" s="180"/>
      <c r="AC949" s="183"/>
      <c r="AD949" s="183"/>
      <c r="AE949" s="180"/>
      <c r="AF949" s="184"/>
      <c r="AG949" s="185"/>
      <c r="AH949" s="186"/>
      <c r="AI949" s="187"/>
      <c r="AJ949" s="187"/>
      <c r="AK949" s="188"/>
      <c r="AL949" s="189"/>
      <c r="AM949" s="188"/>
      <c r="AN949" s="181"/>
    </row>
    <row r="950" spans="1:40" ht="26.25" customHeight="1">
      <c r="A950" s="177"/>
      <c r="B950" s="178"/>
      <c r="C950" s="179"/>
      <c r="D950" s="180"/>
      <c r="E950" s="180"/>
      <c r="F950" s="180"/>
      <c r="G950" s="180"/>
      <c r="H950" s="180"/>
      <c r="I950" s="181"/>
      <c r="J950" s="180"/>
      <c r="K950" s="180"/>
      <c r="L950" s="180"/>
      <c r="M950" s="180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1"/>
      <c r="Y950" s="180"/>
      <c r="Z950" s="183"/>
      <c r="AA950" s="183"/>
      <c r="AB950" s="180"/>
      <c r="AC950" s="183"/>
      <c r="AD950" s="183"/>
      <c r="AE950" s="180"/>
      <c r="AF950" s="184"/>
      <c r="AG950" s="185"/>
      <c r="AH950" s="186"/>
      <c r="AI950" s="187"/>
      <c r="AJ950" s="187"/>
      <c r="AK950" s="188"/>
      <c r="AL950" s="189"/>
      <c r="AM950" s="188"/>
      <c r="AN950" s="181"/>
    </row>
    <row r="951" spans="1:40" ht="26.25" customHeight="1">
      <c r="A951" s="177"/>
      <c r="B951" s="178"/>
      <c r="C951" s="179"/>
      <c r="D951" s="180"/>
      <c r="E951" s="180"/>
      <c r="F951" s="180"/>
      <c r="G951" s="180"/>
      <c r="H951" s="180"/>
      <c r="I951" s="181"/>
      <c r="J951" s="180"/>
      <c r="K951" s="180"/>
      <c r="L951" s="180"/>
      <c r="M951" s="180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1"/>
      <c r="Y951" s="180"/>
      <c r="Z951" s="183"/>
      <c r="AA951" s="183"/>
      <c r="AB951" s="180"/>
      <c r="AC951" s="183"/>
      <c r="AD951" s="183"/>
      <c r="AE951" s="180"/>
      <c r="AF951" s="184"/>
      <c r="AG951" s="185"/>
      <c r="AH951" s="186"/>
      <c r="AI951" s="187"/>
      <c r="AJ951" s="187"/>
      <c r="AK951" s="188"/>
      <c r="AL951" s="189"/>
      <c r="AM951" s="188"/>
      <c r="AN951" s="181"/>
    </row>
    <row r="952" spans="1:40" ht="26.25" customHeight="1">
      <c r="A952" s="177"/>
      <c r="B952" s="178"/>
      <c r="C952" s="179"/>
      <c r="D952" s="180"/>
      <c r="E952" s="180"/>
      <c r="F952" s="180"/>
      <c r="G952" s="180"/>
      <c r="H952" s="180"/>
      <c r="I952" s="181"/>
      <c r="J952" s="180"/>
      <c r="K952" s="180"/>
      <c r="L952" s="180"/>
      <c r="M952" s="180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1"/>
      <c r="Y952" s="180"/>
      <c r="Z952" s="183"/>
      <c r="AA952" s="183"/>
      <c r="AB952" s="180"/>
      <c r="AC952" s="183"/>
      <c r="AD952" s="183"/>
      <c r="AE952" s="180"/>
      <c r="AF952" s="184"/>
      <c r="AG952" s="185"/>
      <c r="AH952" s="186"/>
      <c r="AI952" s="187"/>
      <c r="AJ952" s="187"/>
      <c r="AK952" s="188"/>
      <c r="AL952" s="189"/>
      <c r="AM952" s="188"/>
      <c r="AN952" s="181"/>
    </row>
    <row r="953" spans="1:40" ht="26.25" customHeight="1">
      <c r="A953" s="177"/>
      <c r="B953" s="178"/>
      <c r="C953" s="179"/>
      <c r="D953" s="180"/>
      <c r="E953" s="180"/>
      <c r="F953" s="180"/>
      <c r="G953" s="180"/>
      <c r="H953" s="180"/>
      <c r="I953" s="181"/>
      <c r="J953" s="180"/>
      <c r="K953" s="180"/>
      <c r="L953" s="180"/>
      <c r="M953" s="180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1"/>
      <c r="Y953" s="180"/>
      <c r="Z953" s="183"/>
      <c r="AA953" s="183"/>
      <c r="AB953" s="180"/>
      <c r="AC953" s="183"/>
      <c r="AD953" s="183"/>
      <c r="AE953" s="180"/>
      <c r="AF953" s="184"/>
      <c r="AG953" s="185"/>
      <c r="AH953" s="186"/>
      <c r="AI953" s="187"/>
      <c r="AJ953" s="187"/>
      <c r="AK953" s="188"/>
      <c r="AL953" s="189"/>
      <c r="AM953" s="188"/>
      <c r="AN953" s="181"/>
    </row>
    <row r="954" spans="1:40" ht="26.25" customHeight="1">
      <c r="A954" s="177"/>
      <c r="B954" s="178"/>
      <c r="C954" s="179"/>
      <c r="D954" s="180"/>
      <c r="E954" s="180"/>
      <c r="F954" s="180"/>
      <c r="G954" s="180"/>
      <c r="H954" s="180"/>
      <c r="I954" s="181"/>
      <c r="J954" s="180"/>
      <c r="K954" s="180"/>
      <c r="L954" s="180"/>
      <c r="M954" s="180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1"/>
      <c r="Y954" s="180"/>
      <c r="Z954" s="183"/>
      <c r="AA954" s="183"/>
      <c r="AB954" s="180"/>
      <c r="AC954" s="183"/>
      <c r="AD954" s="183"/>
      <c r="AE954" s="180"/>
      <c r="AF954" s="184"/>
      <c r="AG954" s="185"/>
      <c r="AH954" s="186"/>
      <c r="AI954" s="187"/>
      <c r="AJ954" s="187"/>
      <c r="AK954" s="188"/>
      <c r="AL954" s="189"/>
      <c r="AM954" s="188"/>
      <c r="AN954" s="181"/>
    </row>
    <row r="955" spans="1:40" ht="26.25" customHeight="1">
      <c r="A955" s="177"/>
      <c r="B955" s="178"/>
      <c r="C955" s="179"/>
      <c r="D955" s="180"/>
      <c r="E955" s="180"/>
      <c r="F955" s="180"/>
      <c r="G955" s="180"/>
      <c r="H955" s="180"/>
      <c r="I955" s="181"/>
      <c r="J955" s="180"/>
      <c r="K955" s="180"/>
      <c r="L955" s="180"/>
      <c r="M955" s="180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1"/>
      <c r="Y955" s="180"/>
      <c r="Z955" s="183"/>
      <c r="AA955" s="183"/>
      <c r="AB955" s="180"/>
      <c r="AC955" s="183"/>
      <c r="AD955" s="183"/>
      <c r="AE955" s="180"/>
      <c r="AF955" s="184"/>
      <c r="AG955" s="185"/>
      <c r="AH955" s="186"/>
      <c r="AI955" s="187"/>
      <c r="AJ955" s="187"/>
      <c r="AK955" s="188"/>
      <c r="AL955" s="189"/>
      <c r="AM955" s="188"/>
      <c r="AN955" s="181"/>
    </row>
    <row r="956" spans="1:40" ht="26.25" customHeight="1">
      <c r="A956" s="177"/>
      <c r="B956" s="178"/>
      <c r="C956" s="179"/>
      <c r="D956" s="180"/>
      <c r="E956" s="180"/>
      <c r="F956" s="180"/>
      <c r="G956" s="180"/>
      <c r="H956" s="180"/>
      <c r="I956" s="181"/>
      <c r="J956" s="180"/>
      <c r="K956" s="180"/>
      <c r="L956" s="180"/>
      <c r="M956" s="180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1"/>
      <c r="Y956" s="180"/>
      <c r="Z956" s="183"/>
      <c r="AA956" s="183"/>
      <c r="AB956" s="180"/>
      <c r="AC956" s="183"/>
      <c r="AD956" s="183"/>
      <c r="AE956" s="180"/>
      <c r="AF956" s="184"/>
      <c r="AG956" s="185"/>
      <c r="AH956" s="186"/>
      <c r="AI956" s="187"/>
      <c r="AJ956" s="187"/>
      <c r="AK956" s="188"/>
      <c r="AL956" s="189"/>
      <c r="AM956" s="188"/>
      <c r="AN956" s="181"/>
    </row>
    <row r="957" spans="1:40" ht="26.25" customHeight="1">
      <c r="A957" s="177"/>
      <c r="B957" s="178"/>
      <c r="C957" s="179"/>
      <c r="D957" s="180"/>
      <c r="E957" s="180"/>
      <c r="F957" s="180"/>
      <c r="G957" s="180"/>
      <c r="H957" s="180"/>
      <c r="I957" s="181"/>
      <c r="J957" s="180"/>
      <c r="K957" s="180"/>
      <c r="L957" s="180"/>
      <c r="M957" s="180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1"/>
      <c r="Y957" s="180"/>
      <c r="Z957" s="183"/>
      <c r="AA957" s="183"/>
      <c r="AB957" s="180"/>
      <c r="AC957" s="183"/>
      <c r="AD957" s="183"/>
      <c r="AE957" s="180"/>
      <c r="AF957" s="184"/>
      <c r="AG957" s="185"/>
      <c r="AH957" s="186"/>
      <c r="AI957" s="187"/>
      <c r="AJ957" s="187"/>
      <c r="AK957" s="188"/>
      <c r="AL957" s="189"/>
      <c r="AM957" s="188"/>
      <c r="AN957" s="181"/>
    </row>
    <row r="958" spans="1:40" ht="26.25" customHeight="1">
      <c r="A958" s="177"/>
      <c r="B958" s="178"/>
      <c r="C958" s="179"/>
      <c r="D958" s="180"/>
      <c r="E958" s="180"/>
      <c r="F958" s="180"/>
      <c r="G958" s="180"/>
      <c r="H958" s="180"/>
      <c r="I958" s="181"/>
      <c r="J958" s="180"/>
      <c r="K958" s="180"/>
      <c r="L958" s="180"/>
      <c r="M958" s="180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1"/>
      <c r="Y958" s="180"/>
      <c r="Z958" s="183"/>
      <c r="AA958" s="183"/>
      <c r="AB958" s="180"/>
      <c r="AC958" s="183"/>
      <c r="AD958" s="183"/>
      <c r="AE958" s="180"/>
      <c r="AF958" s="184"/>
      <c r="AG958" s="185"/>
      <c r="AH958" s="186"/>
      <c r="AI958" s="187"/>
      <c r="AJ958" s="187"/>
      <c r="AK958" s="188"/>
      <c r="AL958" s="189"/>
      <c r="AM958" s="188"/>
      <c r="AN958" s="181"/>
    </row>
    <row r="959" spans="1:40" ht="26.25" customHeight="1">
      <c r="A959" s="177"/>
      <c r="B959" s="178"/>
      <c r="C959" s="179"/>
      <c r="D959" s="180"/>
      <c r="E959" s="180"/>
      <c r="F959" s="180"/>
      <c r="G959" s="180"/>
      <c r="H959" s="180"/>
      <c r="I959" s="181"/>
      <c r="J959" s="180"/>
      <c r="K959" s="180"/>
      <c r="L959" s="180"/>
      <c r="M959" s="180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1"/>
      <c r="Y959" s="180"/>
      <c r="Z959" s="183"/>
      <c r="AA959" s="183"/>
      <c r="AB959" s="180"/>
      <c r="AC959" s="183"/>
      <c r="AD959" s="183"/>
      <c r="AE959" s="180"/>
      <c r="AF959" s="184"/>
      <c r="AG959" s="185"/>
      <c r="AH959" s="186"/>
      <c r="AI959" s="187"/>
      <c r="AJ959" s="187"/>
      <c r="AK959" s="188"/>
      <c r="AL959" s="189"/>
      <c r="AM959" s="188"/>
      <c r="AN959" s="181"/>
    </row>
    <row r="960" spans="1:40" ht="26.25" customHeight="1">
      <c r="A960" s="177"/>
      <c r="B960" s="178"/>
      <c r="C960" s="179"/>
      <c r="D960" s="180"/>
      <c r="E960" s="180"/>
      <c r="F960" s="180"/>
      <c r="G960" s="180"/>
      <c r="H960" s="180"/>
      <c r="I960" s="181"/>
      <c r="J960" s="180"/>
      <c r="K960" s="180"/>
      <c r="L960" s="180"/>
      <c r="M960" s="180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1"/>
      <c r="Y960" s="180"/>
      <c r="Z960" s="183"/>
      <c r="AA960" s="183"/>
      <c r="AB960" s="180"/>
      <c r="AC960" s="183"/>
      <c r="AD960" s="183"/>
      <c r="AE960" s="180"/>
      <c r="AF960" s="184"/>
      <c r="AG960" s="185"/>
      <c r="AH960" s="186"/>
      <c r="AI960" s="187"/>
      <c r="AJ960" s="187"/>
      <c r="AK960" s="188"/>
      <c r="AL960" s="189"/>
      <c r="AM960" s="188"/>
      <c r="AN960" s="181"/>
    </row>
    <row r="961" spans="1:40" ht="26.25" customHeight="1">
      <c r="A961" s="177"/>
      <c r="B961" s="178"/>
      <c r="C961" s="179"/>
      <c r="D961" s="180"/>
      <c r="E961" s="180"/>
      <c r="F961" s="180"/>
      <c r="G961" s="180"/>
      <c r="H961" s="180"/>
      <c r="I961" s="181"/>
      <c r="J961" s="180"/>
      <c r="K961" s="180"/>
      <c r="L961" s="180"/>
      <c r="M961" s="180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1"/>
      <c r="Y961" s="180"/>
      <c r="Z961" s="183"/>
      <c r="AA961" s="183"/>
      <c r="AB961" s="180"/>
      <c r="AC961" s="183"/>
      <c r="AD961" s="183"/>
      <c r="AE961" s="180"/>
      <c r="AF961" s="184"/>
      <c r="AG961" s="185"/>
      <c r="AH961" s="186"/>
      <c r="AI961" s="187"/>
      <c r="AJ961" s="187"/>
      <c r="AK961" s="188"/>
      <c r="AL961" s="189"/>
      <c r="AM961" s="188"/>
      <c r="AN961" s="181"/>
    </row>
    <row r="962" spans="1:40" ht="26.25" customHeight="1">
      <c r="A962" s="177"/>
      <c r="B962" s="178"/>
      <c r="C962" s="179"/>
      <c r="D962" s="180"/>
      <c r="E962" s="180"/>
      <c r="F962" s="180"/>
      <c r="G962" s="180"/>
      <c r="H962" s="180"/>
      <c r="I962" s="181"/>
      <c r="J962" s="180"/>
      <c r="K962" s="180"/>
      <c r="L962" s="180"/>
      <c r="M962" s="180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1"/>
      <c r="Y962" s="180"/>
      <c r="Z962" s="183"/>
      <c r="AA962" s="183"/>
      <c r="AB962" s="180"/>
      <c r="AC962" s="183"/>
      <c r="AD962" s="183"/>
      <c r="AE962" s="180"/>
      <c r="AF962" s="184"/>
      <c r="AG962" s="185"/>
      <c r="AH962" s="186"/>
      <c r="AI962" s="187"/>
      <c r="AJ962" s="187"/>
      <c r="AK962" s="188"/>
      <c r="AL962" s="189"/>
      <c r="AM962" s="188"/>
      <c r="AN962" s="181"/>
    </row>
    <row r="963" spans="1:40" ht="26.25" customHeight="1">
      <c r="A963" s="177"/>
      <c r="B963" s="178"/>
      <c r="C963" s="179"/>
      <c r="D963" s="180"/>
      <c r="E963" s="180"/>
      <c r="F963" s="180"/>
      <c r="G963" s="180"/>
      <c r="H963" s="180"/>
      <c r="I963" s="181"/>
      <c r="J963" s="180"/>
      <c r="K963" s="180"/>
      <c r="L963" s="180"/>
      <c r="M963" s="180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1"/>
      <c r="Y963" s="180"/>
      <c r="Z963" s="183"/>
      <c r="AA963" s="183"/>
      <c r="AB963" s="180"/>
      <c r="AC963" s="183"/>
      <c r="AD963" s="183"/>
      <c r="AE963" s="180"/>
      <c r="AF963" s="184"/>
      <c r="AG963" s="185"/>
      <c r="AH963" s="186"/>
      <c r="AI963" s="187"/>
      <c r="AJ963" s="187"/>
      <c r="AK963" s="188"/>
      <c r="AL963" s="189"/>
      <c r="AM963" s="188"/>
      <c r="AN963" s="181"/>
    </row>
    <row r="964" spans="1:40" ht="26.25" customHeight="1">
      <c r="A964" s="177"/>
      <c r="B964" s="178"/>
      <c r="C964" s="179"/>
      <c r="D964" s="180"/>
      <c r="E964" s="180"/>
      <c r="F964" s="180"/>
      <c r="G964" s="180"/>
      <c r="H964" s="180"/>
      <c r="I964" s="181"/>
      <c r="J964" s="180"/>
      <c r="K964" s="180"/>
      <c r="L964" s="180"/>
      <c r="M964" s="180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1"/>
      <c r="Y964" s="180"/>
      <c r="Z964" s="183"/>
      <c r="AA964" s="183"/>
      <c r="AB964" s="180"/>
      <c r="AC964" s="183"/>
      <c r="AD964" s="183"/>
      <c r="AE964" s="180"/>
      <c r="AF964" s="184"/>
      <c r="AG964" s="185"/>
      <c r="AH964" s="186"/>
      <c r="AI964" s="187"/>
      <c r="AJ964" s="187"/>
      <c r="AK964" s="188"/>
      <c r="AL964" s="189"/>
      <c r="AM964" s="188"/>
      <c r="AN964" s="181"/>
    </row>
    <row r="965" spans="1:40" ht="26.25" customHeight="1">
      <c r="A965" s="177"/>
      <c r="B965" s="178"/>
      <c r="C965" s="179"/>
      <c r="D965" s="180"/>
      <c r="E965" s="180"/>
      <c r="F965" s="180"/>
      <c r="G965" s="180"/>
      <c r="H965" s="180"/>
      <c r="I965" s="181"/>
      <c r="J965" s="180"/>
      <c r="K965" s="180"/>
      <c r="L965" s="180"/>
      <c r="M965" s="180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1"/>
      <c r="Y965" s="180"/>
      <c r="Z965" s="183"/>
      <c r="AA965" s="183"/>
      <c r="AB965" s="180"/>
      <c r="AC965" s="183"/>
      <c r="AD965" s="183"/>
      <c r="AE965" s="180"/>
      <c r="AF965" s="184"/>
      <c r="AG965" s="185"/>
      <c r="AH965" s="186"/>
      <c r="AI965" s="187"/>
      <c r="AJ965" s="187"/>
      <c r="AK965" s="188"/>
      <c r="AL965" s="189"/>
      <c r="AM965" s="188"/>
      <c r="AN965" s="181"/>
    </row>
    <row r="966" spans="1:40" ht="26.25" customHeight="1">
      <c r="A966" s="177"/>
      <c r="B966" s="178"/>
      <c r="C966" s="179"/>
      <c r="D966" s="180"/>
      <c r="E966" s="180"/>
      <c r="F966" s="180"/>
      <c r="G966" s="180"/>
      <c r="H966" s="180"/>
      <c r="I966" s="181"/>
      <c r="J966" s="180"/>
      <c r="K966" s="180"/>
      <c r="L966" s="180"/>
      <c r="M966" s="180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1"/>
      <c r="Y966" s="180"/>
      <c r="Z966" s="183"/>
      <c r="AA966" s="183"/>
      <c r="AB966" s="180"/>
      <c r="AC966" s="183"/>
      <c r="AD966" s="183"/>
      <c r="AE966" s="180"/>
      <c r="AF966" s="184"/>
      <c r="AG966" s="185"/>
      <c r="AH966" s="186"/>
      <c r="AI966" s="187"/>
      <c r="AJ966" s="187"/>
      <c r="AK966" s="188"/>
      <c r="AL966" s="189"/>
      <c r="AM966" s="188"/>
      <c r="AN966" s="181"/>
    </row>
    <row r="967" spans="1:40" ht="26.25" customHeight="1">
      <c r="A967" s="177"/>
      <c r="B967" s="178"/>
      <c r="C967" s="179"/>
      <c r="D967" s="180"/>
      <c r="E967" s="180"/>
      <c r="F967" s="180"/>
      <c r="G967" s="180"/>
      <c r="H967" s="180"/>
      <c r="I967" s="181"/>
      <c r="J967" s="180"/>
      <c r="K967" s="180"/>
      <c r="L967" s="180"/>
      <c r="M967" s="180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1"/>
      <c r="Y967" s="180"/>
      <c r="Z967" s="183"/>
      <c r="AA967" s="183"/>
      <c r="AB967" s="180"/>
      <c r="AC967" s="183"/>
      <c r="AD967" s="183"/>
      <c r="AE967" s="180"/>
      <c r="AF967" s="184"/>
      <c r="AG967" s="185"/>
      <c r="AH967" s="186"/>
      <c r="AI967" s="187"/>
      <c r="AJ967" s="187"/>
      <c r="AK967" s="188"/>
      <c r="AL967" s="189"/>
      <c r="AM967" s="188"/>
      <c r="AN967" s="181"/>
    </row>
    <row r="968" spans="1:40" ht="26.25" customHeight="1">
      <c r="A968" s="177"/>
      <c r="B968" s="178"/>
      <c r="C968" s="179"/>
      <c r="D968" s="180"/>
      <c r="E968" s="180"/>
      <c r="F968" s="180"/>
      <c r="G968" s="180"/>
      <c r="H968" s="180"/>
      <c r="I968" s="181"/>
      <c r="J968" s="180"/>
      <c r="K968" s="180"/>
      <c r="L968" s="180"/>
      <c r="M968" s="180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1"/>
      <c r="Y968" s="180"/>
      <c r="Z968" s="183"/>
      <c r="AA968" s="183"/>
      <c r="AB968" s="180"/>
      <c r="AC968" s="183"/>
      <c r="AD968" s="183"/>
      <c r="AE968" s="180"/>
      <c r="AF968" s="184"/>
      <c r="AG968" s="185"/>
      <c r="AH968" s="186"/>
      <c r="AI968" s="187"/>
      <c r="AJ968" s="187"/>
      <c r="AK968" s="188"/>
      <c r="AL968" s="189"/>
      <c r="AM968" s="188"/>
      <c r="AN968" s="181"/>
    </row>
    <row r="969" spans="1:40" ht="26.25" customHeight="1">
      <c r="A969" s="177"/>
      <c r="B969" s="178"/>
      <c r="C969" s="179"/>
      <c r="D969" s="180"/>
      <c r="E969" s="180"/>
      <c r="F969" s="180"/>
      <c r="G969" s="180"/>
      <c r="H969" s="180"/>
      <c r="I969" s="181"/>
      <c r="J969" s="180"/>
      <c r="K969" s="180"/>
      <c r="L969" s="180"/>
      <c r="M969" s="180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1"/>
      <c r="Y969" s="180"/>
      <c r="Z969" s="183"/>
      <c r="AA969" s="183"/>
      <c r="AB969" s="180"/>
      <c r="AC969" s="183"/>
      <c r="AD969" s="183"/>
      <c r="AE969" s="180"/>
      <c r="AF969" s="184"/>
      <c r="AG969" s="185"/>
      <c r="AH969" s="186"/>
      <c r="AI969" s="187"/>
      <c r="AJ969" s="187"/>
      <c r="AK969" s="188"/>
      <c r="AL969" s="189"/>
      <c r="AM969" s="188"/>
      <c r="AN969" s="181"/>
    </row>
    <row r="970" spans="1:40" ht="26.25" customHeight="1">
      <c r="A970" s="177"/>
      <c r="B970" s="178"/>
      <c r="C970" s="179"/>
      <c r="D970" s="180"/>
      <c r="E970" s="180"/>
      <c r="F970" s="180"/>
      <c r="G970" s="180"/>
      <c r="H970" s="180"/>
      <c r="I970" s="181"/>
      <c r="J970" s="180"/>
      <c r="K970" s="180"/>
      <c r="L970" s="180"/>
      <c r="M970" s="180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1"/>
      <c r="Y970" s="180"/>
      <c r="Z970" s="183"/>
      <c r="AA970" s="183"/>
      <c r="AB970" s="180"/>
      <c r="AC970" s="183"/>
      <c r="AD970" s="183"/>
      <c r="AE970" s="180"/>
      <c r="AF970" s="184"/>
      <c r="AG970" s="185"/>
      <c r="AH970" s="186"/>
      <c r="AI970" s="187"/>
      <c r="AJ970" s="187"/>
      <c r="AK970" s="188"/>
      <c r="AL970" s="189"/>
      <c r="AM970" s="188"/>
      <c r="AN970" s="181"/>
    </row>
    <row r="971" spans="1:40" ht="26.25" customHeight="1">
      <c r="A971" s="177"/>
      <c r="B971" s="178"/>
      <c r="C971" s="179"/>
      <c r="D971" s="180"/>
      <c r="E971" s="180"/>
      <c r="F971" s="180"/>
      <c r="G971" s="180"/>
      <c r="H971" s="180"/>
      <c r="I971" s="181"/>
      <c r="J971" s="180"/>
      <c r="K971" s="180"/>
      <c r="L971" s="180"/>
      <c r="M971" s="180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1"/>
      <c r="Y971" s="180"/>
      <c r="Z971" s="183"/>
      <c r="AA971" s="183"/>
      <c r="AB971" s="180"/>
      <c r="AC971" s="183"/>
      <c r="AD971" s="183"/>
      <c r="AE971" s="180"/>
      <c r="AF971" s="184"/>
      <c r="AG971" s="185"/>
      <c r="AH971" s="186"/>
      <c r="AI971" s="187"/>
      <c r="AJ971" s="187"/>
      <c r="AK971" s="188"/>
      <c r="AL971" s="189"/>
      <c r="AM971" s="188"/>
      <c r="AN971" s="181"/>
    </row>
    <row r="972" spans="1:40" ht="26.25" customHeight="1">
      <c r="A972" s="177"/>
      <c r="B972" s="178"/>
      <c r="C972" s="179"/>
      <c r="D972" s="180"/>
      <c r="E972" s="180"/>
      <c r="F972" s="180"/>
      <c r="G972" s="180"/>
      <c r="H972" s="180"/>
      <c r="I972" s="181"/>
      <c r="J972" s="180"/>
      <c r="K972" s="180"/>
      <c r="L972" s="180"/>
      <c r="M972" s="180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1"/>
      <c r="Y972" s="180"/>
      <c r="Z972" s="183"/>
      <c r="AA972" s="183"/>
      <c r="AB972" s="180"/>
      <c r="AC972" s="183"/>
      <c r="AD972" s="183"/>
      <c r="AE972" s="180"/>
      <c r="AF972" s="184"/>
      <c r="AG972" s="185"/>
      <c r="AH972" s="186"/>
      <c r="AI972" s="187"/>
      <c r="AJ972" s="187"/>
      <c r="AK972" s="188"/>
      <c r="AL972" s="189"/>
      <c r="AM972" s="188"/>
      <c r="AN972" s="181"/>
    </row>
    <row r="973" spans="1:40" ht="26.25" customHeight="1">
      <c r="A973" s="177"/>
      <c r="B973" s="178"/>
      <c r="C973" s="179"/>
      <c r="D973" s="180"/>
      <c r="E973" s="180"/>
      <c r="F973" s="180"/>
      <c r="G973" s="180"/>
      <c r="H973" s="180"/>
      <c r="I973" s="181"/>
      <c r="J973" s="180"/>
      <c r="K973" s="180"/>
      <c r="L973" s="180"/>
      <c r="M973" s="180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1"/>
      <c r="Y973" s="180"/>
      <c r="Z973" s="183"/>
      <c r="AA973" s="183"/>
      <c r="AB973" s="180"/>
      <c r="AC973" s="183"/>
      <c r="AD973" s="183"/>
      <c r="AE973" s="180"/>
      <c r="AF973" s="184"/>
      <c r="AG973" s="185"/>
      <c r="AH973" s="186"/>
      <c r="AI973" s="187"/>
      <c r="AJ973" s="187"/>
      <c r="AK973" s="188"/>
      <c r="AL973" s="189"/>
      <c r="AM973" s="188"/>
      <c r="AN973" s="181"/>
    </row>
    <row r="974" spans="1:40" ht="26.25" customHeight="1">
      <c r="A974" s="177"/>
      <c r="B974" s="178"/>
      <c r="C974" s="179"/>
      <c r="D974" s="180"/>
      <c r="E974" s="180"/>
      <c r="F974" s="180"/>
      <c r="G974" s="180"/>
      <c r="H974" s="180"/>
      <c r="I974" s="181"/>
      <c r="J974" s="180"/>
      <c r="K974" s="180"/>
      <c r="L974" s="180"/>
      <c r="M974" s="180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1"/>
      <c r="Y974" s="180"/>
      <c r="Z974" s="183"/>
      <c r="AA974" s="183"/>
      <c r="AB974" s="180"/>
      <c r="AC974" s="183"/>
      <c r="AD974" s="183"/>
      <c r="AE974" s="180"/>
      <c r="AF974" s="184"/>
      <c r="AG974" s="185"/>
      <c r="AH974" s="186"/>
      <c r="AI974" s="187"/>
      <c r="AJ974" s="187"/>
      <c r="AK974" s="188"/>
      <c r="AL974" s="189"/>
      <c r="AM974" s="188"/>
      <c r="AN974" s="181"/>
    </row>
    <row r="975" spans="1:40" ht="26.25" customHeight="1">
      <c r="A975" s="177"/>
      <c r="B975" s="178"/>
      <c r="C975" s="179"/>
      <c r="D975" s="180"/>
      <c r="E975" s="180"/>
      <c r="F975" s="180"/>
      <c r="G975" s="180"/>
      <c r="H975" s="180"/>
      <c r="I975" s="181"/>
      <c r="J975" s="180"/>
      <c r="K975" s="180"/>
      <c r="L975" s="180"/>
      <c r="M975" s="180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1"/>
      <c r="Y975" s="180"/>
      <c r="Z975" s="183"/>
      <c r="AA975" s="183"/>
      <c r="AB975" s="180"/>
      <c r="AC975" s="183"/>
      <c r="AD975" s="183"/>
      <c r="AE975" s="180"/>
      <c r="AF975" s="184"/>
      <c r="AG975" s="185"/>
      <c r="AH975" s="186"/>
      <c r="AI975" s="187"/>
      <c r="AJ975" s="187"/>
      <c r="AK975" s="188"/>
      <c r="AL975" s="189"/>
      <c r="AM975" s="188"/>
      <c r="AN975" s="181"/>
    </row>
    <row r="976" spans="1:40" ht="26.25" customHeight="1">
      <c r="A976" s="177"/>
      <c r="B976" s="178"/>
      <c r="C976" s="179"/>
      <c r="D976" s="180"/>
      <c r="E976" s="180"/>
      <c r="F976" s="180"/>
      <c r="G976" s="180"/>
      <c r="H976" s="180"/>
      <c r="I976" s="181"/>
      <c r="J976" s="180"/>
      <c r="K976" s="180"/>
      <c r="L976" s="180"/>
      <c r="M976" s="180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1"/>
      <c r="Y976" s="180"/>
      <c r="Z976" s="183"/>
      <c r="AA976" s="183"/>
      <c r="AB976" s="180"/>
      <c r="AC976" s="183"/>
      <c r="AD976" s="183"/>
      <c r="AE976" s="180"/>
      <c r="AF976" s="184"/>
      <c r="AG976" s="185"/>
      <c r="AH976" s="186"/>
      <c r="AI976" s="187"/>
      <c r="AJ976" s="187"/>
      <c r="AK976" s="188"/>
      <c r="AL976" s="189"/>
      <c r="AM976" s="188"/>
      <c r="AN976" s="181"/>
    </row>
    <row r="977" spans="1:40" ht="26.25" customHeight="1">
      <c r="A977" s="177"/>
      <c r="B977" s="178"/>
      <c r="C977" s="179"/>
      <c r="D977" s="180"/>
      <c r="E977" s="180"/>
      <c r="F977" s="180"/>
      <c r="G977" s="180"/>
      <c r="H977" s="180"/>
      <c r="I977" s="181"/>
      <c r="J977" s="180"/>
      <c r="K977" s="180"/>
      <c r="L977" s="180"/>
      <c r="M977" s="180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1"/>
      <c r="Y977" s="180"/>
      <c r="Z977" s="183"/>
      <c r="AA977" s="183"/>
      <c r="AB977" s="180"/>
      <c r="AC977" s="183"/>
      <c r="AD977" s="183"/>
      <c r="AE977" s="180"/>
      <c r="AF977" s="184"/>
      <c r="AG977" s="185"/>
      <c r="AH977" s="186"/>
      <c r="AI977" s="187"/>
      <c r="AJ977" s="187"/>
      <c r="AK977" s="188"/>
      <c r="AL977" s="189"/>
      <c r="AM977" s="188"/>
      <c r="AN977" s="181"/>
    </row>
    <row r="978" spans="1:40" ht="26.25" customHeight="1">
      <c r="A978" s="177"/>
      <c r="B978" s="178"/>
      <c r="C978" s="179"/>
      <c r="D978" s="180"/>
      <c r="E978" s="180"/>
      <c r="F978" s="180"/>
      <c r="G978" s="180"/>
      <c r="H978" s="180"/>
      <c r="I978" s="181"/>
      <c r="J978" s="180"/>
      <c r="K978" s="180"/>
      <c r="L978" s="180"/>
      <c r="M978" s="180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1"/>
      <c r="Y978" s="180"/>
      <c r="Z978" s="183"/>
      <c r="AA978" s="183"/>
      <c r="AB978" s="180"/>
      <c r="AC978" s="183"/>
      <c r="AD978" s="183"/>
      <c r="AE978" s="180"/>
      <c r="AF978" s="184"/>
      <c r="AG978" s="185"/>
      <c r="AH978" s="186"/>
      <c r="AI978" s="187"/>
      <c r="AJ978" s="187"/>
      <c r="AK978" s="188"/>
      <c r="AL978" s="189"/>
      <c r="AM978" s="188"/>
      <c r="AN978" s="181"/>
    </row>
    <row r="979" spans="1:40" ht="26.25" customHeight="1">
      <c r="A979" s="177"/>
      <c r="B979" s="178"/>
      <c r="C979" s="179"/>
      <c r="D979" s="180"/>
      <c r="E979" s="180"/>
      <c r="F979" s="180"/>
      <c r="G979" s="180"/>
      <c r="H979" s="180"/>
      <c r="I979" s="181"/>
      <c r="J979" s="180"/>
      <c r="K979" s="180"/>
      <c r="L979" s="180"/>
      <c r="M979" s="180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1"/>
      <c r="Y979" s="180"/>
      <c r="Z979" s="183"/>
      <c r="AA979" s="183"/>
      <c r="AB979" s="180"/>
      <c r="AC979" s="183"/>
      <c r="AD979" s="183"/>
      <c r="AE979" s="180"/>
      <c r="AF979" s="184"/>
      <c r="AG979" s="185"/>
      <c r="AH979" s="186"/>
      <c r="AI979" s="187"/>
      <c r="AJ979" s="187"/>
      <c r="AK979" s="188"/>
      <c r="AL979" s="189"/>
      <c r="AM979" s="188"/>
      <c r="AN979" s="181"/>
    </row>
    <row r="980" spans="1:40" ht="26.25" customHeight="1">
      <c r="A980" s="177"/>
      <c r="B980" s="178"/>
      <c r="C980" s="179"/>
      <c r="D980" s="180"/>
      <c r="E980" s="180"/>
      <c r="F980" s="180"/>
      <c r="G980" s="180"/>
      <c r="H980" s="180"/>
      <c r="I980" s="181"/>
      <c r="J980" s="180"/>
      <c r="K980" s="180"/>
      <c r="L980" s="180"/>
      <c r="M980" s="180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1"/>
      <c r="Y980" s="180"/>
      <c r="Z980" s="183"/>
      <c r="AA980" s="183"/>
      <c r="AB980" s="180"/>
      <c r="AC980" s="183"/>
      <c r="AD980" s="183"/>
      <c r="AE980" s="180"/>
      <c r="AF980" s="184"/>
      <c r="AG980" s="185"/>
      <c r="AH980" s="186"/>
      <c r="AI980" s="187"/>
      <c r="AJ980" s="187"/>
      <c r="AK980" s="188"/>
      <c r="AL980" s="189"/>
      <c r="AM980" s="188"/>
      <c r="AN980" s="181"/>
    </row>
    <row r="981" spans="1:40" ht="26.25" customHeight="1">
      <c r="A981" s="177"/>
      <c r="B981" s="178"/>
      <c r="C981" s="179"/>
      <c r="D981" s="180"/>
      <c r="E981" s="180"/>
      <c r="F981" s="180"/>
      <c r="G981" s="180"/>
      <c r="H981" s="180"/>
      <c r="I981" s="181"/>
      <c r="J981" s="180"/>
      <c r="K981" s="180"/>
      <c r="L981" s="180"/>
      <c r="M981" s="180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1"/>
      <c r="Y981" s="180"/>
      <c r="Z981" s="183"/>
      <c r="AA981" s="183"/>
      <c r="AB981" s="180"/>
      <c r="AC981" s="183"/>
      <c r="AD981" s="183"/>
      <c r="AE981" s="180"/>
      <c r="AF981" s="184"/>
      <c r="AG981" s="185"/>
      <c r="AH981" s="186"/>
      <c r="AI981" s="187"/>
      <c r="AJ981" s="187"/>
      <c r="AK981" s="188"/>
      <c r="AL981" s="189"/>
      <c r="AM981" s="188"/>
      <c r="AN981" s="181"/>
    </row>
    <row r="982" spans="1:40" ht="26.25" customHeight="1">
      <c r="A982" s="177"/>
      <c r="B982" s="178"/>
      <c r="C982" s="179"/>
      <c r="D982" s="180"/>
      <c r="E982" s="180"/>
      <c r="F982" s="180"/>
      <c r="G982" s="180"/>
      <c r="H982" s="180"/>
      <c r="I982" s="181"/>
      <c r="J982" s="180"/>
      <c r="K982" s="180"/>
      <c r="L982" s="180"/>
      <c r="M982" s="180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1"/>
      <c r="Y982" s="180"/>
      <c r="Z982" s="183"/>
      <c r="AA982" s="183"/>
      <c r="AB982" s="180"/>
      <c r="AC982" s="183"/>
      <c r="AD982" s="183"/>
      <c r="AE982" s="180"/>
      <c r="AF982" s="184"/>
      <c r="AG982" s="185"/>
      <c r="AH982" s="186"/>
      <c r="AI982" s="187"/>
      <c r="AJ982" s="187"/>
      <c r="AK982" s="188"/>
      <c r="AL982" s="189"/>
      <c r="AM982" s="188"/>
      <c r="AN982" s="181"/>
    </row>
    <row r="983" spans="1:40" ht="26.25" customHeight="1">
      <c r="A983" s="177"/>
      <c r="B983" s="178"/>
      <c r="C983" s="179"/>
      <c r="D983" s="180"/>
      <c r="E983" s="180"/>
      <c r="F983" s="180"/>
      <c r="G983" s="180"/>
      <c r="H983" s="180"/>
      <c r="I983" s="181"/>
      <c r="J983" s="180"/>
      <c r="K983" s="180"/>
      <c r="L983" s="180"/>
      <c r="M983" s="180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1"/>
      <c r="Y983" s="180"/>
      <c r="Z983" s="183"/>
      <c r="AA983" s="183"/>
      <c r="AB983" s="180"/>
      <c r="AC983" s="183"/>
      <c r="AD983" s="183"/>
      <c r="AE983" s="180"/>
      <c r="AF983" s="184"/>
      <c r="AG983" s="185"/>
      <c r="AH983" s="186"/>
      <c r="AI983" s="187"/>
      <c r="AJ983" s="187"/>
      <c r="AK983" s="188"/>
      <c r="AL983" s="189"/>
      <c r="AM983" s="188"/>
      <c r="AN983" s="181"/>
    </row>
    <row r="984" spans="1:40" ht="26.25" customHeight="1">
      <c r="A984" s="177"/>
      <c r="B984" s="178"/>
      <c r="C984" s="179"/>
      <c r="D984" s="180"/>
      <c r="E984" s="180"/>
      <c r="F984" s="180"/>
      <c r="G984" s="180"/>
      <c r="H984" s="180"/>
      <c r="I984" s="181"/>
      <c r="J984" s="180"/>
      <c r="K984" s="180"/>
      <c r="L984" s="180"/>
      <c r="M984" s="180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1"/>
      <c r="Y984" s="180"/>
      <c r="Z984" s="183"/>
      <c r="AA984" s="183"/>
      <c r="AB984" s="180"/>
      <c r="AC984" s="183"/>
      <c r="AD984" s="183"/>
      <c r="AE984" s="180"/>
      <c r="AF984" s="184"/>
      <c r="AG984" s="185"/>
      <c r="AH984" s="186"/>
      <c r="AI984" s="187"/>
      <c r="AJ984" s="187"/>
      <c r="AK984" s="188"/>
      <c r="AL984" s="189"/>
      <c r="AM984" s="188"/>
      <c r="AN984" s="181"/>
    </row>
    <row r="985" spans="1:40" ht="26.25" customHeight="1">
      <c r="A985" s="177"/>
      <c r="B985" s="178"/>
      <c r="C985" s="179"/>
      <c r="D985" s="180"/>
      <c r="E985" s="180"/>
      <c r="F985" s="180"/>
      <c r="G985" s="180"/>
      <c r="H985" s="180"/>
      <c r="I985" s="181"/>
      <c r="J985" s="180"/>
      <c r="K985" s="180"/>
      <c r="L985" s="180"/>
      <c r="M985" s="180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1"/>
      <c r="Y985" s="180"/>
      <c r="Z985" s="183"/>
      <c r="AA985" s="183"/>
      <c r="AB985" s="180"/>
      <c r="AC985" s="183"/>
      <c r="AD985" s="183"/>
      <c r="AE985" s="180"/>
      <c r="AF985" s="184"/>
      <c r="AG985" s="185"/>
      <c r="AH985" s="186"/>
      <c r="AI985" s="187"/>
      <c r="AJ985" s="187"/>
      <c r="AK985" s="188"/>
      <c r="AL985" s="189"/>
      <c r="AM985" s="188"/>
      <c r="AN985" s="181"/>
    </row>
    <row r="986" spans="1:40" ht="26.25" customHeight="1">
      <c r="A986" s="177"/>
      <c r="B986" s="178"/>
      <c r="C986" s="179"/>
      <c r="D986" s="180"/>
      <c r="E986" s="180"/>
      <c r="F986" s="180"/>
      <c r="G986" s="180"/>
      <c r="H986" s="180"/>
      <c r="I986" s="181"/>
      <c r="J986" s="180"/>
      <c r="K986" s="180"/>
      <c r="L986" s="180"/>
      <c r="M986" s="180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1"/>
      <c r="Y986" s="180"/>
      <c r="Z986" s="183"/>
      <c r="AA986" s="183"/>
      <c r="AB986" s="180"/>
      <c r="AC986" s="183"/>
      <c r="AD986" s="183"/>
      <c r="AE986" s="180"/>
      <c r="AF986" s="184"/>
      <c r="AG986" s="185"/>
      <c r="AH986" s="186"/>
      <c r="AI986" s="187"/>
      <c r="AJ986" s="187"/>
      <c r="AK986" s="188"/>
      <c r="AL986" s="189"/>
      <c r="AM986" s="188"/>
      <c r="AN986" s="181"/>
    </row>
    <row r="987" spans="1:40" ht="26.25" customHeight="1">
      <c r="A987" s="177"/>
      <c r="B987" s="178"/>
      <c r="C987" s="179"/>
      <c r="D987" s="180"/>
      <c r="E987" s="180"/>
      <c r="F987" s="180"/>
      <c r="G987" s="180"/>
      <c r="H987" s="180"/>
      <c r="I987" s="181"/>
      <c r="J987" s="180"/>
      <c r="K987" s="180"/>
      <c r="L987" s="180"/>
      <c r="M987" s="180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  <c r="X987" s="181"/>
      <c r="Y987" s="180"/>
      <c r="Z987" s="183"/>
      <c r="AA987" s="183"/>
      <c r="AB987" s="180"/>
      <c r="AC987" s="183"/>
      <c r="AD987" s="183"/>
      <c r="AE987" s="180"/>
      <c r="AF987" s="184"/>
      <c r="AG987" s="185"/>
      <c r="AH987" s="186"/>
      <c r="AI987" s="187"/>
      <c r="AJ987" s="187"/>
      <c r="AK987" s="188"/>
      <c r="AL987" s="189"/>
      <c r="AM987" s="188"/>
      <c r="AN987" s="181"/>
    </row>
    <row r="988" spans="1:40" ht="26.25" customHeight="1">
      <c r="A988" s="177"/>
      <c r="B988" s="178"/>
      <c r="C988" s="179"/>
      <c r="D988" s="180"/>
      <c r="E988" s="180"/>
      <c r="F988" s="180"/>
      <c r="G988" s="180"/>
      <c r="H988" s="180"/>
      <c r="I988" s="181"/>
      <c r="J988" s="180"/>
      <c r="K988" s="180"/>
      <c r="L988" s="180"/>
      <c r="M988" s="180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  <c r="X988" s="181"/>
      <c r="Y988" s="180"/>
      <c r="Z988" s="183"/>
      <c r="AA988" s="183"/>
      <c r="AB988" s="180"/>
      <c r="AC988" s="183"/>
      <c r="AD988" s="183"/>
      <c r="AE988" s="180"/>
      <c r="AF988" s="184"/>
      <c r="AG988" s="185"/>
      <c r="AH988" s="186"/>
      <c r="AI988" s="187"/>
      <c r="AJ988" s="187"/>
      <c r="AK988" s="188"/>
      <c r="AL988" s="189"/>
      <c r="AM988" s="188"/>
      <c r="AN988" s="181"/>
    </row>
    <row r="989" spans="1:40" ht="26.25" customHeight="1">
      <c r="A989" s="177"/>
      <c r="B989" s="178"/>
      <c r="C989" s="179"/>
      <c r="D989" s="180"/>
      <c r="E989" s="180"/>
      <c r="F989" s="180"/>
      <c r="G989" s="180"/>
      <c r="H989" s="180"/>
      <c r="I989" s="181"/>
      <c r="J989" s="180"/>
      <c r="K989" s="180"/>
      <c r="L989" s="180"/>
      <c r="M989" s="180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  <c r="X989" s="181"/>
      <c r="Y989" s="180"/>
      <c r="Z989" s="183"/>
      <c r="AA989" s="183"/>
      <c r="AB989" s="180"/>
      <c r="AC989" s="183"/>
      <c r="AD989" s="183"/>
      <c r="AE989" s="180"/>
      <c r="AF989" s="184"/>
      <c r="AG989" s="185"/>
      <c r="AH989" s="186"/>
      <c r="AI989" s="187"/>
      <c r="AJ989" s="187"/>
      <c r="AK989" s="188"/>
      <c r="AL989" s="189"/>
      <c r="AM989" s="188"/>
      <c r="AN989" s="181"/>
    </row>
    <row r="990" spans="1:40" ht="26.25" customHeight="1">
      <c r="A990" s="177"/>
      <c r="B990" s="178"/>
      <c r="C990" s="179"/>
      <c r="D990" s="180"/>
      <c r="E990" s="180"/>
      <c r="F990" s="180"/>
      <c r="G990" s="180"/>
      <c r="H990" s="180"/>
      <c r="I990" s="181"/>
      <c r="J990" s="180"/>
      <c r="K990" s="180"/>
      <c r="L990" s="180"/>
      <c r="M990" s="180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  <c r="X990" s="181"/>
      <c r="Y990" s="180"/>
      <c r="Z990" s="183"/>
      <c r="AA990" s="183"/>
      <c r="AB990" s="180"/>
      <c r="AC990" s="183"/>
      <c r="AD990" s="183"/>
      <c r="AE990" s="180"/>
      <c r="AF990" s="184"/>
      <c r="AG990" s="185"/>
      <c r="AH990" s="186"/>
      <c r="AI990" s="187"/>
      <c r="AJ990" s="187"/>
      <c r="AK990" s="188"/>
      <c r="AL990" s="189"/>
      <c r="AM990" s="188"/>
      <c r="AN990" s="181"/>
    </row>
    <row r="991" spans="1:40" ht="26.25" customHeight="1">
      <c r="A991" s="177"/>
      <c r="B991" s="178"/>
      <c r="C991" s="179"/>
      <c r="D991" s="180"/>
      <c r="E991" s="180"/>
      <c r="F991" s="180"/>
      <c r="G991" s="180"/>
      <c r="H991" s="180"/>
      <c r="I991" s="181"/>
      <c r="J991" s="180"/>
      <c r="K991" s="180"/>
      <c r="L991" s="180"/>
      <c r="M991" s="180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  <c r="X991" s="181"/>
      <c r="Y991" s="180"/>
      <c r="Z991" s="183"/>
      <c r="AA991" s="183"/>
      <c r="AB991" s="180"/>
      <c r="AC991" s="183"/>
      <c r="AD991" s="183"/>
      <c r="AE991" s="180"/>
      <c r="AF991" s="184"/>
      <c r="AG991" s="185"/>
      <c r="AH991" s="186"/>
      <c r="AI991" s="187"/>
      <c r="AJ991" s="187"/>
      <c r="AK991" s="188"/>
      <c r="AL991" s="189"/>
      <c r="AM991" s="188"/>
      <c r="AN991" s="181"/>
    </row>
    <row r="992" spans="1:40" ht="26.25" customHeight="1">
      <c r="A992" s="177"/>
      <c r="B992" s="178"/>
      <c r="C992" s="179"/>
      <c r="D992" s="180"/>
      <c r="E992" s="180"/>
      <c r="F992" s="180"/>
      <c r="G992" s="180"/>
      <c r="H992" s="180"/>
      <c r="I992" s="181"/>
      <c r="J992" s="180"/>
      <c r="K992" s="180"/>
      <c r="L992" s="180"/>
      <c r="M992" s="180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  <c r="X992" s="181"/>
      <c r="Y992" s="180"/>
      <c r="Z992" s="183"/>
      <c r="AA992" s="183"/>
      <c r="AB992" s="180"/>
      <c r="AC992" s="183"/>
      <c r="AD992" s="183"/>
      <c r="AE992" s="180"/>
      <c r="AF992" s="184"/>
      <c r="AG992" s="185"/>
      <c r="AH992" s="186"/>
      <c r="AI992" s="187"/>
      <c r="AJ992" s="187"/>
      <c r="AK992" s="188"/>
      <c r="AL992" s="189"/>
      <c r="AM992" s="188"/>
      <c r="AN992" s="181"/>
    </row>
    <row r="993" spans="1:40" ht="26.25" customHeight="1">
      <c r="A993" s="177"/>
      <c r="B993" s="178"/>
      <c r="C993" s="179"/>
      <c r="D993" s="180"/>
      <c r="E993" s="180"/>
      <c r="F993" s="180"/>
      <c r="G993" s="180"/>
      <c r="H993" s="180"/>
      <c r="I993" s="181"/>
      <c r="J993" s="180"/>
      <c r="K993" s="180"/>
      <c r="L993" s="180"/>
      <c r="M993" s="180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  <c r="X993" s="181"/>
      <c r="Y993" s="180"/>
      <c r="Z993" s="183"/>
      <c r="AA993" s="183"/>
      <c r="AB993" s="180"/>
      <c r="AC993" s="183"/>
      <c r="AD993" s="183"/>
      <c r="AE993" s="180"/>
      <c r="AF993" s="184"/>
      <c r="AG993" s="185"/>
      <c r="AH993" s="186"/>
      <c r="AI993" s="187"/>
      <c r="AJ993" s="187"/>
      <c r="AK993" s="188"/>
      <c r="AL993" s="189"/>
      <c r="AM993" s="188"/>
      <c r="AN993" s="181"/>
    </row>
    <row r="994" spans="1:40" ht="26.25" customHeight="1">
      <c r="A994" s="177"/>
      <c r="B994" s="178"/>
      <c r="C994" s="179"/>
      <c r="D994" s="180"/>
      <c r="E994" s="180"/>
      <c r="F994" s="180"/>
      <c r="G994" s="180"/>
      <c r="H994" s="180"/>
      <c r="I994" s="181"/>
      <c r="J994" s="180"/>
      <c r="K994" s="180"/>
      <c r="L994" s="180"/>
      <c r="M994" s="180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  <c r="X994" s="181"/>
      <c r="Y994" s="180"/>
      <c r="Z994" s="183"/>
      <c r="AA994" s="183"/>
      <c r="AB994" s="180"/>
      <c r="AC994" s="183"/>
      <c r="AD994" s="183"/>
      <c r="AE994" s="180"/>
      <c r="AF994" s="184"/>
      <c r="AG994" s="185"/>
      <c r="AH994" s="186"/>
      <c r="AI994" s="187"/>
      <c r="AJ994" s="187"/>
      <c r="AK994" s="188"/>
      <c r="AL994" s="189"/>
      <c r="AM994" s="188"/>
      <c r="AN994" s="181"/>
    </row>
    <row r="995" spans="1:40" ht="26.25" customHeight="1">
      <c r="A995" s="177"/>
      <c r="B995" s="178"/>
      <c r="C995" s="179"/>
      <c r="D995" s="180"/>
      <c r="E995" s="180"/>
      <c r="F995" s="180"/>
      <c r="G995" s="180"/>
      <c r="H995" s="180"/>
      <c r="I995" s="181"/>
      <c r="J995" s="180"/>
      <c r="K995" s="180"/>
      <c r="L995" s="180"/>
      <c r="M995" s="180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  <c r="X995" s="181"/>
      <c r="Y995" s="180"/>
      <c r="Z995" s="183"/>
      <c r="AA995" s="183"/>
      <c r="AB995" s="180"/>
      <c r="AC995" s="183"/>
      <c r="AD995" s="183"/>
      <c r="AE995" s="180"/>
      <c r="AF995" s="184"/>
      <c r="AG995" s="185"/>
      <c r="AH995" s="186"/>
      <c r="AI995" s="187"/>
      <c r="AJ995" s="187"/>
      <c r="AK995" s="188"/>
      <c r="AL995" s="189"/>
      <c r="AM995" s="188"/>
      <c r="AN995" s="181"/>
    </row>
    <row r="996" spans="1:40" ht="26.25" customHeight="1">
      <c r="A996" s="177"/>
      <c r="B996" s="178"/>
      <c r="C996" s="179"/>
      <c r="D996" s="180"/>
      <c r="E996" s="180"/>
      <c r="F996" s="180"/>
      <c r="G996" s="180"/>
      <c r="H996" s="180"/>
      <c r="I996" s="181"/>
      <c r="J996" s="180"/>
      <c r="K996" s="180"/>
      <c r="L996" s="180"/>
      <c r="M996" s="180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  <c r="X996" s="181"/>
      <c r="Y996" s="180"/>
      <c r="Z996" s="183"/>
      <c r="AA996" s="183"/>
      <c r="AB996" s="180"/>
      <c r="AC996" s="183"/>
      <c r="AD996" s="183"/>
      <c r="AE996" s="180"/>
      <c r="AF996" s="184"/>
      <c r="AG996" s="185"/>
      <c r="AH996" s="186"/>
      <c r="AI996" s="187"/>
      <c r="AJ996" s="187"/>
      <c r="AK996" s="188"/>
      <c r="AL996" s="189"/>
      <c r="AM996" s="188"/>
      <c r="AN996" s="181"/>
    </row>
    <row r="997" spans="1:40" ht="26.25" customHeight="1">
      <c r="A997" s="177"/>
      <c r="B997" s="178"/>
      <c r="C997" s="179"/>
      <c r="D997" s="180"/>
      <c r="E997" s="180"/>
      <c r="F997" s="180"/>
      <c r="G997" s="180"/>
      <c r="H997" s="180"/>
      <c r="I997" s="181"/>
      <c r="J997" s="180"/>
      <c r="K997" s="180"/>
      <c r="L997" s="180"/>
      <c r="M997" s="180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  <c r="X997" s="181"/>
      <c r="Y997" s="180"/>
      <c r="Z997" s="183"/>
      <c r="AA997" s="183"/>
      <c r="AB997" s="180"/>
      <c r="AC997" s="183"/>
      <c r="AD997" s="183"/>
      <c r="AE997" s="180"/>
      <c r="AF997" s="184"/>
      <c r="AG997" s="185"/>
      <c r="AH997" s="186"/>
      <c r="AI997" s="187"/>
      <c r="AJ997" s="187"/>
      <c r="AK997" s="188"/>
      <c r="AL997" s="189"/>
      <c r="AM997" s="188"/>
      <c r="AN997" s="181"/>
    </row>
    <row r="998" spans="1:40" ht="26.25" customHeight="1">
      <c r="A998" s="177"/>
      <c r="B998" s="178"/>
      <c r="C998" s="179"/>
      <c r="D998" s="180"/>
      <c r="E998" s="180"/>
      <c r="F998" s="180"/>
      <c r="G998" s="180"/>
      <c r="H998" s="180"/>
      <c r="I998" s="181"/>
      <c r="J998" s="180"/>
      <c r="K998" s="180"/>
      <c r="L998" s="180"/>
      <c r="M998" s="180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  <c r="X998" s="181"/>
      <c r="Y998" s="180"/>
      <c r="Z998" s="183"/>
      <c r="AA998" s="183"/>
      <c r="AB998" s="180"/>
      <c r="AC998" s="183"/>
      <c r="AD998" s="183"/>
      <c r="AE998" s="180"/>
      <c r="AF998" s="184"/>
      <c r="AG998" s="185"/>
      <c r="AH998" s="186"/>
      <c r="AI998" s="187"/>
      <c r="AJ998" s="187"/>
      <c r="AK998" s="188"/>
      <c r="AL998" s="189"/>
      <c r="AM998" s="188"/>
      <c r="AN998" s="181"/>
    </row>
    <row r="999" spans="1:40" ht="26.25" customHeight="1">
      <c r="A999" s="177"/>
      <c r="B999" s="178"/>
      <c r="C999" s="179"/>
      <c r="D999" s="180"/>
      <c r="E999" s="180"/>
      <c r="F999" s="180"/>
      <c r="G999" s="180"/>
      <c r="H999" s="180"/>
      <c r="I999" s="181"/>
      <c r="J999" s="180"/>
      <c r="K999" s="180"/>
      <c r="L999" s="180"/>
      <c r="M999" s="180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  <c r="X999" s="181"/>
      <c r="Y999" s="180"/>
      <c r="Z999" s="183"/>
      <c r="AA999" s="183"/>
      <c r="AB999" s="180"/>
      <c r="AC999" s="183"/>
      <c r="AD999" s="183"/>
      <c r="AE999" s="180"/>
      <c r="AF999" s="184"/>
      <c r="AG999" s="185"/>
      <c r="AH999" s="186"/>
      <c r="AI999" s="187"/>
      <c r="AJ999" s="187"/>
      <c r="AK999" s="188"/>
      <c r="AL999" s="189"/>
      <c r="AM999" s="188"/>
      <c r="AN999" s="181"/>
    </row>
    <row r="1000" spans="1:40" ht="26.25" customHeight="1">
      <c r="A1000" s="177"/>
      <c r="B1000" s="178"/>
      <c r="C1000" s="179"/>
      <c r="D1000" s="180"/>
      <c r="E1000" s="180"/>
      <c r="F1000" s="180"/>
      <c r="G1000" s="180"/>
      <c r="H1000" s="180"/>
      <c r="I1000" s="181"/>
      <c r="J1000" s="180"/>
      <c r="K1000" s="180"/>
      <c r="L1000" s="180"/>
      <c r="M1000" s="180"/>
      <c r="N1000" s="182"/>
      <c r="O1000" s="182"/>
      <c r="P1000" s="182"/>
      <c r="Q1000" s="182"/>
      <c r="R1000" s="182"/>
      <c r="S1000" s="182"/>
      <c r="T1000" s="182"/>
      <c r="U1000" s="182"/>
      <c r="V1000" s="182"/>
      <c r="W1000" s="182"/>
      <c r="X1000" s="181"/>
      <c r="Y1000" s="180"/>
      <c r="Z1000" s="183"/>
      <c r="AA1000" s="183"/>
      <c r="AB1000" s="180"/>
      <c r="AC1000" s="183"/>
      <c r="AD1000" s="183"/>
      <c r="AE1000" s="180"/>
      <c r="AF1000" s="184"/>
      <c r="AG1000" s="185"/>
      <c r="AH1000" s="186"/>
      <c r="AI1000" s="187"/>
      <c r="AJ1000" s="187"/>
      <c r="AK1000" s="188"/>
      <c r="AL1000" s="189"/>
      <c r="AM1000" s="188"/>
      <c r="AN1000" s="181"/>
    </row>
    <row r="1001" spans="1:40" ht="26.25" customHeight="1">
      <c r="A1001" s="177"/>
      <c r="B1001" s="178"/>
      <c r="C1001" s="179"/>
      <c r="D1001" s="180"/>
      <c r="E1001" s="180"/>
      <c r="F1001" s="180"/>
      <c r="G1001" s="180"/>
      <c r="H1001" s="180"/>
      <c r="I1001" s="181"/>
      <c r="J1001" s="180"/>
      <c r="K1001" s="180"/>
      <c r="L1001" s="180"/>
      <c r="M1001" s="180"/>
      <c r="N1001" s="182"/>
      <c r="O1001" s="182"/>
      <c r="P1001" s="182"/>
      <c r="Q1001" s="182"/>
      <c r="R1001" s="182"/>
      <c r="S1001" s="182"/>
      <c r="T1001" s="182"/>
      <c r="U1001" s="182"/>
      <c r="V1001" s="182"/>
      <c r="W1001" s="182"/>
      <c r="X1001" s="181"/>
      <c r="Y1001" s="180"/>
      <c r="Z1001" s="183"/>
      <c r="AA1001" s="183"/>
      <c r="AB1001" s="180"/>
      <c r="AC1001" s="183"/>
      <c r="AD1001" s="183"/>
      <c r="AE1001" s="180"/>
      <c r="AF1001" s="184"/>
      <c r="AG1001" s="185"/>
      <c r="AH1001" s="186"/>
      <c r="AI1001" s="187"/>
      <c r="AJ1001" s="187"/>
      <c r="AK1001" s="188"/>
      <c r="AL1001" s="189"/>
      <c r="AM1001" s="188"/>
      <c r="AN1001" s="181"/>
    </row>
    <row r="1002" spans="1:40" ht="26.25" customHeight="1">
      <c r="A1002" s="177"/>
      <c r="B1002" s="178"/>
      <c r="C1002" s="179"/>
      <c r="D1002" s="180"/>
      <c r="E1002" s="180"/>
      <c r="F1002" s="180"/>
      <c r="G1002" s="180"/>
      <c r="H1002" s="180"/>
      <c r="I1002" s="181"/>
      <c r="J1002" s="180"/>
      <c r="K1002" s="180"/>
      <c r="L1002" s="180"/>
      <c r="M1002" s="180"/>
      <c r="N1002" s="182"/>
      <c r="O1002" s="182"/>
      <c r="P1002" s="182"/>
      <c r="Q1002" s="182"/>
      <c r="R1002" s="182"/>
      <c r="S1002" s="182"/>
      <c r="T1002" s="182"/>
      <c r="U1002" s="182"/>
      <c r="V1002" s="182"/>
      <c r="W1002" s="182"/>
      <c r="X1002" s="181"/>
      <c r="Y1002" s="180"/>
      <c r="Z1002" s="183"/>
      <c r="AA1002" s="183"/>
      <c r="AB1002" s="180"/>
      <c r="AC1002" s="183"/>
      <c r="AD1002" s="183"/>
      <c r="AE1002" s="180"/>
      <c r="AF1002" s="184"/>
      <c r="AG1002" s="185"/>
      <c r="AH1002" s="186"/>
      <c r="AI1002" s="187"/>
      <c r="AJ1002" s="187"/>
      <c r="AK1002" s="188"/>
      <c r="AL1002" s="189"/>
      <c r="AM1002" s="188"/>
      <c r="AN1002" s="181"/>
    </row>
    <row r="1003" spans="1:40" ht="26.25" customHeight="1">
      <c r="A1003" s="177"/>
      <c r="B1003" s="178"/>
      <c r="C1003" s="179"/>
      <c r="D1003" s="180"/>
      <c r="E1003" s="180"/>
      <c r="F1003" s="180"/>
      <c r="G1003" s="180"/>
      <c r="H1003" s="180"/>
      <c r="I1003" s="181"/>
      <c r="J1003" s="180"/>
      <c r="K1003" s="180"/>
      <c r="L1003" s="180"/>
      <c r="M1003" s="180"/>
      <c r="N1003" s="182"/>
      <c r="O1003" s="182"/>
      <c r="P1003" s="182"/>
      <c r="Q1003" s="182"/>
      <c r="R1003" s="182"/>
      <c r="S1003" s="182"/>
      <c r="T1003" s="182"/>
      <c r="U1003" s="182"/>
      <c r="V1003" s="182"/>
      <c r="W1003" s="182"/>
      <c r="X1003" s="181"/>
      <c r="Y1003" s="180"/>
      <c r="Z1003" s="183"/>
      <c r="AA1003" s="183"/>
      <c r="AB1003" s="180"/>
      <c r="AC1003" s="183"/>
      <c r="AD1003" s="183"/>
      <c r="AE1003" s="180"/>
      <c r="AF1003" s="184"/>
      <c r="AG1003" s="185"/>
      <c r="AH1003" s="186"/>
      <c r="AI1003" s="187"/>
      <c r="AJ1003" s="187"/>
      <c r="AK1003" s="188"/>
      <c r="AL1003" s="189"/>
      <c r="AM1003" s="188"/>
      <c r="AN1003" s="181"/>
    </row>
    <row r="1004" spans="1:40" ht="26.25" customHeight="1">
      <c r="A1004" s="177"/>
      <c r="B1004" s="178"/>
      <c r="C1004" s="179"/>
      <c r="D1004" s="180"/>
      <c r="E1004" s="180"/>
      <c r="F1004" s="180"/>
      <c r="G1004" s="180"/>
      <c r="H1004" s="180"/>
      <c r="I1004" s="181"/>
      <c r="J1004" s="180"/>
      <c r="K1004" s="180"/>
      <c r="L1004" s="180"/>
      <c r="M1004" s="180"/>
      <c r="N1004" s="182"/>
      <c r="O1004" s="182"/>
      <c r="P1004" s="182"/>
      <c r="Q1004" s="182"/>
      <c r="R1004" s="182"/>
      <c r="S1004" s="182"/>
      <c r="T1004" s="182"/>
      <c r="U1004" s="182"/>
      <c r="V1004" s="182"/>
      <c r="W1004" s="182"/>
      <c r="X1004" s="181"/>
      <c r="Y1004" s="180"/>
      <c r="Z1004" s="183"/>
      <c r="AA1004" s="183"/>
      <c r="AB1004" s="180"/>
      <c r="AC1004" s="183"/>
      <c r="AD1004" s="183"/>
      <c r="AE1004" s="180"/>
      <c r="AF1004" s="184"/>
      <c r="AG1004" s="185"/>
      <c r="AH1004" s="186"/>
      <c r="AI1004" s="187"/>
      <c r="AJ1004" s="187"/>
      <c r="AK1004" s="188"/>
      <c r="AL1004" s="189"/>
      <c r="AM1004" s="188"/>
      <c r="AN1004" s="181"/>
    </row>
    <row r="1005" spans="1:40" ht="26.25" customHeight="1">
      <c r="A1005" s="177"/>
      <c r="B1005" s="178"/>
      <c r="C1005" s="179"/>
      <c r="D1005" s="180"/>
      <c r="E1005" s="180"/>
      <c r="F1005" s="180"/>
      <c r="G1005" s="180"/>
      <c r="H1005" s="180"/>
      <c r="I1005" s="181"/>
      <c r="J1005" s="180"/>
      <c r="K1005" s="180"/>
      <c r="L1005" s="180"/>
      <c r="M1005" s="180"/>
      <c r="N1005" s="182"/>
      <c r="O1005" s="182"/>
      <c r="P1005" s="182"/>
      <c r="Q1005" s="182"/>
      <c r="R1005" s="182"/>
      <c r="S1005" s="182"/>
      <c r="T1005" s="182"/>
      <c r="U1005" s="182"/>
      <c r="V1005" s="182"/>
      <c r="W1005" s="182"/>
      <c r="X1005" s="181"/>
      <c r="Y1005" s="180"/>
      <c r="Z1005" s="183"/>
      <c r="AA1005" s="183"/>
      <c r="AB1005" s="180"/>
      <c r="AC1005" s="183"/>
      <c r="AD1005" s="183"/>
      <c r="AE1005" s="180"/>
      <c r="AF1005" s="184"/>
      <c r="AG1005" s="185"/>
      <c r="AH1005" s="186"/>
      <c r="AI1005" s="187"/>
      <c r="AJ1005" s="187"/>
      <c r="AK1005" s="188"/>
      <c r="AL1005" s="189"/>
      <c r="AM1005" s="188"/>
      <c r="AN1005" s="181"/>
    </row>
    <row r="1006" spans="1:40" ht="26.25" customHeight="1">
      <c r="A1006" s="177"/>
      <c r="B1006" s="178"/>
      <c r="C1006" s="179"/>
      <c r="D1006" s="180"/>
      <c r="E1006" s="180"/>
      <c r="F1006" s="180"/>
      <c r="G1006" s="180"/>
      <c r="H1006" s="180"/>
      <c r="I1006" s="181"/>
      <c r="J1006" s="180"/>
      <c r="K1006" s="180"/>
      <c r="L1006" s="180"/>
      <c r="M1006" s="180"/>
      <c r="N1006" s="182"/>
      <c r="O1006" s="182"/>
      <c r="P1006" s="182"/>
      <c r="Q1006" s="182"/>
      <c r="R1006" s="182"/>
      <c r="S1006" s="182"/>
      <c r="T1006" s="182"/>
      <c r="U1006" s="182"/>
      <c r="V1006" s="182"/>
      <c r="W1006" s="182"/>
      <c r="X1006" s="181"/>
      <c r="Y1006" s="180"/>
      <c r="Z1006" s="183"/>
      <c r="AA1006" s="183"/>
      <c r="AB1006" s="180"/>
      <c r="AC1006" s="183"/>
      <c r="AD1006" s="183"/>
      <c r="AE1006" s="180"/>
      <c r="AF1006" s="184"/>
      <c r="AG1006" s="185"/>
      <c r="AH1006" s="186"/>
      <c r="AI1006" s="187"/>
      <c r="AJ1006" s="187"/>
      <c r="AK1006" s="188"/>
      <c r="AL1006" s="189"/>
      <c r="AM1006" s="188"/>
      <c r="AN1006" s="181"/>
    </row>
    <row r="1007" spans="1:40" ht="26.25" customHeight="1">
      <c r="A1007" s="177"/>
      <c r="B1007" s="178"/>
      <c r="C1007" s="179"/>
      <c r="D1007" s="180"/>
      <c r="E1007" s="180"/>
      <c r="F1007" s="180"/>
      <c r="G1007" s="180"/>
      <c r="H1007" s="180"/>
      <c r="I1007" s="181"/>
      <c r="J1007" s="180"/>
      <c r="K1007" s="180"/>
      <c r="L1007" s="180"/>
      <c r="M1007" s="180"/>
      <c r="N1007" s="182"/>
      <c r="O1007" s="182"/>
      <c r="P1007" s="182"/>
      <c r="Q1007" s="182"/>
      <c r="R1007" s="182"/>
      <c r="S1007" s="182"/>
      <c r="T1007" s="182"/>
      <c r="U1007" s="182"/>
      <c r="V1007" s="182"/>
      <c r="W1007" s="182"/>
      <c r="X1007" s="181"/>
      <c r="Y1007" s="180"/>
      <c r="Z1007" s="183"/>
      <c r="AA1007" s="183"/>
      <c r="AB1007" s="180"/>
      <c r="AC1007" s="183"/>
      <c r="AD1007" s="183"/>
      <c r="AE1007" s="180"/>
      <c r="AF1007" s="184"/>
      <c r="AG1007" s="185"/>
      <c r="AH1007" s="186"/>
      <c r="AI1007" s="187"/>
      <c r="AJ1007" s="187"/>
      <c r="AK1007" s="188"/>
      <c r="AL1007" s="189"/>
      <c r="AM1007" s="188"/>
      <c r="AN1007" s="181"/>
    </row>
    <row r="1008" spans="1:40" ht="26.25" customHeight="1">
      <c r="A1008" s="177"/>
      <c r="B1008" s="178"/>
      <c r="C1008" s="179"/>
      <c r="D1008" s="180"/>
      <c r="E1008" s="180"/>
      <c r="F1008" s="180"/>
      <c r="G1008" s="180"/>
      <c r="H1008" s="180"/>
      <c r="I1008" s="181"/>
      <c r="J1008" s="180"/>
      <c r="K1008" s="180"/>
      <c r="L1008" s="180"/>
      <c r="M1008" s="180"/>
      <c r="N1008" s="182"/>
      <c r="O1008" s="182"/>
      <c r="P1008" s="182"/>
      <c r="Q1008" s="182"/>
      <c r="R1008" s="182"/>
      <c r="S1008" s="182"/>
      <c r="T1008" s="182"/>
      <c r="U1008" s="182"/>
      <c r="V1008" s="182"/>
      <c r="W1008" s="182"/>
      <c r="X1008" s="181"/>
      <c r="Y1008" s="180"/>
      <c r="Z1008" s="183"/>
      <c r="AA1008" s="183"/>
      <c r="AB1008" s="180"/>
      <c r="AC1008" s="183"/>
      <c r="AD1008" s="183"/>
      <c r="AE1008" s="180"/>
      <c r="AF1008" s="184"/>
      <c r="AG1008" s="185"/>
      <c r="AH1008" s="186"/>
      <c r="AI1008" s="187"/>
      <c r="AJ1008" s="187"/>
      <c r="AK1008" s="188"/>
      <c r="AL1008" s="189"/>
      <c r="AM1008" s="188"/>
      <c r="AN1008" s="181"/>
    </row>
    <row r="1009" spans="1:40" ht="26.25" customHeight="1">
      <c r="A1009" s="177"/>
      <c r="B1009" s="178"/>
      <c r="C1009" s="179"/>
      <c r="D1009" s="180"/>
      <c r="E1009" s="180"/>
      <c r="F1009" s="180"/>
      <c r="G1009" s="180"/>
      <c r="H1009" s="180"/>
      <c r="I1009" s="181"/>
      <c r="J1009" s="180"/>
      <c r="K1009" s="180"/>
      <c r="L1009" s="180"/>
      <c r="M1009" s="180"/>
      <c r="N1009" s="182"/>
      <c r="O1009" s="182"/>
      <c r="P1009" s="182"/>
      <c r="Q1009" s="182"/>
      <c r="R1009" s="182"/>
      <c r="S1009" s="182"/>
      <c r="T1009" s="182"/>
      <c r="U1009" s="182"/>
      <c r="V1009" s="182"/>
      <c r="W1009" s="182"/>
      <c r="X1009" s="181"/>
      <c r="Y1009" s="180"/>
      <c r="Z1009" s="183"/>
      <c r="AA1009" s="183"/>
      <c r="AB1009" s="180"/>
      <c r="AC1009" s="183"/>
      <c r="AD1009" s="183"/>
      <c r="AE1009" s="180"/>
      <c r="AF1009" s="184"/>
      <c r="AG1009" s="185"/>
      <c r="AH1009" s="186"/>
      <c r="AI1009" s="187"/>
      <c r="AJ1009" s="187"/>
      <c r="AK1009" s="188"/>
      <c r="AL1009" s="189"/>
      <c r="AM1009" s="188"/>
      <c r="AN1009" s="181"/>
    </row>
    <row r="1010" spans="1:40" ht="26.25" customHeight="1">
      <c r="A1010" s="177"/>
      <c r="B1010" s="178"/>
      <c r="C1010" s="179"/>
      <c r="D1010" s="180"/>
      <c r="E1010" s="180"/>
      <c r="F1010" s="180"/>
      <c r="G1010" s="180"/>
      <c r="H1010" s="180"/>
      <c r="I1010" s="181"/>
      <c r="J1010" s="180"/>
      <c r="K1010" s="180"/>
      <c r="L1010" s="180"/>
      <c r="M1010" s="180"/>
      <c r="N1010" s="182"/>
      <c r="O1010" s="182"/>
      <c r="P1010" s="182"/>
      <c r="Q1010" s="182"/>
      <c r="R1010" s="182"/>
      <c r="S1010" s="182"/>
      <c r="T1010" s="182"/>
      <c r="U1010" s="182"/>
      <c r="V1010" s="182"/>
      <c r="W1010" s="182"/>
      <c r="X1010" s="181"/>
      <c r="Y1010" s="180"/>
      <c r="Z1010" s="183"/>
      <c r="AA1010" s="183"/>
      <c r="AB1010" s="180"/>
      <c r="AC1010" s="183"/>
      <c r="AD1010" s="183"/>
      <c r="AE1010" s="180"/>
      <c r="AF1010" s="184"/>
      <c r="AG1010" s="185"/>
      <c r="AH1010" s="186"/>
      <c r="AI1010" s="187"/>
      <c r="AJ1010" s="187"/>
      <c r="AK1010" s="188"/>
      <c r="AL1010" s="189"/>
      <c r="AM1010" s="188"/>
      <c r="AN1010" s="181"/>
    </row>
    <row r="1011" spans="1:40" ht="26.25" customHeight="1">
      <c r="A1011" s="177"/>
      <c r="B1011" s="178"/>
      <c r="C1011" s="179"/>
      <c r="D1011" s="180"/>
      <c r="E1011" s="180"/>
      <c r="F1011" s="180"/>
      <c r="G1011" s="180"/>
      <c r="H1011" s="180"/>
      <c r="I1011" s="181"/>
      <c r="J1011" s="180"/>
      <c r="K1011" s="180"/>
      <c r="L1011" s="180"/>
      <c r="M1011" s="180"/>
      <c r="N1011" s="182"/>
      <c r="O1011" s="182"/>
      <c r="P1011" s="182"/>
      <c r="Q1011" s="182"/>
      <c r="R1011" s="182"/>
      <c r="S1011" s="182"/>
      <c r="T1011" s="182"/>
      <c r="U1011" s="182"/>
      <c r="V1011" s="182"/>
      <c r="W1011" s="182"/>
      <c r="X1011" s="181"/>
      <c r="Y1011" s="180"/>
      <c r="Z1011" s="183"/>
      <c r="AA1011" s="183"/>
      <c r="AB1011" s="180"/>
      <c r="AC1011" s="183"/>
      <c r="AD1011" s="183"/>
      <c r="AE1011" s="180"/>
      <c r="AF1011" s="184"/>
      <c r="AG1011" s="185"/>
      <c r="AH1011" s="186"/>
      <c r="AI1011" s="187"/>
      <c r="AJ1011" s="187"/>
      <c r="AK1011" s="188"/>
      <c r="AL1011" s="189"/>
      <c r="AM1011" s="188"/>
      <c r="AN1011" s="181"/>
    </row>
    <row r="1012" spans="1:40" ht="26.25" customHeight="1">
      <c r="A1012" s="177"/>
      <c r="B1012" s="178"/>
      <c r="C1012" s="179"/>
      <c r="D1012" s="180"/>
      <c r="E1012" s="180"/>
      <c r="F1012" s="180"/>
      <c r="G1012" s="180"/>
      <c r="H1012" s="180"/>
      <c r="I1012" s="181"/>
      <c r="J1012" s="180"/>
      <c r="K1012" s="180"/>
      <c r="L1012" s="180"/>
      <c r="M1012" s="180"/>
      <c r="N1012" s="182"/>
      <c r="O1012" s="182"/>
      <c r="P1012" s="182"/>
      <c r="Q1012" s="182"/>
      <c r="R1012" s="182"/>
      <c r="S1012" s="182"/>
      <c r="T1012" s="182"/>
      <c r="U1012" s="182"/>
      <c r="V1012" s="182"/>
      <c r="W1012" s="182"/>
      <c r="X1012" s="181"/>
      <c r="Y1012" s="180"/>
      <c r="Z1012" s="183"/>
      <c r="AA1012" s="183"/>
      <c r="AB1012" s="180"/>
      <c r="AC1012" s="183"/>
      <c r="AD1012" s="183"/>
      <c r="AE1012" s="180"/>
      <c r="AF1012" s="184"/>
      <c r="AG1012" s="185"/>
      <c r="AH1012" s="186"/>
      <c r="AI1012" s="187"/>
      <c r="AJ1012" s="187"/>
      <c r="AK1012" s="188"/>
      <c r="AL1012" s="189"/>
      <c r="AM1012" s="188"/>
      <c r="AN1012" s="181"/>
    </row>
    <row r="1013" spans="1:40" ht="26.25" customHeight="1">
      <c r="A1013" s="177"/>
      <c r="B1013" s="178"/>
      <c r="C1013" s="179"/>
      <c r="D1013" s="180"/>
      <c r="E1013" s="180"/>
      <c r="F1013" s="180"/>
      <c r="G1013" s="180"/>
      <c r="H1013" s="180"/>
      <c r="I1013" s="181"/>
      <c r="J1013" s="180"/>
      <c r="K1013" s="180"/>
      <c r="L1013" s="180"/>
      <c r="M1013" s="180"/>
      <c r="N1013" s="182"/>
      <c r="O1013" s="182"/>
      <c r="P1013" s="182"/>
      <c r="Q1013" s="182"/>
      <c r="R1013" s="182"/>
      <c r="S1013" s="182"/>
      <c r="T1013" s="182"/>
      <c r="U1013" s="182"/>
      <c r="V1013" s="182"/>
      <c r="W1013" s="182"/>
      <c r="X1013" s="181"/>
      <c r="Y1013" s="180"/>
      <c r="Z1013" s="183"/>
      <c r="AA1013" s="183"/>
      <c r="AB1013" s="180"/>
      <c r="AC1013" s="183"/>
      <c r="AD1013" s="183"/>
      <c r="AE1013" s="180"/>
      <c r="AF1013" s="184"/>
      <c r="AG1013" s="185"/>
      <c r="AH1013" s="186"/>
      <c r="AI1013" s="187"/>
      <c r="AJ1013" s="187"/>
      <c r="AK1013" s="188"/>
      <c r="AL1013" s="189"/>
      <c r="AM1013" s="188"/>
      <c r="AN1013" s="181"/>
    </row>
    <row r="1014" spans="1:40" ht="26.25" customHeight="1">
      <c r="A1014" s="177"/>
      <c r="B1014" s="178"/>
      <c r="C1014" s="179"/>
      <c r="D1014" s="180"/>
      <c r="E1014" s="180"/>
      <c r="F1014" s="180"/>
      <c r="G1014" s="180"/>
      <c r="H1014" s="180"/>
      <c r="I1014" s="181"/>
      <c r="J1014" s="180"/>
      <c r="K1014" s="180"/>
      <c r="L1014" s="180"/>
      <c r="M1014" s="180"/>
      <c r="N1014" s="182"/>
      <c r="O1014" s="182"/>
      <c r="P1014" s="182"/>
      <c r="Q1014" s="182"/>
      <c r="R1014" s="182"/>
      <c r="S1014" s="182"/>
      <c r="T1014" s="182"/>
      <c r="U1014" s="182"/>
      <c r="V1014" s="182"/>
      <c r="W1014" s="182"/>
      <c r="X1014" s="181"/>
      <c r="Y1014" s="180"/>
      <c r="Z1014" s="183"/>
      <c r="AA1014" s="183"/>
      <c r="AB1014" s="180"/>
      <c r="AC1014" s="183"/>
      <c r="AD1014" s="183"/>
      <c r="AE1014" s="180"/>
      <c r="AF1014" s="184"/>
      <c r="AG1014" s="185"/>
      <c r="AH1014" s="186"/>
      <c r="AI1014" s="187"/>
      <c r="AJ1014" s="187"/>
      <c r="AK1014" s="188"/>
      <c r="AL1014" s="189"/>
      <c r="AM1014" s="188"/>
      <c r="AN1014" s="181"/>
    </row>
    <row r="1015" spans="1:40" ht="26.25" customHeight="1">
      <c r="A1015" s="177"/>
      <c r="B1015" s="178"/>
      <c r="C1015" s="179"/>
      <c r="D1015" s="180"/>
      <c r="E1015" s="180"/>
      <c r="F1015" s="180"/>
      <c r="G1015" s="180"/>
      <c r="H1015" s="180"/>
      <c r="I1015" s="181"/>
      <c r="J1015" s="180"/>
      <c r="K1015" s="180"/>
      <c r="L1015" s="180"/>
      <c r="M1015" s="180"/>
      <c r="N1015" s="182"/>
      <c r="O1015" s="182"/>
      <c r="P1015" s="182"/>
      <c r="Q1015" s="182"/>
      <c r="R1015" s="182"/>
      <c r="S1015" s="182"/>
      <c r="T1015" s="182"/>
      <c r="U1015" s="182"/>
      <c r="V1015" s="182"/>
      <c r="W1015" s="182"/>
      <c r="X1015" s="181"/>
      <c r="Y1015" s="180"/>
      <c r="Z1015" s="183"/>
      <c r="AA1015" s="183"/>
      <c r="AB1015" s="180"/>
      <c r="AC1015" s="183"/>
      <c r="AD1015" s="183"/>
      <c r="AE1015" s="180"/>
      <c r="AF1015" s="184"/>
      <c r="AG1015" s="185"/>
      <c r="AH1015" s="186"/>
      <c r="AI1015" s="187"/>
      <c r="AJ1015" s="187"/>
      <c r="AK1015" s="188"/>
      <c r="AL1015" s="189"/>
      <c r="AM1015" s="188"/>
      <c r="AN1015" s="181"/>
    </row>
    <row r="1016" spans="1:40" ht="26.25" customHeight="1">
      <c r="A1016" s="177"/>
      <c r="B1016" s="178"/>
      <c r="C1016" s="179"/>
      <c r="D1016" s="180"/>
      <c r="E1016" s="180"/>
      <c r="F1016" s="180"/>
      <c r="G1016" s="180"/>
      <c r="H1016" s="180"/>
      <c r="I1016" s="181"/>
      <c r="J1016" s="180"/>
      <c r="K1016" s="180"/>
      <c r="L1016" s="180"/>
      <c r="M1016" s="180"/>
      <c r="N1016" s="182"/>
      <c r="O1016" s="182"/>
      <c r="P1016" s="182"/>
      <c r="Q1016" s="182"/>
      <c r="R1016" s="182"/>
      <c r="S1016" s="182"/>
      <c r="T1016" s="182"/>
      <c r="U1016" s="182"/>
      <c r="V1016" s="182"/>
      <c r="W1016" s="182"/>
      <c r="X1016" s="181"/>
      <c r="Y1016" s="180"/>
      <c r="Z1016" s="183"/>
      <c r="AA1016" s="183"/>
      <c r="AB1016" s="180"/>
      <c r="AC1016" s="183"/>
      <c r="AD1016" s="183"/>
      <c r="AE1016" s="180"/>
      <c r="AF1016" s="184"/>
      <c r="AG1016" s="185"/>
      <c r="AH1016" s="186"/>
      <c r="AI1016" s="187"/>
      <c r="AJ1016" s="187"/>
      <c r="AK1016" s="188"/>
      <c r="AL1016" s="189"/>
      <c r="AM1016" s="188"/>
      <c r="AN1016" s="181"/>
    </row>
    <row r="1017" spans="1:40" ht="26.25" customHeight="1">
      <c r="A1017" s="177"/>
      <c r="B1017" s="178"/>
      <c r="C1017" s="179"/>
      <c r="D1017" s="180"/>
      <c r="E1017" s="180"/>
      <c r="F1017" s="180"/>
      <c r="G1017" s="180"/>
      <c r="H1017" s="180"/>
      <c r="I1017" s="181"/>
      <c r="J1017" s="180"/>
      <c r="K1017" s="180"/>
      <c r="L1017" s="180"/>
      <c r="M1017" s="180"/>
      <c r="N1017" s="182"/>
      <c r="O1017" s="182"/>
      <c r="P1017" s="182"/>
      <c r="Q1017" s="182"/>
      <c r="R1017" s="182"/>
      <c r="S1017" s="182"/>
      <c r="T1017" s="182"/>
      <c r="U1017" s="182"/>
      <c r="V1017" s="182"/>
      <c r="W1017" s="182"/>
      <c r="X1017" s="181"/>
      <c r="Y1017" s="180"/>
      <c r="Z1017" s="183"/>
      <c r="AA1017" s="183"/>
      <c r="AB1017" s="180"/>
      <c r="AC1017" s="183"/>
      <c r="AD1017" s="183"/>
      <c r="AE1017" s="180"/>
      <c r="AF1017" s="184"/>
      <c r="AG1017" s="185"/>
      <c r="AH1017" s="186"/>
      <c r="AI1017" s="187"/>
      <c r="AJ1017" s="187"/>
      <c r="AK1017" s="188"/>
      <c r="AL1017" s="189"/>
      <c r="AM1017" s="188"/>
      <c r="AN1017" s="181"/>
    </row>
    <row r="1018" spans="1:40" ht="26.25" customHeight="1">
      <c r="A1018" s="177"/>
      <c r="B1018" s="178"/>
      <c r="C1018" s="179"/>
      <c r="D1018" s="180"/>
      <c r="E1018" s="180"/>
      <c r="F1018" s="180"/>
      <c r="G1018" s="180"/>
      <c r="H1018" s="180"/>
      <c r="I1018" s="181"/>
      <c r="J1018" s="180"/>
      <c r="K1018" s="180"/>
      <c r="L1018" s="180"/>
      <c r="M1018" s="180"/>
      <c r="N1018" s="182"/>
      <c r="O1018" s="182"/>
      <c r="P1018" s="182"/>
      <c r="Q1018" s="182"/>
      <c r="R1018" s="182"/>
      <c r="S1018" s="182"/>
      <c r="T1018" s="182"/>
      <c r="U1018" s="182"/>
      <c r="V1018" s="182"/>
      <c r="W1018" s="182"/>
      <c r="X1018" s="181"/>
      <c r="Y1018" s="180"/>
      <c r="Z1018" s="183"/>
      <c r="AA1018" s="183"/>
      <c r="AB1018" s="180"/>
      <c r="AC1018" s="183"/>
      <c r="AD1018" s="183"/>
      <c r="AE1018" s="180"/>
      <c r="AF1018" s="184"/>
      <c r="AG1018" s="185"/>
      <c r="AH1018" s="186"/>
      <c r="AI1018" s="187"/>
      <c r="AJ1018" s="187"/>
      <c r="AK1018" s="188"/>
      <c r="AL1018" s="189"/>
      <c r="AM1018" s="188"/>
      <c r="AN1018" s="181"/>
    </row>
    <row r="1019" spans="1:40" ht="26.25" customHeight="1">
      <c r="A1019" s="177"/>
      <c r="B1019" s="178"/>
      <c r="C1019" s="179"/>
      <c r="D1019" s="180"/>
      <c r="E1019" s="180"/>
      <c r="F1019" s="180"/>
      <c r="G1019" s="180"/>
      <c r="H1019" s="180"/>
      <c r="I1019" s="181"/>
      <c r="J1019" s="180"/>
      <c r="K1019" s="180"/>
      <c r="L1019" s="180"/>
      <c r="M1019" s="180"/>
      <c r="N1019" s="182"/>
      <c r="O1019" s="182"/>
      <c r="P1019" s="182"/>
      <c r="Q1019" s="182"/>
      <c r="R1019" s="182"/>
      <c r="S1019" s="182"/>
      <c r="T1019" s="182"/>
      <c r="U1019" s="182"/>
      <c r="V1019" s="182"/>
      <c r="W1019" s="182"/>
      <c r="X1019" s="181"/>
      <c r="Y1019" s="180"/>
      <c r="Z1019" s="183"/>
      <c r="AA1019" s="183"/>
      <c r="AB1019" s="180"/>
      <c r="AC1019" s="183"/>
      <c r="AD1019" s="183"/>
      <c r="AE1019" s="180"/>
      <c r="AF1019" s="184"/>
      <c r="AG1019" s="185"/>
      <c r="AH1019" s="186"/>
      <c r="AI1019" s="187"/>
      <c r="AJ1019" s="187"/>
      <c r="AK1019" s="188"/>
      <c r="AL1019" s="189"/>
      <c r="AM1019" s="188"/>
      <c r="AN1019" s="181"/>
    </row>
    <row r="1020" spans="1:40" ht="26.25" customHeight="1">
      <c r="A1020" s="177"/>
      <c r="B1020" s="178"/>
      <c r="C1020" s="179"/>
      <c r="D1020" s="180"/>
      <c r="E1020" s="180"/>
      <c r="F1020" s="180"/>
      <c r="G1020" s="180"/>
      <c r="H1020" s="180"/>
      <c r="I1020" s="181"/>
      <c r="J1020" s="180"/>
      <c r="K1020" s="180"/>
      <c r="L1020" s="180"/>
      <c r="M1020" s="180"/>
      <c r="N1020" s="182"/>
      <c r="O1020" s="182"/>
      <c r="P1020" s="182"/>
      <c r="Q1020" s="182"/>
      <c r="R1020" s="182"/>
      <c r="S1020" s="182"/>
      <c r="T1020" s="182"/>
      <c r="U1020" s="182"/>
      <c r="V1020" s="182"/>
      <c r="W1020" s="182"/>
      <c r="X1020" s="181"/>
      <c r="Y1020" s="180"/>
      <c r="Z1020" s="183"/>
      <c r="AA1020" s="183"/>
      <c r="AB1020" s="180"/>
      <c r="AC1020" s="183"/>
      <c r="AD1020" s="183"/>
      <c r="AE1020" s="180"/>
      <c r="AF1020" s="184"/>
      <c r="AG1020" s="185"/>
      <c r="AH1020" s="186"/>
      <c r="AI1020" s="187"/>
      <c r="AJ1020" s="187"/>
      <c r="AK1020" s="188"/>
      <c r="AL1020" s="189"/>
      <c r="AM1020" s="188"/>
      <c r="AN1020" s="181"/>
    </row>
    <row r="1021" spans="1:40" ht="26.25" customHeight="1">
      <c r="A1021" s="177"/>
      <c r="B1021" s="178"/>
      <c r="C1021" s="179"/>
      <c r="D1021" s="180"/>
      <c r="E1021" s="180"/>
      <c r="F1021" s="180"/>
      <c r="G1021" s="180"/>
      <c r="H1021" s="180"/>
      <c r="I1021" s="181"/>
      <c r="J1021" s="180"/>
      <c r="K1021" s="180"/>
      <c r="L1021" s="180"/>
      <c r="M1021" s="180"/>
      <c r="N1021" s="182"/>
      <c r="O1021" s="182"/>
      <c r="P1021" s="182"/>
      <c r="Q1021" s="182"/>
      <c r="R1021" s="182"/>
      <c r="S1021" s="182"/>
      <c r="T1021" s="182"/>
      <c r="U1021" s="182"/>
      <c r="V1021" s="182"/>
      <c r="W1021" s="182"/>
      <c r="X1021" s="181"/>
      <c r="Y1021" s="180"/>
      <c r="Z1021" s="183"/>
      <c r="AA1021" s="183"/>
      <c r="AB1021" s="180"/>
      <c r="AC1021" s="183"/>
      <c r="AD1021" s="183"/>
      <c r="AE1021" s="180"/>
      <c r="AF1021" s="184"/>
      <c r="AG1021" s="185"/>
      <c r="AH1021" s="186"/>
      <c r="AI1021" s="187"/>
      <c r="AJ1021" s="187"/>
      <c r="AK1021" s="188"/>
      <c r="AL1021" s="189"/>
      <c r="AM1021" s="188"/>
      <c r="AN1021" s="181"/>
    </row>
    <row r="1022" spans="1:40" ht="26.25" customHeight="1">
      <c r="A1022" s="177"/>
      <c r="B1022" s="178"/>
      <c r="C1022" s="179"/>
      <c r="D1022" s="180"/>
      <c r="E1022" s="180"/>
      <c r="F1022" s="180"/>
      <c r="G1022" s="180"/>
      <c r="H1022" s="180"/>
      <c r="I1022" s="181"/>
      <c r="J1022" s="180"/>
      <c r="K1022" s="180"/>
      <c r="L1022" s="180"/>
      <c r="M1022" s="180"/>
      <c r="N1022" s="182"/>
      <c r="O1022" s="182"/>
      <c r="P1022" s="182"/>
      <c r="Q1022" s="182"/>
      <c r="R1022" s="182"/>
      <c r="S1022" s="182"/>
      <c r="T1022" s="182"/>
      <c r="U1022" s="182"/>
      <c r="V1022" s="182"/>
      <c r="W1022" s="182"/>
      <c r="X1022" s="181"/>
      <c r="Y1022" s="180"/>
      <c r="Z1022" s="183"/>
      <c r="AA1022" s="183"/>
      <c r="AB1022" s="180"/>
      <c r="AC1022" s="183"/>
      <c r="AD1022" s="183"/>
      <c r="AE1022" s="180"/>
      <c r="AF1022" s="184"/>
      <c r="AG1022" s="185"/>
      <c r="AH1022" s="186"/>
      <c r="AI1022" s="187"/>
      <c r="AJ1022" s="187"/>
      <c r="AK1022" s="188"/>
      <c r="AL1022" s="189"/>
      <c r="AM1022" s="188"/>
      <c r="AN1022" s="181"/>
    </row>
    <row r="1023" spans="1:40" ht="26.25" customHeight="1">
      <c r="A1023" s="177"/>
      <c r="B1023" s="178"/>
      <c r="C1023" s="179"/>
      <c r="D1023" s="180"/>
      <c r="E1023" s="180"/>
      <c r="F1023" s="180"/>
      <c r="G1023" s="180"/>
      <c r="H1023" s="180"/>
      <c r="I1023" s="181"/>
      <c r="J1023" s="180"/>
      <c r="K1023" s="180"/>
      <c r="L1023" s="180"/>
      <c r="M1023" s="180"/>
      <c r="N1023" s="182"/>
      <c r="O1023" s="182"/>
      <c r="P1023" s="182"/>
      <c r="Q1023" s="182"/>
      <c r="R1023" s="182"/>
      <c r="S1023" s="182"/>
      <c r="T1023" s="182"/>
      <c r="U1023" s="182"/>
      <c r="V1023" s="182"/>
      <c r="W1023" s="182"/>
      <c r="X1023" s="181"/>
      <c r="Y1023" s="180"/>
      <c r="Z1023" s="183"/>
      <c r="AA1023" s="183"/>
      <c r="AB1023" s="180"/>
      <c r="AC1023" s="183"/>
      <c r="AD1023" s="183"/>
      <c r="AE1023" s="180"/>
      <c r="AF1023" s="184"/>
      <c r="AG1023" s="185"/>
      <c r="AH1023" s="186"/>
      <c r="AI1023" s="187"/>
      <c r="AJ1023" s="187"/>
      <c r="AK1023" s="188"/>
      <c r="AL1023" s="189"/>
      <c r="AM1023" s="188"/>
      <c r="AN1023" s="181"/>
    </row>
    <row r="1024" spans="1:40" ht="26.25" customHeight="1">
      <c r="A1024" s="177"/>
      <c r="B1024" s="178"/>
      <c r="C1024" s="179"/>
      <c r="D1024" s="180"/>
      <c r="E1024" s="180"/>
      <c r="F1024" s="180"/>
      <c r="G1024" s="180"/>
      <c r="H1024" s="180"/>
      <c r="I1024" s="181"/>
      <c r="J1024" s="180"/>
      <c r="K1024" s="180"/>
      <c r="L1024" s="180"/>
      <c r="M1024" s="180"/>
      <c r="N1024" s="182"/>
      <c r="O1024" s="182"/>
      <c r="P1024" s="182"/>
      <c r="Q1024" s="182"/>
      <c r="R1024" s="182"/>
      <c r="S1024" s="182"/>
      <c r="T1024" s="182"/>
      <c r="U1024" s="182"/>
      <c r="V1024" s="182"/>
      <c r="W1024" s="182"/>
      <c r="X1024" s="181"/>
      <c r="Y1024" s="180"/>
      <c r="Z1024" s="183"/>
      <c r="AA1024" s="183"/>
      <c r="AB1024" s="180"/>
      <c r="AC1024" s="183"/>
      <c r="AD1024" s="183"/>
      <c r="AE1024" s="180"/>
      <c r="AF1024" s="184"/>
      <c r="AG1024" s="185"/>
      <c r="AH1024" s="186"/>
      <c r="AI1024" s="187"/>
      <c r="AJ1024" s="187"/>
      <c r="AK1024" s="188"/>
      <c r="AL1024" s="189"/>
      <c r="AM1024" s="188"/>
      <c r="AN1024" s="181"/>
    </row>
    <row r="1025" spans="1:40" ht="26.25" customHeight="1">
      <c r="A1025" s="177"/>
      <c r="B1025" s="178"/>
      <c r="C1025" s="179"/>
      <c r="D1025" s="180"/>
      <c r="E1025" s="180"/>
      <c r="F1025" s="180"/>
      <c r="G1025" s="180"/>
      <c r="H1025" s="180"/>
      <c r="I1025" s="181"/>
      <c r="J1025" s="180"/>
      <c r="K1025" s="180"/>
      <c r="L1025" s="180"/>
      <c r="M1025" s="180"/>
      <c r="N1025" s="182"/>
      <c r="O1025" s="182"/>
      <c r="P1025" s="182"/>
      <c r="Q1025" s="182"/>
      <c r="R1025" s="182"/>
      <c r="S1025" s="182"/>
      <c r="T1025" s="182"/>
      <c r="U1025" s="182"/>
      <c r="V1025" s="182"/>
      <c r="W1025" s="182"/>
      <c r="X1025" s="181"/>
      <c r="Y1025" s="180"/>
      <c r="Z1025" s="183"/>
      <c r="AA1025" s="183"/>
      <c r="AB1025" s="180"/>
      <c r="AC1025" s="183"/>
      <c r="AD1025" s="183"/>
      <c r="AE1025" s="180"/>
      <c r="AF1025" s="184"/>
      <c r="AG1025" s="185"/>
      <c r="AH1025" s="186"/>
      <c r="AI1025" s="187"/>
      <c r="AJ1025" s="187"/>
      <c r="AK1025" s="188"/>
      <c r="AL1025" s="189"/>
      <c r="AM1025" s="188"/>
      <c r="AN1025" s="181"/>
    </row>
    <row r="1026" spans="1:40" ht="26.25" customHeight="1">
      <c r="A1026" s="177"/>
      <c r="B1026" s="178"/>
      <c r="C1026" s="179"/>
      <c r="D1026" s="180"/>
      <c r="E1026" s="180"/>
      <c r="F1026" s="180"/>
      <c r="G1026" s="180"/>
      <c r="H1026" s="180"/>
      <c r="I1026" s="181"/>
      <c r="J1026" s="180"/>
      <c r="K1026" s="180"/>
      <c r="L1026" s="180"/>
      <c r="M1026" s="180"/>
      <c r="N1026" s="182"/>
      <c r="O1026" s="182"/>
      <c r="P1026" s="182"/>
      <c r="Q1026" s="182"/>
      <c r="R1026" s="182"/>
      <c r="S1026" s="182"/>
      <c r="T1026" s="182"/>
      <c r="U1026" s="182"/>
      <c r="V1026" s="182"/>
      <c r="W1026" s="182"/>
      <c r="X1026" s="181"/>
      <c r="Y1026" s="180"/>
      <c r="Z1026" s="183"/>
      <c r="AA1026" s="183"/>
      <c r="AB1026" s="180"/>
      <c r="AC1026" s="183"/>
      <c r="AD1026" s="183"/>
      <c r="AE1026" s="180"/>
      <c r="AF1026" s="184"/>
      <c r="AG1026" s="185"/>
      <c r="AH1026" s="186"/>
      <c r="AI1026" s="187"/>
      <c r="AJ1026" s="187"/>
      <c r="AK1026" s="188"/>
      <c r="AL1026" s="189"/>
      <c r="AM1026" s="188"/>
      <c r="AN1026" s="181"/>
    </row>
    <row r="1027" spans="1:40" ht="26.25" customHeight="1">
      <c r="A1027" s="177"/>
      <c r="B1027" s="178"/>
      <c r="C1027" s="179"/>
      <c r="D1027" s="180"/>
      <c r="E1027" s="180"/>
      <c r="F1027" s="180"/>
      <c r="G1027" s="180"/>
      <c r="H1027" s="180"/>
      <c r="I1027" s="181"/>
      <c r="J1027" s="180"/>
      <c r="K1027" s="180"/>
      <c r="L1027" s="180"/>
      <c r="M1027" s="180"/>
      <c r="N1027" s="182"/>
      <c r="O1027" s="182"/>
      <c r="P1027" s="182"/>
      <c r="Q1027" s="182"/>
      <c r="R1027" s="182"/>
      <c r="S1027" s="182"/>
      <c r="T1027" s="182"/>
      <c r="U1027" s="182"/>
      <c r="V1027" s="182"/>
      <c r="W1027" s="182"/>
      <c r="X1027" s="181"/>
      <c r="Y1027" s="180"/>
      <c r="Z1027" s="183"/>
      <c r="AA1027" s="183"/>
      <c r="AB1027" s="180"/>
      <c r="AC1027" s="183"/>
      <c r="AD1027" s="183"/>
      <c r="AE1027" s="180"/>
      <c r="AF1027" s="184"/>
      <c r="AG1027" s="185"/>
      <c r="AH1027" s="186"/>
      <c r="AI1027" s="187"/>
      <c r="AJ1027" s="187"/>
      <c r="AK1027" s="188"/>
      <c r="AL1027" s="189"/>
      <c r="AM1027" s="188"/>
      <c r="AN1027" s="181"/>
    </row>
    <row r="1028" spans="1:40" ht="26.25" customHeight="1">
      <c r="A1028" s="177"/>
      <c r="B1028" s="178"/>
      <c r="C1028" s="179"/>
      <c r="D1028" s="180"/>
      <c r="E1028" s="180"/>
      <c r="F1028" s="180"/>
      <c r="G1028" s="180"/>
      <c r="H1028" s="180"/>
      <c r="I1028" s="181"/>
      <c r="J1028" s="180"/>
      <c r="K1028" s="180"/>
      <c r="L1028" s="180"/>
      <c r="M1028" s="180"/>
      <c r="N1028" s="182"/>
      <c r="O1028" s="182"/>
      <c r="P1028" s="182"/>
      <c r="Q1028" s="182"/>
      <c r="R1028" s="182"/>
      <c r="S1028" s="182"/>
      <c r="T1028" s="182"/>
      <c r="U1028" s="182"/>
      <c r="V1028" s="182"/>
      <c r="W1028" s="182"/>
      <c r="X1028" s="181"/>
      <c r="Y1028" s="180"/>
      <c r="Z1028" s="183"/>
      <c r="AA1028" s="183"/>
      <c r="AB1028" s="180"/>
      <c r="AC1028" s="183"/>
      <c r="AD1028" s="183"/>
      <c r="AE1028" s="180"/>
      <c r="AF1028" s="184"/>
      <c r="AG1028" s="185"/>
      <c r="AH1028" s="186"/>
      <c r="AI1028" s="187"/>
      <c r="AJ1028" s="187"/>
      <c r="AK1028" s="188"/>
      <c r="AL1028" s="189"/>
      <c r="AM1028" s="188"/>
      <c r="AN1028" s="181"/>
    </row>
    <row r="1029" spans="1:40" ht="26.25" customHeight="1">
      <c r="A1029" s="177"/>
      <c r="B1029" s="178"/>
      <c r="C1029" s="179"/>
      <c r="D1029" s="180"/>
      <c r="E1029" s="180"/>
      <c r="F1029" s="180"/>
      <c r="G1029" s="180"/>
      <c r="H1029" s="180"/>
      <c r="I1029" s="181"/>
      <c r="J1029" s="180"/>
      <c r="K1029" s="180"/>
      <c r="L1029" s="180"/>
      <c r="M1029" s="180"/>
      <c r="N1029" s="182"/>
      <c r="O1029" s="182"/>
      <c r="P1029" s="182"/>
      <c r="Q1029" s="182"/>
      <c r="R1029" s="182"/>
      <c r="S1029" s="182"/>
      <c r="T1029" s="182"/>
      <c r="U1029" s="182"/>
      <c r="V1029" s="182"/>
      <c r="W1029" s="182"/>
      <c r="X1029" s="181"/>
      <c r="Y1029" s="180"/>
      <c r="Z1029" s="183"/>
      <c r="AA1029" s="183"/>
      <c r="AB1029" s="180"/>
      <c r="AC1029" s="183"/>
      <c r="AD1029" s="183"/>
      <c r="AE1029" s="180"/>
      <c r="AF1029" s="184"/>
      <c r="AG1029" s="185"/>
      <c r="AH1029" s="186"/>
      <c r="AI1029" s="187"/>
      <c r="AJ1029" s="187"/>
      <c r="AK1029" s="188"/>
      <c r="AL1029" s="189"/>
      <c r="AM1029" s="188"/>
      <c r="AN1029" s="181"/>
    </row>
    <row r="1030" spans="1:40" ht="26.25" customHeight="1">
      <c r="A1030" s="177"/>
      <c r="B1030" s="178"/>
      <c r="C1030" s="179"/>
      <c r="D1030" s="180"/>
      <c r="E1030" s="180"/>
      <c r="F1030" s="180"/>
      <c r="G1030" s="180"/>
      <c r="H1030" s="180"/>
      <c r="I1030" s="181"/>
      <c r="J1030" s="180"/>
      <c r="K1030" s="180"/>
      <c r="L1030" s="180"/>
      <c r="M1030" s="180"/>
      <c r="N1030" s="182"/>
      <c r="O1030" s="182"/>
      <c r="P1030" s="182"/>
      <c r="Q1030" s="182"/>
      <c r="R1030" s="182"/>
      <c r="S1030" s="182"/>
      <c r="T1030" s="182"/>
      <c r="U1030" s="182"/>
      <c r="V1030" s="182"/>
      <c r="W1030" s="182"/>
      <c r="X1030" s="181"/>
      <c r="Y1030" s="180"/>
      <c r="Z1030" s="183"/>
      <c r="AA1030" s="183"/>
      <c r="AB1030" s="180"/>
      <c r="AC1030" s="183"/>
      <c r="AD1030" s="183"/>
      <c r="AE1030" s="180"/>
      <c r="AF1030" s="184"/>
      <c r="AG1030" s="185"/>
      <c r="AH1030" s="186"/>
      <c r="AI1030" s="187"/>
      <c r="AJ1030" s="187"/>
      <c r="AK1030" s="188"/>
      <c r="AL1030" s="189"/>
      <c r="AM1030" s="188"/>
      <c r="AN1030" s="181"/>
    </row>
    <row r="1031" spans="1:40" ht="26.25" customHeight="1">
      <c r="A1031" s="177"/>
      <c r="B1031" s="178"/>
      <c r="C1031" s="179"/>
      <c r="D1031" s="180"/>
      <c r="E1031" s="180"/>
      <c r="F1031" s="180"/>
      <c r="G1031" s="180"/>
      <c r="H1031" s="180"/>
      <c r="I1031" s="181"/>
      <c r="J1031" s="180"/>
      <c r="K1031" s="180"/>
      <c r="L1031" s="180"/>
      <c r="M1031" s="180"/>
      <c r="N1031" s="182"/>
      <c r="O1031" s="182"/>
      <c r="P1031" s="182"/>
      <c r="Q1031" s="182"/>
      <c r="R1031" s="182"/>
      <c r="S1031" s="182"/>
      <c r="T1031" s="182"/>
      <c r="U1031" s="182"/>
      <c r="V1031" s="182"/>
      <c r="W1031" s="182"/>
      <c r="X1031" s="181"/>
      <c r="Y1031" s="180"/>
      <c r="Z1031" s="183"/>
      <c r="AA1031" s="183"/>
      <c r="AB1031" s="180"/>
      <c r="AC1031" s="183"/>
      <c r="AD1031" s="183"/>
      <c r="AE1031" s="180"/>
      <c r="AF1031" s="184"/>
      <c r="AG1031" s="185"/>
      <c r="AH1031" s="186"/>
      <c r="AI1031" s="187"/>
      <c r="AJ1031" s="187"/>
      <c r="AK1031" s="188"/>
      <c r="AL1031" s="189"/>
      <c r="AM1031" s="188"/>
      <c r="AN1031" s="181"/>
    </row>
    <row r="1032" spans="1:40" ht="26.25" customHeight="1">
      <c r="A1032" s="177"/>
      <c r="B1032" s="178"/>
      <c r="C1032" s="179"/>
      <c r="D1032" s="180"/>
      <c r="E1032" s="180"/>
      <c r="F1032" s="180"/>
      <c r="G1032" s="180"/>
      <c r="H1032" s="180"/>
      <c r="I1032" s="181"/>
      <c r="J1032" s="180"/>
      <c r="K1032" s="180"/>
      <c r="L1032" s="180"/>
      <c r="M1032" s="180"/>
      <c r="N1032" s="182"/>
      <c r="O1032" s="182"/>
      <c r="P1032" s="182"/>
      <c r="Q1032" s="182"/>
      <c r="R1032" s="182"/>
      <c r="S1032" s="182"/>
      <c r="T1032" s="182"/>
      <c r="U1032" s="182"/>
      <c r="V1032" s="182"/>
      <c r="W1032" s="182"/>
      <c r="X1032" s="181"/>
      <c r="Y1032" s="180"/>
      <c r="Z1032" s="183"/>
      <c r="AA1032" s="183"/>
      <c r="AB1032" s="180"/>
      <c r="AC1032" s="183"/>
      <c r="AD1032" s="183"/>
      <c r="AE1032" s="180"/>
      <c r="AF1032" s="184"/>
      <c r="AG1032" s="185"/>
      <c r="AH1032" s="186"/>
      <c r="AI1032" s="187"/>
      <c r="AJ1032" s="187"/>
      <c r="AK1032" s="188"/>
      <c r="AL1032" s="189"/>
      <c r="AM1032" s="188"/>
      <c r="AN1032" s="181"/>
    </row>
    <row r="1033" spans="1:40" ht="26.25" customHeight="1">
      <c r="A1033" s="177"/>
      <c r="B1033" s="178"/>
      <c r="C1033" s="179"/>
      <c r="D1033" s="180"/>
      <c r="E1033" s="180"/>
      <c r="F1033" s="180"/>
      <c r="G1033" s="180"/>
      <c r="H1033" s="180"/>
      <c r="I1033" s="181"/>
      <c r="J1033" s="180"/>
      <c r="K1033" s="180"/>
      <c r="L1033" s="180"/>
      <c r="M1033" s="180"/>
      <c r="N1033" s="182"/>
      <c r="O1033" s="182"/>
      <c r="P1033" s="182"/>
      <c r="Q1033" s="182"/>
      <c r="R1033" s="182"/>
      <c r="S1033" s="182"/>
      <c r="T1033" s="182"/>
      <c r="U1033" s="182"/>
      <c r="V1033" s="182"/>
      <c r="W1033" s="182"/>
      <c r="X1033" s="181"/>
      <c r="Y1033" s="180"/>
      <c r="Z1033" s="183"/>
      <c r="AA1033" s="183"/>
      <c r="AB1033" s="180"/>
      <c r="AC1033" s="183"/>
      <c r="AD1033" s="183"/>
      <c r="AE1033" s="180"/>
      <c r="AF1033" s="184"/>
      <c r="AG1033" s="185"/>
      <c r="AH1033" s="186"/>
      <c r="AI1033" s="187"/>
      <c r="AJ1033" s="187"/>
      <c r="AK1033" s="188"/>
      <c r="AL1033" s="189"/>
      <c r="AM1033" s="188"/>
      <c r="AN1033" s="181"/>
    </row>
    <row r="1034" spans="1:40" ht="26.25" customHeight="1">
      <c r="A1034" s="177"/>
      <c r="B1034" s="178"/>
      <c r="C1034" s="179"/>
      <c r="D1034" s="180"/>
      <c r="E1034" s="180"/>
      <c r="F1034" s="180"/>
      <c r="G1034" s="180"/>
      <c r="H1034" s="180"/>
      <c r="I1034" s="181"/>
      <c r="J1034" s="180"/>
      <c r="K1034" s="180"/>
      <c r="L1034" s="180"/>
      <c r="M1034" s="180"/>
      <c r="N1034" s="182"/>
      <c r="O1034" s="182"/>
      <c r="P1034" s="182"/>
      <c r="Q1034" s="182"/>
      <c r="R1034" s="182"/>
      <c r="S1034" s="182"/>
      <c r="T1034" s="182"/>
      <c r="U1034" s="182"/>
      <c r="V1034" s="182"/>
      <c r="W1034" s="182"/>
      <c r="X1034" s="181"/>
      <c r="Y1034" s="180"/>
      <c r="Z1034" s="183"/>
      <c r="AA1034" s="183"/>
      <c r="AB1034" s="180"/>
      <c r="AC1034" s="183"/>
      <c r="AD1034" s="183"/>
      <c r="AE1034" s="180"/>
      <c r="AF1034" s="184"/>
      <c r="AG1034" s="185"/>
      <c r="AH1034" s="186"/>
      <c r="AI1034" s="187"/>
      <c r="AJ1034" s="187"/>
      <c r="AK1034" s="188"/>
      <c r="AL1034" s="189"/>
      <c r="AM1034" s="188"/>
      <c r="AN1034" s="181"/>
    </row>
    <row r="1035" spans="1:40" ht="26.25" customHeight="1">
      <c r="A1035" s="177"/>
      <c r="B1035" s="178"/>
      <c r="C1035" s="179"/>
      <c r="D1035" s="180"/>
      <c r="E1035" s="180"/>
      <c r="F1035" s="180"/>
      <c r="G1035" s="180"/>
      <c r="H1035" s="180"/>
      <c r="I1035" s="181"/>
      <c r="J1035" s="180"/>
      <c r="K1035" s="180"/>
      <c r="L1035" s="180"/>
      <c r="M1035" s="180"/>
      <c r="N1035" s="182"/>
      <c r="O1035" s="182"/>
      <c r="P1035" s="182"/>
      <c r="Q1035" s="182"/>
      <c r="R1035" s="182"/>
      <c r="S1035" s="182"/>
      <c r="T1035" s="182"/>
      <c r="U1035" s="182"/>
      <c r="V1035" s="182"/>
      <c r="W1035" s="182"/>
      <c r="X1035" s="181"/>
      <c r="Y1035" s="180"/>
      <c r="Z1035" s="183"/>
      <c r="AA1035" s="183"/>
      <c r="AB1035" s="180"/>
      <c r="AC1035" s="183"/>
      <c r="AD1035" s="183"/>
      <c r="AE1035" s="180"/>
      <c r="AF1035" s="184"/>
      <c r="AG1035" s="185"/>
      <c r="AH1035" s="186"/>
      <c r="AI1035" s="187"/>
      <c r="AJ1035" s="187"/>
      <c r="AK1035" s="188"/>
      <c r="AL1035" s="189"/>
      <c r="AM1035" s="188"/>
      <c r="AN1035" s="181"/>
    </row>
    <row r="1036" spans="1:40" ht="26.25" customHeight="1">
      <c r="A1036" s="177"/>
      <c r="B1036" s="178"/>
      <c r="C1036" s="179"/>
      <c r="D1036" s="180"/>
      <c r="E1036" s="180"/>
      <c r="F1036" s="180"/>
      <c r="G1036" s="180"/>
      <c r="H1036" s="180"/>
      <c r="I1036" s="181"/>
      <c r="J1036" s="180"/>
      <c r="K1036" s="180"/>
      <c r="L1036" s="180"/>
      <c r="M1036" s="180"/>
      <c r="N1036" s="182"/>
      <c r="O1036" s="182"/>
      <c r="P1036" s="182"/>
      <c r="Q1036" s="182"/>
      <c r="R1036" s="182"/>
      <c r="S1036" s="182"/>
      <c r="T1036" s="182"/>
      <c r="U1036" s="182"/>
      <c r="V1036" s="182"/>
      <c r="W1036" s="182"/>
      <c r="X1036" s="181"/>
      <c r="Y1036" s="180"/>
      <c r="Z1036" s="183"/>
      <c r="AA1036" s="183"/>
      <c r="AB1036" s="180"/>
      <c r="AC1036" s="183"/>
      <c r="AD1036" s="183"/>
      <c r="AE1036" s="180"/>
      <c r="AF1036" s="184"/>
      <c r="AG1036" s="185"/>
      <c r="AH1036" s="186"/>
      <c r="AI1036" s="187"/>
      <c r="AJ1036" s="187"/>
      <c r="AK1036" s="188"/>
      <c r="AL1036" s="189"/>
      <c r="AM1036" s="188"/>
      <c r="AN1036" s="181"/>
    </row>
    <row r="1037" spans="1:40" ht="26.25" customHeight="1">
      <c r="A1037" s="177"/>
      <c r="B1037" s="178"/>
      <c r="C1037" s="179"/>
      <c r="D1037" s="180"/>
      <c r="E1037" s="180"/>
      <c r="F1037" s="180"/>
      <c r="G1037" s="180"/>
      <c r="H1037" s="180"/>
      <c r="I1037" s="181"/>
      <c r="J1037" s="180"/>
      <c r="K1037" s="180"/>
      <c r="L1037" s="180"/>
      <c r="M1037" s="180"/>
      <c r="N1037" s="182"/>
      <c r="O1037" s="182"/>
      <c r="P1037" s="182"/>
      <c r="Q1037" s="182"/>
      <c r="R1037" s="182"/>
      <c r="S1037" s="182"/>
      <c r="T1037" s="182"/>
      <c r="U1037" s="182"/>
      <c r="V1037" s="182"/>
      <c r="W1037" s="182"/>
      <c r="X1037" s="181"/>
      <c r="Y1037" s="180"/>
      <c r="Z1037" s="183"/>
      <c r="AA1037" s="183"/>
      <c r="AB1037" s="180"/>
      <c r="AC1037" s="183"/>
      <c r="AD1037" s="183"/>
      <c r="AE1037" s="180"/>
      <c r="AF1037" s="184"/>
      <c r="AG1037" s="185"/>
      <c r="AH1037" s="186"/>
      <c r="AI1037" s="187"/>
      <c r="AJ1037" s="187"/>
      <c r="AK1037" s="188"/>
      <c r="AL1037" s="189"/>
      <c r="AM1037" s="188"/>
      <c r="AN1037" s="181"/>
    </row>
    <row r="1038" spans="1:40" ht="26.25" customHeight="1">
      <c r="A1038" s="177"/>
      <c r="B1038" s="178"/>
      <c r="C1038" s="179"/>
      <c r="D1038" s="180"/>
      <c r="E1038" s="180"/>
      <c r="F1038" s="180"/>
      <c r="G1038" s="180"/>
      <c r="H1038" s="180"/>
      <c r="I1038" s="181"/>
      <c r="J1038" s="180"/>
      <c r="K1038" s="180"/>
      <c r="L1038" s="180"/>
      <c r="M1038" s="180"/>
      <c r="N1038" s="182"/>
      <c r="O1038" s="182"/>
      <c r="P1038" s="182"/>
      <c r="Q1038" s="182"/>
      <c r="R1038" s="182"/>
      <c r="S1038" s="182"/>
      <c r="T1038" s="182"/>
      <c r="U1038" s="182"/>
      <c r="V1038" s="182"/>
      <c r="W1038" s="182"/>
      <c r="X1038" s="181"/>
      <c r="Y1038" s="180"/>
      <c r="Z1038" s="183"/>
      <c r="AA1038" s="183"/>
      <c r="AB1038" s="180"/>
      <c r="AC1038" s="183"/>
      <c r="AD1038" s="183"/>
      <c r="AE1038" s="180"/>
      <c r="AF1038" s="184"/>
      <c r="AG1038" s="185"/>
      <c r="AH1038" s="186"/>
      <c r="AI1038" s="187"/>
      <c r="AJ1038" s="187"/>
      <c r="AK1038" s="188"/>
      <c r="AL1038" s="189"/>
      <c r="AM1038" s="188"/>
      <c r="AN1038" s="181"/>
    </row>
    <row r="1039" spans="1:40" ht="26.25" customHeight="1">
      <c r="A1039" s="177"/>
      <c r="B1039" s="178"/>
      <c r="C1039" s="179"/>
      <c r="D1039" s="180"/>
      <c r="E1039" s="180"/>
      <c r="F1039" s="180"/>
      <c r="G1039" s="180"/>
      <c r="H1039" s="180"/>
      <c r="I1039" s="181"/>
      <c r="J1039" s="180"/>
      <c r="K1039" s="180"/>
      <c r="L1039" s="180"/>
      <c r="M1039" s="180"/>
      <c r="N1039" s="182"/>
      <c r="O1039" s="182"/>
      <c r="P1039" s="182"/>
      <c r="Q1039" s="182"/>
      <c r="R1039" s="182"/>
      <c r="S1039" s="182"/>
      <c r="T1039" s="182"/>
      <c r="U1039" s="182"/>
      <c r="V1039" s="182"/>
      <c r="W1039" s="182"/>
      <c r="X1039" s="181"/>
      <c r="Y1039" s="180"/>
      <c r="Z1039" s="183"/>
      <c r="AA1039" s="183"/>
      <c r="AB1039" s="180"/>
      <c r="AC1039" s="183"/>
      <c r="AD1039" s="183"/>
      <c r="AE1039" s="180"/>
      <c r="AF1039" s="184"/>
      <c r="AG1039" s="185"/>
      <c r="AH1039" s="186"/>
      <c r="AI1039" s="187"/>
      <c r="AJ1039" s="187"/>
      <c r="AK1039" s="188"/>
      <c r="AL1039" s="189"/>
      <c r="AM1039" s="188"/>
      <c r="AN1039" s="181"/>
    </row>
    <row r="1040" spans="1:40" ht="26.25" customHeight="1">
      <c r="A1040" s="177"/>
      <c r="B1040" s="178"/>
      <c r="C1040" s="179"/>
      <c r="D1040" s="180"/>
      <c r="E1040" s="180"/>
      <c r="F1040" s="180"/>
      <c r="G1040" s="180"/>
      <c r="H1040" s="180"/>
      <c r="I1040" s="181"/>
      <c r="J1040" s="180"/>
      <c r="K1040" s="180"/>
      <c r="L1040" s="180"/>
      <c r="M1040" s="180"/>
      <c r="N1040" s="182"/>
      <c r="O1040" s="182"/>
      <c r="P1040" s="182"/>
      <c r="Q1040" s="182"/>
      <c r="R1040" s="182"/>
      <c r="S1040" s="182"/>
      <c r="T1040" s="182"/>
      <c r="U1040" s="182"/>
      <c r="V1040" s="182"/>
      <c r="W1040" s="182"/>
      <c r="X1040" s="181"/>
      <c r="Y1040" s="180"/>
      <c r="Z1040" s="183"/>
      <c r="AA1040" s="183"/>
      <c r="AB1040" s="180"/>
      <c r="AC1040" s="183"/>
      <c r="AD1040" s="183"/>
      <c r="AE1040" s="180"/>
      <c r="AF1040" s="184"/>
      <c r="AG1040" s="185"/>
      <c r="AH1040" s="186"/>
      <c r="AI1040" s="187"/>
      <c r="AJ1040" s="187"/>
      <c r="AK1040" s="188"/>
      <c r="AL1040" s="189"/>
      <c r="AM1040" s="188"/>
      <c r="AN1040" s="181"/>
    </row>
    <row r="1041" spans="1:40" ht="26.25" customHeight="1">
      <c r="A1041" s="177"/>
      <c r="B1041" s="178"/>
      <c r="C1041" s="179"/>
      <c r="D1041" s="180"/>
      <c r="E1041" s="180"/>
      <c r="F1041" s="180"/>
      <c r="G1041" s="180"/>
      <c r="H1041" s="180"/>
      <c r="I1041" s="181"/>
      <c r="J1041" s="180"/>
      <c r="K1041" s="180"/>
      <c r="L1041" s="180"/>
      <c r="M1041" s="180"/>
      <c r="N1041" s="182"/>
      <c r="O1041" s="182"/>
      <c r="P1041" s="182"/>
      <c r="Q1041" s="182"/>
      <c r="R1041" s="182"/>
      <c r="S1041" s="182"/>
      <c r="T1041" s="182"/>
      <c r="U1041" s="182"/>
      <c r="V1041" s="182"/>
      <c r="W1041" s="182"/>
      <c r="X1041" s="181"/>
      <c r="Y1041" s="180"/>
      <c r="Z1041" s="183"/>
      <c r="AA1041" s="183"/>
      <c r="AB1041" s="180"/>
      <c r="AC1041" s="183"/>
      <c r="AD1041" s="183"/>
      <c r="AE1041" s="180"/>
      <c r="AF1041" s="184"/>
      <c r="AG1041" s="185"/>
      <c r="AH1041" s="186"/>
      <c r="AI1041" s="187"/>
      <c r="AJ1041" s="187"/>
      <c r="AK1041" s="188"/>
      <c r="AL1041" s="189"/>
      <c r="AM1041" s="188"/>
      <c r="AN1041" s="181"/>
    </row>
    <row r="1042" spans="1:40" ht="26.25" customHeight="1">
      <c r="A1042" s="177"/>
      <c r="B1042" s="178"/>
      <c r="C1042" s="179"/>
      <c r="D1042" s="180"/>
      <c r="E1042" s="180"/>
      <c r="F1042" s="180"/>
      <c r="G1042" s="180"/>
      <c r="H1042" s="180"/>
      <c r="I1042" s="181"/>
      <c r="J1042" s="180"/>
      <c r="K1042" s="180"/>
      <c r="L1042" s="180"/>
      <c r="M1042" s="180"/>
      <c r="N1042" s="182"/>
      <c r="O1042" s="182"/>
      <c r="P1042" s="182"/>
      <c r="Q1042" s="182"/>
      <c r="R1042" s="182"/>
      <c r="S1042" s="182"/>
      <c r="T1042" s="182"/>
      <c r="U1042" s="182"/>
      <c r="V1042" s="182"/>
      <c r="W1042" s="182"/>
      <c r="X1042" s="181"/>
      <c r="Y1042" s="180"/>
      <c r="Z1042" s="183"/>
      <c r="AA1042" s="183"/>
      <c r="AB1042" s="180"/>
      <c r="AC1042" s="183"/>
      <c r="AD1042" s="183"/>
      <c r="AE1042" s="180"/>
      <c r="AF1042" s="184"/>
      <c r="AG1042" s="185"/>
      <c r="AH1042" s="186"/>
      <c r="AI1042" s="187"/>
      <c r="AJ1042" s="187"/>
      <c r="AK1042" s="188"/>
      <c r="AL1042" s="189"/>
      <c r="AM1042" s="188"/>
      <c r="AN1042" s="181"/>
    </row>
    <row r="1043" spans="1:40" ht="26.25" customHeight="1">
      <c r="A1043" s="177"/>
      <c r="B1043" s="178"/>
      <c r="C1043" s="179"/>
      <c r="D1043" s="180"/>
      <c r="E1043" s="180"/>
      <c r="F1043" s="180"/>
      <c r="G1043" s="180"/>
      <c r="H1043" s="180"/>
      <c r="I1043" s="181"/>
      <c r="J1043" s="180"/>
      <c r="K1043" s="180"/>
      <c r="L1043" s="180"/>
      <c r="M1043" s="180"/>
      <c r="N1043" s="182"/>
      <c r="O1043" s="182"/>
      <c r="P1043" s="182"/>
      <c r="Q1043" s="182"/>
      <c r="R1043" s="182"/>
      <c r="S1043" s="182"/>
      <c r="T1043" s="182"/>
      <c r="U1043" s="182"/>
      <c r="V1043" s="182"/>
      <c r="W1043" s="182"/>
      <c r="X1043" s="181"/>
      <c r="Y1043" s="180"/>
      <c r="Z1043" s="183"/>
      <c r="AA1043" s="183"/>
      <c r="AB1043" s="180"/>
      <c r="AC1043" s="183"/>
      <c r="AD1043" s="183"/>
      <c r="AE1043" s="180"/>
      <c r="AF1043" s="184"/>
      <c r="AG1043" s="185"/>
      <c r="AH1043" s="186"/>
      <c r="AI1043" s="187"/>
      <c r="AJ1043" s="187"/>
      <c r="AK1043" s="188"/>
      <c r="AL1043" s="189"/>
      <c r="AM1043" s="188"/>
      <c r="AN1043" s="181"/>
    </row>
    <row r="1044" spans="1:40" ht="26.25" customHeight="1">
      <c r="A1044" s="177"/>
      <c r="B1044" s="178"/>
      <c r="C1044" s="179"/>
      <c r="D1044" s="180"/>
      <c r="E1044" s="180"/>
      <c r="F1044" s="180"/>
      <c r="G1044" s="180"/>
      <c r="H1044" s="180"/>
      <c r="I1044" s="181"/>
      <c r="J1044" s="180"/>
      <c r="K1044" s="180"/>
      <c r="L1044" s="180"/>
      <c r="M1044" s="180"/>
      <c r="N1044" s="182"/>
      <c r="O1044" s="182"/>
      <c r="P1044" s="182"/>
      <c r="Q1044" s="182"/>
      <c r="R1044" s="182"/>
      <c r="S1044" s="182"/>
      <c r="T1044" s="182"/>
      <c r="U1044" s="182"/>
      <c r="V1044" s="182"/>
      <c r="W1044" s="182"/>
      <c r="X1044" s="181"/>
      <c r="Y1044" s="180"/>
      <c r="Z1044" s="183"/>
      <c r="AA1044" s="183"/>
      <c r="AB1044" s="180"/>
      <c r="AC1044" s="183"/>
      <c r="AD1044" s="183"/>
      <c r="AE1044" s="180"/>
      <c r="AF1044" s="184"/>
      <c r="AG1044" s="185"/>
      <c r="AH1044" s="186"/>
      <c r="AI1044" s="187"/>
      <c r="AJ1044" s="187"/>
      <c r="AK1044" s="188"/>
      <c r="AL1044" s="189"/>
      <c r="AM1044" s="188"/>
      <c r="AN1044" s="181"/>
    </row>
    <row r="1045" spans="1:40" ht="26.25" customHeight="1">
      <c r="A1045" s="177"/>
      <c r="B1045" s="178"/>
      <c r="C1045" s="179"/>
      <c r="D1045" s="180"/>
      <c r="E1045" s="180"/>
      <c r="F1045" s="180"/>
      <c r="G1045" s="180"/>
      <c r="H1045" s="180"/>
      <c r="I1045" s="181"/>
      <c r="J1045" s="180"/>
      <c r="K1045" s="180"/>
      <c r="L1045" s="180"/>
      <c r="M1045" s="180"/>
      <c r="N1045" s="182"/>
      <c r="O1045" s="182"/>
      <c r="P1045" s="182"/>
      <c r="Q1045" s="182"/>
      <c r="R1045" s="182"/>
      <c r="S1045" s="182"/>
      <c r="T1045" s="182"/>
      <c r="U1045" s="182"/>
      <c r="V1045" s="182"/>
      <c r="W1045" s="182"/>
      <c r="X1045" s="181"/>
      <c r="Y1045" s="180"/>
      <c r="Z1045" s="183"/>
      <c r="AA1045" s="183"/>
      <c r="AB1045" s="180"/>
      <c r="AC1045" s="183"/>
      <c r="AD1045" s="183"/>
      <c r="AE1045" s="180"/>
      <c r="AF1045" s="184"/>
      <c r="AG1045" s="185"/>
      <c r="AH1045" s="186"/>
      <c r="AI1045" s="187"/>
      <c r="AJ1045" s="187"/>
      <c r="AK1045" s="188"/>
      <c r="AL1045" s="189"/>
      <c r="AM1045" s="188"/>
      <c r="AN1045" s="181"/>
    </row>
    <row r="1046" spans="1:40" ht="26.25" customHeight="1">
      <c r="A1046" s="177"/>
      <c r="B1046" s="178"/>
      <c r="C1046" s="179"/>
      <c r="D1046" s="180"/>
      <c r="E1046" s="180"/>
      <c r="F1046" s="180"/>
      <c r="G1046" s="180"/>
      <c r="H1046" s="180"/>
      <c r="I1046" s="181"/>
      <c r="J1046" s="180"/>
      <c r="K1046" s="180"/>
      <c r="L1046" s="180"/>
      <c r="M1046" s="180"/>
      <c r="N1046" s="182"/>
      <c r="O1046" s="182"/>
      <c r="P1046" s="182"/>
      <c r="Q1046" s="182"/>
      <c r="R1046" s="182"/>
      <c r="S1046" s="182"/>
      <c r="T1046" s="182"/>
      <c r="U1046" s="182"/>
      <c r="V1046" s="182"/>
      <c r="W1046" s="182"/>
      <c r="X1046" s="181"/>
      <c r="Y1046" s="180"/>
      <c r="Z1046" s="183"/>
      <c r="AA1046" s="183"/>
      <c r="AB1046" s="180"/>
      <c r="AC1046" s="183"/>
      <c r="AD1046" s="183"/>
      <c r="AE1046" s="180"/>
      <c r="AF1046" s="184"/>
      <c r="AG1046" s="185"/>
      <c r="AH1046" s="186"/>
      <c r="AI1046" s="187"/>
      <c r="AJ1046" s="187"/>
      <c r="AK1046" s="188"/>
      <c r="AL1046" s="189"/>
      <c r="AM1046" s="188"/>
      <c r="AN1046" s="181"/>
    </row>
    <row r="1047" spans="1:40" ht="26.25" customHeight="1">
      <c r="A1047" s="177"/>
      <c r="B1047" s="178"/>
      <c r="C1047" s="179"/>
      <c r="D1047" s="180"/>
      <c r="E1047" s="180"/>
      <c r="F1047" s="180"/>
      <c r="G1047" s="180"/>
      <c r="H1047" s="180"/>
      <c r="I1047" s="181"/>
      <c r="J1047" s="180"/>
      <c r="K1047" s="180"/>
      <c r="L1047" s="180"/>
      <c r="M1047" s="180"/>
      <c r="N1047" s="182"/>
      <c r="O1047" s="182"/>
      <c r="P1047" s="182"/>
      <c r="Q1047" s="182"/>
      <c r="R1047" s="182"/>
      <c r="S1047" s="182"/>
      <c r="T1047" s="182"/>
      <c r="U1047" s="182"/>
      <c r="V1047" s="182"/>
      <c r="W1047" s="182"/>
      <c r="X1047" s="181"/>
      <c r="Y1047" s="180"/>
      <c r="Z1047" s="183"/>
      <c r="AA1047" s="183"/>
      <c r="AB1047" s="180"/>
      <c r="AC1047" s="183"/>
      <c r="AD1047" s="183"/>
      <c r="AE1047" s="180"/>
      <c r="AF1047" s="184"/>
      <c r="AG1047" s="185"/>
      <c r="AH1047" s="186"/>
      <c r="AI1047" s="187"/>
      <c r="AJ1047" s="187"/>
      <c r="AK1047" s="188"/>
      <c r="AL1047" s="189"/>
      <c r="AM1047" s="188"/>
      <c r="AN1047" s="181"/>
    </row>
    <row r="1048" spans="1:40" ht="26.25" customHeight="1">
      <c r="A1048" s="177"/>
      <c r="B1048" s="178"/>
      <c r="C1048" s="179"/>
      <c r="D1048" s="180"/>
      <c r="E1048" s="180"/>
      <c r="F1048" s="180"/>
      <c r="G1048" s="180"/>
      <c r="H1048" s="180"/>
      <c r="I1048" s="181"/>
      <c r="J1048" s="180"/>
      <c r="K1048" s="180"/>
      <c r="L1048" s="180"/>
      <c r="M1048" s="180"/>
      <c r="N1048" s="182"/>
      <c r="O1048" s="182"/>
      <c r="P1048" s="182"/>
      <c r="Q1048" s="182"/>
      <c r="R1048" s="182"/>
      <c r="S1048" s="182"/>
      <c r="T1048" s="182"/>
      <c r="U1048" s="182"/>
      <c r="V1048" s="182"/>
      <c r="W1048" s="182"/>
      <c r="X1048" s="181"/>
      <c r="Y1048" s="180"/>
      <c r="Z1048" s="183"/>
      <c r="AA1048" s="183"/>
      <c r="AB1048" s="180"/>
      <c r="AC1048" s="183"/>
      <c r="AD1048" s="183"/>
      <c r="AE1048" s="180"/>
      <c r="AF1048" s="184"/>
      <c r="AG1048" s="185"/>
      <c r="AH1048" s="186"/>
      <c r="AI1048" s="187"/>
      <c r="AJ1048" s="187"/>
      <c r="AK1048" s="188"/>
      <c r="AL1048" s="189"/>
      <c r="AM1048" s="188"/>
      <c r="AN1048" s="181"/>
    </row>
    <row r="1049" spans="1:40" ht="26.25" customHeight="1">
      <c r="A1049" s="177"/>
      <c r="B1049" s="178"/>
      <c r="C1049" s="179"/>
      <c r="D1049" s="180"/>
      <c r="E1049" s="180"/>
      <c r="F1049" s="180"/>
      <c r="G1049" s="180"/>
      <c r="H1049" s="180"/>
      <c r="I1049" s="181"/>
      <c r="J1049" s="180"/>
      <c r="K1049" s="180"/>
      <c r="L1049" s="180"/>
      <c r="M1049" s="180"/>
      <c r="N1049" s="182"/>
      <c r="O1049" s="182"/>
      <c r="P1049" s="182"/>
      <c r="Q1049" s="182"/>
      <c r="R1049" s="182"/>
      <c r="S1049" s="182"/>
      <c r="T1049" s="182"/>
      <c r="U1049" s="182"/>
      <c r="V1049" s="182"/>
      <c r="W1049" s="182"/>
      <c r="X1049" s="181"/>
      <c r="Y1049" s="180"/>
      <c r="Z1049" s="183"/>
      <c r="AA1049" s="183"/>
      <c r="AB1049" s="180"/>
      <c r="AC1049" s="183"/>
      <c r="AD1049" s="183"/>
      <c r="AE1049" s="180"/>
      <c r="AF1049" s="184"/>
      <c r="AG1049" s="185"/>
      <c r="AH1049" s="186"/>
      <c r="AI1049" s="187"/>
      <c r="AJ1049" s="187"/>
      <c r="AK1049" s="188"/>
      <c r="AL1049" s="189"/>
      <c r="AM1049" s="188"/>
      <c r="AN1049" s="181"/>
    </row>
    <row r="1050" spans="1:40" ht="26.25" customHeight="1">
      <c r="A1050" s="177"/>
      <c r="B1050" s="178"/>
      <c r="C1050" s="179"/>
      <c r="D1050" s="180"/>
      <c r="E1050" s="180"/>
      <c r="F1050" s="180"/>
      <c r="G1050" s="180"/>
      <c r="H1050" s="180"/>
      <c r="I1050" s="181"/>
      <c r="J1050" s="180"/>
      <c r="K1050" s="180"/>
      <c r="L1050" s="180"/>
      <c r="M1050" s="180"/>
      <c r="N1050" s="182"/>
      <c r="O1050" s="182"/>
      <c r="P1050" s="182"/>
      <c r="Q1050" s="182"/>
      <c r="R1050" s="182"/>
      <c r="S1050" s="182"/>
      <c r="T1050" s="182"/>
      <c r="U1050" s="182"/>
      <c r="V1050" s="182"/>
      <c r="W1050" s="182"/>
      <c r="X1050" s="181"/>
      <c r="Y1050" s="180"/>
      <c r="Z1050" s="183"/>
      <c r="AA1050" s="183"/>
      <c r="AB1050" s="180"/>
      <c r="AC1050" s="183"/>
      <c r="AD1050" s="183"/>
      <c r="AE1050" s="180"/>
      <c r="AF1050" s="184"/>
      <c r="AG1050" s="185"/>
      <c r="AH1050" s="186"/>
      <c r="AI1050" s="187"/>
      <c r="AJ1050" s="187"/>
      <c r="AK1050" s="188"/>
      <c r="AL1050" s="189"/>
      <c r="AM1050" s="188"/>
      <c r="AN1050" s="181"/>
    </row>
    <row r="1051" spans="1:40" ht="26.25" customHeight="1">
      <c r="A1051" s="177"/>
      <c r="B1051" s="178"/>
      <c r="C1051" s="179"/>
      <c r="D1051" s="180"/>
      <c r="E1051" s="180"/>
      <c r="F1051" s="180"/>
      <c r="G1051" s="180"/>
      <c r="H1051" s="180"/>
      <c r="I1051" s="181"/>
      <c r="J1051" s="180"/>
      <c r="K1051" s="180"/>
      <c r="L1051" s="180"/>
      <c r="M1051" s="180"/>
      <c r="N1051" s="182"/>
      <c r="O1051" s="182"/>
      <c r="P1051" s="182"/>
      <c r="Q1051" s="182"/>
      <c r="R1051" s="182"/>
      <c r="S1051" s="182"/>
      <c r="T1051" s="182"/>
      <c r="U1051" s="182"/>
      <c r="V1051" s="182"/>
      <c r="W1051" s="182"/>
      <c r="X1051" s="181"/>
      <c r="Y1051" s="180"/>
      <c r="Z1051" s="183"/>
      <c r="AA1051" s="183"/>
      <c r="AB1051" s="180"/>
      <c r="AC1051" s="183"/>
      <c r="AD1051" s="183"/>
      <c r="AE1051" s="180"/>
      <c r="AF1051" s="184"/>
      <c r="AG1051" s="185"/>
      <c r="AH1051" s="186"/>
      <c r="AI1051" s="187"/>
      <c r="AJ1051" s="187"/>
      <c r="AK1051" s="188"/>
      <c r="AL1051" s="189"/>
      <c r="AM1051" s="188"/>
      <c r="AN1051" s="181"/>
    </row>
    <row r="1052" spans="1:40" ht="26.25" customHeight="1">
      <c r="A1052" s="177"/>
      <c r="B1052" s="178"/>
      <c r="C1052" s="179"/>
      <c r="D1052" s="180"/>
      <c r="E1052" s="180"/>
      <c r="F1052" s="180"/>
      <c r="G1052" s="180"/>
      <c r="H1052" s="180"/>
      <c r="I1052" s="181"/>
      <c r="J1052" s="180"/>
      <c r="K1052" s="180"/>
      <c r="L1052" s="180"/>
      <c r="M1052" s="180"/>
      <c r="N1052" s="182"/>
      <c r="O1052" s="182"/>
      <c r="P1052" s="182"/>
      <c r="Q1052" s="182"/>
      <c r="R1052" s="182"/>
      <c r="S1052" s="182"/>
      <c r="T1052" s="182"/>
      <c r="U1052" s="182"/>
      <c r="V1052" s="182"/>
      <c r="W1052" s="182"/>
      <c r="X1052" s="181"/>
      <c r="Y1052" s="180"/>
      <c r="Z1052" s="183"/>
      <c r="AA1052" s="183"/>
      <c r="AB1052" s="180"/>
      <c r="AC1052" s="183"/>
      <c r="AD1052" s="183"/>
      <c r="AE1052" s="180"/>
      <c r="AF1052" s="184"/>
      <c r="AG1052" s="185"/>
      <c r="AH1052" s="186"/>
      <c r="AI1052" s="187"/>
      <c r="AJ1052" s="187"/>
      <c r="AK1052" s="188"/>
      <c r="AL1052" s="189"/>
      <c r="AM1052" s="188"/>
      <c r="AN1052" s="181"/>
    </row>
    <row r="1053" spans="1:40" ht="26.25" customHeight="1">
      <c r="A1053" s="177"/>
      <c r="B1053" s="178"/>
      <c r="C1053" s="179"/>
      <c r="D1053" s="180"/>
      <c r="E1053" s="180"/>
      <c r="F1053" s="180"/>
      <c r="G1053" s="180"/>
      <c r="H1053" s="180"/>
      <c r="I1053" s="181"/>
      <c r="J1053" s="180"/>
      <c r="K1053" s="180"/>
      <c r="L1053" s="180"/>
      <c r="M1053" s="180"/>
      <c r="N1053" s="182"/>
      <c r="O1053" s="182"/>
      <c r="P1053" s="182"/>
      <c r="Q1053" s="182"/>
      <c r="R1053" s="182"/>
      <c r="S1053" s="182"/>
      <c r="T1053" s="182"/>
      <c r="U1053" s="182"/>
      <c r="V1053" s="182"/>
      <c r="W1053" s="182"/>
      <c r="X1053" s="181"/>
      <c r="Y1053" s="180"/>
      <c r="Z1053" s="183"/>
      <c r="AA1053" s="183"/>
      <c r="AB1053" s="180"/>
      <c r="AC1053" s="183"/>
      <c r="AD1053" s="183"/>
      <c r="AE1053" s="180"/>
      <c r="AF1053" s="184"/>
      <c r="AG1053" s="185"/>
      <c r="AH1053" s="186"/>
      <c r="AI1053" s="187"/>
      <c r="AJ1053" s="187"/>
      <c r="AK1053" s="188"/>
      <c r="AL1053" s="189"/>
      <c r="AM1053" s="188"/>
      <c r="AN1053" s="181"/>
    </row>
    <row r="1054" spans="1:40" ht="26.25" customHeight="1">
      <c r="A1054" s="177"/>
      <c r="B1054" s="178"/>
      <c r="C1054" s="179"/>
      <c r="D1054" s="180"/>
      <c r="E1054" s="180"/>
      <c r="F1054" s="180"/>
      <c r="G1054" s="180"/>
      <c r="H1054" s="180"/>
      <c r="I1054" s="181"/>
      <c r="J1054" s="180"/>
      <c r="K1054" s="180"/>
      <c r="L1054" s="180"/>
      <c r="M1054" s="180"/>
      <c r="N1054" s="182"/>
      <c r="O1054" s="182"/>
      <c r="P1054" s="182"/>
      <c r="Q1054" s="182"/>
      <c r="R1054" s="182"/>
      <c r="S1054" s="182"/>
      <c r="T1054" s="182"/>
      <c r="U1054" s="182"/>
      <c r="V1054" s="182"/>
      <c r="W1054" s="182"/>
      <c r="X1054" s="181"/>
      <c r="Y1054" s="180"/>
      <c r="Z1054" s="183"/>
      <c r="AA1054" s="183"/>
      <c r="AB1054" s="180"/>
      <c r="AC1054" s="183"/>
      <c r="AD1054" s="183"/>
      <c r="AE1054" s="180"/>
      <c r="AF1054" s="184"/>
      <c r="AG1054" s="185"/>
      <c r="AH1054" s="186"/>
      <c r="AI1054" s="187"/>
      <c r="AJ1054" s="187"/>
      <c r="AK1054" s="188"/>
      <c r="AL1054" s="189"/>
      <c r="AM1054" s="188"/>
      <c r="AN1054" s="181"/>
    </row>
    <row r="1055" spans="1:40" ht="26.25" customHeight="1">
      <c r="A1055" s="177"/>
      <c r="B1055" s="178"/>
      <c r="C1055" s="179"/>
      <c r="D1055" s="180"/>
      <c r="E1055" s="180"/>
      <c r="F1055" s="180"/>
      <c r="G1055" s="180"/>
      <c r="H1055" s="180"/>
      <c r="I1055" s="181"/>
      <c r="J1055" s="180"/>
      <c r="K1055" s="180"/>
      <c r="L1055" s="180"/>
      <c r="M1055" s="180"/>
      <c r="N1055" s="182"/>
      <c r="O1055" s="182"/>
      <c r="P1055" s="182"/>
      <c r="Q1055" s="182"/>
      <c r="R1055" s="182"/>
      <c r="S1055" s="182"/>
      <c r="T1055" s="182"/>
      <c r="U1055" s="182"/>
      <c r="V1055" s="182"/>
      <c r="W1055" s="182"/>
      <c r="X1055" s="181"/>
      <c r="Y1055" s="180"/>
      <c r="Z1055" s="183"/>
      <c r="AA1055" s="183"/>
      <c r="AB1055" s="180"/>
      <c r="AC1055" s="183"/>
      <c r="AD1055" s="183"/>
      <c r="AE1055" s="180"/>
      <c r="AF1055" s="184"/>
      <c r="AG1055" s="185"/>
      <c r="AH1055" s="186"/>
      <c r="AI1055" s="187"/>
      <c r="AJ1055" s="187"/>
      <c r="AK1055" s="188"/>
      <c r="AL1055" s="189"/>
      <c r="AM1055" s="188"/>
      <c r="AN1055" s="181"/>
    </row>
    <row r="1056" spans="1:40" ht="26.25" customHeight="1">
      <c r="A1056" s="177"/>
      <c r="B1056" s="178"/>
      <c r="C1056" s="179"/>
      <c r="D1056" s="180"/>
      <c r="E1056" s="180"/>
      <c r="F1056" s="180"/>
      <c r="G1056" s="180"/>
      <c r="H1056" s="180"/>
      <c r="I1056" s="181"/>
      <c r="J1056" s="180"/>
      <c r="K1056" s="180"/>
      <c r="L1056" s="180"/>
      <c r="M1056" s="180"/>
      <c r="N1056" s="182"/>
      <c r="O1056" s="182"/>
      <c r="P1056" s="182"/>
      <c r="Q1056" s="182"/>
      <c r="R1056" s="182"/>
      <c r="S1056" s="182"/>
      <c r="T1056" s="182"/>
      <c r="U1056" s="182"/>
      <c r="V1056" s="182"/>
      <c r="W1056" s="182"/>
      <c r="X1056" s="181"/>
      <c r="Y1056" s="180"/>
      <c r="Z1056" s="183"/>
      <c r="AA1056" s="183"/>
      <c r="AB1056" s="180"/>
      <c r="AC1056" s="183"/>
      <c r="AD1056" s="183"/>
      <c r="AE1056" s="180"/>
      <c r="AF1056" s="184"/>
      <c r="AG1056" s="185"/>
      <c r="AH1056" s="186"/>
      <c r="AI1056" s="187"/>
      <c r="AJ1056" s="187"/>
      <c r="AK1056" s="188"/>
      <c r="AL1056" s="189"/>
      <c r="AM1056" s="188"/>
      <c r="AN1056" s="181"/>
    </row>
    <row r="1057" spans="1:40" ht="26.25" customHeight="1">
      <c r="A1057" s="177"/>
      <c r="B1057" s="178"/>
      <c r="C1057" s="179"/>
      <c r="D1057" s="180"/>
      <c r="E1057" s="180"/>
      <c r="F1057" s="180"/>
      <c r="G1057" s="180"/>
      <c r="H1057" s="180"/>
      <c r="I1057" s="181"/>
      <c r="J1057" s="180"/>
      <c r="K1057" s="180"/>
      <c r="L1057" s="180"/>
      <c r="M1057" s="180"/>
      <c r="N1057" s="182"/>
      <c r="O1057" s="182"/>
      <c r="P1057" s="182"/>
      <c r="Q1057" s="182"/>
      <c r="R1057" s="182"/>
      <c r="S1057" s="182"/>
      <c r="T1057" s="182"/>
      <c r="U1057" s="182"/>
      <c r="V1057" s="182"/>
      <c r="W1057" s="182"/>
      <c r="X1057" s="181"/>
      <c r="Y1057" s="180"/>
      <c r="Z1057" s="183"/>
      <c r="AA1057" s="183"/>
      <c r="AB1057" s="180"/>
      <c r="AC1057" s="183"/>
      <c r="AD1057" s="183"/>
      <c r="AE1057" s="180"/>
      <c r="AF1057" s="184"/>
      <c r="AG1057" s="185"/>
      <c r="AH1057" s="186"/>
      <c r="AI1057" s="187"/>
      <c r="AJ1057" s="187"/>
      <c r="AK1057" s="188"/>
      <c r="AL1057" s="189"/>
      <c r="AM1057" s="188"/>
      <c r="AN1057" s="181"/>
    </row>
    <row r="1058" spans="1:40" ht="26.25" customHeight="1">
      <c r="A1058" s="177"/>
      <c r="B1058" s="178"/>
      <c r="C1058" s="179"/>
      <c r="D1058" s="180"/>
      <c r="E1058" s="180"/>
      <c r="F1058" s="180"/>
      <c r="G1058" s="180"/>
      <c r="H1058" s="180"/>
      <c r="I1058" s="181"/>
      <c r="J1058" s="180"/>
      <c r="K1058" s="180"/>
      <c r="L1058" s="180"/>
      <c r="M1058" s="180"/>
      <c r="N1058" s="182"/>
      <c r="O1058" s="182"/>
      <c r="P1058" s="182"/>
      <c r="Q1058" s="182"/>
      <c r="R1058" s="182"/>
      <c r="S1058" s="182"/>
      <c r="T1058" s="182"/>
      <c r="U1058" s="182"/>
      <c r="V1058" s="182"/>
      <c r="W1058" s="182"/>
      <c r="X1058" s="181"/>
      <c r="Y1058" s="180"/>
      <c r="Z1058" s="183"/>
      <c r="AA1058" s="183"/>
      <c r="AB1058" s="180"/>
      <c r="AC1058" s="183"/>
      <c r="AD1058" s="183"/>
      <c r="AE1058" s="180"/>
      <c r="AF1058" s="184"/>
      <c r="AG1058" s="185"/>
      <c r="AH1058" s="186"/>
      <c r="AI1058" s="187"/>
      <c r="AJ1058" s="187"/>
      <c r="AK1058" s="188"/>
      <c r="AL1058" s="189"/>
      <c r="AM1058" s="188"/>
      <c r="AN1058" s="181"/>
    </row>
    <row r="1059" spans="1:40" ht="26.25" customHeight="1">
      <c r="A1059" s="177"/>
      <c r="B1059" s="178"/>
      <c r="C1059" s="179"/>
      <c r="D1059" s="180"/>
      <c r="E1059" s="180"/>
      <c r="F1059" s="180"/>
      <c r="G1059" s="180"/>
      <c r="H1059" s="180"/>
      <c r="I1059" s="181"/>
      <c r="J1059" s="180"/>
      <c r="K1059" s="180"/>
      <c r="L1059" s="180"/>
      <c r="M1059" s="180"/>
      <c r="N1059" s="182"/>
      <c r="O1059" s="182"/>
      <c r="P1059" s="182"/>
      <c r="Q1059" s="182"/>
      <c r="R1059" s="182"/>
      <c r="S1059" s="182"/>
      <c r="T1059" s="182"/>
      <c r="U1059" s="182"/>
      <c r="V1059" s="182"/>
      <c r="W1059" s="182"/>
      <c r="X1059" s="181"/>
      <c r="Y1059" s="180"/>
      <c r="Z1059" s="183"/>
      <c r="AA1059" s="183"/>
      <c r="AB1059" s="180"/>
      <c r="AC1059" s="183"/>
      <c r="AD1059" s="183"/>
      <c r="AE1059" s="180"/>
      <c r="AF1059" s="184"/>
      <c r="AG1059" s="185"/>
      <c r="AH1059" s="186"/>
      <c r="AI1059" s="187"/>
      <c r="AJ1059" s="187"/>
      <c r="AK1059" s="188"/>
      <c r="AL1059" s="189"/>
      <c r="AM1059" s="188"/>
      <c r="AN1059" s="181"/>
    </row>
    <row r="1060" spans="1:40" ht="26.25" customHeight="1">
      <c r="A1060" s="177"/>
      <c r="B1060" s="178"/>
      <c r="C1060" s="179"/>
      <c r="D1060" s="180"/>
      <c r="E1060" s="180"/>
      <c r="F1060" s="180"/>
      <c r="G1060" s="180"/>
      <c r="H1060" s="180"/>
      <c r="I1060" s="181"/>
      <c r="J1060" s="180"/>
      <c r="K1060" s="180"/>
      <c r="L1060" s="180"/>
      <c r="M1060" s="180"/>
      <c r="N1060" s="182"/>
      <c r="O1060" s="182"/>
      <c r="P1060" s="182"/>
      <c r="Q1060" s="182"/>
      <c r="R1060" s="182"/>
      <c r="S1060" s="182"/>
      <c r="T1060" s="182"/>
      <c r="U1060" s="182"/>
      <c r="V1060" s="182"/>
      <c r="W1060" s="182"/>
      <c r="X1060" s="181"/>
      <c r="Y1060" s="180"/>
      <c r="Z1060" s="183"/>
      <c r="AA1060" s="183"/>
      <c r="AB1060" s="180"/>
      <c r="AC1060" s="183"/>
      <c r="AD1060" s="183"/>
      <c r="AE1060" s="180"/>
      <c r="AF1060" s="184"/>
      <c r="AG1060" s="185"/>
      <c r="AH1060" s="186"/>
      <c r="AI1060" s="187"/>
      <c r="AJ1060" s="187"/>
      <c r="AK1060" s="188"/>
      <c r="AL1060" s="189"/>
      <c r="AM1060" s="188"/>
      <c r="AN1060" s="181"/>
    </row>
    <row r="1061" spans="1:40" ht="26.25" customHeight="1">
      <c r="A1061" s="177"/>
      <c r="B1061" s="178"/>
      <c r="C1061" s="179"/>
      <c r="D1061" s="180"/>
      <c r="E1061" s="180"/>
      <c r="F1061" s="180"/>
      <c r="G1061" s="180"/>
      <c r="H1061" s="180"/>
      <c r="I1061" s="181"/>
      <c r="J1061" s="180"/>
      <c r="K1061" s="180"/>
      <c r="L1061" s="180"/>
      <c r="M1061" s="180"/>
      <c r="N1061" s="182"/>
      <c r="O1061" s="182"/>
      <c r="P1061" s="182"/>
      <c r="Q1061" s="182"/>
      <c r="R1061" s="182"/>
      <c r="S1061" s="182"/>
      <c r="T1061" s="182"/>
      <c r="U1061" s="182"/>
      <c r="V1061" s="182"/>
      <c r="W1061" s="182"/>
      <c r="X1061" s="181"/>
      <c r="Y1061" s="180"/>
      <c r="Z1061" s="183"/>
      <c r="AA1061" s="183"/>
      <c r="AB1061" s="180"/>
      <c r="AC1061" s="183"/>
      <c r="AD1061" s="183"/>
      <c r="AE1061" s="180"/>
      <c r="AF1061" s="184"/>
      <c r="AG1061" s="185"/>
      <c r="AH1061" s="186"/>
      <c r="AI1061" s="187"/>
      <c r="AJ1061" s="187"/>
      <c r="AK1061" s="188"/>
      <c r="AL1061" s="189"/>
      <c r="AM1061" s="188"/>
      <c r="AN1061" s="181"/>
    </row>
    <row r="1062" spans="1:40" ht="26.25" customHeight="1">
      <c r="A1062" s="177"/>
      <c r="B1062" s="178"/>
      <c r="C1062" s="179"/>
      <c r="D1062" s="180"/>
      <c r="E1062" s="180"/>
      <c r="F1062" s="180"/>
      <c r="G1062" s="180"/>
      <c r="H1062" s="180"/>
      <c r="I1062" s="181"/>
      <c r="J1062" s="180"/>
      <c r="K1062" s="180"/>
      <c r="L1062" s="180"/>
      <c r="M1062" s="180"/>
      <c r="N1062" s="182"/>
      <c r="O1062" s="182"/>
      <c r="P1062" s="182"/>
      <c r="Q1062" s="182"/>
      <c r="R1062" s="182"/>
      <c r="S1062" s="182"/>
      <c r="T1062" s="182"/>
      <c r="U1062" s="182"/>
      <c r="V1062" s="182"/>
      <c r="W1062" s="182"/>
      <c r="X1062" s="181"/>
      <c r="Y1062" s="180"/>
      <c r="Z1062" s="183"/>
      <c r="AA1062" s="183"/>
      <c r="AB1062" s="180"/>
      <c r="AC1062" s="183"/>
      <c r="AD1062" s="183"/>
      <c r="AE1062" s="180"/>
      <c r="AF1062" s="184"/>
      <c r="AG1062" s="185"/>
      <c r="AH1062" s="186"/>
      <c r="AI1062" s="187"/>
      <c r="AJ1062" s="187"/>
      <c r="AK1062" s="188"/>
      <c r="AL1062" s="189"/>
      <c r="AM1062" s="188"/>
      <c r="AN1062" s="181"/>
    </row>
    <row r="1063" spans="1:40" ht="26.25" customHeight="1">
      <c r="A1063" s="177"/>
      <c r="B1063" s="178"/>
      <c r="C1063" s="179"/>
      <c r="D1063" s="180"/>
      <c r="E1063" s="180"/>
      <c r="F1063" s="180"/>
      <c r="G1063" s="180"/>
      <c r="H1063" s="180"/>
      <c r="I1063" s="181"/>
      <c r="J1063" s="180"/>
      <c r="K1063" s="180"/>
      <c r="L1063" s="180"/>
      <c r="M1063" s="180"/>
      <c r="N1063" s="182"/>
      <c r="O1063" s="182"/>
      <c r="P1063" s="182"/>
      <c r="Q1063" s="182"/>
      <c r="R1063" s="182"/>
      <c r="S1063" s="182"/>
      <c r="T1063" s="182"/>
      <c r="U1063" s="182"/>
      <c r="V1063" s="182"/>
      <c r="W1063" s="182"/>
      <c r="X1063" s="181"/>
      <c r="Y1063" s="180"/>
      <c r="Z1063" s="183"/>
      <c r="AA1063" s="183"/>
      <c r="AB1063" s="180"/>
      <c r="AC1063" s="183"/>
      <c r="AD1063" s="183"/>
      <c r="AE1063" s="180"/>
      <c r="AF1063" s="184"/>
      <c r="AG1063" s="185"/>
      <c r="AH1063" s="186"/>
      <c r="AI1063" s="187"/>
      <c r="AJ1063" s="187"/>
      <c r="AK1063" s="188"/>
      <c r="AL1063" s="189"/>
      <c r="AM1063" s="188"/>
      <c r="AN1063" s="181"/>
    </row>
    <row r="1064" spans="1:40" ht="26.25" customHeight="1">
      <c r="A1064" s="177"/>
      <c r="B1064" s="178"/>
      <c r="C1064" s="179"/>
      <c r="D1064" s="180"/>
      <c r="E1064" s="180"/>
      <c r="F1064" s="180"/>
      <c r="G1064" s="180"/>
      <c r="H1064" s="180"/>
      <c r="I1064" s="181"/>
      <c r="J1064" s="180"/>
      <c r="K1064" s="180"/>
      <c r="L1064" s="180"/>
      <c r="M1064" s="180"/>
      <c r="N1064" s="182"/>
      <c r="O1064" s="182"/>
      <c r="P1064" s="182"/>
      <c r="Q1064" s="182"/>
      <c r="R1064" s="182"/>
      <c r="S1064" s="182"/>
      <c r="T1064" s="182"/>
      <c r="U1064" s="182"/>
      <c r="V1064" s="182"/>
      <c r="W1064" s="182"/>
      <c r="X1064" s="181"/>
      <c r="Y1064" s="180"/>
      <c r="Z1064" s="183"/>
      <c r="AA1064" s="183"/>
      <c r="AB1064" s="180"/>
      <c r="AC1064" s="183"/>
      <c r="AD1064" s="183"/>
      <c r="AE1064" s="180"/>
      <c r="AF1064" s="184"/>
      <c r="AG1064" s="185"/>
      <c r="AH1064" s="186"/>
      <c r="AI1064" s="187"/>
      <c r="AJ1064" s="187"/>
      <c r="AK1064" s="188"/>
      <c r="AL1064" s="189"/>
      <c r="AM1064" s="188"/>
      <c r="AN1064" s="181"/>
    </row>
    <row r="1065" spans="1:40" ht="26.25" customHeight="1">
      <c r="A1065" s="177"/>
      <c r="B1065" s="178"/>
      <c r="C1065" s="179"/>
      <c r="D1065" s="180"/>
      <c r="E1065" s="180"/>
      <c r="F1065" s="180"/>
      <c r="G1065" s="180"/>
      <c r="H1065" s="180"/>
      <c r="I1065" s="181"/>
      <c r="J1065" s="180"/>
      <c r="K1065" s="180"/>
      <c r="L1065" s="180"/>
      <c r="M1065" s="180"/>
      <c r="N1065" s="182"/>
      <c r="O1065" s="182"/>
      <c r="P1065" s="182"/>
      <c r="Q1065" s="182"/>
      <c r="R1065" s="182"/>
      <c r="S1065" s="182"/>
      <c r="T1065" s="182"/>
      <c r="U1065" s="182"/>
      <c r="V1065" s="182"/>
      <c r="W1065" s="182"/>
      <c r="X1065" s="181"/>
      <c r="Y1065" s="180"/>
      <c r="Z1065" s="183"/>
      <c r="AA1065" s="183"/>
      <c r="AB1065" s="180"/>
      <c r="AC1065" s="183"/>
      <c r="AD1065" s="183"/>
      <c r="AE1065" s="180"/>
      <c r="AF1065" s="184"/>
      <c r="AG1065" s="185"/>
      <c r="AH1065" s="186"/>
      <c r="AI1065" s="187"/>
      <c r="AJ1065" s="187"/>
      <c r="AK1065" s="188"/>
      <c r="AL1065" s="189"/>
      <c r="AM1065" s="188"/>
      <c r="AN1065" s="181"/>
    </row>
    <row r="1066" spans="1:40" ht="26.25" customHeight="1">
      <c r="A1066" s="177"/>
      <c r="B1066" s="178"/>
      <c r="C1066" s="179"/>
      <c r="D1066" s="180"/>
      <c r="E1066" s="180"/>
      <c r="F1066" s="180"/>
      <c r="G1066" s="180"/>
      <c r="H1066" s="180"/>
      <c r="I1066" s="181"/>
      <c r="J1066" s="180"/>
      <c r="K1066" s="180"/>
      <c r="L1066" s="180"/>
      <c r="M1066" s="180"/>
      <c r="N1066" s="182"/>
      <c r="O1066" s="182"/>
      <c r="P1066" s="182"/>
      <c r="Q1066" s="182"/>
      <c r="R1066" s="182"/>
      <c r="S1066" s="182"/>
      <c r="T1066" s="182"/>
      <c r="U1066" s="182"/>
      <c r="V1066" s="182"/>
      <c r="W1066" s="182"/>
      <c r="X1066" s="181"/>
      <c r="Y1066" s="180"/>
      <c r="Z1066" s="183"/>
      <c r="AA1066" s="183"/>
      <c r="AB1066" s="180"/>
      <c r="AC1066" s="183"/>
      <c r="AD1066" s="183"/>
      <c r="AE1066" s="180"/>
      <c r="AF1066" s="184"/>
      <c r="AG1066" s="185"/>
      <c r="AH1066" s="186"/>
      <c r="AI1066" s="187"/>
      <c r="AJ1066" s="187"/>
      <c r="AK1066" s="188"/>
      <c r="AL1066" s="189"/>
      <c r="AM1066" s="188"/>
      <c r="AN1066" s="181"/>
    </row>
    <row r="1067" spans="1:40" ht="26.25" customHeight="1">
      <c r="A1067" s="177"/>
      <c r="B1067" s="178"/>
      <c r="C1067" s="179"/>
      <c r="D1067" s="180"/>
      <c r="E1067" s="180"/>
      <c r="F1067" s="180"/>
      <c r="G1067" s="180"/>
      <c r="H1067" s="180"/>
      <c r="I1067" s="181"/>
      <c r="J1067" s="180"/>
      <c r="K1067" s="180"/>
      <c r="L1067" s="180"/>
      <c r="M1067" s="180"/>
      <c r="N1067" s="182"/>
      <c r="O1067" s="182"/>
      <c r="P1067" s="182"/>
      <c r="Q1067" s="182"/>
      <c r="R1067" s="182"/>
      <c r="S1067" s="182"/>
      <c r="T1067" s="182"/>
      <c r="U1067" s="182"/>
      <c r="V1067" s="182"/>
      <c r="W1067" s="182"/>
      <c r="X1067" s="181"/>
      <c r="Y1067" s="180"/>
      <c r="Z1067" s="183"/>
      <c r="AA1067" s="183"/>
      <c r="AB1067" s="180"/>
      <c r="AC1067" s="183"/>
      <c r="AD1067" s="183"/>
      <c r="AE1067" s="180"/>
      <c r="AF1067" s="184"/>
      <c r="AG1067" s="185"/>
      <c r="AH1067" s="186"/>
      <c r="AI1067" s="187"/>
      <c r="AJ1067" s="187"/>
      <c r="AK1067" s="188"/>
      <c r="AL1067" s="189"/>
      <c r="AM1067" s="188"/>
      <c r="AN1067" s="181"/>
    </row>
    <row r="1068" spans="1:40" ht="26.25" customHeight="1">
      <c r="A1068" s="177"/>
      <c r="B1068" s="178"/>
      <c r="C1068" s="179"/>
      <c r="D1068" s="180"/>
      <c r="E1068" s="180"/>
      <c r="F1068" s="180"/>
      <c r="G1068" s="180"/>
      <c r="H1068" s="180"/>
      <c r="I1068" s="181"/>
      <c r="J1068" s="180"/>
      <c r="K1068" s="180"/>
      <c r="L1068" s="180"/>
      <c r="M1068" s="180"/>
      <c r="N1068" s="182"/>
      <c r="O1068" s="182"/>
      <c r="P1068" s="182"/>
      <c r="Q1068" s="182"/>
      <c r="R1068" s="182"/>
      <c r="S1068" s="182"/>
      <c r="T1068" s="182"/>
      <c r="U1068" s="182"/>
      <c r="V1068" s="182"/>
      <c r="W1068" s="182"/>
      <c r="X1068" s="181"/>
      <c r="Y1068" s="180"/>
      <c r="Z1068" s="183"/>
      <c r="AA1068" s="183"/>
      <c r="AB1068" s="180"/>
      <c r="AC1068" s="183"/>
      <c r="AD1068" s="183"/>
      <c r="AE1068" s="180"/>
      <c r="AF1068" s="184"/>
      <c r="AG1068" s="185"/>
      <c r="AH1068" s="186"/>
      <c r="AI1068" s="187"/>
      <c r="AJ1068" s="187"/>
      <c r="AK1068" s="188"/>
      <c r="AL1068" s="189"/>
      <c r="AM1068" s="188"/>
      <c r="AN1068" s="181"/>
    </row>
    <row r="1069" spans="1:40" ht="26.25" customHeight="1">
      <c r="A1069" s="177"/>
      <c r="B1069" s="178"/>
      <c r="C1069" s="179"/>
      <c r="D1069" s="180"/>
      <c r="E1069" s="180"/>
      <c r="F1069" s="180"/>
      <c r="G1069" s="180"/>
      <c r="H1069" s="180"/>
      <c r="I1069" s="181"/>
      <c r="J1069" s="180"/>
      <c r="K1069" s="180"/>
      <c r="L1069" s="180"/>
      <c r="M1069" s="180"/>
      <c r="N1069" s="182"/>
      <c r="O1069" s="182"/>
      <c r="P1069" s="182"/>
      <c r="Q1069" s="182"/>
      <c r="R1069" s="182"/>
      <c r="S1069" s="182"/>
      <c r="T1069" s="182"/>
      <c r="U1069" s="182"/>
      <c r="V1069" s="182"/>
      <c r="W1069" s="182"/>
      <c r="X1069" s="181"/>
      <c r="Y1069" s="180"/>
      <c r="Z1069" s="183"/>
      <c r="AA1069" s="183"/>
      <c r="AB1069" s="180"/>
      <c r="AC1069" s="183"/>
      <c r="AD1069" s="183"/>
      <c r="AE1069" s="180"/>
      <c r="AF1069" s="184"/>
      <c r="AG1069" s="185"/>
      <c r="AH1069" s="186"/>
      <c r="AI1069" s="187"/>
      <c r="AJ1069" s="187"/>
      <c r="AK1069" s="188"/>
      <c r="AL1069" s="189"/>
      <c r="AM1069" s="188"/>
      <c r="AN1069" s="181"/>
    </row>
    <row r="1070" spans="1:40" ht="26.25" customHeight="1">
      <c r="A1070" s="177"/>
      <c r="B1070" s="178"/>
      <c r="C1070" s="179"/>
      <c r="D1070" s="180"/>
      <c r="E1070" s="180"/>
      <c r="F1070" s="180"/>
      <c r="G1070" s="180"/>
      <c r="H1070" s="180"/>
      <c r="I1070" s="181"/>
      <c r="J1070" s="180"/>
      <c r="K1070" s="180"/>
      <c r="L1070" s="180"/>
      <c r="M1070" s="180"/>
      <c r="N1070" s="182"/>
      <c r="O1070" s="182"/>
      <c r="P1070" s="182"/>
      <c r="Q1070" s="182"/>
      <c r="R1070" s="182"/>
      <c r="S1070" s="182"/>
      <c r="T1070" s="182"/>
      <c r="U1070" s="182"/>
      <c r="V1070" s="182"/>
      <c r="W1070" s="182"/>
      <c r="X1070" s="181"/>
      <c r="Y1070" s="180"/>
      <c r="Z1070" s="183"/>
      <c r="AA1070" s="183"/>
      <c r="AB1070" s="180"/>
      <c r="AC1070" s="183"/>
      <c r="AD1070" s="183"/>
      <c r="AE1070" s="180"/>
      <c r="AF1070" s="184"/>
      <c r="AG1070" s="185"/>
      <c r="AH1070" s="186"/>
      <c r="AI1070" s="187"/>
      <c r="AJ1070" s="187"/>
      <c r="AK1070" s="188"/>
      <c r="AL1070" s="189"/>
      <c r="AM1070" s="188"/>
      <c r="AN1070" s="181"/>
    </row>
    <row r="1071" spans="1:40" ht="26.25" customHeight="1">
      <c r="A1071" s="177"/>
      <c r="B1071" s="178"/>
      <c r="C1071" s="179"/>
      <c r="D1071" s="180"/>
      <c r="E1071" s="180"/>
      <c r="F1071" s="180"/>
      <c r="G1071" s="180"/>
      <c r="H1071" s="180"/>
      <c r="I1071" s="181"/>
      <c r="J1071" s="180"/>
      <c r="K1071" s="180"/>
      <c r="L1071" s="180"/>
      <c r="M1071" s="180"/>
      <c r="N1071" s="182"/>
      <c r="O1071" s="182"/>
      <c r="P1071" s="182"/>
      <c r="Q1071" s="182"/>
      <c r="R1071" s="182"/>
      <c r="S1071" s="182"/>
      <c r="T1071" s="182"/>
      <c r="U1071" s="182"/>
      <c r="V1071" s="182"/>
      <c r="W1071" s="182"/>
      <c r="X1071" s="181"/>
      <c r="Y1071" s="180"/>
      <c r="Z1071" s="183"/>
      <c r="AA1071" s="183"/>
      <c r="AB1071" s="180"/>
      <c r="AC1071" s="183"/>
      <c r="AD1071" s="183"/>
      <c r="AE1071" s="180"/>
      <c r="AF1071" s="184"/>
      <c r="AG1071" s="185"/>
      <c r="AH1071" s="186"/>
      <c r="AI1071" s="187"/>
      <c r="AJ1071" s="187"/>
      <c r="AK1071" s="188"/>
      <c r="AL1071" s="189"/>
      <c r="AM1071" s="188"/>
      <c r="AN1071" s="181"/>
    </row>
    <row r="1072" spans="1:40" ht="26.25" customHeight="1">
      <c r="A1072" s="177"/>
      <c r="B1072" s="178"/>
      <c r="C1072" s="179"/>
      <c r="D1072" s="180"/>
      <c r="E1072" s="180"/>
      <c r="F1072" s="180"/>
      <c r="G1072" s="180"/>
      <c r="H1072" s="180"/>
      <c r="I1072" s="181"/>
      <c r="J1072" s="180"/>
      <c r="K1072" s="180"/>
      <c r="L1072" s="180"/>
      <c r="M1072" s="180"/>
      <c r="N1072" s="182"/>
      <c r="O1072" s="182"/>
      <c r="P1072" s="182"/>
      <c r="Q1072" s="182"/>
      <c r="R1072" s="182"/>
      <c r="S1072" s="182"/>
      <c r="T1072" s="182"/>
      <c r="U1072" s="182"/>
      <c r="V1072" s="182"/>
      <c r="W1072" s="182"/>
      <c r="X1072" s="181"/>
      <c r="Y1072" s="180"/>
      <c r="Z1072" s="183"/>
      <c r="AA1072" s="183"/>
      <c r="AB1072" s="180"/>
      <c r="AC1072" s="183"/>
      <c r="AD1072" s="183"/>
      <c r="AE1072" s="180"/>
      <c r="AF1072" s="184"/>
      <c r="AG1072" s="185"/>
      <c r="AH1072" s="186"/>
      <c r="AI1072" s="187"/>
      <c r="AJ1072" s="187"/>
      <c r="AK1072" s="188"/>
      <c r="AL1072" s="189"/>
      <c r="AM1072" s="188"/>
      <c r="AN1072" s="181"/>
    </row>
    <row r="1073" spans="1:40" ht="26.25" customHeight="1">
      <c r="A1073" s="177"/>
      <c r="B1073" s="178"/>
      <c r="C1073" s="179"/>
      <c r="D1073" s="180"/>
      <c r="E1073" s="180"/>
      <c r="F1073" s="180"/>
      <c r="G1073" s="180"/>
      <c r="H1073" s="180"/>
      <c r="I1073" s="181"/>
      <c r="J1073" s="180"/>
      <c r="K1073" s="180"/>
      <c r="L1073" s="180"/>
      <c r="M1073" s="180"/>
      <c r="N1073" s="182"/>
      <c r="O1073" s="182"/>
      <c r="P1073" s="182"/>
      <c r="Q1073" s="182"/>
      <c r="R1073" s="182"/>
      <c r="S1073" s="182"/>
      <c r="T1073" s="182"/>
      <c r="U1073" s="182"/>
      <c r="V1073" s="182"/>
      <c r="W1073" s="182"/>
      <c r="X1073" s="181"/>
      <c r="Y1073" s="180"/>
      <c r="Z1073" s="183"/>
      <c r="AA1073" s="183"/>
      <c r="AB1073" s="180"/>
      <c r="AC1073" s="183"/>
      <c r="AD1073" s="183"/>
      <c r="AE1073" s="180"/>
      <c r="AF1073" s="184"/>
      <c r="AG1073" s="185"/>
      <c r="AH1073" s="186"/>
      <c r="AI1073" s="187"/>
      <c r="AJ1073" s="187"/>
      <c r="AK1073" s="188"/>
      <c r="AL1073" s="189"/>
      <c r="AM1073" s="188"/>
      <c r="AN1073" s="181"/>
    </row>
    <row r="1074" spans="1:40" ht="26.25" customHeight="1">
      <c r="A1074" s="177"/>
      <c r="B1074" s="178"/>
      <c r="C1074" s="179"/>
      <c r="D1074" s="180"/>
      <c r="E1074" s="180"/>
      <c r="F1074" s="180"/>
      <c r="G1074" s="180"/>
      <c r="H1074" s="180"/>
      <c r="I1074" s="181"/>
      <c r="J1074" s="180"/>
      <c r="K1074" s="180"/>
      <c r="L1074" s="180"/>
      <c r="M1074" s="180"/>
      <c r="N1074" s="182"/>
      <c r="O1074" s="182"/>
      <c r="P1074" s="182"/>
      <c r="Q1074" s="182"/>
      <c r="R1074" s="182"/>
      <c r="S1074" s="182"/>
      <c r="T1074" s="182"/>
      <c r="U1074" s="182"/>
      <c r="V1074" s="182"/>
      <c r="W1074" s="182"/>
      <c r="X1074" s="181"/>
      <c r="Y1074" s="180"/>
      <c r="Z1074" s="183"/>
      <c r="AA1074" s="183"/>
      <c r="AB1074" s="180"/>
      <c r="AC1074" s="183"/>
      <c r="AD1074" s="183"/>
      <c r="AE1074" s="180"/>
      <c r="AF1074" s="184"/>
      <c r="AG1074" s="185"/>
      <c r="AH1074" s="186"/>
      <c r="AI1074" s="187"/>
      <c r="AJ1074" s="187"/>
      <c r="AK1074" s="188"/>
      <c r="AL1074" s="189"/>
      <c r="AM1074" s="188"/>
      <c r="AN1074" s="181"/>
    </row>
    <row r="1075" spans="1:40" ht="26.25" customHeight="1">
      <c r="A1075" s="177"/>
      <c r="B1075" s="178"/>
      <c r="C1075" s="179"/>
      <c r="D1075" s="180"/>
      <c r="E1075" s="180"/>
      <c r="F1075" s="180"/>
      <c r="G1075" s="180"/>
      <c r="H1075" s="180"/>
      <c r="I1075" s="181"/>
      <c r="J1075" s="180"/>
      <c r="K1075" s="180"/>
      <c r="L1075" s="180"/>
      <c r="M1075" s="180"/>
      <c r="N1075" s="182"/>
      <c r="O1075" s="182"/>
      <c r="P1075" s="182"/>
      <c r="Q1075" s="182"/>
      <c r="R1075" s="182"/>
      <c r="S1075" s="182"/>
      <c r="T1075" s="182"/>
      <c r="U1075" s="182"/>
      <c r="V1075" s="182"/>
      <c r="W1075" s="182"/>
      <c r="X1075" s="181"/>
      <c r="Y1075" s="180"/>
      <c r="Z1075" s="183"/>
      <c r="AA1075" s="183"/>
      <c r="AB1075" s="180"/>
      <c r="AC1075" s="183"/>
      <c r="AD1075" s="183"/>
      <c r="AE1075" s="180"/>
      <c r="AF1075" s="184"/>
      <c r="AG1075" s="185"/>
      <c r="AH1075" s="186"/>
      <c r="AI1075" s="187"/>
      <c r="AJ1075" s="187"/>
      <c r="AK1075" s="188"/>
      <c r="AL1075" s="189"/>
      <c r="AM1075" s="188"/>
      <c r="AN1075" s="181"/>
    </row>
    <row r="1076" spans="1:40" ht="26.25" customHeight="1">
      <c r="A1076" s="177"/>
      <c r="B1076" s="178"/>
      <c r="C1076" s="179"/>
      <c r="D1076" s="180"/>
      <c r="E1076" s="180"/>
      <c r="F1076" s="180"/>
      <c r="G1076" s="180"/>
      <c r="H1076" s="180"/>
      <c r="I1076" s="181"/>
      <c r="J1076" s="180"/>
      <c r="K1076" s="180"/>
      <c r="L1076" s="180"/>
      <c r="M1076" s="180"/>
      <c r="N1076" s="182"/>
      <c r="O1076" s="182"/>
      <c r="P1076" s="182"/>
      <c r="Q1076" s="182"/>
      <c r="R1076" s="182"/>
      <c r="S1076" s="182"/>
      <c r="T1076" s="182"/>
      <c r="U1076" s="182"/>
      <c r="V1076" s="182"/>
      <c r="W1076" s="182"/>
      <c r="X1076" s="181"/>
      <c r="Y1076" s="180"/>
      <c r="Z1076" s="183"/>
      <c r="AA1076" s="183"/>
      <c r="AB1076" s="180"/>
      <c r="AC1076" s="183"/>
      <c r="AD1076" s="183"/>
      <c r="AE1076" s="180"/>
      <c r="AF1076" s="184"/>
      <c r="AG1076" s="185"/>
      <c r="AH1076" s="186"/>
      <c r="AI1076" s="187"/>
      <c r="AJ1076" s="187"/>
      <c r="AK1076" s="188"/>
      <c r="AL1076" s="189"/>
      <c r="AM1076" s="188"/>
      <c r="AN1076" s="181"/>
    </row>
    <row r="1077" spans="1:40" ht="26.25" customHeight="1">
      <c r="A1077" s="177"/>
      <c r="B1077" s="178"/>
      <c r="C1077" s="179"/>
      <c r="D1077" s="180"/>
      <c r="E1077" s="180"/>
      <c r="F1077" s="180"/>
      <c r="G1077" s="180"/>
      <c r="H1077" s="180"/>
      <c r="I1077" s="181"/>
      <c r="J1077" s="180"/>
      <c r="K1077" s="180"/>
      <c r="L1077" s="180"/>
      <c r="M1077" s="180"/>
      <c r="N1077" s="182"/>
      <c r="O1077" s="182"/>
      <c r="P1077" s="182"/>
      <c r="Q1077" s="182"/>
      <c r="R1077" s="182"/>
      <c r="S1077" s="182"/>
      <c r="T1077" s="182"/>
      <c r="U1077" s="182"/>
      <c r="V1077" s="182"/>
      <c r="W1077" s="182"/>
      <c r="X1077" s="181"/>
      <c r="Y1077" s="180"/>
      <c r="Z1077" s="183"/>
      <c r="AA1077" s="183"/>
      <c r="AB1077" s="180"/>
      <c r="AC1077" s="183"/>
      <c r="AD1077" s="183"/>
      <c r="AE1077" s="180"/>
      <c r="AF1077" s="184"/>
      <c r="AG1077" s="185"/>
      <c r="AH1077" s="186"/>
      <c r="AI1077" s="187"/>
      <c r="AJ1077" s="187"/>
      <c r="AK1077" s="188"/>
      <c r="AL1077" s="189"/>
      <c r="AM1077" s="188"/>
      <c r="AN1077" s="181"/>
    </row>
    <row r="1078" spans="1:40" ht="26.25" customHeight="1">
      <c r="A1078" s="177"/>
      <c r="B1078" s="178"/>
      <c r="C1078" s="179"/>
      <c r="D1078" s="180"/>
      <c r="E1078" s="180"/>
      <c r="F1078" s="180"/>
      <c r="G1078" s="180"/>
      <c r="H1078" s="180"/>
      <c r="I1078" s="181"/>
      <c r="J1078" s="180"/>
      <c r="K1078" s="180"/>
      <c r="L1078" s="180"/>
      <c r="M1078" s="180"/>
      <c r="N1078" s="182"/>
      <c r="O1078" s="182"/>
      <c r="P1078" s="182"/>
      <c r="Q1078" s="182"/>
      <c r="R1078" s="182"/>
      <c r="S1078" s="182"/>
      <c r="T1078" s="182"/>
      <c r="U1078" s="182"/>
      <c r="V1078" s="182"/>
      <c r="W1078" s="182"/>
      <c r="X1078" s="181"/>
      <c r="Y1078" s="180"/>
      <c r="Z1078" s="183"/>
      <c r="AA1078" s="183"/>
      <c r="AB1078" s="180"/>
      <c r="AC1078" s="183"/>
      <c r="AD1078" s="183"/>
      <c r="AE1078" s="180"/>
      <c r="AF1078" s="184"/>
      <c r="AG1078" s="185"/>
      <c r="AH1078" s="186"/>
      <c r="AI1078" s="187"/>
      <c r="AJ1078" s="187"/>
      <c r="AK1078" s="188"/>
      <c r="AL1078" s="189"/>
      <c r="AM1078" s="188"/>
      <c r="AN1078" s="181"/>
    </row>
    <row r="1079" spans="1:40" ht="26.25" customHeight="1">
      <c r="A1079" s="177"/>
      <c r="B1079" s="178"/>
      <c r="C1079" s="179"/>
      <c r="D1079" s="180"/>
      <c r="E1079" s="180"/>
      <c r="F1079" s="180"/>
      <c r="G1079" s="180"/>
      <c r="H1079" s="180"/>
      <c r="I1079" s="181"/>
      <c r="J1079" s="180"/>
      <c r="K1079" s="180"/>
      <c r="L1079" s="180"/>
      <c r="M1079" s="180"/>
      <c r="N1079" s="182"/>
      <c r="O1079" s="182"/>
      <c r="P1079" s="182"/>
      <c r="Q1079" s="182"/>
      <c r="R1079" s="182"/>
      <c r="S1079" s="182"/>
      <c r="T1079" s="182"/>
      <c r="U1079" s="182"/>
      <c r="V1079" s="182"/>
      <c r="W1079" s="182"/>
      <c r="X1079" s="181"/>
      <c r="Y1079" s="180"/>
      <c r="Z1079" s="183"/>
      <c r="AA1079" s="183"/>
      <c r="AB1079" s="180"/>
      <c r="AC1079" s="183"/>
      <c r="AD1079" s="183"/>
      <c r="AE1079" s="180"/>
      <c r="AF1079" s="184"/>
      <c r="AG1079" s="185"/>
      <c r="AH1079" s="186"/>
      <c r="AI1079" s="187"/>
      <c r="AJ1079" s="187"/>
      <c r="AK1079" s="188"/>
      <c r="AL1079" s="189"/>
      <c r="AM1079" s="188"/>
      <c r="AN1079" s="181"/>
    </row>
    <row r="1080" spans="1:40" ht="26.25" customHeight="1">
      <c r="A1080" s="177"/>
      <c r="B1080" s="178"/>
      <c r="C1080" s="179"/>
      <c r="D1080" s="180"/>
      <c r="E1080" s="180"/>
      <c r="F1080" s="180"/>
      <c r="G1080" s="180"/>
      <c r="H1080" s="180"/>
      <c r="I1080" s="181"/>
      <c r="J1080" s="180"/>
      <c r="K1080" s="180"/>
      <c r="L1080" s="180"/>
      <c r="M1080" s="180"/>
      <c r="N1080" s="182"/>
      <c r="O1080" s="182"/>
      <c r="P1080" s="182"/>
      <c r="Q1080" s="182"/>
      <c r="R1080" s="182"/>
      <c r="S1080" s="182"/>
      <c r="T1080" s="182"/>
      <c r="U1080" s="182"/>
      <c r="V1080" s="182"/>
      <c r="W1080" s="182"/>
      <c r="X1080" s="181"/>
      <c r="Y1080" s="180"/>
      <c r="Z1080" s="183"/>
      <c r="AA1080" s="183"/>
      <c r="AB1080" s="180"/>
      <c r="AC1080" s="183"/>
      <c r="AD1080" s="183"/>
      <c r="AE1080" s="180"/>
      <c r="AF1080" s="184"/>
      <c r="AG1080" s="185"/>
      <c r="AH1080" s="186"/>
      <c r="AI1080" s="187"/>
      <c r="AJ1080" s="187"/>
      <c r="AK1080" s="188"/>
      <c r="AL1080" s="189"/>
      <c r="AM1080" s="188"/>
      <c r="AN1080" s="181"/>
    </row>
    <row r="1081" spans="1:40" ht="26.25" customHeight="1">
      <c r="A1081" s="177"/>
      <c r="B1081" s="178"/>
      <c r="C1081" s="179"/>
      <c r="D1081" s="180"/>
      <c r="E1081" s="180"/>
      <c r="F1081" s="180"/>
      <c r="G1081" s="180"/>
      <c r="H1081" s="180"/>
      <c r="I1081" s="181"/>
      <c r="J1081" s="180"/>
      <c r="K1081" s="180"/>
      <c r="L1081" s="180"/>
      <c r="M1081" s="180"/>
      <c r="N1081" s="182"/>
      <c r="O1081" s="182"/>
      <c r="P1081" s="182"/>
      <c r="Q1081" s="182"/>
      <c r="R1081" s="182"/>
      <c r="S1081" s="182"/>
      <c r="T1081" s="182"/>
      <c r="U1081" s="182"/>
      <c r="V1081" s="182"/>
      <c r="W1081" s="182"/>
      <c r="X1081" s="181"/>
      <c r="Y1081" s="180"/>
      <c r="Z1081" s="183"/>
      <c r="AA1081" s="183"/>
      <c r="AB1081" s="180"/>
      <c r="AC1081" s="183"/>
      <c r="AD1081" s="183"/>
      <c r="AE1081" s="180"/>
      <c r="AF1081" s="184"/>
      <c r="AG1081" s="185"/>
      <c r="AH1081" s="186"/>
      <c r="AI1081" s="187"/>
      <c r="AJ1081" s="187"/>
      <c r="AK1081" s="188"/>
      <c r="AL1081" s="189"/>
      <c r="AM1081" s="188"/>
      <c r="AN1081" s="181"/>
    </row>
    <row r="1082" spans="1:40" ht="26.25" customHeight="1">
      <c r="A1082" s="177"/>
      <c r="B1082" s="178"/>
      <c r="C1082" s="179"/>
      <c r="D1082" s="180"/>
      <c r="E1082" s="180"/>
      <c r="F1082" s="180"/>
      <c r="G1082" s="180"/>
      <c r="H1082" s="180"/>
      <c r="I1082" s="181"/>
      <c r="J1082" s="180"/>
      <c r="K1082" s="180"/>
      <c r="L1082" s="180"/>
      <c r="M1082" s="180"/>
      <c r="N1082" s="182"/>
      <c r="O1082" s="182"/>
      <c r="P1082" s="182"/>
      <c r="Q1082" s="182"/>
      <c r="R1082" s="182"/>
      <c r="S1082" s="182"/>
      <c r="T1082" s="182"/>
      <c r="U1082" s="182"/>
      <c r="V1082" s="182"/>
      <c r="W1082" s="182"/>
      <c r="X1082" s="181"/>
      <c r="Y1082" s="180"/>
      <c r="Z1082" s="183"/>
      <c r="AA1082" s="183"/>
      <c r="AB1082" s="180"/>
      <c r="AC1082" s="183"/>
      <c r="AD1082" s="183"/>
      <c r="AE1082" s="180"/>
      <c r="AF1082" s="184"/>
      <c r="AG1082" s="185"/>
      <c r="AH1082" s="186"/>
      <c r="AI1082" s="187"/>
      <c r="AJ1082" s="187"/>
      <c r="AK1082" s="188"/>
      <c r="AL1082" s="189"/>
      <c r="AM1082" s="188"/>
      <c r="AN1082" s="181"/>
    </row>
    <row r="1083" spans="1:40" ht="26.25" customHeight="1">
      <c r="A1083" s="177"/>
      <c r="B1083" s="178"/>
      <c r="C1083" s="179"/>
      <c r="D1083" s="180"/>
      <c r="E1083" s="180"/>
      <c r="F1083" s="180"/>
      <c r="G1083" s="180"/>
      <c r="H1083" s="180"/>
      <c r="I1083" s="181"/>
      <c r="J1083" s="180"/>
      <c r="K1083" s="180"/>
      <c r="L1083" s="180"/>
      <c r="M1083" s="180"/>
      <c r="N1083" s="182"/>
      <c r="O1083" s="182"/>
      <c r="P1083" s="182"/>
      <c r="Q1083" s="182"/>
      <c r="R1083" s="182"/>
      <c r="S1083" s="182"/>
      <c r="T1083" s="182"/>
      <c r="U1083" s="182"/>
      <c r="V1083" s="182"/>
      <c r="W1083" s="182"/>
      <c r="X1083" s="181"/>
      <c r="Y1083" s="180"/>
      <c r="Z1083" s="183"/>
      <c r="AA1083" s="183"/>
      <c r="AB1083" s="180"/>
      <c r="AC1083" s="183"/>
      <c r="AD1083" s="183"/>
      <c r="AE1083" s="180"/>
      <c r="AF1083" s="184"/>
      <c r="AG1083" s="185"/>
      <c r="AH1083" s="186"/>
      <c r="AI1083" s="187"/>
      <c r="AJ1083" s="187"/>
      <c r="AK1083" s="188"/>
      <c r="AL1083" s="189"/>
      <c r="AM1083" s="188"/>
      <c r="AN1083" s="181"/>
    </row>
    <row r="1084" spans="1:40" ht="26.25" customHeight="1">
      <c r="A1084" s="177"/>
      <c r="B1084" s="178"/>
      <c r="C1084" s="179"/>
      <c r="D1084" s="180"/>
      <c r="E1084" s="180"/>
      <c r="F1084" s="180"/>
      <c r="G1084" s="180"/>
      <c r="H1084" s="180"/>
      <c r="I1084" s="181"/>
      <c r="J1084" s="180"/>
      <c r="K1084" s="180"/>
      <c r="L1084" s="180"/>
      <c r="M1084" s="180"/>
      <c r="N1084" s="182"/>
      <c r="O1084" s="182"/>
      <c r="P1084" s="182"/>
      <c r="Q1084" s="182"/>
      <c r="R1084" s="182"/>
      <c r="S1084" s="182"/>
      <c r="T1084" s="182"/>
      <c r="U1084" s="182"/>
      <c r="V1084" s="182"/>
      <c r="W1084" s="182"/>
      <c r="X1084" s="181"/>
      <c r="Y1084" s="180"/>
      <c r="Z1084" s="183"/>
      <c r="AA1084" s="183"/>
      <c r="AB1084" s="180"/>
      <c r="AC1084" s="183"/>
      <c r="AD1084" s="183"/>
      <c r="AE1084" s="180"/>
      <c r="AF1084" s="184"/>
      <c r="AG1084" s="185"/>
      <c r="AH1084" s="186"/>
      <c r="AI1084" s="187"/>
      <c r="AJ1084" s="187"/>
      <c r="AK1084" s="188"/>
      <c r="AL1084" s="189"/>
      <c r="AM1084" s="188"/>
      <c r="AN1084" s="181"/>
    </row>
    <row r="1085" spans="1:40" ht="26.25" customHeight="1">
      <c r="A1085" s="177"/>
      <c r="B1085" s="178"/>
      <c r="C1085" s="179"/>
      <c r="D1085" s="180"/>
      <c r="E1085" s="180"/>
      <c r="F1085" s="180"/>
      <c r="G1085" s="180"/>
      <c r="H1085" s="180"/>
      <c r="I1085" s="181"/>
      <c r="J1085" s="180"/>
      <c r="K1085" s="180"/>
      <c r="L1085" s="180"/>
      <c r="M1085" s="180"/>
      <c r="N1085" s="182"/>
      <c r="O1085" s="182"/>
      <c r="P1085" s="182"/>
      <c r="Q1085" s="182"/>
      <c r="R1085" s="182"/>
      <c r="S1085" s="182"/>
      <c r="T1085" s="182"/>
      <c r="U1085" s="182"/>
      <c r="V1085" s="182"/>
      <c r="W1085" s="182"/>
      <c r="X1085" s="181"/>
      <c r="Y1085" s="180"/>
      <c r="Z1085" s="183"/>
      <c r="AA1085" s="183"/>
      <c r="AB1085" s="180"/>
      <c r="AC1085" s="183"/>
      <c r="AD1085" s="183"/>
      <c r="AE1085" s="180"/>
      <c r="AF1085" s="184"/>
      <c r="AG1085" s="185"/>
      <c r="AH1085" s="186"/>
      <c r="AI1085" s="187"/>
      <c r="AJ1085" s="187"/>
      <c r="AK1085" s="188"/>
      <c r="AL1085" s="189"/>
      <c r="AM1085" s="188"/>
      <c r="AN1085" s="181"/>
    </row>
    <row r="1086" spans="1:40" ht="26.25" customHeight="1">
      <c r="A1086" s="177"/>
      <c r="B1086" s="178"/>
      <c r="C1086" s="179"/>
      <c r="D1086" s="180"/>
      <c r="E1086" s="180"/>
      <c r="F1086" s="180"/>
      <c r="G1086" s="180"/>
      <c r="H1086" s="180"/>
      <c r="I1086" s="181"/>
      <c r="J1086" s="180"/>
      <c r="K1086" s="180"/>
      <c r="L1086" s="180"/>
      <c r="M1086" s="180"/>
      <c r="N1086" s="182"/>
      <c r="O1086" s="182"/>
      <c r="P1086" s="182"/>
      <c r="Q1086" s="182"/>
      <c r="R1086" s="182"/>
      <c r="S1086" s="182"/>
      <c r="T1086" s="182"/>
      <c r="U1086" s="182"/>
      <c r="V1086" s="182"/>
      <c r="W1086" s="182"/>
      <c r="X1086" s="181"/>
      <c r="Y1086" s="180"/>
      <c r="Z1086" s="183"/>
      <c r="AA1086" s="183"/>
      <c r="AB1086" s="180"/>
      <c r="AC1086" s="183"/>
      <c r="AD1086" s="183"/>
      <c r="AE1086" s="180"/>
      <c r="AF1086" s="184"/>
      <c r="AG1086" s="185"/>
      <c r="AH1086" s="186"/>
      <c r="AI1086" s="187"/>
      <c r="AJ1086" s="187"/>
      <c r="AK1086" s="188"/>
      <c r="AL1086" s="189"/>
      <c r="AM1086" s="188"/>
      <c r="AN1086" s="181"/>
    </row>
    <row r="1087" spans="1:40" ht="26.25" customHeight="1">
      <c r="A1087" s="177"/>
      <c r="B1087" s="178"/>
      <c r="C1087" s="179"/>
      <c r="D1087" s="180"/>
      <c r="E1087" s="180"/>
      <c r="F1087" s="180"/>
      <c r="G1087" s="180"/>
      <c r="H1087" s="180"/>
      <c r="I1087" s="181"/>
      <c r="J1087" s="180"/>
      <c r="K1087" s="180"/>
      <c r="L1087" s="180"/>
      <c r="M1087" s="180"/>
      <c r="N1087" s="182"/>
      <c r="O1087" s="182"/>
      <c r="P1087" s="182"/>
      <c r="Q1087" s="182"/>
      <c r="R1087" s="182"/>
      <c r="S1087" s="182"/>
      <c r="T1087" s="182"/>
      <c r="U1087" s="182"/>
      <c r="V1087" s="182"/>
      <c r="W1087" s="182"/>
      <c r="X1087" s="181"/>
      <c r="Y1087" s="180"/>
      <c r="Z1087" s="183"/>
      <c r="AA1087" s="183"/>
      <c r="AB1087" s="180"/>
      <c r="AC1087" s="183"/>
      <c r="AD1087" s="183"/>
      <c r="AE1087" s="180"/>
      <c r="AF1087" s="184"/>
      <c r="AG1087" s="185"/>
      <c r="AH1087" s="186"/>
      <c r="AI1087" s="187"/>
      <c r="AJ1087" s="187"/>
      <c r="AK1087" s="188"/>
      <c r="AL1087" s="189"/>
      <c r="AM1087" s="188"/>
      <c r="AN1087" s="181"/>
    </row>
    <row r="1088" spans="1:40" ht="26.25" customHeight="1">
      <c r="A1088" s="177"/>
      <c r="B1088" s="178"/>
      <c r="C1088" s="179"/>
      <c r="D1088" s="180"/>
      <c r="E1088" s="180"/>
      <c r="F1088" s="180"/>
      <c r="G1088" s="180"/>
      <c r="H1088" s="180"/>
      <c r="I1088" s="181"/>
      <c r="J1088" s="180"/>
      <c r="K1088" s="180"/>
      <c r="L1088" s="180"/>
      <c r="M1088" s="180"/>
      <c r="N1088" s="182"/>
      <c r="O1088" s="182"/>
      <c r="P1088" s="182"/>
      <c r="Q1088" s="182"/>
      <c r="R1088" s="182"/>
      <c r="S1088" s="182"/>
      <c r="T1088" s="182"/>
      <c r="U1088" s="182"/>
      <c r="V1088" s="182"/>
      <c r="W1088" s="182"/>
      <c r="X1088" s="181"/>
      <c r="Y1088" s="180"/>
      <c r="Z1088" s="183"/>
      <c r="AA1088" s="183"/>
      <c r="AB1088" s="180"/>
      <c r="AC1088" s="183"/>
      <c r="AD1088" s="183"/>
      <c r="AE1088" s="180"/>
      <c r="AF1088" s="184"/>
      <c r="AG1088" s="185"/>
      <c r="AH1088" s="186"/>
      <c r="AI1088" s="187"/>
      <c r="AJ1088" s="187"/>
      <c r="AK1088" s="188"/>
      <c r="AL1088" s="189"/>
      <c r="AM1088" s="188"/>
      <c r="AN1088" s="181"/>
    </row>
    <row r="1089" spans="1:40" ht="26.25" customHeight="1">
      <c r="A1089" s="177"/>
      <c r="B1089" s="178"/>
      <c r="C1089" s="179"/>
      <c r="D1089" s="180"/>
      <c r="E1089" s="180"/>
      <c r="F1089" s="180"/>
      <c r="G1089" s="180"/>
      <c r="H1089" s="180"/>
      <c r="I1089" s="181"/>
      <c r="J1089" s="180"/>
      <c r="K1089" s="180"/>
      <c r="L1089" s="180"/>
      <c r="M1089" s="180"/>
      <c r="N1089" s="182"/>
      <c r="O1089" s="182"/>
      <c r="P1089" s="182"/>
      <c r="Q1089" s="182"/>
      <c r="R1089" s="182"/>
      <c r="S1089" s="182"/>
      <c r="T1089" s="182"/>
      <c r="U1089" s="182"/>
      <c r="V1089" s="182"/>
      <c r="W1089" s="182"/>
      <c r="X1089" s="181"/>
      <c r="Y1089" s="180"/>
      <c r="Z1089" s="183"/>
      <c r="AA1089" s="183"/>
      <c r="AB1089" s="180"/>
      <c r="AC1089" s="183"/>
      <c r="AD1089" s="183"/>
      <c r="AE1089" s="180"/>
      <c r="AF1089" s="184"/>
      <c r="AG1089" s="185"/>
      <c r="AH1089" s="186"/>
      <c r="AI1089" s="187"/>
      <c r="AJ1089" s="187"/>
      <c r="AK1089" s="188"/>
      <c r="AL1089" s="189"/>
      <c r="AM1089" s="188"/>
      <c r="AN1089" s="181"/>
    </row>
    <row r="1090" spans="1:40" ht="26.25" customHeight="1">
      <c r="A1090" s="177"/>
      <c r="B1090" s="178"/>
      <c r="C1090" s="179"/>
      <c r="D1090" s="180"/>
      <c r="E1090" s="180"/>
      <c r="F1090" s="180"/>
      <c r="G1090" s="180"/>
      <c r="H1090" s="180"/>
      <c r="I1090" s="181"/>
      <c r="J1090" s="180"/>
      <c r="K1090" s="180"/>
      <c r="L1090" s="180"/>
      <c r="M1090" s="180"/>
      <c r="N1090" s="182"/>
      <c r="O1090" s="182"/>
      <c r="P1090" s="182"/>
      <c r="Q1090" s="182"/>
      <c r="R1090" s="182"/>
      <c r="S1090" s="182"/>
      <c r="T1090" s="182"/>
      <c r="U1090" s="182"/>
      <c r="V1090" s="182"/>
      <c r="W1090" s="182"/>
      <c r="X1090" s="181"/>
      <c r="Y1090" s="180"/>
      <c r="Z1090" s="183"/>
      <c r="AA1090" s="183"/>
      <c r="AB1090" s="180"/>
      <c r="AC1090" s="183"/>
      <c r="AD1090" s="183"/>
      <c r="AE1090" s="180"/>
      <c r="AF1090" s="184"/>
      <c r="AG1090" s="185"/>
      <c r="AH1090" s="186"/>
      <c r="AI1090" s="187"/>
      <c r="AJ1090" s="187"/>
      <c r="AK1090" s="188"/>
      <c r="AL1090" s="189"/>
      <c r="AM1090" s="188"/>
      <c r="AN1090" s="181"/>
    </row>
    <row r="1091" spans="1:40" ht="26.25" customHeight="1">
      <c r="A1091" s="177"/>
      <c r="B1091" s="178"/>
      <c r="C1091" s="179"/>
      <c r="D1091" s="180"/>
      <c r="E1091" s="180"/>
      <c r="F1091" s="180"/>
      <c r="G1091" s="180"/>
      <c r="H1091" s="180"/>
      <c r="I1091" s="181"/>
      <c r="J1091" s="180"/>
      <c r="K1091" s="180"/>
      <c r="L1091" s="180"/>
      <c r="M1091" s="180"/>
      <c r="N1091" s="182"/>
      <c r="O1091" s="182"/>
      <c r="P1091" s="182"/>
      <c r="Q1091" s="182"/>
      <c r="R1091" s="182"/>
      <c r="S1091" s="182"/>
      <c r="T1091" s="182"/>
      <c r="U1091" s="182"/>
      <c r="V1091" s="182"/>
      <c r="W1091" s="182"/>
      <c r="X1091" s="181"/>
      <c r="Y1091" s="180"/>
      <c r="Z1091" s="183"/>
      <c r="AA1091" s="183"/>
      <c r="AB1091" s="180"/>
      <c r="AC1091" s="183"/>
      <c r="AD1091" s="183"/>
      <c r="AE1091" s="180"/>
      <c r="AF1091" s="184"/>
      <c r="AG1091" s="185"/>
      <c r="AH1091" s="186"/>
      <c r="AI1091" s="187"/>
      <c r="AJ1091" s="187"/>
      <c r="AK1091" s="188"/>
      <c r="AL1091" s="189"/>
      <c r="AM1091" s="188"/>
      <c r="AN1091" s="181"/>
    </row>
    <row r="1092" spans="1:40" ht="26.25" customHeight="1">
      <c r="A1092" s="177"/>
      <c r="B1092" s="178"/>
      <c r="C1092" s="179"/>
      <c r="D1092" s="180"/>
      <c r="E1092" s="180"/>
      <c r="F1092" s="180"/>
      <c r="G1092" s="180"/>
      <c r="H1092" s="180"/>
      <c r="I1092" s="181"/>
      <c r="J1092" s="180"/>
      <c r="K1092" s="180"/>
      <c r="L1092" s="180"/>
      <c r="M1092" s="180"/>
      <c r="N1092" s="182"/>
      <c r="O1092" s="182"/>
      <c r="P1092" s="182"/>
      <c r="Q1092" s="182"/>
      <c r="R1092" s="182"/>
      <c r="S1092" s="182"/>
      <c r="T1092" s="182"/>
      <c r="U1092" s="182"/>
      <c r="V1092" s="182"/>
      <c r="W1092" s="182"/>
      <c r="X1092" s="181"/>
      <c r="Y1092" s="180"/>
      <c r="Z1092" s="183"/>
      <c r="AA1092" s="183"/>
      <c r="AB1092" s="180"/>
      <c r="AC1092" s="183"/>
      <c r="AD1092" s="183"/>
      <c r="AE1092" s="180"/>
      <c r="AF1092" s="184"/>
      <c r="AG1092" s="185"/>
      <c r="AH1092" s="186"/>
      <c r="AI1092" s="187"/>
      <c r="AJ1092" s="187"/>
      <c r="AK1092" s="188"/>
      <c r="AL1092" s="189"/>
      <c r="AM1092" s="188"/>
      <c r="AN1092" s="181"/>
    </row>
    <row r="1093" spans="1:40" ht="26.25" customHeight="1">
      <c r="A1093" s="177"/>
      <c r="B1093" s="178"/>
      <c r="C1093" s="179"/>
      <c r="D1093" s="180"/>
      <c r="E1093" s="180"/>
      <c r="F1093" s="180"/>
      <c r="G1093" s="180"/>
      <c r="H1093" s="180"/>
      <c r="I1093" s="181"/>
      <c r="J1093" s="180"/>
      <c r="K1093" s="180"/>
      <c r="L1093" s="180"/>
      <c r="M1093" s="180"/>
      <c r="N1093" s="182"/>
      <c r="O1093" s="182"/>
      <c r="P1093" s="182"/>
      <c r="Q1093" s="182"/>
      <c r="R1093" s="182"/>
      <c r="S1093" s="182"/>
      <c r="T1093" s="182"/>
      <c r="U1093" s="182"/>
      <c r="V1093" s="182"/>
      <c r="W1093" s="182"/>
      <c r="X1093" s="181"/>
      <c r="Y1093" s="180"/>
      <c r="Z1093" s="183"/>
      <c r="AA1093" s="183"/>
      <c r="AB1093" s="180"/>
      <c r="AC1093" s="183"/>
      <c r="AD1093" s="183"/>
      <c r="AE1093" s="180"/>
      <c r="AF1093" s="184"/>
      <c r="AG1093" s="185"/>
      <c r="AH1093" s="186"/>
      <c r="AI1093" s="187"/>
      <c r="AJ1093" s="187"/>
      <c r="AK1093" s="188"/>
      <c r="AL1093" s="189"/>
      <c r="AM1093" s="188"/>
      <c r="AN1093" s="181"/>
    </row>
    <row r="1094" spans="1:40" ht="26.25" customHeight="1">
      <c r="A1094" s="177"/>
      <c r="B1094" s="178"/>
      <c r="C1094" s="179"/>
      <c r="D1094" s="180"/>
      <c r="E1094" s="180"/>
      <c r="F1094" s="180"/>
      <c r="G1094" s="180"/>
      <c r="H1094" s="180"/>
      <c r="I1094" s="181"/>
      <c r="J1094" s="180"/>
      <c r="K1094" s="180"/>
      <c r="L1094" s="180"/>
      <c r="M1094" s="180"/>
      <c r="N1094" s="182"/>
      <c r="O1094" s="182"/>
      <c r="P1094" s="182"/>
      <c r="Q1094" s="182"/>
      <c r="R1094" s="182"/>
      <c r="S1094" s="182"/>
      <c r="T1094" s="182"/>
      <c r="U1094" s="182"/>
      <c r="V1094" s="182"/>
      <c r="W1094" s="182"/>
      <c r="X1094" s="181"/>
      <c r="Y1094" s="180"/>
      <c r="Z1094" s="183"/>
      <c r="AA1094" s="183"/>
      <c r="AB1094" s="180"/>
      <c r="AC1094" s="183"/>
      <c r="AD1094" s="183"/>
      <c r="AE1094" s="180"/>
      <c r="AF1094" s="184"/>
      <c r="AG1094" s="185"/>
      <c r="AH1094" s="186"/>
      <c r="AI1094" s="187"/>
      <c r="AJ1094" s="187"/>
      <c r="AK1094" s="188"/>
      <c r="AL1094" s="189"/>
      <c r="AM1094" s="188"/>
      <c r="AN1094" s="181"/>
    </row>
    <row r="1095" spans="1:40" ht="26.25" customHeight="1">
      <c r="A1095" s="177"/>
      <c r="B1095" s="178"/>
      <c r="C1095" s="179"/>
      <c r="D1095" s="180"/>
      <c r="E1095" s="180"/>
      <c r="F1095" s="180"/>
      <c r="G1095" s="180"/>
      <c r="H1095" s="180"/>
      <c r="I1095" s="181"/>
      <c r="J1095" s="180"/>
      <c r="K1095" s="180"/>
      <c r="L1095" s="180"/>
      <c r="M1095" s="180"/>
      <c r="N1095" s="182"/>
      <c r="O1095" s="182"/>
      <c r="P1095" s="182"/>
      <c r="Q1095" s="182"/>
      <c r="R1095" s="182"/>
      <c r="S1095" s="182"/>
      <c r="T1095" s="182"/>
      <c r="U1095" s="182"/>
      <c r="V1095" s="182"/>
      <c r="W1095" s="182"/>
      <c r="X1095" s="181"/>
      <c r="Y1095" s="180"/>
      <c r="Z1095" s="183"/>
      <c r="AA1095" s="183"/>
      <c r="AB1095" s="180"/>
      <c r="AC1095" s="183"/>
      <c r="AD1095" s="183"/>
      <c r="AE1095" s="180"/>
      <c r="AF1095" s="184"/>
      <c r="AG1095" s="185"/>
      <c r="AH1095" s="186"/>
      <c r="AI1095" s="187"/>
      <c r="AJ1095" s="187"/>
      <c r="AK1095" s="188"/>
      <c r="AL1095" s="189"/>
      <c r="AM1095" s="188"/>
      <c r="AN1095" s="181"/>
    </row>
    <row r="1096" spans="1:40" ht="26.25" customHeight="1">
      <c r="A1096" s="177"/>
      <c r="B1096" s="178"/>
      <c r="C1096" s="179"/>
      <c r="D1096" s="180"/>
      <c r="E1096" s="180"/>
      <c r="F1096" s="180"/>
      <c r="G1096" s="180"/>
      <c r="H1096" s="180"/>
      <c r="I1096" s="181"/>
      <c r="J1096" s="180"/>
      <c r="K1096" s="180"/>
      <c r="L1096" s="180"/>
      <c r="M1096" s="180"/>
      <c r="N1096" s="182"/>
      <c r="O1096" s="182"/>
      <c r="P1096" s="182"/>
      <c r="Q1096" s="182"/>
      <c r="R1096" s="182"/>
      <c r="S1096" s="182"/>
      <c r="T1096" s="182"/>
      <c r="U1096" s="182"/>
      <c r="V1096" s="182"/>
      <c r="W1096" s="182"/>
      <c r="X1096" s="181"/>
      <c r="Y1096" s="180"/>
      <c r="Z1096" s="183"/>
      <c r="AA1096" s="183"/>
      <c r="AB1096" s="180"/>
      <c r="AC1096" s="183"/>
      <c r="AD1096" s="183"/>
      <c r="AE1096" s="180"/>
      <c r="AF1096" s="184"/>
      <c r="AG1096" s="185"/>
      <c r="AH1096" s="186"/>
      <c r="AI1096" s="187"/>
      <c r="AJ1096" s="187"/>
      <c r="AK1096" s="188"/>
      <c r="AL1096" s="189"/>
      <c r="AM1096" s="188"/>
      <c r="AN1096" s="181"/>
    </row>
    <row r="1097" spans="1:40" ht="26.25" customHeight="1">
      <c r="A1097" s="177"/>
      <c r="B1097" s="178"/>
      <c r="C1097" s="179"/>
      <c r="D1097" s="180"/>
      <c r="E1097" s="180"/>
      <c r="F1097" s="180"/>
      <c r="G1097" s="180"/>
      <c r="H1097" s="180"/>
      <c r="I1097" s="181"/>
      <c r="J1097" s="180"/>
      <c r="K1097" s="180"/>
      <c r="L1097" s="180"/>
      <c r="M1097" s="180"/>
      <c r="N1097" s="182"/>
      <c r="O1097" s="182"/>
      <c r="P1097" s="182"/>
      <c r="Q1097" s="182"/>
      <c r="R1097" s="182"/>
      <c r="S1097" s="182"/>
      <c r="T1097" s="182"/>
      <c r="U1097" s="182"/>
      <c r="V1097" s="182"/>
      <c r="W1097" s="182"/>
      <c r="X1097" s="181"/>
      <c r="Y1097" s="180"/>
      <c r="Z1097" s="183"/>
      <c r="AA1097" s="183"/>
      <c r="AB1097" s="180"/>
      <c r="AC1097" s="183"/>
      <c r="AD1097" s="183"/>
      <c r="AE1097" s="180"/>
      <c r="AF1097" s="184"/>
      <c r="AG1097" s="185"/>
      <c r="AH1097" s="186"/>
      <c r="AI1097" s="187"/>
      <c r="AJ1097" s="187"/>
      <c r="AK1097" s="188"/>
      <c r="AL1097" s="189"/>
      <c r="AM1097" s="188"/>
      <c r="AN1097" s="181"/>
    </row>
    <row r="1098" spans="1:40" ht="26.25" customHeight="1">
      <c r="A1098" s="177"/>
      <c r="B1098" s="178"/>
      <c r="C1098" s="179"/>
      <c r="D1098" s="180"/>
      <c r="E1098" s="180"/>
      <c r="F1098" s="180"/>
      <c r="G1098" s="180"/>
      <c r="H1098" s="180"/>
      <c r="I1098" s="181"/>
      <c r="J1098" s="180"/>
      <c r="K1098" s="180"/>
      <c r="L1098" s="180"/>
      <c r="M1098" s="180"/>
      <c r="N1098" s="182"/>
      <c r="O1098" s="182"/>
      <c r="P1098" s="182"/>
      <c r="Q1098" s="182"/>
      <c r="R1098" s="182"/>
      <c r="S1098" s="182"/>
      <c r="T1098" s="182"/>
      <c r="U1098" s="182"/>
      <c r="V1098" s="182"/>
      <c r="W1098" s="182"/>
      <c r="X1098" s="181"/>
      <c r="Y1098" s="180"/>
      <c r="Z1098" s="183"/>
      <c r="AA1098" s="183"/>
      <c r="AB1098" s="180"/>
      <c r="AC1098" s="183"/>
      <c r="AD1098" s="183"/>
      <c r="AE1098" s="180"/>
      <c r="AF1098" s="184"/>
      <c r="AG1098" s="185"/>
      <c r="AH1098" s="186"/>
      <c r="AI1098" s="187"/>
      <c r="AJ1098" s="187"/>
      <c r="AK1098" s="188"/>
      <c r="AL1098" s="189"/>
      <c r="AM1098" s="188"/>
      <c r="AN1098" s="181"/>
    </row>
    <row r="1099" spans="1:40" ht="26.25" customHeight="1">
      <c r="A1099" s="177"/>
      <c r="B1099" s="178"/>
      <c r="C1099" s="179"/>
      <c r="D1099" s="180"/>
      <c r="E1099" s="180"/>
      <c r="F1099" s="180"/>
      <c r="G1099" s="180"/>
      <c r="H1099" s="180"/>
      <c r="I1099" s="181"/>
      <c r="J1099" s="180"/>
      <c r="K1099" s="180"/>
      <c r="L1099" s="180"/>
      <c r="M1099" s="180"/>
      <c r="N1099" s="182"/>
      <c r="O1099" s="182"/>
      <c r="P1099" s="182"/>
      <c r="Q1099" s="182"/>
      <c r="R1099" s="182"/>
      <c r="S1099" s="182"/>
      <c r="T1099" s="182"/>
      <c r="U1099" s="182"/>
      <c r="V1099" s="182"/>
      <c r="W1099" s="182"/>
      <c r="X1099" s="181"/>
      <c r="Y1099" s="180"/>
      <c r="Z1099" s="183"/>
      <c r="AA1099" s="183"/>
      <c r="AB1099" s="180"/>
      <c r="AC1099" s="183"/>
      <c r="AD1099" s="183"/>
      <c r="AE1099" s="180"/>
      <c r="AF1099" s="184"/>
      <c r="AG1099" s="185"/>
      <c r="AH1099" s="186"/>
      <c r="AI1099" s="187"/>
      <c r="AJ1099" s="187"/>
      <c r="AK1099" s="188"/>
      <c r="AL1099" s="189"/>
      <c r="AM1099" s="188"/>
      <c r="AN1099" s="181"/>
    </row>
    <row r="1100" spans="1:40" ht="26.25" customHeight="1">
      <c r="A1100" s="177"/>
      <c r="B1100" s="178"/>
      <c r="C1100" s="179"/>
      <c r="D1100" s="180"/>
      <c r="E1100" s="180"/>
      <c r="F1100" s="180"/>
      <c r="G1100" s="180"/>
      <c r="H1100" s="180"/>
      <c r="I1100" s="181"/>
      <c r="J1100" s="180"/>
      <c r="K1100" s="180"/>
      <c r="L1100" s="180"/>
      <c r="M1100" s="180"/>
      <c r="N1100" s="182"/>
      <c r="O1100" s="182"/>
      <c r="P1100" s="182"/>
      <c r="Q1100" s="182"/>
      <c r="R1100" s="182"/>
      <c r="S1100" s="182"/>
      <c r="T1100" s="182"/>
      <c r="U1100" s="182"/>
      <c r="V1100" s="182"/>
      <c r="W1100" s="182"/>
      <c r="X1100" s="181"/>
      <c r="Y1100" s="180"/>
      <c r="Z1100" s="183"/>
      <c r="AA1100" s="183"/>
      <c r="AB1100" s="180"/>
      <c r="AC1100" s="183"/>
      <c r="AD1100" s="183"/>
      <c r="AE1100" s="180"/>
      <c r="AF1100" s="184"/>
      <c r="AG1100" s="185"/>
      <c r="AH1100" s="186"/>
      <c r="AI1100" s="187"/>
      <c r="AJ1100" s="187"/>
      <c r="AK1100" s="188"/>
      <c r="AL1100" s="189"/>
      <c r="AM1100" s="188"/>
      <c r="AN1100" s="181"/>
    </row>
    <row r="1101" spans="1:40" ht="26.25" customHeight="1">
      <c r="A1101" s="177"/>
      <c r="B1101" s="178"/>
      <c r="C1101" s="179"/>
      <c r="D1101" s="180"/>
      <c r="E1101" s="180"/>
      <c r="F1101" s="180"/>
      <c r="G1101" s="180"/>
      <c r="H1101" s="180"/>
      <c r="I1101" s="181"/>
      <c r="J1101" s="180"/>
      <c r="K1101" s="180"/>
      <c r="L1101" s="180"/>
      <c r="M1101" s="180"/>
      <c r="N1101" s="182"/>
      <c r="O1101" s="182"/>
      <c r="P1101" s="182"/>
      <c r="Q1101" s="182"/>
      <c r="R1101" s="182"/>
      <c r="S1101" s="182"/>
      <c r="T1101" s="182"/>
      <c r="U1101" s="182"/>
      <c r="V1101" s="182"/>
      <c r="W1101" s="182"/>
      <c r="X1101" s="181"/>
      <c r="Y1101" s="180"/>
      <c r="Z1101" s="183"/>
      <c r="AA1101" s="183"/>
      <c r="AB1101" s="180"/>
      <c r="AC1101" s="183"/>
      <c r="AD1101" s="183"/>
      <c r="AE1101" s="180"/>
      <c r="AF1101" s="184"/>
      <c r="AG1101" s="185"/>
      <c r="AH1101" s="186"/>
      <c r="AI1101" s="187"/>
      <c r="AJ1101" s="187"/>
      <c r="AK1101" s="188"/>
      <c r="AL1101" s="189"/>
      <c r="AM1101" s="188"/>
      <c r="AN1101" s="181"/>
    </row>
    <row r="1102" spans="1:40" ht="26.25" customHeight="1">
      <c r="A1102" s="177"/>
      <c r="B1102" s="178"/>
      <c r="C1102" s="179"/>
      <c r="D1102" s="180"/>
      <c r="E1102" s="180"/>
      <c r="F1102" s="180"/>
      <c r="G1102" s="180"/>
      <c r="H1102" s="180"/>
      <c r="I1102" s="181"/>
      <c r="J1102" s="180"/>
      <c r="K1102" s="180"/>
      <c r="L1102" s="180"/>
      <c r="M1102" s="180"/>
      <c r="N1102" s="182"/>
      <c r="O1102" s="182"/>
      <c r="P1102" s="182"/>
      <c r="Q1102" s="182"/>
      <c r="R1102" s="182"/>
      <c r="S1102" s="182"/>
      <c r="T1102" s="182"/>
      <c r="U1102" s="182"/>
      <c r="V1102" s="182"/>
      <c r="W1102" s="182"/>
      <c r="X1102" s="181"/>
      <c r="Y1102" s="180"/>
      <c r="Z1102" s="183"/>
      <c r="AA1102" s="183"/>
      <c r="AB1102" s="180"/>
      <c r="AC1102" s="183"/>
      <c r="AD1102" s="183"/>
      <c r="AE1102" s="180"/>
      <c r="AF1102" s="184"/>
      <c r="AG1102" s="185"/>
      <c r="AH1102" s="186"/>
      <c r="AI1102" s="187"/>
      <c r="AJ1102" s="187"/>
      <c r="AK1102" s="188"/>
      <c r="AL1102" s="189"/>
      <c r="AM1102" s="188"/>
      <c r="AN1102" s="181"/>
    </row>
    <row r="1103" spans="1:40" ht="26.25" customHeight="1">
      <c r="A1103" s="177"/>
      <c r="B1103" s="178"/>
      <c r="C1103" s="179"/>
      <c r="D1103" s="180"/>
      <c r="E1103" s="180"/>
      <c r="F1103" s="180"/>
      <c r="G1103" s="180"/>
      <c r="H1103" s="180"/>
      <c r="I1103" s="181"/>
      <c r="J1103" s="180"/>
      <c r="K1103" s="180"/>
      <c r="L1103" s="180"/>
      <c r="M1103" s="180"/>
      <c r="N1103" s="182"/>
      <c r="O1103" s="182"/>
      <c r="P1103" s="182"/>
      <c r="Q1103" s="182"/>
      <c r="R1103" s="182"/>
      <c r="S1103" s="182"/>
      <c r="T1103" s="182"/>
      <c r="U1103" s="182"/>
      <c r="V1103" s="182"/>
      <c r="W1103" s="182"/>
      <c r="X1103" s="181"/>
      <c r="Y1103" s="180"/>
      <c r="Z1103" s="183"/>
      <c r="AA1103" s="183"/>
      <c r="AB1103" s="180"/>
      <c r="AC1103" s="183"/>
      <c r="AD1103" s="183"/>
      <c r="AE1103" s="180"/>
      <c r="AF1103" s="184"/>
      <c r="AG1103" s="185"/>
      <c r="AH1103" s="186"/>
      <c r="AI1103" s="187"/>
      <c r="AJ1103" s="187"/>
      <c r="AK1103" s="188"/>
      <c r="AL1103" s="189"/>
      <c r="AM1103" s="188"/>
      <c r="AN1103" s="181"/>
    </row>
    <row r="1104" spans="1:40" ht="26.25" customHeight="1">
      <c r="A1104" s="177"/>
      <c r="B1104" s="178"/>
      <c r="C1104" s="179"/>
      <c r="D1104" s="180"/>
      <c r="E1104" s="180"/>
      <c r="F1104" s="180"/>
      <c r="G1104" s="180"/>
      <c r="H1104" s="180"/>
      <c r="I1104" s="181"/>
      <c r="J1104" s="180"/>
      <c r="K1104" s="180"/>
      <c r="L1104" s="180"/>
      <c r="M1104" s="180"/>
      <c r="N1104" s="182"/>
      <c r="O1104" s="182"/>
      <c r="P1104" s="182"/>
      <c r="Q1104" s="182"/>
      <c r="R1104" s="182"/>
      <c r="S1104" s="182"/>
      <c r="T1104" s="182"/>
      <c r="U1104" s="182"/>
      <c r="V1104" s="182"/>
      <c r="W1104" s="182"/>
      <c r="X1104" s="181"/>
      <c r="Y1104" s="180"/>
      <c r="Z1104" s="183"/>
      <c r="AA1104" s="183"/>
      <c r="AB1104" s="180"/>
      <c r="AC1104" s="183"/>
      <c r="AD1104" s="183"/>
      <c r="AE1104" s="180"/>
      <c r="AF1104" s="184"/>
      <c r="AG1104" s="185"/>
      <c r="AH1104" s="186"/>
      <c r="AI1104" s="187"/>
      <c r="AJ1104" s="187"/>
      <c r="AK1104" s="188"/>
      <c r="AL1104" s="189"/>
      <c r="AM1104" s="188"/>
      <c r="AN1104" s="181"/>
    </row>
    <row r="1105" spans="1:40" ht="26.25" customHeight="1">
      <c r="A1105" s="177"/>
      <c r="B1105" s="178"/>
      <c r="C1105" s="179"/>
      <c r="D1105" s="180"/>
      <c r="E1105" s="180"/>
      <c r="F1105" s="180"/>
      <c r="G1105" s="180"/>
      <c r="H1105" s="180"/>
      <c r="I1105" s="181"/>
      <c r="J1105" s="180"/>
      <c r="K1105" s="180"/>
      <c r="L1105" s="180"/>
      <c r="M1105" s="180"/>
      <c r="N1105" s="182"/>
      <c r="O1105" s="182"/>
      <c r="P1105" s="182"/>
      <c r="Q1105" s="182"/>
      <c r="R1105" s="182"/>
      <c r="S1105" s="182"/>
      <c r="T1105" s="182"/>
      <c r="U1105" s="182"/>
      <c r="V1105" s="182"/>
      <c r="W1105" s="182"/>
      <c r="X1105" s="181"/>
      <c r="Y1105" s="180"/>
      <c r="Z1105" s="183"/>
      <c r="AA1105" s="183"/>
      <c r="AB1105" s="180"/>
      <c r="AC1105" s="183"/>
      <c r="AD1105" s="183"/>
      <c r="AE1105" s="180"/>
      <c r="AF1105" s="184"/>
      <c r="AG1105" s="185"/>
      <c r="AH1105" s="186"/>
      <c r="AI1105" s="187"/>
      <c r="AJ1105" s="187"/>
      <c r="AK1105" s="188"/>
      <c r="AL1105" s="189"/>
      <c r="AM1105" s="188"/>
      <c r="AN1105" s="181"/>
    </row>
    <row r="1106" spans="1:40" ht="26.25" customHeight="1">
      <c r="A1106" s="177"/>
      <c r="B1106" s="178"/>
      <c r="C1106" s="179"/>
      <c r="D1106" s="180"/>
      <c r="E1106" s="180"/>
      <c r="F1106" s="180"/>
      <c r="G1106" s="180"/>
      <c r="H1106" s="180"/>
      <c r="I1106" s="181"/>
      <c r="J1106" s="180"/>
      <c r="K1106" s="180"/>
      <c r="L1106" s="180"/>
      <c r="M1106" s="180"/>
      <c r="N1106" s="182"/>
      <c r="O1106" s="182"/>
      <c r="P1106" s="182"/>
      <c r="Q1106" s="182"/>
      <c r="R1106" s="182"/>
      <c r="S1106" s="182"/>
      <c r="T1106" s="182"/>
      <c r="U1106" s="182"/>
      <c r="V1106" s="182"/>
      <c r="W1106" s="182"/>
      <c r="X1106" s="181"/>
      <c r="Y1106" s="180"/>
      <c r="Z1106" s="183"/>
      <c r="AA1106" s="183"/>
      <c r="AB1106" s="180"/>
      <c r="AC1106" s="183"/>
      <c r="AD1106" s="183"/>
      <c r="AE1106" s="180"/>
      <c r="AF1106" s="184"/>
      <c r="AG1106" s="185"/>
      <c r="AH1106" s="186"/>
      <c r="AI1106" s="187"/>
      <c r="AJ1106" s="187"/>
      <c r="AK1106" s="188"/>
      <c r="AL1106" s="189"/>
      <c r="AM1106" s="188"/>
      <c r="AN1106" s="181"/>
    </row>
  </sheetData>
  <autoFilter ref="A8:AN146" xr:uid="{00000000-0009-0000-0000-00000D000000}">
    <sortState xmlns:xlrd2="http://schemas.microsoft.com/office/spreadsheetml/2017/richdata2" ref="A8:AN146">
      <sortCondition ref="C8:C146"/>
      <sortCondition ref="A8:A146"/>
      <sortCondition ref="B8:B146"/>
      <sortCondition ref="M8:M146"/>
    </sortState>
  </autoFilter>
  <customSheetViews>
    <customSheetView guid="{E00D8407-2A32-4105-8489-705B037C6288}" filter="1" showAutoFilter="1">
      <pageMargins left="0.511811024" right="0.511811024" top="0.78740157499999996" bottom="0.78740157499999996" header="0.31496062000000002" footer="0.31496062000000002"/>
      <autoFilter ref="A76:AK146" xr:uid="{A8D32894-CC9C-4913-A2FC-89EA1EC0B06D}"/>
    </customSheetView>
  </customSheetViews>
  <printOptions horizontalCentered="1"/>
  <pageMargins left="0.25" right="0.25" top="0.2638739269015915" bottom="0.30510422797996523" header="0" footer="0"/>
  <pageSetup paperSize="9" fitToHeight="0" pageOrder="overThenDown" orientation="landscape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D00-000000000000}">
          <x14:formula1>
            <xm:f>#REF!</xm:f>
          </x14:formula1>
          <xm:sqref>A1:A7 A9:A11 A12:B12 A13:A22 A24:A74 A75:B76 A77:A133 A135:B135 A136:A144 A145:B145 A146:A1106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AD5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2.5703125" defaultRowHeight="15" customHeight="1" outlineLevelRow="1" outlineLevelCol="1"/>
  <cols>
    <col min="1" max="1" width="7.5703125" customWidth="1" outlineLevel="1"/>
    <col min="2" max="2" width="20.42578125" customWidth="1" outlineLevel="1"/>
    <col min="3" max="3" width="14.42578125" customWidth="1"/>
    <col min="4" max="4" width="36.42578125" customWidth="1"/>
    <col min="5" max="5" width="29.7109375" customWidth="1" outlineLevel="1"/>
    <col min="6" max="30" width="7.5703125" customWidth="1" outlineLevel="1"/>
  </cols>
  <sheetData>
    <row r="1" spans="1:30" ht="22.5" customHeight="1">
      <c r="A1" s="51"/>
      <c r="B1" s="42" t="s">
        <v>564</v>
      </c>
      <c r="C1" s="42" t="s">
        <v>2619</v>
      </c>
      <c r="D1" s="42" t="s">
        <v>571</v>
      </c>
      <c r="E1" s="42" t="s">
        <v>572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</row>
    <row r="2" spans="1:30" ht="26.25" customHeight="1">
      <c r="A2" s="169">
        <v>15</v>
      </c>
      <c r="B2" s="53" t="s">
        <v>9</v>
      </c>
      <c r="C2" s="53" t="s">
        <v>2</v>
      </c>
      <c r="D2" s="53" t="s">
        <v>2622</v>
      </c>
      <c r="E2" s="53" t="s">
        <v>396</v>
      </c>
      <c r="F2" s="170">
        <v>2</v>
      </c>
      <c r="G2" s="22" t="s">
        <v>2515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ht="27.75" customHeight="1">
      <c r="A3" s="169">
        <v>150</v>
      </c>
      <c r="B3" s="53" t="s">
        <v>9</v>
      </c>
      <c r="C3" s="24" t="s">
        <v>2</v>
      </c>
      <c r="D3" s="53" t="s">
        <v>2624</v>
      </c>
      <c r="E3" s="53" t="s">
        <v>274</v>
      </c>
      <c r="F3" s="170">
        <v>3</v>
      </c>
      <c r="G3" s="40" t="s">
        <v>2515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 ht="26.25" customHeight="1">
      <c r="A4" s="169">
        <v>104</v>
      </c>
      <c r="B4" s="53" t="s">
        <v>9</v>
      </c>
      <c r="C4" s="53" t="s">
        <v>2</v>
      </c>
      <c r="D4" s="53" t="s">
        <v>2622</v>
      </c>
      <c r="E4" s="53" t="s">
        <v>1588</v>
      </c>
      <c r="F4" s="169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ht="26.25" customHeight="1">
      <c r="A5" s="169">
        <v>130</v>
      </c>
      <c r="B5" s="53" t="s">
        <v>9</v>
      </c>
      <c r="C5" s="24" t="s">
        <v>32</v>
      </c>
      <c r="D5" s="53" t="s">
        <v>2622</v>
      </c>
      <c r="E5" s="53" t="s">
        <v>1588</v>
      </c>
      <c r="F5" s="171">
        <v>3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 spans="1:30" ht="26.25" customHeight="1">
      <c r="A6" s="169">
        <v>118</v>
      </c>
      <c r="B6" s="53" t="s">
        <v>9</v>
      </c>
      <c r="C6" s="53" t="s">
        <v>215</v>
      </c>
      <c r="D6" s="53" t="s">
        <v>2622</v>
      </c>
      <c r="E6" s="53" t="s">
        <v>1588</v>
      </c>
      <c r="F6" s="169">
        <v>1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 ht="26.25" customHeight="1">
      <c r="B7" s="53"/>
      <c r="C7" s="24"/>
      <c r="E7" s="53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ht="26.25" customHeight="1">
      <c r="B8" s="53" t="s">
        <v>388</v>
      </c>
      <c r="C8" s="24" t="s">
        <v>2</v>
      </c>
      <c r="D8" s="79" t="s">
        <v>2622</v>
      </c>
      <c r="E8" s="53" t="s">
        <v>1588</v>
      </c>
      <c r="F8" s="22">
        <v>1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26.25" customHeight="1">
      <c r="A9" s="173"/>
      <c r="B9" s="53"/>
      <c r="C9" s="53"/>
      <c r="D9" s="174"/>
      <c r="E9" s="53"/>
      <c r="F9" s="175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 ht="26.25" customHeight="1">
      <c r="A10" s="169">
        <v>99</v>
      </c>
      <c r="B10" s="53" t="s">
        <v>93</v>
      </c>
      <c r="C10" s="53" t="s">
        <v>2</v>
      </c>
      <c r="D10" s="53" t="s">
        <v>2631</v>
      </c>
      <c r="E10" s="53" t="s">
        <v>1588</v>
      </c>
      <c r="F10" s="170">
        <v>7</v>
      </c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 ht="26.25" customHeight="1">
      <c r="A11" s="169">
        <v>88</v>
      </c>
      <c r="B11" s="53" t="s">
        <v>28</v>
      </c>
      <c r="C11" s="24" t="s">
        <v>32</v>
      </c>
      <c r="D11" s="53" t="s">
        <v>2631</v>
      </c>
      <c r="E11" s="53" t="s">
        <v>1588</v>
      </c>
      <c r="F11" s="170">
        <v>2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 ht="24.75" customHeight="1">
      <c r="A12" s="169"/>
      <c r="B12" s="53"/>
      <c r="C12" s="24"/>
      <c r="D12" s="53"/>
      <c r="E12" s="53"/>
      <c r="F12" s="171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 spans="1:30" ht="24.75" customHeight="1">
      <c r="A13" s="169">
        <v>141</v>
      </c>
      <c r="B13" s="53" t="s">
        <v>1470</v>
      </c>
      <c r="C13" s="24" t="s">
        <v>2</v>
      </c>
      <c r="D13" s="53"/>
      <c r="E13" s="53" t="s">
        <v>274</v>
      </c>
      <c r="F13" s="171">
        <v>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spans="1:30" ht="26.25" customHeight="1">
      <c r="A14" s="169">
        <v>22</v>
      </c>
      <c r="B14" s="53" t="s">
        <v>1470</v>
      </c>
      <c r="C14" s="24" t="s">
        <v>2</v>
      </c>
      <c r="D14" s="53"/>
      <c r="E14" s="53" t="s">
        <v>1588</v>
      </c>
      <c r="F14" s="17">
        <v>1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1:30" ht="26.25" customHeight="1">
      <c r="A15" s="169">
        <v>139</v>
      </c>
      <c r="B15" s="53" t="s">
        <v>1397</v>
      </c>
      <c r="C15" s="24" t="s">
        <v>2</v>
      </c>
      <c r="D15" s="53"/>
      <c r="E15" s="53" t="s">
        <v>1588</v>
      </c>
      <c r="F15" s="170">
        <v>1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ht="24.75" customHeight="1">
      <c r="A16" s="169"/>
      <c r="B16" s="53"/>
      <c r="C16" s="24"/>
      <c r="D16" s="53"/>
      <c r="E16" s="53"/>
      <c r="F16" s="171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 spans="1:30" ht="26.25" customHeight="1" outlineLevel="1">
      <c r="A17" s="169">
        <v>36</v>
      </c>
      <c r="B17" s="5" t="s">
        <v>28</v>
      </c>
      <c r="C17" s="53" t="s">
        <v>2</v>
      </c>
      <c r="D17" s="5" t="s">
        <v>2634</v>
      </c>
      <c r="E17" s="53" t="s">
        <v>1588</v>
      </c>
      <c r="F17" s="170">
        <v>27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ht="26.25" customHeight="1" outlineLevel="1">
      <c r="A18" s="169">
        <v>36</v>
      </c>
      <c r="B18" s="5" t="s">
        <v>28</v>
      </c>
      <c r="C18" s="53" t="s">
        <v>2</v>
      </c>
      <c r="D18" s="5" t="s">
        <v>2636</v>
      </c>
      <c r="E18" s="53" t="s">
        <v>1588</v>
      </c>
      <c r="F18" s="170">
        <v>10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24.75" customHeight="1">
      <c r="A19" s="169"/>
      <c r="B19" s="53"/>
      <c r="C19" s="24"/>
      <c r="D19" s="53"/>
      <c r="E19" s="53"/>
      <c r="F19" s="171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spans="1:30" ht="26.25" customHeight="1">
      <c r="A20" s="169"/>
      <c r="B20" s="5"/>
      <c r="C20" s="53"/>
      <c r="D20" s="5"/>
      <c r="E20" s="53"/>
      <c r="F20" s="170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26.25" customHeight="1">
      <c r="A21" s="169">
        <v>57</v>
      </c>
      <c r="B21" s="24" t="s">
        <v>28</v>
      </c>
      <c r="C21" s="53" t="s">
        <v>32</v>
      </c>
      <c r="D21" s="24"/>
      <c r="E21" s="53" t="s">
        <v>1588</v>
      </c>
      <c r="F21" s="170">
        <v>4</v>
      </c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</row>
    <row r="22" spans="1:30" ht="26.25" customHeight="1">
      <c r="A22" s="169"/>
      <c r="B22" s="53"/>
      <c r="C22" s="24"/>
      <c r="D22" s="53"/>
      <c r="E22" s="53"/>
      <c r="F22" s="171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 spans="1:30" ht="26.25" customHeight="1">
      <c r="A23" s="169">
        <v>90</v>
      </c>
      <c r="B23" s="53" t="s">
        <v>28</v>
      </c>
      <c r="C23" s="24" t="s">
        <v>32</v>
      </c>
      <c r="D23" s="53" t="s">
        <v>2641</v>
      </c>
      <c r="E23" s="53" t="s">
        <v>1588</v>
      </c>
      <c r="F23" s="170">
        <v>2</v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  <row r="24" spans="1:30" ht="26.25" customHeight="1">
      <c r="A24" s="169">
        <v>93</v>
      </c>
      <c r="B24" s="53" t="s">
        <v>28</v>
      </c>
      <c r="C24" s="53" t="s">
        <v>215</v>
      </c>
      <c r="D24" s="53" t="s">
        <v>2641</v>
      </c>
      <c r="E24" s="53" t="s">
        <v>1588</v>
      </c>
      <c r="F24" s="171">
        <v>3</v>
      </c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 spans="1:30" ht="26.25" customHeight="1">
      <c r="A25" s="169"/>
      <c r="B25" s="53"/>
      <c r="C25" s="24"/>
      <c r="D25" s="53"/>
      <c r="E25" s="53"/>
      <c r="F25" s="171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0" ht="26.25" customHeight="1">
      <c r="A26" s="169">
        <v>143</v>
      </c>
      <c r="B26" s="53" t="s">
        <v>28</v>
      </c>
      <c r="C26" s="24" t="s">
        <v>2</v>
      </c>
      <c r="D26" s="53" t="s">
        <v>2546</v>
      </c>
      <c r="E26" s="53" t="s">
        <v>274</v>
      </c>
      <c r="F26" s="171">
        <v>6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0" ht="26.25" customHeight="1">
      <c r="A27" s="169">
        <v>154</v>
      </c>
      <c r="B27" s="24" t="s">
        <v>28</v>
      </c>
      <c r="C27" s="24" t="s">
        <v>215</v>
      </c>
      <c r="D27" s="24"/>
      <c r="E27" s="24" t="s">
        <v>274</v>
      </c>
      <c r="F27" s="169">
        <v>1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ht="26.25" customHeight="1">
      <c r="A28" s="169"/>
      <c r="B28" s="53"/>
      <c r="C28" s="24"/>
      <c r="D28" s="24"/>
      <c r="E28" s="53"/>
      <c r="F28" s="169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ht="26.25" customHeight="1">
      <c r="A29" s="169">
        <v>156</v>
      </c>
      <c r="B29" s="53" t="s">
        <v>28</v>
      </c>
      <c r="C29" s="24" t="s">
        <v>32</v>
      </c>
      <c r="D29" s="24" t="s">
        <v>1666</v>
      </c>
      <c r="E29" s="53" t="s">
        <v>2649</v>
      </c>
      <c r="F29" s="169">
        <v>1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ht="26.25" customHeight="1">
      <c r="A30" s="169">
        <v>157</v>
      </c>
      <c r="B30" s="24" t="s">
        <v>28</v>
      </c>
      <c r="C30" s="24" t="s">
        <v>215</v>
      </c>
      <c r="D30" s="24"/>
      <c r="E30" s="24" t="s">
        <v>2649</v>
      </c>
      <c r="F30" s="169">
        <v>1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ht="26.25" customHeight="1">
      <c r="A31" s="169"/>
      <c r="B31" s="53"/>
      <c r="C31" s="24"/>
      <c r="D31" s="24"/>
      <c r="E31" s="53"/>
      <c r="F31" s="169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ht="26.25" customHeight="1">
      <c r="A32" s="169">
        <v>159</v>
      </c>
      <c r="B32" s="24" t="s">
        <v>28</v>
      </c>
      <c r="C32" s="24" t="s">
        <v>2</v>
      </c>
      <c r="D32" s="24" t="s">
        <v>1674</v>
      </c>
      <c r="E32" s="24" t="s">
        <v>2652</v>
      </c>
      <c r="F32" s="169">
        <v>1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spans="1:30" ht="26.25" customHeight="1">
      <c r="A33" s="169">
        <v>160</v>
      </c>
      <c r="B33" s="24" t="s">
        <v>28</v>
      </c>
      <c r="C33" s="24" t="s">
        <v>32</v>
      </c>
      <c r="D33" s="24" t="s">
        <v>1718</v>
      </c>
      <c r="E33" s="24" t="s">
        <v>2652</v>
      </c>
      <c r="F33" s="169">
        <v>1</v>
      </c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  <row r="34" spans="1:30" ht="26.25" customHeight="1">
      <c r="A34" s="169">
        <v>161</v>
      </c>
      <c r="B34" s="53" t="s">
        <v>28</v>
      </c>
      <c r="C34" s="24" t="s">
        <v>215</v>
      </c>
      <c r="D34" s="24"/>
      <c r="E34" s="24" t="s">
        <v>2652</v>
      </c>
      <c r="F34" s="169">
        <v>1</v>
      </c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</row>
    <row r="35" spans="1:30" ht="26.25" customHeight="1">
      <c r="A35" s="169"/>
      <c r="B35" s="53"/>
      <c r="C35" s="24"/>
      <c r="D35" s="24"/>
      <c r="E35" s="53"/>
      <c r="F35" s="169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ht="26.25" customHeight="1">
      <c r="A36" s="169">
        <v>164</v>
      </c>
      <c r="B36" s="5" t="s">
        <v>28</v>
      </c>
      <c r="C36" s="24" t="s">
        <v>32</v>
      </c>
      <c r="D36" s="5" t="s">
        <v>1930</v>
      </c>
      <c r="E36" s="53" t="s">
        <v>113</v>
      </c>
      <c r="F36" s="169">
        <v>1</v>
      </c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</row>
    <row r="37" spans="1:30" ht="26.25" customHeight="1">
      <c r="A37" s="169">
        <v>165</v>
      </c>
      <c r="B37" s="24" t="s">
        <v>28</v>
      </c>
      <c r="C37" s="24" t="s">
        <v>215</v>
      </c>
      <c r="D37" s="24"/>
      <c r="E37" s="24" t="s">
        <v>113</v>
      </c>
      <c r="F37" s="170">
        <v>1</v>
      </c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 spans="1:30" ht="26.25" customHeight="1">
      <c r="A38" s="169"/>
      <c r="B38" s="53"/>
      <c r="C38" s="24"/>
      <c r="D38" s="24"/>
      <c r="E38" s="53"/>
      <c r="F38" s="169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ht="26.25" customHeight="1">
      <c r="A39" s="169">
        <v>1</v>
      </c>
      <c r="B39" s="53" t="s">
        <v>28</v>
      </c>
      <c r="C39" s="24" t="s">
        <v>32</v>
      </c>
      <c r="D39" s="24" t="s">
        <v>1693</v>
      </c>
      <c r="E39" s="53" t="s">
        <v>1699</v>
      </c>
      <c r="F39" s="169">
        <v>1</v>
      </c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 spans="1:30" ht="26.25" customHeight="1">
      <c r="A40" s="169">
        <v>2</v>
      </c>
      <c r="B40" s="5" t="s">
        <v>28</v>
      </c>
      <c r="C40" s="24" t="s">
        <v>215</v>
      </c>
      <c r="D40" s="24"/>
      <c r="E40" s="53" t="s">
        <v>1699</v>
      </c>
      <c r="F40" s="169">
        <v>1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ht="26.25" customHeight="1">
      <c r="A41" s="169"/>
      <c r="B41" s="53"/>
      <c r="C41" s="24"/>
      <c r="D41" s="24"/>
      <c r="E41" s="53"/>
      <c r="F41" s="169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ht="26.25" customHeight="1">
      <c r="A42" s="169">
        <v>4</v>
      </c>
      <c r="B42" s="5" t="s">
        <v>28</v>
      </c>
      <c r="C42" s="24" t="s">
        <v>32</v>
      </c>
      <c r="D42" s="24" t="s">
        <v>1684</v>
      </c>
      <c r="E42" s="5" t="s">
        <v>132</v>
      </c>
      <c r="F42" s="169">
        <v>1</v>
      </c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</row>
    <row r="43" spans="1:30" ht="26.25" customHeight="1">
      <c r="A43" s="169">
        <v>5</v>
      </c>
      <c r="B43" s="53" t="s">
        <v>28</v>
      </c>
      <c r="C43" s="24" t="s">
        <v>215</v>
      </c>
      <c r="D43" s="24"/>
      <c r="E43" s="53" t="s">
        <v>132</v>
      </c>
      <c r="F43" s="170">
        <v>1</v>
      </c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</row>
    <row r="44" spans="1:30" ht="26.25" customHeight="1">
      <c r="A44" s="169"/>
      <c r="B44" s="53"/>
      <c r="C44" s="24"/>
      <c r="D44" s="24"/>
      <c r="E44" s="53"/>
      <c r="F44" s="169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ht="26.25" customHeight="1">
      <c r="A45" s="169">
        <v>7</v>
      </c>
      <c r="B45" s="53" t="s">
        <v>28</v>
      </c>
      <c r="C45" s="24" t="s">
        <v>32</v>
      </c>
      <c r="D45" s="24" t="s">
        <v>1655</v>
      </c>
      <c r="E45" s="53" t="s">
        <v>48</v>
      </c>
      <c r="F45" s="170">
        <v>2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ht="36" customHeight="1">
      <c r="A46" s="169">
        <v>9</v>
      </c>
      <c r="B46" s="53" t="s">
        <v>28</v>
      </c>
      <c r="C46" s="24" t="s">
        <v>215</v>
      </c>
      <c r="D46" s="24"/>
      <c r="E46" s="53" t="s">
        <v>48</v>
      </c>
      <c r="F46" s="170">
        <v>1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ht="26.25" customHeight="1">
      <c r="A47" s="169"/>
      <c r="B47" s="53"/>
      <c r="C47" s="24"/>
      <c r="D47" s="24"/>
      <c r="E47" s="53"/>
      <c r="F47" s="169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ht="26.25" customHeight="1">
      <c r="A48" s="169">
        <v>11</v>
      </c>
      <c r="B48" s="53" t="s">
        <v>28</v>
      </c>
      <c r="C48" s="24" t="s">
        <v>2</v>
      </c>
      <c r="D48" s="24" t="s">
        <v>1651</v>
      </c>
      <c r="E48" s="53" t="s">
        <v>151</v>
      </c>
      <c r="F48" s="170">
        <v>1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ht="32.25" customHeight="1">
      <c r="A49" s="169">
        <v>12</v>
      </c>
      <c r="B49" s="53" t="s">
        <v>28</v>
      </c>
      <c r="C49" s="24" t="s">
        <v>32</v>
      </c>
      <c r="D49" s="24" t="s">
        <v>1647</v>
      </c>
      <c r="E49" s="53" t="s">
        <v>151</v>
      </c>
      <c r="F49" s="170">
        <v>1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ht="26.25" customHeight="1">
      <c r="A50" s="169">
        <v>13</v>
      </c>
      <c r="B50" s="53" t="s">
        <v>28</v>
      </c>
      <c r="C50" s="24" t="s">
        <v>215</v>
      </c>
      <c r="D50" s="53"/>
      <c r="E50" s="53" t="s">
        <v>151</v>
      </c>
      <c r="F50" s="170">
        <v>1</v>
      </c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</row>
    <row r="51" spans="1:30" ht="26.25" customHeight="1">
      <c r="A51" s="169"/>
      <c r="B51" s="53"/>
      <c r="C51" s="24"/>
      <c r="D51" s="24"/>
      <c r="E51" s="53"/>
      <c r="F51" s="169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spans="1:30" ht="26.25" customHeight="1">
      <c r="A52" s="169">
        <v>18</v>
      </c>
      <c r="B52" s="53" t="s">
        <v>28</v>
      </c>
      <c r="C52" s="53" t="s">
        <v>2</v>
      </c>
      <c r="D52" s="53" t="s">
        <v>1491</v>
      </c>
      <c r="E52" s="53" t="s">
        <v>396</v>
      </c>
      <c r="F52" s="170">
        <v>1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spans="1:30" ht="26.25" customHeight="1">
      <c r="A53" s="169">
        <v>17</v>
      </c>
      <c r="B53" s="53" t="s">
        <v>28</v>
      </c>
      <c r="C53" s="24" t="s">
        <v>32</v>
      </c>
      <c r="D53" s="24" t="s">
        <v>1714</v>
      </c>
      <c r="E53" s="53" t="s">
        <v>396</v>
      </c>
      <c r="F53" s="170">
        <v>1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spans="1:30" ht="26.25" customHeight="1">
      <c r="A54" s="169">
        <v>19</v>
      </c>
      <c r="B54" s="53" t="s">
        <v>28</v>
      </c>
      <c r="C54" s="24" t="s">
        <v>215</v>
      </c>
      <c r="D54" s="24"/>
      <c r="E54" s="53" t="s">
        <v>396</v>
      </c>
      <c r="F54" s="170">
        <v>1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</sheetData>
  <autoFilter ref="A1:F54" xr:uid="{00000000-0009-0000-0000-00000E000000}"/>
  <dataValidations count="1">
    <dataValidation type="list" allowBlank="1" showErrorMessage="1" sqref="B2:B6 B9:B15 B17:B18 B20:B54" xr:uid="{00000000-0002-0000-0E00-000000000000}">
      <formula1>"LIMPADOR,PORTEIRO,MANUTENCIONISTA,ZELAD,ENCAR,JARDINEIRO,COORDENADOR DE ENTREGAS"</formula1>
    </dataValidation>
  </dataValidations>
  <printOptions horizontalCentered="1"/>
  <pageMargins left="0.25" right="0.25" top="0.2638739269015915" bottom="0.30510422797996523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outlinePr summaryBelow="0" summaryRight="0"/>
    <pageSetUpPr fitToPage="1"/>
  </sheetPr>
  <dimension ref="A1:AF204"/>
  <sheetViews>
    <sheetView workbookViewId="0">
      <pane xSplit="4" ySplit="33" topLeftCell="E34" activePane="bottomRight" state="frozen"/>
      <selection pane="topRight" activeCell="E1" sqref="E1"/>
      <selection pane="bottomLeft" activeCell="A34" sqref="A34"/>
      <selection pane="bottomRight" activeCell="E34" sqref="E34"/>
    </sheetView>
  </sheetViews>
  <sheetFormatPr defaultColWidth="12.5703125" defaultRowHeight="15" customHeight="1" outlineLevelRow="2" outlineLevelCol="1"/>
  <cols>
    <col min="1" max="1" width="20.42578125" customWidth="1" outlineLevel="1"/>
    <col min="2" max="2" width="24" customWidth="1" outlineLevel="1"/>
    <col min="3" max="3" width="14.42578125" customWidth="1"/>
    <col min="4" max="4" width="36.42578125" customWidth="1"/>
    <col min="5" max="5" width="29.7109375" customWidth="1" outlineLevel="1"/>
    <col min="6" max="6" width="11" customWidth="1" outlineLevel="1"/>
    <col min="7" max="7" width="7.140625" customWidth="1" outlineLevel="1"/>
    <col min="8" max="32" width="7.5703125" customWidth="1" outlineLevel="1"/>
  </cols>
  <sheetData>
    <row r="1" spans="1:32" ht="22.5" customHeight="1" collapsed="1">
      <c r="A1" s="42" t="s">
        <v>564</v>
      </c>
      <c r="B1" s="42" t="s">
        <v>567</v>
      </c>
      <c r="C1" s="42" t="s">
        <v>2619</v>
      </c>
      <c r="D1" s="42" t="s">
        <v>571</v>
      </c>
      <c r="E1" s="42" t="s">
        <v>572</v>
      </c>
      <c r="F1" s="45" t="s">
        <v>574</v>
      </c>
      <c r="G1" s="42" t="s">
        <v>575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</row>
    <row r="2" spans="1:32" ht="26.25" hidden="1" customHeight="1" outlineLevel="1">
      <c r="A2" s="5"/>
      <c r="B2" s="5"/>
      <c r="C2" s="3"/>
      <c r="D2" s="3" t="s">
        <v>76</v>
      </c>
      <c r="E2" s="5"/>
      <c r="F2" s="11"/>
      <c r="G2" s="7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 spans="1:32" ht="26.25" hidden="1" customHeight="1" outlineLevel="1">
      <c r="A3" s="5"/>
      <c r="B3" s="5"/>
      <c r="C3" s="3"/>
      <c r="D3" s="3" t="s">
        <v>106</v>
      </c>
      <c r="E3" s="5"/>
      <c r="F3" s="11"/>
      <c r="G3" s="7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</row>
    <row r="4" spans="1:32" ht="26.25" hidden="1" customHeight="1" outlineLevel="1">
      <c r="A4" s="5"/>
      <c r="B4" s="5"/>
      <c r="C4" s="3"/>
      <c r="D4" s="3" t="s">
        <v>114</v>
      </c>
      <c r="E4" s="5"/>
      <c r="F4" s="11"/>
      <c r="G4" s="7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</row>
    <row r="5" spans="1:32" ht="26.25" hidden="1" customHeight="1" outlineLevel="1">
      <c r="A5" s="5"/>
      <c r="B5" s="5"/>
      <c r="C5" s="3"/>
      <c r="D5" s="3" t="s">
        <v>180</v>
      </c>
      <c r="E5" s="5"/>
      <c r="F5" s="11"/>
      <c r="G5" s="7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</row>
    <row r="6" spans="1:32" ht="26.25" hidden="1" customHeight="1" outlineLevel="1">
      <c r="A6" s="5"/>
      <c r="B6" s="5"/>
      <c r="C6" s="3"/>
      <c r="D6" s="3"/>
      <c r="E6" s="5"/>
      <c r="F6" s="11"/>
      <c r="G6" s="7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7" spans="1:32" ht="26.25" hidden="1" customHeight="1" outlineLevel="1">
      <c r="A7" s="5"/>
      <c r="B7" s="5"/>
      <c r="C7" s="3"/>
      <c r="D7" s="3"/>
      <c r="E7" s="5" t="e">
        <v>#N/A</v>
      </c>
      <c r="F7" s="11"/>
      <c r="G7" s="7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</row>
    <row r="8" spans="1:32" ht="26.25" hidden="1" customHeight="1" outlineLevel="1">
      <c r="A8" s="5"/>
      <c r="B8" s="5"/>
      <c r="C8" s="3"/>
      <c r="D8" s="3"/>
      <c r="E8" s="5" t="e">
        <v>#N/A</v>
      </c>
      <c r="F8" s="11"/>
      <c r="G8" s="7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spans="1:32" ht="26.25" hidden="1" customHeight="1" outlineLevel="1">
      <c r="A9" s="5"/>
      <c r="B9" s="5"/>
      <c r="C9" s="3"/>
      <c r="D9" s="3"/>
      <c r="E9" s="5" t="s">
        <v>2683</v>
      </c>
      <c r="F9" s="11"/>
      <c r="G9" s="7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</row>
    <row r="10" spans="1:32" ht="26.25" hidden="1" customHeight="1" outlineLevel="1">
      <c r="A10" s="5"/>
      <c r="B10" s="5"/>
      <c r="C10" s="3"/>
      <c r="D10" s="3"/>
      <c r="E10" s="5" t="s">
        <v>2685</v>
      </c>
      <c r="F10" s="11"/>
      <c r="G10" s="7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spans="1:32" ht="26.25" hidden="1" customHeight="1" outlineLevel="1" collapsed="1">
      <c r="A11" s="53" t="s">
        <v>9</v>
      </c>
      <c r="B11" s="53" t="s">
        <v>30</v>
      </c>
      <c r="C11" s="2"/>
      <c r="D11" s="2" t="s">
        <v>1491</v>
      </c>
      <c r="E11" s="53" t="s">
        <v>396</v>
      </c>
      <c r="F11" s="57" t="s">
        <v>7</v>
      </c>
      <c r="G11" s="54" t="s">
        <v>7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</row>
    <row r="12" spans="1:32" ht="26.25" hidden="1" customHeight="1" outlineLevel="2">
      <c r="A12" s="5"/>
      <c r="B12" s="5"/>
      <c r="C12" s="3"/>
      <c r="D12" s="3"/>
      <c r="E12" s="5" t="s">
        <v>2687</v>
      </c>
      <c r="F12" s="11"/>
      <c r="G12" s="7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</row>
    <row r="13" spans="1:32" ht="26.25" hidden="1" customHeight="1" outlineLevel="2">
      <c r="A13" s="5"/>
      <c r="B13" s="5"/>
      <c r="C13" s="3"/>
      <c r="D13" s="3"/>
      <c r="E13" s="5" t="s">
        <v>2689</v>
      </c>
      <c r="F13" s="11"/>
      <c r="G13" s="7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</row>
    <row r="14" spans="1:32" ht="26.25" hidden="1" customHeight="1" outlineLevel="2">
      <c r="A14" s="5"/>
      <c r="B14" s="5"/>
      <c r="C14" s="3"/>
      <c r="D14" s="3"/>
      <c r="E14" s="5" t="s">
        <v>2691</v>
      </c>
      <c r="F14" s="11"/>
      <c r="G14" s="7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</row>
    <row r="15" spans="1:32" ht="26.25" hidden="1" customHeight="1" outlineLevel="1" collapsed="1">
      <c r="A15" s="53" t="s">
        <v>28</v>
      </c>
      <c r="B15" s="53" t="s">
        <v>30</v>
      </c>
      <c r="C15" s="2"/>
      <c r="D15" s="2" t="s">
        <v>2484</v>
      </c>
      <c r="E15" s="53" t="s">
        <v>1588</v>
      </c>
      <c r="F15" s="57" t="s">
        <v>7</v>
      </c>
      <c r="G15" s="54" t="s">
        <v>7</v>
      </c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</row>
    <row r="16" spans="1:32" ht="26.25" hidden="1" customHeight="1" outlineLevel="2">
      <c r="A16" s="5"/>
      <c r="B16" s="5"/>
      <c r="C16" s="3"/>
      <c r="D16" s="3"/>
      <c r="E16" s="5" t="s">
        <v>2694</v>
      </c>
      <c r="F16" s="11"/>
      <c r="G16" s="7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</row>
    <row r="17" spans="1:32" ht="26.25" hidden="1" customHeight="1" outlineLevel="2">
      <c r="A17" s="5"/>
      <c r="B17" s="5"/>
      <c r="C17" s="3"/>
      <c r="D17" s="3"/>
      <c r="E17" s="5" t="s">
        <v>2695</v>
      </c>
      <c r="F17" s="11"/>
      <c r="G17" s="7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</row>
    <row r="18" spans="1:32" ht="26.25" hidden="1" customHeight="1" outlineLevel="2">
      <c r="A18" s="5"/>
      <c r="B18" s="5"/>
      <c r="C18" s="3"/>
      <c r="D18" s="3"/>
      <c r="E18" s="5" t="s">
        <v>2697</v>
      </c>
      <c r="F18" s="11"/>
      <c r="G18" s="7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</row>
    <row r="19" spans="1:32" ht="26.25" hidden="1" customHeight="1" outlineLevel="1">
      <c r="A19" s="53" t="s">
        <v>1470</v>
      </c>
      <c r="B19" s="53"/>
      <c r="C19" s="2"/>
      <c r="D19" s="2" t="s">
        <v>1891</v>
      </c>
      <c r="E19" s="53" t="s">
        <v>1588</v>
      </c>
      <c r="F19" s="57" t="s">
        <v>7</v>
      </c>
      <c r="G19" s="54" t="s">
        <v>7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</row>
    <row r="20" spans="1:32" ht="26.25" hidden="1" customHeight="1" outlineLevel="2">
      <c r="A20" s="5"/>
      <c r="B20" s="5"/>
      <c r="C20" s="3"/>
      <c r="D20" s="3"/>
      <c r="E20" s="5" t="s">
        <v>2699</v>
      </c>
      <c r="F20" s="11"/>
      <c r="G20" s="7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6.25" hidden="1" customHeight="1" outlineLevel="2">
      <c r="A21" s="5"/>
      <c r="B21" s="5"/>
      <c r="C21" s="3"/>
      <c r="D21" s="3"/>
      <c r="E21" s="5" t="s">
        <v>2700</v>
      </c>
      <c r="F21" s="11"/>
      <c r="G21" s="7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6.25" hidden="1" customHeight="1" outlineLevel="1">
      <c r="A22" s="53" t="s">
        <v>28</v>
      </c>
      <c r="B22" s="53" t="s">
        <v>30</v>
      </c>
      <c r="C22" s="2"/>
      <c r="D22" s="2" t="s">
        <v>1428</v>
      </c>
      <c r="E22" s="53" t="s">
        <v>2529</v>
      </c>
      <c r="F22" s="57" t="s">
        <v>7</v>
      </c>
      <c r="G22" s="54" t="s">
        <v>7</v>
      </c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</row>
    <row r="23" spans="1:32" ht="26.25" hidden="1" customHeight="1" outlineLevel="1">
      <c r="A23" s="53" t="s">
        <v>28</v>
      </c>
      <c r="B23" s="53" t="s">
        <v>30</v>
      </c>
      <c r="C23" s="2"/>
      <c r="D23" s="2" t="s">
        <v>2481</v>
      </c>
      <c r="E23" s="53"/>
      <c r="F23" s="57" t="s">
        <v>7</v>
      </c>
      <c r="G23" s="54" t="s">
        <v>7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</row>
    <row r="24" spans="1:32" ht="26.25" hidden="1" customHeight="1" outlineLevel="2">
      <c r="A24" s="5"/>
      <c r="B24" s="5"/>
      <c r="C24" s="3"/>
      <c r="D24" s="3"/>
      <c r="E24" s="5" t="s">
        <v>2701</v>
      </c>
      <c r="F24" s="11"/>
      <c r="G24" s="7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</row>
    <row r="25" spans="1:32" ht="26.25" hidden="1" customHeight="1" outlineLevel="2">
      <c r="A25" s="5"/>
      <c r="B25" s="5"/>
      <c r="C25" s="3"/>
      <c r="D25" s="3"/>
      <c r="E25" s="5" t="s">
        <v>2703</v>
      </c>
      <c r="F25" s="11"/>
      <c r="G25" s="7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</row>
    <row r="26" spans="1:32" ht="26.25" hidden="1" customHeight="1" outlineLevel="2">
      <c r="A26" s="5"/>
      <c r="B26" s="5"/>
      <c r="C26" s="3"/>
      <c r="D26" s="3"/>
      <c r="E26" s="5" t="s">
        <v>2705</v>
      </c>
      <c r="F26" s="11"/>
      <c r="G26" s="7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</row>
    <row r="27" spans="1:32" ht="26.25" hidden="1" customHeight="1" outlineLevel="1">
      <c r="A27" s="53" t="s">
        <v>28</v>
      </c>
      <c r="B27" s="53" t="s">
        <v>30</v>
      </c>
      <c r="C27" s="2"/>
      <c r="D27" s="2" t="s">
        <v>2486</v>
      </c>
      <c r="E27" s="53" t="s">
        <v>1588</v>
      </c>
      <c r="F27" s="57"/>
      <c r="G27" s="54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</row>
    <row r="28" spans="1:32" ht="26.25" hidden="1" customHeight="1" outlineLevel="1">
      <c r="A28" s="5"/>
      <c r="B28" s="5"/>
      <c r="C28" s="3"/>
      <c r="D28" s="3"/>
      <c r="E28" s="5" t="s">
        <v>2706</v>
      </c>
      <c r="F28" s="11"/>
      <c r="G28" s="7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</row>
    <row r="29" spans="1:32" ht="26.25" hidden="1" customHeight="1" outlineLevel="1">
      <c r="A29" s="5"/>
      <c r="B29" s="5"/>
      <c r="C29" s="3"/>
      <c r="D29" s="3"/>
      <c r="E29" s="68"/>
      <c r="F29" s="11"/>
      <c r="G29" s="7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</row>
    <row r="30" spans="1:32" ht="26.25" hidden="1" customHeight="1" outlineLevel="1">
      <c r="A30" s="5"/>
      <c r="B30" s="5"/>
      <c r="C30" s="3"/>
      <c r="D30" s="3"/>
      <c r="E30" s="68"/>
      <c r="F30" s="11"/>
      <c r="G30" s="7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</row>
    <row r="31" spans="1:32" ht="26.25" hidden="1" customHeight="1" outlineLevel="1">
      <c r="A31" s="5"/>
      <c r="B31" s="5"/>
      <c r="C31" s="3"/>
      <c r="D31" s="3"/>
      <c r="E31" s="5"/>
      <c r="F31" s="11"/>
      <c r="G31" s="7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</row>
    <row r="32" spans="1:32" ht="26.25" hidden="1" customHeight="1" outlineLevel="1">
      <c r="A32" s="5"/>
      <c r="B32" s="5"/>
      <c r="C32" s="3"/>
      <c r="D32" s="3"/>
      <c r="E32" s="5"/>
      <c r="F32" s="11"/>
      <c r="G32" s="7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</row>
    <row r="33" spans="1:32" ht="14.25" customHeight="1">
      <c r="A33" s="42"/>
      <c r="B33" s="42"/>
      <c r="C33" s="42"/>
      <c r="D33" s="42">
        <v>143</v>
      </c>
      <c r="E33" s="42"/>
      <c r="F33" s="42"/>
      <c r="G33" s="42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</row>
    <row r="34" spans="1:32" ht="26.25" hidden="1" customHeight="1">
      <c r="A34" s="53" t="s">
        <v>9</v>
      </c>
      <c r="B34" s="53" t="s">
        <v>30</v>
      </c>
      <c r="C34" s="53" t="s">
        <v>2</v>
      </c>
      <c r="D34" s="53" t="s">
        <v>1605</v>
      </c>
      <c r="E34" s="53" t="s">
        <v>1588</v>
      </c>
      <c r="F34" s="57" t="s">
        <v>7</v>
      </c>
      <c r="G34" s="54" t="s">
        <v>7</v>
      </c>
      <c r="H34" s="173">
        <v>1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spans="1:32" ht="21" customHeight="1">
      <c r="A35" s="24" t="s">
        <v>9</v>
      </c>
      <c r="B35" s="24" t="s">
        <v>50</v>
      </c>
      <c r="C35" s="24" t="s">
        <v>32</v>
      </c>
      <c r="D35" s="24" t="s">
        <v>1605</v>
      </c>
      <c r="E35" s="53" t="s">
        <v>1588</v>
      </c>
      <c r="F35" s="25" t="s">
        <v>7</v>
      </c>
      <c r="G35" s="26" t="s">
        <v>7</v>
      </c>
      <c r="H35" s="173">
        <v>1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</row>
    <row r="36" spans="1:32" ht="26.25" customHeight="1">
      <c r="A36" s="53" t="s">
        <v>9</v>
      </c>
      <c r="B36" s="53" t="s">
        <v>11</v>
      </c>
      <c r="C36" s="53" t="s">
        <v>2</v>
      </c>
      <c r="D36" s="53" t="s">
        <v>2482</v>
      </c>
      <c r="E36" s="53" t="s">
        <v>1588</v>
      </c>
      <c r="F36" s="57" t="s">
        <v>7</v>
      </c>
      <c r="G36" s="54" t="s">
        <v>7</v>
      </c>
      <c r="H36" s="173">
        <v>1</v>
      </c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</row>
    <row r="37" spans="1:32" ht="26.25" customHeight="1">
      <c r="A37" s="53" t="s">
        <v>9</v>
      </c>
      <c r="B37" s="53" t="s">
        <v>11</v>
      </c>
      <c r="C37" s="53" t="s">
        <v>2</v>
      </c>
      <c r="D37" s="53" t="s">
        <v>2482</v>
      </c>
      <c r="E37" s="53" t="s">
        <v>1588</v>
      </c>
      <c r="F37" s="57" t="s">
        <v>7</v>
      </c>
      <c r="G37" s="54" t="s">
        <v>7</v>
      </c>
      <c r="H37" s="173">
        <v>1</v>
      </c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</row>
    <row r="38" spans="1:32" ht="26.25" customHeight="1">
      <c r="A38" s="53" t="s">
        <v>9</v>
      </c>
      <c r="B38" s="53" t="s">
        <v>11</v>
      </c>
      <c r="C38" s="53" t="s">
        <v>2</v>
      </c>
      <c r="D38" s="53" t="s">
        <v>2482</v>
      </c>
      <c r="E38" s="53" t="s">
        <v>1588</v>
      </c>
      <c r="F38" s="57" t="s">
        <v>7</v>
      </c>
      <c r="G38" s="54" t="s">
        <v>7</v>
      </c>
      <c r="H38" s="173">
        <v>1</v>
      </c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</row>
    <row r="39" spans="1:32" ht="26.25" customHeight="1">
      <c r="A39" s="53" t="s">
        <v>9</v>
      </c>
      <c r="B39" s="53" t="s">
        <v>11</v>
      </c>
      <c r="C39" s="53" t="s">
        <v>2</v>
      </c>
      <c r="D39" s="53" t="s">
        <v>2482</v>
      </c>
      <c r="E39" s="53" t="s">
        <v>1588</v>
      </c>
      <c r="F39" s="57" t="s">
        <v>7</v>
      </c>
      <c r="G39" s="54" t="s">
        <v>7</v>
      </c>
      <c r="H39" s="173">
        <v>1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</row>
    <row r="40" spans="1:32" ht="24.75" hidden="1" customHeight="1">
      <c r="A40" s="53"/>
      <c r="B40" s="53"/>
      <c r="C40" s="24"/>
      <c r="D40" s="24"/>
      <c r="E40" s="53"/>
      <c r="F40" s="57"/>
      <c r="G40" s="54"/>
      <c r="H40" s="173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</row>
    <row r="41" spans="1:32" ht="26.25" hidden="1" customHeight="1">
      <c r="A41" s="53" t="s">
        <v>28</v>
      </c>
      <c r="B41" s="53" t="s">
        <v>30</v>
      </c>
      <c r="C41" s="53" t="s">
        <v>2</v>
      </c>
      <c r="D41" s="53" t="s">
        <v>2482</v>
      </c>
      <c r="E41" s="53" t="s">
        <v>1588</v>
      </c>
      <c r="F41" s="57" t="s">
        <v>7</v>
      </c>
      <c r="G41" s="54" t="s">
        <v>7</v>
      </c>
      <c r="H41" s="175">
        <v>1</v>
      </c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</row>
    <row r="42" spans="1:32" ht="26.25" hidden="1" customHeight="1">
      <c r="A42" s="53" t="s">
        <v>93</v>
      </c>
      <c r="B42" s="53" t="s">
        <v>30</v>
      </c>
      <c r="C42" s="53" t="s">
        <v>2</v>
      </c>
      <c r="D42" s="53" t="s">
        <v>1902</v>
      </c>
      <c r="E42" s="53" t="s">
        <v>1588</v>
      </c>
      <c r="F42" s="57" t="s">
        <v>7</v>
      </c>
      <c r="G42" s="54" t="s">
        <v>7</v>
      </c>
      <c r="H42" s="175">
        <v>1</v>
      </c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</row>
    <row r="43" spans="1:32" ht="26.25" hidden="1" customHeight="1">
      <c r="A43" s="53" t="s">
        <v>28</v>
      </c>
      <c r="B43" s="53" t="s">
        <v>30</v>
      </c>
      <c r="C43" s="53" t="s">
        <v>2</v>
      </c>
      <c r="D43" s="53" t="s">
        <v>1891</v>
      </c>
      <c r="E43" s="53" t="s">
        <v>1588</v>
      </c>
      <c r="F43" s="57" t="s">
        <v>7</v>
      </c>
      <c r="G43" s="54" t="s">
        <v>7</v>
      </c>
      <c r="H43" s="175">
        <v>1</v>
      </c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</row>
    <row r="44" spans="1:32" ht="26.25" hidden="1" customHeight="1">
      <c r="A44" s="53" t="s">
        <v>28</v>
      </c>
      <c r="B44" s="53" t="s">
        <v>30</v>
      </c>
      <c r="C44" s="53" t="s">
        <v>2</v>
      </c>
      <c r="D44" s="53" t="s">
        <v>1891</v>
      </c>
      <c r="E44" s="53" t="s">
        <v>1588</v>
      </c>
      <c r="F44" s="57" t="s">
        <v>7</v>
      </c>
      <c r="G44" s="54" t="s">
        <v>7</v>
      </c>
      <c r="H44" s="175">
        <v>1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</row>
    <row r="45" spans="1:32" ht="26.25" hidden="1" customHeight="1">
      <c r="A45" s="53" t="s">
        <v>28</v>
      </c>
      <c r="B45" s="53" t="s">
        <v>30</v>
      </c>
      <c r="C45" s="53" t="s">
        <v>2</v>
      </c>
      <c r="D45" s="53" t="s">
        <v>1891</v>
      </c>
      <c r="E45" s="53" t="s">
        <v>1588</v>
      </c>
      <c r="F45" s="57" t="s">
        <v>7</v>
      </c>
      <c r="G45" s="54" t="s">
        <v>7</v>
      </c>
      <c r="H45" s="175">
        <v>1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</row>
    <row r="46" spans="1:32" ht="26.25" hidden="1" customHeight="1">
      <c r="A46" s="53" t="s">
        <v>28</v>
      </c>
      <c r="B46" s="53" t="s">
        <v>30</v>
      </c>
      <c r="C46" s="53" t="s">
        <v>2</v>
      </c>
      <c r="D46" s="53" t="s">
        <v>1891</v>
      </c>
      <c r="E46" s="53" t="s">
        <v>1588</v>
      </c>
      <c r="F46" s="57" t="s">
        <v>7</v>
      </c>
      <c r="G46" s="54" t="s">
        <v>7</v>
      </c>
      <c r="H46" s="175">
        <v>1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</row>
    <row r="47" spans="1:32" ht="26.25" hidden="1" customHeight="1">
      <c r="A47" s="53" t="s">
        <v>28</v>
      </c>
      <c r="B47" s="53" t="s">
        <v>30</v>
      </c>
      <c r="C47" s="53" t="s">
        <v>2</v>
      </c>
      <c r="D47" s="53" t="s">
        <v>1891</v>
      </c>
      <c r="E47" s="53" t="s">
        <v>1588</v>
      </c>
      <c r="F47" s="57" t="s">
        <v>7</v>
      </c>
      <c r="G47" s="54" t="s">
        <v>7</v>
      </c>
      <c r="H47" s="175">
        <v>1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</row>
    <row r="48" spans="1:32" ht="26.25" hidden="1" customHeight="1">
      <c r="A48" s="53" t="s">
        <v>28</v>
      </c>
      <c r="B48" s="53" t="s">
        <v>30</v>
      </c>
      <c r="C48" s="53" t="s">
        <v>2</v>
      </c>
      <c r="D48" s="53" t="s">
        <v>1891</v>
      </c>
      <c r="E48" s="53" t="s">
        <v>1588</v>
      </c>
      <c r="F48" s="57" t="s">
        <v>7</v>
      </c>
      <c r="G48" s="54" t="s">
        <v>7</v>
      </c>
      <c r="H48" s="175">
        <v>1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</row>
    <row r="49" spans="1:32" ht="26.25" hidden="1" customHeight="1">
      <c r="A49" s="53" t="s">
        <v>28</v>
      </c>
      <c r="B49" s="53" t="s">
        <v>30</v>
      </c>
      <c r="C49" s="53" t="s">
        <v>2</v>
      </c>
      <c r="D49" s="53" t="s">
        <v>1891</v>
      </c>
      <c r="E49" s="53" t="s">
        <v>1588</v>
      </c>
      <c r="F49" s="57" t="s">
        <v>7</v>
      </c>
      <c r="G49" s="54" t="s">
        <v>7</v>
      </c>
      <c r="H49" s="175">
        <v>1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</row>
    <row r="50" spans="1:32" ht="26.25" hidden="1" customHeight="1">
      <c r="A50" s="53" t="s">
        <v>28</v>
      </c>
      <c r="B50" s="53" t="s">
        <v>30</v>
      </c>
      <c r="C50" s="53" t="s">
        <v>2</v>
      </c>
      <c r="D50" s="53" t="s">
        <v>1891</v>
      </c>
      <c r="E50" s="53" t="s">
        <v>1588</v>
      </c>
      <c r="F50" s="57" t="s">
        <v>7</v>
      </c>
      <c r="G50" s="54" t="s">
        <v>7</v>
      </c>
      <c r="H50" s="175">
        <v>2</v>
      </c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</row>
    <row r="51" spans="1:32" ht="26.25" hidden="1" customHeight="1">
      <c r="A51" s="53" t="s">
        <v>28</v>
      </c>
      <c r="B51" s="53" t="s">
        <v>30</v>
      </c>
      <c r="C51" s="53" t="s">
        <v>2</v>
      </c>
      <c r="D51" s="53" t="s">
        <v>1727</v>
      </c>
      <c r="E51" s="53" t="s">
        <v>1588</v>
      </c>
      <c r="F51" s="57" t="s">
        <v>7</v>
      </c>
      <c r="G51" s="54" t="s">
        <v>7</v>
      </c>
      <c r="H51" s="175">
        <v>1</v>
      </c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 spans="1:32" ht="26.25" hidden="1" customHeight="1">
      <c r="A52" s="53" t="s">
        <v>28</v>
      </c>
      <c r="B52" s="53" t="s">
        <v>30</v>
      </c>
      <c r="C52" s="53" t="s">
        <v>2</v>
      </c>
      <c r="D52" s="53" t="s">
        <v>1727</v>
      </c>
      <c r="E52" s="53" t="s">
        <v>1588</v>
      </c>
      <c r="F52" s="57" t="s">
        <v>7</v>
      </c>
      <c r="G52" s="54" t="s">
        <v>7</v>
      </c>
      <c r="H52" s="175">
        <v>1</v>
      </c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</row>
    <row r="53" spans="1:32" ht="26.25" hidden="1" customHeight="1">
      <c r="A53" s="53" t="s">
        <v>28</v>
      </c>
      <c r="B53" s="53" t="s">
        <v>30</v>
      </c>
      <c r="C53" s="53" t="s">
        <v>2</v>
      </c>
      <c r="D53" s="53" t="s">
        <v>1727</v>
      </c>
      <c r="E53" s="53" t="s">
        <v>1588</v>
      </c>
      <c r="F53" s="57" t="s">
        <v>7</v>
      </c>
      <c r="G53" s="54" t="s">
        <v>7</v>
      </c>
      <c r="H53" s="175">
        <v>1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 spans="1:32" ht="26.25" hidden="1" customHeight="1">
      <c r="A54" s="53" t="s">
        <v>28</v>
      </c>
      <c r="B54" s="53" t="s">
        <v>30</v>
      </c>
      <c r="C54" s="53" t="s">
        <v>2</v>
      </c>
      <c r="D54" s="53" t="s">
        <v>1727</v>
      </c>
      <c r="E54" s="53" t="s">
        <v>1588</v>
      </c>
      <c r="F54" s="57" t="s">
        <v>7</v>
      </c>
      <c r="G54" s="54" t="s">
        <v>7</v>
      </c>
      <c r="H54" s="175">
        <v>1</v>
      </c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</row>
    <row r="55" spans="1:32" ht="26.25" hidden="1" customHeight="1">
      <c r="A55" s="24" t="s">
        <v>28</v>
      </c>
      <c r="B55" s="24" t="s">
        <v>50</v>
      </c>
      <c r="C55" s="24" t="s">
        <v>32</v>
      </c>
      <c r="D55" s="24" t="s">
        <v>1736</v>
      </c>
      <c r="E55" s="53" t="s">
        <v>1588</v>
      </c>
      <c r="F55" s="25" t="s">
        <v>7</v>
      </c>
      <c r="G55" s="26" t="s">
        <v>7</v>
      </c>
      <c r="H55" s="175">
        <v>1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spans="1:32" ht="26.25" hidden="1" customHeight="1">
      <c r="A56" s="53" t="s">
        <v>28</v>
      </c>
      <c r="B56" s="53" t="s">
        <v>50</v>
      </c>
      <c r="C56" s="24" t="s">
        <v>32</v>
      </c>
      <c r="D56" s="53" t="s">
        <v>1736</v>
      </c>
      <c r="E56" s="53" t="s">
        <v>1588</v>
      </c>
      <c r="F56" s="57" t="s">
        <v>7</v>
      </c>
      <c r="G56" s="54" t="s">
        <v>7</v>
      </c>
      <c r="H56" s="175">
        <v>0</v>
      </c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 spans="1:32" ht="26.25" hidden="1" customHeight="1">
      <c r="A57" s="190"/>
      <c r="B57" s="190"/>
      <c r="C57" s="191"/>
      <c r="D57" s="191"/>
      <c r="E57" s="190"/>
      <c r="F57" s="192"/>
      <c r="G57" s="193"/>
      <c r="H57" s="173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</row>
    <row r="58" spans="1:32" ht="26.25" hidden="1" customHeight="1">
      <c r="A58" s="5" t="s">
        <v>28</v>
      </c>
      <c r="B58" s="5" t="s">
        <v>50</v>
      </c>
      <c r="C58" s="24" t="s">
        <v>32</v>
      </c>
      <c r="D58" s="24" t="s">
        <v>1684</v>
      </c>
      <c r="E58" s="5" t="s">
        <v>132</v>
      </c>
      <c r="F58" s="57" t="s">
        <v>693</v>
      </c>
      <c r="G58" s="7" t="s">
        <v>143</v>
      </c>
      <c r="H58" s="173">
        <v>1</v>
      </c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</row>
    <row r="59" spans="1:32" ht="27" hidden="1" customHeight="1">
      <c r="A59" s="53" t="s">
        <v>28</v>
      </c>
      <c r="B59" s="53"/>
      <c r="C59" s="24" t="s">
        <v>215</v>
      </c>
      <c r="D59" s="24"/>
      <c r="E59" s="53" t="s">
        <v>132</v>
      </c>
      <c r="F59" s="57"/>
      <c r="G59" s="54"/>
      <c r="H59" s="175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spans="1:32" ht="26.25" hidden="1" customHeight="1">
      <c r="A60" s="174"/>
      <c r="B60" s="174"/>
      <c r="C60" s="191"/>
      <c r="D60" s="191"/>
      <c r="E60" s="174"/>
      <c r="F60" s="192"/>
      <c r="G60" s="194"/>
      <c r="H60" s="175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</row>
    <row r="61" spans="1:32" ht="26.25" hidden="1" customHeight="1">
      <c r="A61" s="53" t="s">
        <v>28</v>
      </c>
      <c r="B61" s="53" t="s">
        <v>50</v>
      </c>
      <c r="C61" s="24" t="s">
        <v>32</v>
      </c>
      <c r="D61" s="24" t="s">
        <v>1655</v>
      </c>
      <c r="E61" s="53" t="s">
        <v>48</v>
      </c>
      <c r="F61" s="57" t="s">
        <v>693</v>
      </c>
      <c r="G61" s="54" t="s">
        <v>143</v>
      </c>
      <c r="H61" s="175">
        <v>1</v>
      </c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</row>
    <row r="62" spans="1:32" ht="26.25" hidden="1" customHeight="1">
      <c r="A62" s="53" t="s">
        <v>28</v>
      </c>
      <c r="B62" s="53" t="s">
        <v>50</v>
      </c>
      <c r="C62" s="24" t="s">
        <v>32</v>
      </c>
      <c r="D62" s="24" t="s">
        <v>1660</v>
      </c>
      <c r="E62" s="53" t="s">
        <v>48</v>
      </c>
      <c r="F62" s="57" t="s">
        <v>693</v>
      </c>
      <c r="G62" s="54" t="s">
        <v>143</v>
      </c>
      <c r="H62" s="195">
        <v>1</v>
      </c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</row>
    <row r="63" spans="1:32" ht="26.25" hidden="1" customHeight="1">
      <c r="A63" s="53" t="s">
        <v>28</v>
      </c>
      <c r="B63" s="53"/>
      <c r="C63" s="24" t="s">
        <v>215</v>
      </c>
      <c r="D63" s="24"/>
      <c r="E63" s="53" t="s">
        <v>48</v>
      </c>
      <c r="F63" s="57"/>
      <c r="G63" s="54" t="s">
        <v>143</v>
      </c>
      <c r="H63" s="175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</row>
    <row r="64" spans="1:32" ht="26.25" hidden="1" customHeight="1">
      <c r="A64" s="174"/>
      <c r="B64" s="174"/>
      <c r="C64" s="191"/>
      <c r="D64" s="191"/>
      <c r="E64" s="174"/>
      <c r="F64" s="192"/>
      <c r="G64" s="194"/>
      <c r="H64" s="175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 spans="1:32" ht="26.25" hidden="1" customHeight="1">
      <c r="A65" s="53" t="s">
        <v>28</v>
      </c>
      <c r="B65" s="53" t="s">
        <v>30</v>
      </c>
      <c r="C65" s="24" t="s">
        <v>32</v>
      </c>
      <c r="D65" s="24" t="s">
        <v>1651</v>
      </c>
      <c r="E65" s="53" t="s">
        <v>151</v>
      </c>
      <c r="F65" s="57" t="s">
        <v>693</v>
      </c>
      <c r="G65" s="54" t="s">
        <v>143</v>
      </c>
      <c r="H65" s="175">
        <v>1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 spans="1:32" ht="26.25" hidden="1" customHeight="1">
      <c r="A66" s="53" t="s">
        <v>28</v>
      </c>
      <c r="B66" s="53" t="s">
        <v>50</v>
      </c>
      <c r="C66" s="24" t="s">
        <v>32</v>
      </c>
      <c r="D66" s="24" t="s">
        <v>1647</v>
      </c>
      <c r="E66" s="53" t="s">
        <v>151</v>
      </c>
      <c r="F66" s="57" t="s">
        <v>693</v>
      </c>
      <c r="G66" s="54" t="s">
        <v>143</v>
      </c>
      <c r="H66" s="175">
        <v>1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spans="1:32" ht="26.25" hidden="1" customHeight="1">
      <c r="A67" s="53" t="s">
        <v>28</v>
      </c>
      <c r="B67" s="53"/>
      <c r="C67" s="53" t="s">
        <v>215</v>
      </c>
      <c r="D67" s="53"/>
      <c r="E67" s="53" t="s">
        <v>151</v>
      </c>
      <c r="F67" s="57"/>
      <c r="G67" s="54"/>
      <c r="H67" s="175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spans="1:32" ht="26.25" hidden="1" customHeight="1">
      <c r="A68" s="174"/>
      <c r="B68" s="174"/>
      <c r="C68" s="174"/>
      <c r="D68" s="174"/>
      <c r="E68" s="174"/>
      <c r="F68" s="192"/>
      <c r="G68" s="194"/>
      <c r="H68" s="175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</row>
    <row r="69" spans="1:32" ht="36" customHeight="1">
      <c r="A69" s="53" t="s">
        <v>9</v>
      </c>
      <c r="B69" s="53" t="s">
        <v>11</v>
      </c>
      <c r="C69" s="53" t="s">
        <v>2</v>
      </c>
      <c r="D69" s="53" t="s">
        <v>1491</v>
      </c>
      <c r="E69" s="53" t="s">
        <v>396</v>
      </c>
      <c r="F69" s="57" t="s">
        <v>7</v>
      </c>
      <c r="G69" s="54" t="s">
        <v>7</v>
      </c>
      <c r="H69" s="175">
        <v>1</v>
      </c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 spans="1:32" ht="26.25" customHeight="1">
      <c r="A70" s="53" t="s">
        <v>9</v>
      </c>
      <c r="B70" s="53" t="s">
        <v>11</v>
      </c>
      <c r="C70" s="53" t="s">
        <v>2</v>
      </c>
      <c r="D70" s="53" t="s">
        <v>1491</v>
      </c>
      <c r="E70" s="53" t="s">
        <v>396</v>
      </c>
      <c r="F70" s="57" t="s">
        <v>7</v>
      </c>
      <c r="G70" s="54" t="s">
        <v>7</v>
      </c>
      <c r="H70" s="175">
        <v>1</v>
      </c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 spans="1:32" ht="32.25" hidden="1" customHeight="1">
      <c r="A71" s="53" t="s">
        <v>28</v>
      </c>
      <c r="B71" s="53" t="s">
        <v>50</v>
      </c>
      <c r="C71" s="24" t="s">
        <v>32</v>
      </c>
      <c r="D71" s="24" t="s">
        <v>1714</v>
      </c>
      <c r="E71" s="53" t="s">
        <v>396</v>
      </c>
      <c r="F71" s="57" t="s">
        <v>693</v>
      </c>
      <c r="G71" s="54" t="s">
        <v>143</v>
      </c>
      <c r="H71" s="175">
        <v>1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 spans="1:32" ht="26.25" hidden="1" customHeight="1">
      <c r="A72" s="53" t="s">
        <v>28</v>
      </c>
      <c r="B72" s="53" t="s">
        <v>30</v>
      </c>
      <c r="C72" s="53" t="s">
        <v>2</v>
      </c>
      <c r="D72" s="53" t="s">
        <v>1491</v>
      </c>
      <c r="E72" s="53" t="s">
        <v>396</v>
      </c>
      <c r="F72" s="57" t="s">
        <v>7</v>
      </c>
      <c r="G72" s="54" t="s">
        <v>7</v>
      </c>
      <c r="H72" s="175">
        <v>1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</row>
    <row r="73" spans="1:32" ht="26.25" hidden="1" customHeight="1">
      <c r="A73" s="53" t="s">
        <v>28</v>
      </c>
      <c r="B73" s="53"/>
      <c r="C73" s="24" t="s">
        <v>215</v>
      </c>
      <c r="D73" s="24"/>
      <c r="E73" s="53" t="s">
        <v>396</v>
      </c>
      <c r="F73" s="57"/>
      <c r="G73" s="54"/>
      <c r="H73" s="175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</row>
    <row r="74" spans="1:32" ht="26.25" hidden="1" customHeight="1">
      <c r="A74" s="174"/>
      <c r="B74" s="174"/>
      <c r="C74" s="191"/>
      <c r="D74" s="191"/>
      <c r="E74" s="174"/>
      <c r="F74" s="192"/>
      <c r="G74" s="194"/>
      <c r="H74" s="175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 spans="1:32" ht="26.25" hidden="1" customHeight="1">
      <c r="A75" s="53" t="s">
        <v>28</v>
      </c>
      <c r="B75" s="53" t="s">
        <v>30</v>
      </c>
      <c r="C75" s="24" t="s">
        <v>2</v>
      </c>
      <c r="D75" s="24" t="s">
        <v>1629</v>
      </c>
      <c r="E75" s="53" t="s">
        <v>1588</v>
      </c>
      <c r="F75" s="57" t="s">
        <v>693</v>
      </c>
      <c r="G75" s="54" t="s">
        <v>143</v>
      </c>
      <c r="H75" s="175">
        <v>1</v>
      </c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</row>
    <row r="76" spans="1:32" ht="26.25" hidden="1" customHeight="1">
      <c r="A76" s="53" t="s">
        <v>28</v>
      </c>
      <c r="B76" s="53" t="s">
        <v>30</v>
      </c>
      <c r="C76" s="24" t="s">
        <v>2</v>
      </c>
      <c r="D76" s="24" t="s">
        <v>1689</v>
      </c>
      <c r="E76" s="53" t="s">
        <v>1588</v>
      </c>
      <c r="F76" s="57" t="s">
        <v>693</v>
      </c>
      <c r="G76" s="54" t="s">
        <v>143</v>
      </c>
      <c r="H76" s="175">
        <v>1</v>
      </c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 spans="1:32" ht="26.25" hidden="1" customHeight="1">
      <c r="A77" s="53" t="s">
        <v>28</v>
      </c>
      <c r="B77" s="53" t="s">
        <v>30</v>
      </c>
      <c r="C77" s="24" t="s">
        <v>2</v>
      </c>
      <c r="D77" s="53" t="s">
        <v>1778</v>
      </c>
      <c r="E77" s="53" t="s">
        <v>1588</v>
      </c>
      <c r="F77" s="57" t="s">
        <v>7</v>
      </c>
      <c r="G77" s="54" t="s">
        <v>7</v>
      </c>
      <c r="H77" s="175">
        <v>1</v>
      </c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</row>
    <row r="78" spans="1:32" ht="12.75" hidden="1"/>
    <row r="79" spans="1:32" ht="12.75" hidden="1"/>
    <row r="80" spans="1:32" ht="12.75" hidden="1"/>
    <row r="81" spans="1:32" ht="12.75" hidden="1"/>
    <row r="82" spans="1:32" ht="12.75" hidden="1"/>
    <row r="83" spans="1:32" ht="12.75" hidden="1"/>
    <row r="84" spans="1:32" ht="12.75" hidden="1"/>
    <row r="85" spans="1:32" ht="26.25" hidden="1" customHeight="1">
      <c r="A85" s="53" t="s">
        <v>28</v>
      </c>
      <c r="B85" s="53" t="s">
        <v>30</v>
      </c>
      <c r="C85" s="24" t="s">
        <v>2</v>
      </c>
      <c r="D85" s="24" t="s">
        <v>1474</v>
      </c>
      <c r="E85" s="53" t="s">
        <v>1588</v>
      </c>
      <c r="F85" s="57" t="s">
        <v>693</v>
      </c>
      <c r="G85" s="54" t="s">
        <v>143</v>
      </c>
      <c r="H85" s="175">
        <v>1</v>
      </c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</row>
    <row r="86" spans="1:32" ht="26.25" hidden="1" customHeight="1">
      <c r="A86" s="53" t="s">
        <v>28</v>
      </c>
      <c r="B86" s="53" t="s">
        <v>30</v>
      </c>
      <c r="C86" s="53" t="s">
        <v>2</v>
      </c>
      <c r="D86" s="24" t="s">
        <v>1664</v>
      </c>
      <c r="E86" s="53" t="s">
        <v>1588</v>
      </c>
      <c r="F86" s="57" t="s">
        <v>693</v>
      </c>
      <c r="G86" s="54" t="s">
        <v>143</v>
      </c>
      <c r="H86" s="175">
        <v>1</v>
      </c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</row>
    <row r="87" spans="1:32" ht="26.25" hidden="1" customHeight="1">
      <c r="A87" s="53" t="s">
        <v>28</v>
      </c>
      <c r="B87" s="53" t="s">
        <v>30</v>
      </c>
      <c r="C87" s="24" t="s">
        <v>2</v>
      </c>
      <c r="D87" s="24" t="s">
        <v>1474</v>
      </c>
      <c r="E87" s="53" t="s">
        <v>1588</v>
      </c>
      <c r="F87" s="57" t="s">
        <v>693</v>
      </c>
      <c r="G87" s="54" t="s">
        <v>143</v>
      </c>
      <c r="H87" s="175">
        <v>1</v>
      </c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</row>
    <row r="88" spans="1:32" ht="26.25" hidden="1" customHeight="1">
      <c r="A88" s="5" t="s">
        <v>28</v>
      </c>
      <c r="B88" s="5" t="s">
        <v>11</v>
      </c>
      <c r="C88" s="53" t="s">
        <v>2</v>
      </c>
      <c r="D88" s="5" t="s">
        <v>1922</v>
      </c>
      <c r="E88" s="53" t="s">
        <v>1588</v>
      </c>
      <c r="F88" s="11" t="s">
        <v>7</v>
      </c>
      <c r="G88" s="7" t="s">
        <v>7</v>
      </c>
      <c r="H88" s="175">
        <v>1</v>
      </c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</row>
    <row r="89" spans="1:32" ht="26.25" hidden="1" customHeight="1">
      <c r="A89" s="5" t="s">
        <v>28</v>
      </c>
      <c r="B89" s="5" t="s">
        <v>11</v>
      </c>
      <c r="C89" s="53" t="s">
        <v>2</v>
      </c>
      <c r="D89" s="5" t="s">
        <v>1922</v>
      </c>
      <c r="E89" s="53" t="s">
        <v>1588</v>
      </c>
      <c r="F89" s="11" t="s">
        <v>7</v>
      </c>
      <c r="G89" s="7" t="s">
        <v>7</v>
      </c>
      <c r="H89" s="175">
        <v>1</v>
      </c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</row>
    <row r="90" spans="1:32" ht="26.25" hidden="1" customHeight="1">
      <c r="A90" s="53" t="s">
        <v>28</v>
      </c>
      <c r="B90" s="53" t="s">
        <v>30</v>
      </c>
      <c r="C90" s="53" t="s">
        <v>2</v>
      </c>
      <c r="D90" s="53" t="s">
        <v>1495</v>
      </c>
      <c r="E90" s="53" t="s">
        <v>1588</v>
      </c>
      <c r="F90" s="57" t="s">
        <v>7</v>
      </c>
      <c r="G90" s="54" t="s">
        <v>7</v>
      </c>
      <c r="H90" s="175">
        <v>1</v>
      </c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</row>
    <row r="91" spans="1:32" ht="26.25" hidden="1" customHeight="1">
      <c r="A91" s="53" t="s">
        <v>28</v>
      </c>
      <c r="B91" s="53" t="s">
        <v>30</v>
      </c>
      <c r="C91" s="53" t="s">
        <v>2</v>
      </c>
      <c r="D91" s="53" t="s">
        <v>1763</v>
      </c>
      <c r="E91" s="53" t="s">
        <v>1588</v>
      </c>
      <c r="F91" s="57" t="s">
        <v>7</v>
      </c>
      <c r="G91" s="54" t="s">
        <v>7</v>
      </c>
      <c r="H91" s="175">
        <v>1</v>
      </c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</row>
    <row r="92" spans="1:32" ht="26.25" hidden="1" customHeight="1">
      <c r="A92" s="53" t="s">
        <v>28</v>
      </c>
      <c r="B92" s="53" t="s">
        <v>30</v>
      </c>
      <c r="C92" s="53" t="s">
        <v>2</v>
      </c>
      <c r="D92" s="53" t="s">
        <v>1839</v>
      </c>
      <c r="E92" s="53" t="s">
        <v>1588</v>
      </c>
      <c r="F92" s="57" t="s">
        <v>7</v>
      </c>
      <c r="G92" s="54" t="s">
        <v>7</v>
      </c>
      <c r="H92" s="175">
        <v>1</v>
      </c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</row>
    <row r="93" spans="1:32" ht="26.25" hidden="1" customHeight="1">
      <c r="A93" s="53" t="s">
        <v>28</v>
      </c>
      <c r="B93" s="53" t="s">
        <v>30</v>
      </c>
      <c r="C93" s="53" t="s">
        <v>2</v>
      </c>
      <c r="D93" s="53" t="s">
        <v>1827</v>
      </c>
      <c r="E93" s="53" t="s">
        <v>1588</v>
      </c>
      <c r="F93" s="57" t="s">
        <v>7</v>
      </c>
      <c r="G93" s="54" t="s">
        <v>7</v>
      </c>
      <c r="H93" s="175">
        <v>1</v>
      </c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</row>
    <row r="94" spans="1:32" ht="26.25" hidden="1" customHeight="1">
      <c r="A94" s="53" t="s">
        <v>28</v>
      </c>
      <c r="B94" s="53" t="s">
        <v>30</v>
      </c>
      <c r="C94" s="53" t="s">
        <v>2</v>
      </c>
      <c r="D94" s="53" t="s">
        <v>1827</v>
      </c>
      <c r="E94" s="53" t="s">
        <v>1588</v>
      </c>
      <c r="F94" s="57" t="s">
        <v>7</v>
      </c>
      <c r="G94" s="54" t="s">
        <v>7</v>
      </c>
      <c r="H94" s="175">
        <v>1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</row>
    <row r="95" spans="1:32" ht="26.25" hidden="1" customHeight="1">
      <c r="A95" s="53" t="s">
        <v>28</v>
      </c>
      <c r="B95" s="53" t="s">
        <v>30</v>
      </c>
      <c r="C95" s="53" t="s">
        <v>2</v>
      </c>
      <c r="D95" s="53" t="s">
        <v>1827</v>
      </c>
      <c r="E95" s="53" t="s">
        <v>1588</v>
      </c>
      <c r="F95" s="57" t="s">
        <v>7</v>
      </c>
      <c r="G95" s="54" t="s">
        <v>7</v>
      </c>
      <c r="H95" s="175">
        <v>1</v>
      </c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</row>
    <row r="96" spans="1:32" ht="26.25" hidden="1" customHeight="1">
      <c r="A96" s="53" t="s">
        <v>28</v>
      </c>
      <c r="B96" s="53" t="s">
        <v>30</v>
      </c>
      <c r="C96" s="53" t="s">
        <v>2</v>
      </c>
      <c r="D96" s="53" t="s">
        <v>1827</v>
      </c>
      <c r="E96" s="53" t="s">
        <v>1588</v>
      </c>
      <c r="F96" s="57" t="s">
        <v>7</v>
      </c>
      <c r="G96" s="54" t="s">
        <v>7</v>
      </c>
      <c r="H96" s="175">
        <v>1</v>
      </c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</row>
    <row r="97" spans="1:32" ht="26.25" hidden="1" customHeight="1">
      <c r="A97" s="53" t="s">
        <v>28</v>
      </c>
      <c r="B97" s="53" t="s">
        <v>30</v>
      </c>
      <c r="C97" s="24" t="s">
        <v>2</v>
      </c>
      <c r="D97" s="53" t="s">
        <v>1778</v>
      </c>
      <c r="E97" s="53" t="s">
        <v>1588</v>
      </c>
      <c r="F97" s="57" t="s">
        <v>7</v>
      </c>
      <c r="G97" s="54" t="s">
        <v>7</v>
      </c>
      <c r="H97" s="175">
        <v>1</v>
      </c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</row>
    <row r="98" spans="1:32" ht="26.25" hidden="1" customHeight="1">
      <c r="A98" s="5" t="s">
        <v>28</v>
      </c>
      <c r="B98" s="5" t="s">
        <v>30</v>
      </c>
      <c r="C98" s="53" t="s">
        <v>2</v>
      </c>
      <c r="D98" s="5" t="s">
        <v>1616</v>
      </c>
      <c r="E98" s="53" t="s">
        <v>1588</v>
      </c>
      <c r="F98" s="11" t="s">
        <v>7</v>
      </c>
      <c r="G98" s="7" t="s">
        <v>7</v>
      </c>
      <c r="H98" s="175">
        <v>1</v>
      </c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</row>
    <row r="99" spans="1:32" ht="26.25" hidden="1" customHeight="1">
      <c r="A99" s="191"/>
      <c r="B99" s="191"/>
      <c r="C99" s="174"/>
      <c r="D99" s="191"/>
      <c r="E99" s="174"/>
      <c r="F99" s="196"/>
      <c r="G99" s="197"/>
      <c r="H99" s="175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</row>
    <row r="100" spans="1:32" ht="26.25" hidden="1" customHeight="1">
      <c r="A100" s="24" t="s">
        <v>28</v>
      </c>
      <c r="B100" s="24" t="s">
        <v>50</v>
      </c>
      <c r="C100" s="53" t="s">
        <v>32</v>
      </c>
      <c r="D100" s="24" t="s">
        <v>1639</v>
      </c>
      <c r="E100" s="53" t="s">
        <v>1588</v>
      </c>
      <c r="F100" s="25" t="s">
        <v>693</v>
      </c>
      <c r="G100" s="26" t="s">
        <v>143</v>
      </c>
      <c r="H100" s="175">
        <v>1</v>
      </c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</row>
    <row r="101" spans="1:32" ht="26.25" hidden="1" customHeight="1">
      <c r="A101" s="53" t="s">
        <v>28</v>
      </c>
      <c r="B101" s="53" t="s">
        <v>50</v>
      </c>
      <c r="C101" s="53" t="s">
        <v>32</v>
      </c>
      <c r="D101" s="53" t="s">
        <v>1623</v>
      </c>
      <c r="E101" s="53" t="s">
        <v>1588</v>
      </c>
      <c r="F101" s="57" t="s">
        <v>693</v>
      </c>
      <c r="G101" s="54" t="s">
        <v>143</v>
      </c>
      <c r="H101" s="175">
        <v>1</v>
      </c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</row>
    <row r="102" spans="1:32" ht="26.25" hidden="1" customHeight="1">
      <c r="A102" s="5" t="s">
        <v>28</v>
      </c>
      <c r="B102" s="5" t="s">
        <v>50</v>
      </c>
      <c r="C102" s="53" t="s">
        <v>32</v>
      </c>
      <c r="D102" s="5" t="s">
        <v>1623</v>
      </c>
      <c r="E102" s="53" t="s">
        <v>1588</v>
      </c>
      <c r="F102" s="70" t="s">
        <v>693</v>
      </c>
      <c r="G102" s="54" t="s">
        <v>143</v>
      </c>
      <c r="H102" s="175">
        <v>1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</row>
    <row r="103" spans="1:32" ht="26.25" hidden="1" customHeight="1">
      <c r="A103" s="24" t="s">
        <v>28</v>
      </c>
      <c r="B103" s="24" t="s">
        <v>50</v>
      </c>
      <c r="C103" s="53" t="s">
        <v>32</v>
      </c>
      <c r="D103" s="24" t="s">
        <v>1635</v>
      </c>
      <c r="E103" s="53" t="s">
        <v>1588</v>
      </c>
      <c r="F103" s="25" t="s">
        <v>693</v>
      </c>
      <c r="G103" s="26" t="s">
        <v>143</v>
      </c>
      <c r="H103" s="175">
        <v>1</v>
      </c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</row>
    <row r="104" spans="1:32" ht="26.25" hidden="1" customHeight="1">
      <c r="A104" s="24" t="s">
        <v>28</v>
      </c>
      <c r="B104" s="24" t="s">
        <v>50</v>
      </c>
      <c r="C104" s="53" t="s">
        <v>32</v>
      </c>
      <c r="D104" s="24" t="s">
        <v>1424</v>
      </c>
      <c r="E104" s="53" t="s">
        <v>1588</v>
      </c>
      <c r="F104" s="25" t="s">
        <v>693</v>
      </c>
      <c r="G104" s="26" t="s">
        <v>143</v>
      </c>
      <c r="H104" s="175">
        <v>1</v>
      </c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</row>
    <row r="105" spans="1:32" ht="26.25" hidden="1" customHeight="1">
      <c r="A105" s="24" t="s">
        <v>28</v>
      </c>
      <c r="B105" s="24" t="s">
        <v>50</v>
      </c>
      <c r="C105" s="53" t="s">
        <v>32</v>
      </c>
      <c r="D105" s="24" t="s">
        <v>1635</v>
      </c>
      <c r="E105" s="53" t="s">
        <v>1588</v>
      </c>
      <c r="F105" s="25" t="s">
        <v>693</v>
      </c>
      <c r="G105" s="26" t="s">
        <v>143</v>
      </c>
      <c r="H105" s="175">
        <v>1</v>
      </c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</row>
    <row r="106" spans="1:32" ht="26.25" hidden="1" customHeight="1">
      <c r="A106" s="53" t="s">
        <v>28</v>
      </c>
      <c r="B106" s="53" t="s">
        <v>50</v>
      </c>
      <c r="C106" s="53" t="s">
        <v>32</v>
      </c>
      <c r="D106" s="53" t="s">
        <v>1783</v>
      </c>
      <c r="E106" s="53" t="s">
        <v>1588</v>
      </c>
      <c r="F106" s="57" t="s">
        <v>7</v>
      </c>
      <c r="G106" s="54" t="s">
        <v>7</v>
      </c>
      <c r="H106" s="175">
        <v>1</v>
      </c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</row>
    <row r="107" spans="1:32" ht="26.25" hidden="1" customHeight="1">
      <c r="A107" s="53" t="s">
        <v>28</v>
      </c>
      <c r="B107" s="53" t="s">
        <v>50</v>
      </c>
      <c r="C107" s="24" t="s">
        <v>32</v>
      </c>
      <c r="D107" s="24" t="s">
        <v>1700</v>
      </c>
      <c r="E107" s="53" t="s">
        <v>1588</v>
      </c>
      <c r="F107" s="57" t="s">
        <v>693</v>
      </c>
      <c r="G107" s="54" t="s">
        <v>143</v>
      </c>
      <c r="H107" s="175">
        <v>1</v>
      </c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 spans="1:32" ht="26.25" hidden="1" customHeight="1">
      <c r="A108" s="24" t="s">
        <v>28</v>
      </c>
      <c r="B108" s="24" t="s">
        <v>50</v>
      </c>
      <c r="C108" s="24" t="s">
        <v>32</v>
      </c>
      <c r="D108" s="24" t="s">
        <v>1743</v>
      </c>
      <c r="E108" s="53" t="s">
        <v>1588</v>
      </c>
      <c r="F108" s="25" t="s">
        <v>7</v>
      </c>
      <c r="G108" s="26" t="s">
        <v>7</v>
      </c>
      <c r="H108" s="175">
        <v>1</v>
      </c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</row>
    <row r="109" spans="1:32" ht="26.25" hidden="1" customHeight="1">
      <c r="A109" s="24" t="s">
        <v>28</v>
      </c>
      <c r="B109" s="24" t="s">
        <v>50</v>
      </c>
      <c r="C109" s="24" t="s">
        <v>32</v>
      </c>
      <c r="D109" s="24" t="s">
        <v>1403</v>
      </c>
      <c r="E109" s="53" t="s">
        <v>1588</v>
      </c>
      <c r="F109" s="25" t="s">
        <v>7</v>
      </c>
      <c r="G109" s="26" t="s">
        <v>7</v>
      </c>
      <c r="H109" s="175">
        <v>1</v>
      </c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</row>
    <row r="110" spans="1:32" ht="26.25" hidden="1" customHeight="1">
      <c r="A110" s="24" t="s">
        <v>28</v>
      </c>
      <c r="B110" s="24" t="s">
        <v>50</v>
      </c>
      <c r="C110" s="24" t="s">
        <v>32</v>
      </c>
      <c r="D110" s="24" t="s">
        <v>1791</v>
      </c>
      <c r="E110" s="53" t="s">
        <v>1588</v>
      </c>
      <c r="F110" s="25" t="s">
        <v>7</v>
      </c>
      <c r="G110" s="26" t="s">
        <v>7</v>
      </c>
      <c r="H110" s="175">
        <v>1</v>
      </c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</row>
    <row r="111" spans="1:32" ht="26.25" hidden="1" customHeight="1">
      <c r="A111" s="53" t="s">
        <v>28</v>
      </c>
      <c r="B111" s="53" t="s">
        <v>50</v>
      </c>
      <c r="C111" s="24" t="s">
        <v>32</v>
      </c>
      <c r="D111" s="53" t="s">
        <v>1839</v>
      </c>
      <c r="E111" s="53" t="s">
        <v>1588</v>
      </c>
      <c r="F111" s="57" t="s">
        <v>7</v>
      </c>
      <c r="G111" s="54" t="s">
        <v>7</v>
      </c>
      <c r="H111" s="175">
        <v>1</v>
      </c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 spans="1:32" ht="26.25" hidden="1" customHeight="1">
      <c r="A112" s="24" t="s">
        <v>28</v>
      </c>
      <c r="B112" s="24" t="s">
        <v>50</v>
      </c>
      <c r="C112" s="24" t="s">
        <v>32</v>
      </c>
      <c r="D112" s="24" t="s">
        <v>1582</v>
      </c>
      <c r="E112" s="53" t="s">
        <v>1588</v>
      </c>
      <c r="F112" s="25" t="s">
        <v>7</v>
      </c>
      <c r="G112" s="26" t="s">
        <v>7</v>
      </c>
      <c r="H112" s="175">
        <v>1</v>
      </c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 spans="1:32" ht="26.25" hidden="1" customHeight="1">
      <c r="A113" s="24" t="s">
        <v>28</v>
      </c>
      <c r="B113" s="24" t="s">
        <v>50</v>
      </c>
      <c r="C113" s="24" t="s">
        <v>32</v>
      </c>
      <c r="D113" s="24" t="s">
        <v>1858</v>
      </c>
      <c r="E113" s="53" t="s">
        <v>1588</v>
      </c>
      <c r="F113" s="25" t="s">
        <v>7</v>
      </c>
      <c r="G113" s="26" t="s">
        <v>7</v>
      </c>
      <c r="H113" s="175">
        <v>1</v>
      </c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</row>
    <row r="114" spans="1:32" ht="26.25" hidden="1" customHeight="1">
      <c r="A114" s="24" t="s">
        <v>28</v>
      </c>
      <c r="B114" s="24" t="s">
        <v>50</v>
      </c>
      <c r="C114" s="24" t="s">
        <v>32</v>
      </c>
      <c r="D114" s="24" t="s">
        <v>1851</v>
      </c>
      <c r="E114" s="53" t="s">
        <v>1588</v>
      </c>
      <c r="F114" s="25" t="s">
        <v>7</v>
      </c>
      <c r="G114" s="26" t="s">
        <v>7</v>
      </c>
      <c r="H114" s="175">
        <v>1</v>
      </c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</row>
    <row r="115" spans="1:32" ht="26.25" hidden="1" customHeight="1">
      <c r="A115" s="24" t="s">
        <v>28</v>
      </c>
      <c r="B115" s="24" t="s">
        <v>50</v>
      </c>
      <c r="C115" s="24" t="s">
        <v>32</v>
      </c>
      <c r="D115" s="24" t="s">
        <v>1864</v>
      </c>
      <c r="E115" s="53" t="s">
        <v>1588</v>
      </c>
      <c r="F115" s="25" t="s">
        <v>7</v>
      </c>
      <c r="G115" s="26" t="s">
        <v>7</v>
      </c>
      <c r="H115" s="175">
        <v>1</v>
      </c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</row>
    <row r="116" spans="1:32" ht="26.25" hidden="1" customHeight="1">
      <c r="A116" s="24" t="s">
        <v>28</v>
      </c>
      <c r="B116" s="24" t="s">
        <v>50</v>
      </c>
      <c r="C116" s="23" t="s">
        <v>32</v>
      </c>
      <c r="D116" s="23" t="s">
        <v>2625</v>
      </c>
      <c r="E116" s="53" t="s">
        <v>1588</v>
      </c>
      <c r="F116" s="25" t="s">
        <v>7</v>
      </c>
      <c r="G116" s="26" t="s">
        <v>7</v>
      </c>
      <c r="H116" s="175">
        <v>1</v>
      </c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</row>
    <row r="117" spans="1:32" ht="26.25" hidden="1" customHeight="1">
      <c r="A117" s="24" t="s">
        <v>28</v>
      </c>
      <c r="B117" s="24" t="s">
        <v>50</v>
      </c>
      <c r="C117" s="24" t="s">
        <v>32</v>
      </c>
      <c r="D117" s="24" t="s">
        <v>1899</v>
      </c>
      <c r="E117" s="53" t="s">
        <v>1588</v>
      </c>
      <c r="F117" s="25" t="s">
        <v>7</v>
      </c>
      <c r="G117" s="26" t="s">
        <v>7</v>
      </c>
      <c r="H117" s="175">
        <v>1</v>
      </c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</row>
    <row r="118" spans="1:32" ht="26.25" hidden="1" customHeight="1">
      <c r="A118" s="24" t="s">
        <v>28</v>
      </c>
      <c r="B118" s="24" t="s">
        <v>50</v>
      </c>
      <c r="C118" s="24" t="s">
        <v>32</v>
      </c>
      <c r="D118" s="24" t="s">
        <v>1909</v>
      </c>
      <c r="E118" s="53" t="s">
        <v>1588</v>
      </c>
      <c r="F118" s="25" t="s">
        <v>7</v>
      </c>
      <c r="G118" s="26" t="s">
        <v>7</v>
      </c>
      <c r="H118" s="175">
        <v>1</v>
      </c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</row>
    <row r="119" spans="1:32" ht="26.25" hidden="1" customHeight="1">
      <c r="A119" s="24" t="s">
        <v>28</v>
      </c>
      <c r="B119" s="24" t="s">
        <v>50</v>
      </c>
      <c r="C119" s="24" t="s">
        <v>32</v>
      </c>
      <c r="D119" s="24" t="s">
        <v>1821</v>
      </c>
      <c r="E119" s="53" t="s">
        <v>1588</v>
      </c>
      <c r="F119" s="25" t="s">
        <v>7</v>
      </c>
      <c r="G119" s="26" t="s">
        <v>7</v>
      </c>
      <c r="H119" s="175">
        <v>1</v>
      </c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</row>
    <row r="120" spans="1:32" ht="27.75" hidden="1" customHeight="1">
      <c r="A120" s="24" t="s">
        <v>28</v>
      </c>
      <c r="B120" s="24" t="s">
        <v>50</v>
      </c>
      <c r="C120" s="24" t="s">
        <v>32</v>
      </c>
      <c r="D120" s="24" t="s">
        <v>1771</v>
      </c>
      <c r="E120" s="53" t="s">
        <v>1588</v>
      </c>
      <c r="F120" s="25" t="s">
        <v>7</v>
      </c>
      <c r="G120" s="26" t="s">
        <v>7</v>
      </c>
      <c r="H120" s="175">
        <v>1</v>
      </c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</row>
    <row r="121" spans="1:32" ht="26.25" hidden="1" customHeight="1">
      <c r="A121" s="53" t="s">
        <v>28</v>
      </c>
      <c r="B121" s="53" t="s">
        <v>50</v>
      </c>
      <c r="C121" s="24" t="s">
        <v>32</v>
      </c>
      <c r="D121" s="53" t="s">
        <v>1751</v>
      </c>
      <c r="E121" s="53" t="s">
        <v>1588</v>
      </c>
      <c r="F121" s="57" t="s">
        <v>7</v>
      </c>
      <c r="G121" s="54" t="s">
        <v>7</v>
      </c>
      <c r="H121" s="175">
        <v>1</v>
      </c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</row>
    <row r="122" spans="1:32" ht="26.25" hidden="1" customHeight="1">
      <c r="A122" s="24" t="s">
        <v>28</v>
      </c>
      <c r="B122" s="24" t="s">
        <v>50</v>
      </c>
      <c r="C122" s="24" t="s">
        <v>32</v>
      </c>
      <c r="D122" s="24" t="s">
        <v>1895</v>
      </c>
      <c r="E122" s="53" t="s">
        <v>1588</v>
      </c>
      <c r="F122" s="25" t="s">
        <v>7</v>
      </c>
      <c r="G122" s="26" t="s">
        <v>7</v>
      </c>
      <c r="H122" s="175">
        <v>1</v>
      </c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</row>
    <row r="123" spans="1:32" ht="26.25" hidden="1" customHeight="1">
      <c r="A123" s="5" t="s">
        <v>28</v>
      </c>
      <c r="B123" s="5" t="s">
        <v>50</v>
      </c>
      <c r="C123" s="24" t="s">
        <v>32</v>
      </c>
      <c r="D123" s="5" t="s">
        <v>2514</v>
      </c>
      <c r="E123" s="53" t="s">
        <v>1588</v>
      </c>
      <c r="F123" s="11" t="s">
        <v>7</v>
      </c>
      <c r="G123" s="7" t="s">
        <v>7</v>
      </c>
      <c r="H123" s="175">
        <v>1</v>
      </c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</row>
    <row r="124" spans="1:32" ht="26.25" hidden="1" customHeight="1">
      <c r="A124" s="24" t="s">
        <v>28</v>
      </c>
      <c r="B124" s="24" t="s">
        <v>50</v>
      </c>
      <c r="C124" s="24" t="s">
        <v>32</v>
      </c>
      <c r="D124" s="24" t="s">
        <v>1834</v>
      </c>
      <c r="E124" s="53" t="s">
        <v>1588</v>
      </c>
      <c r="F124" s="25" t="s">
        <v>7</v>
      </c>
      <c r="G124" s="26" t="s">
        <v>7</v>
      </c>
      <c r="H124" s="175">
        <v>1</v>
      </c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 spans="1:32" ht="26.25" hidden="1" customHeight="1">
      <c r="A125" s="24" t="s">
        <v>28</v>
      </c>
      <c r="B125" s="24" t="s">
        <v>50</v>
      </c>
      <c r="C125" s="24" t="s">
        <v>32</v>
      </c>
      <c r="D125" s="24" t="s">
        <v>1798</v>
      </c>
      <c r="E125" s="53" t="s">
        <v>1588</v>
      </c>
      <c r="F125" s="25" t="s">
        <v>7</v>
      </c>
      <c r="G125" s="26" t="s">
        <v>7</v>
      </c>
      <c r="H125" s="175">
        <v>1</v>
      </c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</row>
    <row r="126" spans="1:32" ht="26.25" hidden="1" customHeight="1">
      <c r="A126" s="24" t="s">
        <v>28</v>
      </c>
      <c r="B126" s="24" t="s">
        <v>50</v>
      </c>
      <c r="C126" s="24" t="s">
        <v>32</v>
      </c>
      <c r="D126" s="24" t="s">
        <v>1839</v>
      </c>
      <c r="E126" s="53" t="s">
        <v>1588</v>
      </c>
      <c r="F126" s="25" t="s">
        <v>7</v>
      </c>
      <c r="G126" s="26" t="s">
        <v>7</v>
      </c>
      <c r="H126" s="175">
        <v>1</v>
      </c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 spans="1:32" ht="26.25" hidden="1" customHeight="1">
      <c r="A127" s="24" t="s">
        <v>28</v>
      </c>
      <c r="B127" s="24" t="s">
        <v>50</v>
      </c>
      <c r="C127" s="24" t="s">
        <v>32</v>
      </c>
      <c r="D127" s="24" t="s">
        <v>1805</v>
      </c>
      <c r="E127" s="53" t="s">
        <v>1588</v>
      </c>
      <c r="F127" s="25" t="s">
        <v>7</v>
      </c>
      <c r="G127" s="26" t="s">
        <v>7</v>
      </c>
      <c r="H127" s="175">
        <v>1</v>
      </c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</row>
    <row r="128" spans="1:32" ht="26.25" hidden="1" customHeight="1">
      <c r="A128" s="24" t="s">
        <v>28</v>
      </c>
      <c r="B128" s="24" t="s">
        <v>50</v>
      </c>
      <c r="C128" s="24" t="s">
        <v>32</v>
      </c>
      <c r="D128" s="24" t="s">
        <v>1756</v>
      </c>
      <c r="E128" s="53" t="s">
        <v>1588</v>
      </c>
      <c r="F128" s="25" t="s">
        <v>7</v>
      </c>
      <c r="G128" s="26" t="s">
        <v>7</v>
      </c>
      <c r="H128" s="175">
        <v>1</v>
      </c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</row>
    <row r="129" spans="1:32" ht="26.25" hidden="1" customHeight="1">
      <c r="A129" s="24" t="s">
        <v>28</v>
      </c>
      <c r="B129" s="24" t="s">
        <v>50</v>
      </c>
      <c r="C129" s="24" t="s">
        <v>32</v>
      </c>
      <c r="D129" s="24" t="s">
        <v>1763</v>
      </c>
      <c r="E129" s="53" t="s">
        <v>1588</v>
      </c>
      <c r="F129" s="25" t="s">
        <v>7</v>
      </c>
      <c r="G129" s="26" t="s">
        <v>7</v>
      </c>
      <c r="H129" s="175">
        <v>1</v>
      </c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</row>
    <row r="130" spans="1:32" ht="26.25" hidden="1" customHeight="1">
      <c r="A130" s="24" t="s">
        <v>28</v>
      </c>
      <c r="B130" s="24" t="s">
        <v>50</v>
      </c>
      <c r="C130" s="24" t="s">
        <v>32</v>
      </c>
      <c r="D130" s="24" t="s">
        <v>1869</v>
      </c>
      <c r="E130" s="53" t="s">
        <v>1588</v>
      </c>
      <c r="F130" s="25" t="s">
        <v>7</v>
      </c>
      <c r="G130" s="26" t="s">
        <v>7</v>
      </c>
      <c r="H130" s="175">
        <v>1</v>
      </c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</row>
    <row r="131" spans="1:32" ht="26.25" hidden="1" customHeight="1">
      <c r="A131" s="53" t="s">
        <v>28</v>
      </c>
      <c r="B131" s="53" t="s">
        <v>50</v>
      </c>
      <c r="C131" s="53" t="s">
        <v>32</v>
      </c>
      <c r="D131" s="53" t="s">
        <v>1915</v>
      </c>
      <c r="E131" s="53" t="s">
        <v>1588</v>
      </c>
      <c r="F131" s="57" t="s">
        <v>7</v>
      </c>
      <c r="G131" s="54" t="s">
        <v>7</v>
      </c>
      <c r="H131" s="175">
        <v>1</v>
      </c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</row>
    <row r="132" spans="1:32" ht="26.25" hidden="1" customHeight="1">
      <c r="A132" s="24" t="s">
        <v>28</v>
      </c>
      <c r="B132" s="24" t="s">
        <v>50</v>
      </c>
      <c r="C132" s="24" t="s">
        <v>32</v>
      </c>
      <c r="D132" s="24" t="s">
        <v>1878</v>
      </c>
      <c r="E132" s="53" t="s">
        <v>1588</v>
      </c>
      <c r="F132" s="25" t="s">
        <v>7</v>
      </c>
      <c r="G132" s="26" t="s">
        <v>7</v>
      </c>
      <c r="H132" s="175">
        <v>1</v>
      </c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</row>
    <row r="133" spans="1:32" ht="21.75" hidden="1" customHeight="1">
      <c r="A133" s="24" t="s">
        <v>28</v>
      </c>
      <c r="B133" s="24" t="s">
        <v>50</v>
      </c>
      <c r="C133" s="24" t="s">
        <v>32</v>
      </c>
      <c r="D133" s="24" t="s">
        <v>1815</v>
      </c>
      <c r="E133" s="53" t="s">
        <v>1588</v>
      </c>
      <c r="F133" s="25" t="s">
        <v>7</v>
      </c>
      <c r="G133" s="26" t="s">
        <v>7</v>
      </c>
      <c r="H133" s="175">
        <v>1</v>
      </c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</row>
    <row r="134" spans="1:32" ht="26.25" hidden="1" customHeight="1">
      <c r="A134" s="24" t="s">
        <v>28</v>
      </c>
      <c r="B134" s="24" t="s">
        <v>50</v>
      </c>
      <c r="C134" s="24" t="s">
        <v>32</v>
      </c>
      <c r="D134" s="24" t="s">
        <v>2643</v>
      </c>
      <c r="E134" s="53" t="s">
        <v>1588</v>
      </c>
      <c r="F134" s="25" t="s">
        <v>7</v>
      </c>
      <c r="G134" s="26" t="s">
        <v>7</v>
      </c>
      <c r="H134" s="175">
        <v>1</v>
      </c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</row>
    <row r="135" spans="1:32" ht="26.25" hidden="1" customHeight="1">
      <c r="A135" s="53" t="s">
        <v>28</v>
      </c>
      <c r="B135" s="53" t="s">
        <v>50</v>
      </c>
      <c r="C135" s="24" t="s">
        <v>32</v>
      </c>
      <c r="D135" s="53" t="s">
        <v>2641</v>
      </c>
      <c r="E135" s="53" t="s">
        <v>1588</v>
      </c>
      <c r="F135" s="57"/>
      <c r="G135" s="54" t="s">
        <v>143</v>
      </c>
      <c r="H135" s="175">
        <v>1</v>
      </c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</row>
    <row r="136" spans="1:32" ht="26.25" hidden="1" customHeight="1">
      <c r="A136" s="53" t="s">
        <v>28</v>
      </c>
      <c r="B136" s="53" t="s">
        <v>50</v>
      </c>
      <c r="C136" s="24" t="s">
        <v>32</v>
      </c>
      <c r="D136" s="53" t="s">
        <v>2641</v>
      </c>
      <c r="E136" s="53" t="s">
        <v>1588</v>
      </c>
      <c r="F136" s="57"/>
      <c r="G136" s="54" t="s">
        <v>143</v>
      </c>
      <c r="H136" s="175">
        <v>1</v>
      </c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</row>
    <row r="137" spans="1:32" ht="26.25" hidden="1" customHeight="1">
      <c r="A137" s="174"/>
      <c r="B137" s="174"/>
      <c r="C137" s="174"/>
      <c r="D137" s="174"/>
      <c r="E137" s="174"/>
      <c r="F137" s="192"/>
      <c r="G137" s="194"/>
      <c r="H137" s="198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 spans="1:32" ht="26.25" hidden="1" customHeight="1">
      <c r="A138" s="53" t="s">
        <v>28</v>
      </c>
      <c r="B138" s="53"/>
      <c r="C138" s="53" t="s">
        <v>215</v>
      </c>
      <c r="D138" s="53" t="s">
        <v>2641</v>
      </c>
      <c r="E138" s="53" t="s">
        <v>1588</v>
      </c>
      <c r="F138" s="57"/>
      <c r="G138" s="54" t="s">
        <v>143</v>
      </c>
      <c r="H138" s="198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 spans="1:32" ht="26.25" hidden="1" customHeight="1">
      <c r="A139" s="53" t="s">
        <v>28</v>
      </c>
      <c r="B139" s="53"/>
      <c r="C139" s="53" t="s">
        <v>215</v>
      </c>
      <c r="D139" s="53" t="s">
        <v>2641</v>
      </c>
      <c r="E139" s="53" t="s">
        <v>1588</v>
      </c>
      <c r="F139" s="57"/>
      <c r="G139" s="54" t="s">
        <v>143</v>
      </c>
      <c r="H139" s="198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 spans="1:32" ht="26.25" hidden="1" customHeight="1">
      <c r="A140" s="53" t="s">
        <v>28</v>
      </c>
      <c r="B140" s="53"/>
      <c r="C140" s="53" t="s">
        <v>215</v>
      </c>
      <c r="D140" s="53" t="s">
        <v>2641</v>
      </c>
      <c r="E140" s="53" t="s">
        <v>1588</v>
      </c>
      <c r="F140" s="57"/>
      <c r="G140" s="54" t="s">
        <v>143</v>
      </c>
      <c r="H140" s="198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 spans="1:32" ht="26.25" hidden="1" customHeight="1">
      <c r="A141" s="191"/>
      <c r="B141" s="191"/>
      <c r="C141" s="191"/>
      <c r="D141" s="191"/>
      <c r="E141" s="174"/>
      <c r="F141" s="196"/>
      <c r="G141" s="197"/>
      <c r="H141" s="175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</row>
    <row r="142" spans="1:32" ht="26.25" hidden="1" customHeight="1">
      <c r="A142" s="24" t="s">
        <v>93</v>
      </c>
      <c r="B142" s="24" t="s">
        <v>50</v>
      </c>
      <c r="C142" s="24" t="s">
        <v>32</v>
      </c>
      <c r="D142" s="24" t="s">
        <v>1743</v>
      </c>
      <c r="E142" s="53" t="s">
        <v>1588</v>
      </c>
      <c r="F142" s="25" t="s">
        <v>7</v>
      </c>
      <c r="G142" s="26" t="s">
        <v>7</v>
      </c>
      <c r="H142" s="175">
        <v>1</v>
      </c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</row>
    <row r="143" spans="1:32" ht="26.25" hidden="1" customHeight="1">
      <c r="A143" s="174"/>
      <c r="B143" s="174"/>
      <c r="C143" s="174"/>
      <c r="D143" s="174"/>
      <c r="E143" s="174"/>
      <c r="F143" s="192"/>
      <c r="G143" s="194"/>
      <c r="H143" s="175" t="s">
        <v>2729</v>
      </c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</row>
    <row r="144" spans="1:32" ht="26.25" hidden="1" customHeight="1">
      <c r="A144" s="53" t="s">
        <v>93</v>
      </c>
      <c r="B144" s="53" t="s">
        <v>30</v>
      </c>
      <c r="C144" s="53" t="s">
        <v>2</v>
      </c>
      <c r="D144" s="53" t="s">
        <v>1827</v>
      </c>
      <c r="E144" s="53" t="s">
        <v>1588</v>
      </c>
      <c r="F144" s="57" t="s">
        <v>7</v>
      </c>
      <c r="G144" s="54" t="s">
        <v>949</v>
      </c>
      <c r="H144" s="198">
        <v>1</v>
      </c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 spans="1:32" ht="26.25" hidden="1" customHeight="1">
      <c r="A145" s="53" t="s">
        <v>93</v>
      </c>
      <c r="B145" s="53" t="s">
        <v>30</v>
      </c>
      <c r="C145" s="53" t="s">
        <v>2</v>
      </c>
      <c r="D145" s="53" t="s">
        <v>1827</v>
      </c>
      <c r="E145" s="53" t="s">
        <v>1588</v>
      </c>
      <c r="F145" s="57" t="s">
        <v>7</v>
      </c>
      <c r="G145" s="54" t="s">
        <v>7</v>
      </c>
      <c r="H145" s="173">
        <v>1</v>
      </c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</row>
    <row r="146" spans="1:32" ht="26.25" hidden="1" customHeight="1">
      <c r="A146" s="53" t="s">
        <v>93</v>
      </c>
      <c r="B146" s="53" t="s">
        <v>30</v>
      </c>
      <c r="C146" s="53" t="s">
        <v>2</v>
      </c>
      <c r="D146" s="53" t="s">
        <v>2664</v>
      </c>
      <c r="E146" s="53" t="s">
        <v>1588</v>
      </c>
      <c r="F146" s="57" t="s">
        <v>7</v>
      </c>
      <c r="G146" s="54" t="s">
        <v>7</v>
      </c>
      <c r="H146" s="173">
        <v>1</v>
      </c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</row>
    <row r="147" spans="1:32" ht="26.25" hidden="1" customHeight="1">
      <c r="A147" s="174"/>
      <c r="B147" s="174"/>
      <c r="C147" s="174"/>
      <c r="D147" s="174"/>
      <c r="E147" s="174"/>
      <c r="F147" s="192"/>
      <c r="G147" s="194"/>
      <c r="H147" s="173" t="s">
        <v>2735</v>
      </c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</row>
    <row r="148" spans="1:32" ht="26.25" customHeight="1">
      <c r="A148" s="53" t="s">
        <v>9</v>
      </c>
      <c r="B148" s="53" t="s">
        <v>11</v>
      </c>
      <c r="C148" s="53" t="s">
        <v>2</v>
      </c>
      <c r="D148" s="53" t="s">
        <v>1839</v>
      </c>
      <c r="E148" s="53" t="s">
        <v>1588</v>
      </c>
      <c r="F148" s="57" t="s">
        <v>7</v>
      </c>
      <c r="G148" s="54" t="s">
        <v>7</v>
      </c>
      <c r="H148" s="173">
        <v>1</v>
      </c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</row>
    <row r="149" spans="1:32" ht="26.25" customHeight="1">
      <c r="A149" s="53" t="s">
        <v>9</v>
      </c>
      <c r="B149" s="53" t="s">
        <v>11</v>
      </c>
      <c r="C149" s="53" t="s">
        <v>2</v>
      </c>
      <c r="D149" s="53" t="s">
        <v>1839</v>
      </c>
      <c r="E149" s="53" t="s">
        <v>1588</v>
      </c>
      <c r="F149" s="57" t="s">
        <v>7</v>
      </c>
      <c r="G149" s="54" t="s">
        <v>7</v>
      </c>
      <c r="H149" s="173">
        <v>1</v>
      </c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</row>
    <row r="150" spans="1:32" ht="26.25" customHeight="1">
      <c r="A150" s="53" t="s">
        <v>9</v>
      </c>
      <c r="B150" s="53" t="s">
        <v>11</v>
      </c>
      <c r="C150" s="24" t="s">
        <v>2</v>
      </c>
      <c r="D150" s="53" t="s">
        <v>1778</v>
      </c>
      <c r="E150" s="53" t="s">
        <v>1588</v>
      </c>
      <c r="F150" s="57" t="s">
        <v>7</v>
      </c>
      <c r="G150" s="54" t="s">
        <v>7</v>
      </c>
      <c r="H150" s="173">
        <v>1</v>
      </c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</row>
    <row r="151" spans="1:32" ht="26.25" customHeight="1">
      <c r="A151" s="53" t="s">
        <v>9</v>
      </c>
      <c r="B151" s="53" t="s">
        <v>11</v>
      </c>
      <c r="C151" s="24" t="s">
        <v>2</v>
      </c>
      <c r="D151" s="53" t="s">
        <v>1778</v>
      </c>
      <c r="E151" s="53" t="s">
        <v>1588</v>
      </c>
      <c r="F151" s="57" t="s">
        <v>7</v>
      </c>
      <c r="G151" s="54" t="s">
        <v>7</v>
      </c>
      <c r="H151" s="173">
        <v>1</v>
      </c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</row>
    <row r="152" spans="1:32" ht="26.25" customHeight="1">
      <c r="A152" s="53" t="s">
        <v>9</v>
      </c>
      <c r="B152" s="53" t="s">
        <v>11</v>
      </c>
      <c r="C152" s="24" t="s">
        <v>2</v>
      </c>
      <c r="D152" s="53" t="s">
        <v>1778</v>
      </c>
      <c r="E152" s="53" t="s">
        <v>1588</v>
      </c>
      <c r="F152" s="57" t="s">
        <v>7</v>
      </c>
      <c r="G152" s="54" t="s">
        <v>7</v>
      </c>
      <c r="H152" s="173">
        <v>1</v>
      </c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 spans="1:32" ht="26.25" customHeight="1">
      <c r="A153" s="53" t="s">
        <v>9</v>
      </c>
      <c r="B153" s="53" t="s">
        <v>11</v>
      </c>
      <c r="C153" s="24" t="s">
        <v>2</v>
      </c>
      <c r="D153" s="53" t="s">
        <v>1778</v>
      </c>
      <c r="E153" s="53" t="s">
        <v>1588</v>
      </c>
      <c r="F153" s="57" t="s">
        <v>7</v>
      </c>
      <c r="G153" s="54" t="s">
        <v>7</v>
      </c>
      <c r="H153" s="173">
        <v>1</v>
      </c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</row>
    <row r="154" spans="1:32" ht="26.25" customHeight="1">
      <c r="A154" s="53" t="s">
        <v>9</v>
      </c>
      <c r="B154" s="53" t="s">
        <v>11</v>
      </c>
      <c r="C154" s="53" t="s">
        <v>2</v>
      </c>
      <c r="D154" s="53" t="s">
        <v>1839</v>
      </c>
      <c r="E154" s="53" t="s">
        <v>1588</v>
      </c>
      <c r="F154" s="57" t="s">
        <v>7</v>
      </c>
      <c r="G154" s="54" t="s">
        <v>7</v>
      </c>
      <c r="H154" s="173">
        <v>1</v>
      </c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</row>
    <row r="155" spans="1:32" ht="26.25" customHeight="1">
      <c r="A155" s="53" t="s">
        <v>9</v>
      </c>
      <c r="B155" s="53" t="s">
        <v>11</v>
      </c>
      <c r="C155" s="53" t="s">
        <v>2</v>
      </c>
      <c r="D155" s="53" t="s">
        <v>1839</v>
      </c>
      <c r="E155" s="53" t="s">
        <v>1588</v>
      </c>
      <c r="F155" s="57" t="s">
        <v>7</v>
      </c>
      <c r="G155" s="54" t="s">
        <v>7</v>
      </c>
      <c r="H155" s="173">
        <v>1</v>
      </c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</row>
    <row r="156" spans="1:32" ht="26.25" customHeight="1">
      <c r="A156" s="53" t="s">
        <v>9</v>
      </c>
      <c r="B156" s="53" t="s">
        <v>11</v>
      </c>
      <c r="C156" s="53" t="s">
        <v>2</v>
      </c>
      <c r="D156" s="53" t="s">
        <v>1403</v>
      </c>
      <c r="E156" s="53" t="s">
        <v>1588</v>
      </c>
      <c r="F156" s="57" t="s">
        <v>7</v>
      </c>
      <c r="G156" s="54" t="s">
        <v>7</v>
      </c>
      <c r="H156" s="173">
        <v>1</v>
      </c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</row>
    <row r="157" spans="1:32" ht="26.25" customHeight="1">
      <c r="A157" s="53" t="s">
        <v>9</v>
      </c>
      <c r="B157" s="53" t="s">
        <v>11</v>
      </c>
      <c r="C157" s="53" t="s">
        <v>2</v>
      </c>
      <c r="D157" s="53" t="s">
        <v>1403</v>
      </c>
      <c r="E157" s="53" t="s">
        <v>1588</v>
      </c>
      <c r="F157" s="57" t="s">
        <v>7</v>
      </c>
      <c r="G157" s="54" t="s">
        <v>7</v>
      </c>
      <c r="H157" s="173">
        <v>1</v>
      </c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</row>
    <row r="158" spans="1:32" ht="26.25" customHeight="1">
      <c r="A158" s="53" t="s">
        <v>9</v>
      </c>
      <c r="B158" s="53" t="s">
        <v>11</v>
      </c>
      <c r="C158" s="53" t="s">
        <v>2</v>
      </c>
      <c r="D158" s="53" t="s">
        <v>1403</v>
      </c>
      <c r="E158" s="53" t="s">
        <v>1588</v>
      </c>
      <c r="F158" s="57" t="s">
        <v>7</v>
      </c>
      <c r="G158" s="54" t="s">
        <v>7</v>
      </c>
      <c r="H158" s="173">
        <v>1</v>
      </c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</row>
    <row r="159" spans="1:32" ht="26.25" customHeight="1">
      <c r="A159" s="53" t="s">
        <v>9</v>
      </c>
      <c r="B159" s="53" t="s">
        <v>11</v>
      </c>
      <c r="C159" s="53" t="s">
        <v>2</v>
      </c>
      <c r="D159" s="53" t="s">
        <v>1403</v>
      </c>
      <c r="E159" s="53" t="s">
        <v>1588</v>
      </c>
      <c r="F159" s="57" t="s">
        <v>7</v>
      </c>
      <c r="G159" s="54" t="s">
        <v>7</v>
      </c>
      <c r="H159" s="173">
        <v>1</v>
      </c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</row>
    <row r="160" spans="1:32" ht="32.25" hidden="1" customHeight="1">
      <c r="A160" s="53" t="s">
        <v>9</v>
      </c>
      <c r="B160" s="53" t="s">
        <v>30</v>
      </c>
      <c r="C160" s="53" t="s">
        <v>2</v>
      </c>
      <c r="D160" s="53" t="s">
        <v>1810</v>
      </c>
      <c r="E160" s="53" t="s">
        <v>1588</v>
      </c>
      <c r="F160" s="57" t="s">
        <v>7</v>
      </c>
      <c r="G160" s="54" t="s">
        <v>7</v>
      </c>
      <c r="H160" s="173">
        <v>1</v>
      </c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</row>
    <row r="161" spans="1:32" ht="26.25" customHeight="1">
      <c r="A161" s="53" t="s">
        <v>9</v>
      </c>
      <c r="B161" s="53" t="s">
        <v>11</v>
      </c>
      <c r="C161" s="53" t="s">
        <v>2</v>
      </c>
      <c r="D161" s="53" t="s">
        <v>1414</v>
      </c>
      <c r="E161" s="53" t="s">
        <v>1588</v>
      </c>
      <c r="F161" s="57" t="s">
        <v>7</v>
      </c>
      <c r="G161" s="54" t="s">
        <v>7</v>
      </c>
      <c r="H161" s="173">
        <v>1</v>
      </c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 spans="1:32" ht="26.25" customHeight="1">
      <c r="A162" s="53" t="s">
        <v>9</v>
      </c>
      <c r="B162" s="53" t="s">
        <v>11</v>
      </c>
      <c r="C162" s="53" t="s">
        <v>2</v>
      </c>
      <c r="D162" s="53" t="s">
        <v>1414</v>
      </c>
      <c r="E162" s="53" t="s">
        <v>1588</v>
      </c>
      <c r="F162" s="57" t="s">
        <v>7</v>
      </c>
      <c r="G162" s="54" t="s">
        <v>7</v>
      </c>
      <c r="H162" s="173">
        <v>1</v>
      </c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</row>
    <row r="163" spans="1:32" ht="26.25" customHeight="1">
      <c r="A163" s="53" t="s">
        <v>9</v>
      </c>
      <c r="B163" s="53" t="s">
        <v>11</v>
      </c>
      <c r="C163" s="53" t="s">
        <v>2</v>
      </c>
      <c r="D163" s="53" t="s">
        <v>1414</v>
      </c>
      <c r="E163" s="53" t="s">
        <v>1588</v>
      </c>
      <c r="F163" s="57" t="s">
        <v>7</v>
      </c>
      <c r="G163" s="54" t="s">
        <v>7</v>
      </c>
      <c r="H163" s="173">
        <v>1</v>
      </c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</row>
    <row r="164" spans="1:32" ht="26.25" customHeight="1">
      <c r="A164" s="53" t="s">
        <v>9</v>
      </c>
      <c r="B164" s="53" t="s">
        <v>11</v>
      </c>
      <c r="C164" s="53" t="s">
        <v>2</v>
      </c>
      <c r="D164" s="53" t="s">
        <v>1414</v>
      </c>
      <c r="E164" s="53" t="s">
        <v>1588</v>
      </c>
      <c r="F164" s="57" t="s">
        <v>7</v>
      </c>
      <c r="G164" s="54" t="s">
        <v>7</v>
      </c>
      <c r="H164" s="173">
        <v>1</v>
      </c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</row>
    <row r="165" spans="1:32" ht="26.25" customHeight="1">
      <c r="A165" s="24" t="s">
        <v>9</v>
      </c>
      <c r="B165" s="24" t="s">
        <v>50</v>
      </c>
      <c r="C165" s="24" t="s">
        <v>2</v>
      </c>
      <c r="D165" s="24" t="s">
        <v>1616</v>
      </c>
      <c r="E165" s="53" t="s">
        <v>1588</v>
      </c>
      <c r="F165" s="25" t="s">
        <v>7</v>
      </c>
      <c r="G165" s="26" t="s">
        <v>7</v>
      </c>
      <c r="H165" s="173">
        <v>1</v>
      </c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 spans="1:32" ht="24.75" hidden="1" customHeight="1">
      <c r="A166" s="191"/>
      <c r="B166" s="191"/>
      <c r="C166" s="191"/>
      <c r="D166" s="191"/>
      <c r="E166" s="174"/>
      <c r="F166" s="196"/>
      <c r="G166" s="197"/>
      <c r="H166" s="173" t="s">
        <v>2741</v>
      </c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</row>
    <row r="167" spans="1:32" ht="26.25" customHeight="1">
      <c r="A167" s="53" t="s">
        <v>9</v>
      </c>
      <c r="B167" s="53" t="s">
        <v>50</v>
      </c>
      <c r="C167" s="24" t="s">
        <v>32</v>
      </c>
      <c r="D167" s="53" t="s">
        <v>1810</v>
      </c>
      <c r="E167" s="53" t="s">
        <v>1588</v>
      </c>
      <c r="F167" s="57" t="s">
        <v>7</v>
      </c>
      <c r="G167" s="54" t="s">
        <v>7</v>
      </c>
      <c r="H167" s="198">
        <v>1</v>
      </c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 spans="1:32" ht="27" customHeight="1">
      <c r="A168" s="53" t="s">
        <v>9</v>
      </c>
      <c r="B168" s="53" t="s">
        <v>50</v>
      </c>
      <c r="C168" s="53" t="s">
        <v>32</v>
      </c>
      <c r="D168" s="53" t="s">
        <v>1616</v>
      </c>
      <c r="E168" s="53" t="s">
        <v>1588</v>
      </c>
      <c r="F168" s="57" t="s">
        <v>7</v>
      </c>
      <c r="G168" s="54" t="s">
        <v>7</v>
      </c>
      <c r="H168" s="173">
        <v>1</v>
      </c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</row>
    <row r="169" spans="1:32" ht="22.5" customHeight="1">
      <c r="A169" s="24" t="s">
        <v>9</v>
      </c>
      <c r="B169" s="24" t="s">
        <v>50</v>
      </c>
      <c r="C169" s="24" t="s">
        <v>32</v>
      </c>
      <c r="D169" s="24" t="s">
        <v>1616</v>
      </c>
      <c r="E169" s="53" t="s">
        <v>1588</v>
      </c>
      <c r="F169" s="25" t="s">
        <v>7</v>
      </c>
      <c r="G169" s="26" t="s">
        <v>7</v>
      </c>
      <c r="H169" s="173">
        <v>1</v>
      </c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</row>
    <row r="170" spans="1:32" ht="26.25" hidden="1" customHeight="1">
      <c r="A170" s="191"/>
      <c r="B170" s="191"/>
      <c r="C170" s="191"/>
      <c r="D170" s="191"/>
      <c r="E170" s="174"/>
      <c r="F170" s="196"/>
      <c r="G170" s="197"/>
      <c r="H170" s="173" t="s">
        <v>2742</v>
      </c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</row>
    <row r="171" spans="1:32" ht="26.25" hidden="1" customHeight="1">
      <c r="A171" s="24" t="s">
        <v>388</v>
      </c>
      <c r="B171" s="24" t="s">
        <v>50</v>
      </c>
      <c r="C171" s="24" t="s">
        <v>32</v>
      </c>
      <c r="D171" s="24" t="s">
        <v>1884</v>
      </c>
      <c r="E171" s="53" t="s">
        <v>1588</v>
      </c>
      <c r="F171" s="25" t="s">
        <v>7</v>
      </c>
      <c r="G171" s="26" t="s">
        <v>7</v>
      </c>
      <c r="H171" s="173">
        <v>1</v>
      </c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</row>
    <row r="172" spans="1:32" ht="27.75" hidden="1" customHeight="1">
      <c r="A172" s="24" t="s">
        <v>388</v>
      </c>
      <c r="B172" s="24" t="s">
        <v>50</v>
      </c>
      <c r="C172" s="24" t="s">
        <v>32</v>
      </c>
      <c r="D172" s="24" t="s">
        <v>1815</v>
      </c>
      <c r="E172" s="53" t="s">
        <v>1588</v>
      </c>
      <c r="F172" s="25" t="s">
        <v>7</v>
      </c>
      <c r="G172" s="26" t="s">
        <v>7</v>
      </c>
      <c r="H172" s="173">
        <v>1</v>
      </c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</row>
    <row r="173" spans="1:32" ht="26.25" hidden="1" customHeight="1">
      <c r="A173" s="24" t="s">
        <v>388</v>
      </c>
      <c r="B173" s="24" t="s">
        <v>50</v>
      </c>
      <c r="C173" s="24" t="s">
        <v>32</v>
      </c>
      <c r="D173" s="24" t="s">
        <v>2524</v>
      </c>
      <c r="E173" s="53" t="s">
        <v>1588</v>
      </c>
      <c r="F173" s="25" t="s">
        <v>7</v>
      </c>
      <c r="G173" s="26" t="s">
        <v>7</v>
      </c>
      <c r="H173" s="175">
        <v>1</v>
      </c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</row>
    <row r="174" spans="1:32" ht="26.25" hidden="1" customHeight="1">
      <c r="A174" s="24" t="s">
        <v>388</v>
      </c>
      <c r="B174" s="24" t="s">
        <v>50</v>
      </c>
      <c r="C174" s="24" t="s">
        <v>32</v>
      </c>
      <c r="D174" s="24" t="s">
        <v>1869</v>
      </c>
      <c r="E174" s="53" t="s">
        <v>1588</v>
      </c>
      <c r="F174" s="25" t="s">
        <v>7</v>
      </c>
      <c r="G174" s="26" t="s">
        <v>7</v>
      </c>
      <c r="H174" s="175">
        <v>1</v>
      </c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</row>
    <row r="175" spans="1:32" ht="26.25" hidden="1" customHeight="1">
      <c r="A175" s="174"/>
      <c r="B175" s="174"/>
      <c r="C175" s="174"/>
      <c r="D175" s="174"/>
      <c r="E175" s="174"/>
      <c r="F175" s="192"/>
      <c r="G175" s="194"/>
      <c r="H175" s="175" t="s">
        <v>2735</v>
      </c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</row>
    <row r="176" spans="1:32" ht="26.25" hidden="1" customHeight="1">
      <c r="A176" s="53" t="s">
        <v>1397</v>
      </c>
      <c r="B176" s="53" t="s">
        <v>30</v>
      </c>
      <c r="C176" s="53" t="s">
        <v>2</v>
      </c>
      <c r="D176" s="53" t="s">
        <v>1827</v>
      </c>
      <c r="E176" s="53" t="s">
        <v>1588</v>
      </c>
      <c r="F176" s="57" t="s">
        <v>7</v>
      </c>
      <c r="G176" s="54" t="s">
        <v>7</v>
      </c>
      <c r="H176" s="175">
        <v>1</v>
      </c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</row>
    <row r="177" spans="1:32" ht="26.25" hidden="1" customHeight="1">
      <c r="A177" s="174"/>
      <c r="B177" s="174"/>
      <c r="C177" s="191"/>
      <c r="D177" s="174"/>
      <c r="E177" s="174"/>
      <c r="F177" s="192"/>
      <c r="G177" s="194"/>
      <c r="H177" s="198" t="s">
        <v>2729</v>
      </c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 spans="1:32" ht="26.25" hidden="1" customHeight="1">
      <c r="A178" s="53" t="s">
        <v>1470</v>
      </c>
      <c r="B178" s="53" t="s">
        <v>30</v>
      </c>
      <c r="C178" s="24" t="s">
        <v>2</v>
      </c>
      <c r="D178" s="53" t="s">
        <v>2546</v>
      </c>
      <c r="E178" s="53" t="s">
        <v>274</v>
      </c>
      <c r="F178" s="57" t="s">
        <v>7</v>
      </c>
      <c r="G178" s="54" t="s">
        <v>7</v>
      </c>
      <c r="H178" s="198">
        <v>1</v>
      </c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 spans="1:32" ht="26.25" hidden="1" customHeight="1">
      <c r="A179" s="174"/>
      <c r="B179" s="174"/>
      <c r="C179" s="191"/>
      <c r="D179" s="174"/>
      <c r="E179" s="174"/>
      <c r="F179" s="192"/>
      <c r="G179" s="194"/>
      <c r="H179" s="198" t="s">
        <v>2729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 spans="1:32" ht="26.25" hidden="1" customHeight="1">
      <c r="A180" s="53" t="s">
        <v>28</v>
      </c>
      <c r="B180" s="53" t="s">
        <v>30</v>
      </c>
      <c r="C180" s="24" t="s">
        <v>2</v>
      </c>
      <c r="D180" s="53" t="s">
        <v>2546</v>
      </c>
      <c r="E180" s="53" t="s">
        <v>274</v>
      </c>
      <c r="F180" s="57" t="s">
        <v>7</v>
      </c>
      <c r="G180" s="54" t="s">
        <v>7</v>
      </c>
      <c r="H180" s="198">
        <v>1</v>
      </c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 spans="1:32" ht="26.25" hidden="1" customHeight="1">
      <c r="A181" s="53" t="s">
        <v>28</v>
      </c>
      <c r="B181" s="53" t="s">
        <v>30</v>
      </c>
      <c r="C181" s="24" t="s">
        <v>2</v>
      </c>
      <c r="D181" s="53" t="s">
        <v>2546</v>
      </c>
      <c r="E181" s="53" t="s">
        <v>274</v>
      </c>
      <c r="F181" s="57" t="s">
        <v>7</v>
      </c>
      <c r="G181" s="54" t="s">
        <v>7</v>
      </c>
      <c r="H181" s="198">
        <v>1</v>
      </c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</row>
    <row r="182" spans="1:32" ht="26.25" hidden="1" customHeight="1">
      <c r="A182" s="53" t="s">
        <v>28</v>
      </c>
      <c r="B182" s="53" t="s">
        <v>30</v>
      </c>
      <c r="C182" s="24" t="s">
        <v>2</v>
      </c>
      <c r="D182" s="53" t="s">
        <v>2546</v>
      </c>
      <c r="E182" s="53" t="s">
        <v>274</v>
      </c>
      <c r="F182" s="57" t="s">
        <v>7</v>
      </c>
      <c r="G182" s="54" t="s">
        <v>7</v>
      </c>
      <c r="H182" s="198">
        <v>1</v>
      </c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</row>
    <row r="183" spans="1:32" ht="26.25" hidden="1" customHeight="1">
      <c r="A183" s="53" t="s">
        <v>28</v>
      </c>
      <c r="B183" s="53" t="s">
        <v>30</v>
      </c>
      <c r="C183" s="24" t="s">
        <v>2</v>
      </c>
      <c r="D183" s="53" t="s">
        <v>2546</v>
      </c>
      <c r="E183" s="53" t="s">
        <v>274</v>
      </c>
      <c r="F183" s="57" t="s">
        <v>693</v>
      </c>
      <c r="G183" s="54" t="s">
        <v>7</v>
      </c>
      <c r="H183" s="198">
        <v>1</v>
      </c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 t="s">
        <v>502</v>
      </c>
    </row>
    <row r="184" spans="1:32" ht="26.25" hidden="1" customHeight="1">
      <c r="A184" s="53" t="s">
        <v>28</v>
      </c>
      <c r="B184" s="53" t="s">
        <v>30</v>
      </c>
      <c r="C184" s="24" t="s">
        <v>2</v>
      </c>
      <c r="D184" s="53" t="s">
        <v>2546</v>
      </c>
      <c r="E184" s="53" t="s">
        <v>274</v>
      </c>
      <c r="F184" s="57" t="s">
        <v>7</v>
      </c>
      <c r="G184" s="54" t="s">
        <v>7</v>
      </c>
      <c r="H184" s="198">
        <v>1</v>
      </c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 t="s">
        <v>502</v>
      </c>
    </row>
    <row r="185" spans="1:32" ht="26.25" hidden="1" customHeight="1">
      <c r="A185" s="53" t="s">
        <v>28</v>
      </c>
      <c r="B185" s="53" t="s">
        <v>30</v>
      </c>
      <c r="C185" s="24" t="s">
        <v>2</v>
      </c>
      <c r="D185" s="53" t="s">
        <v>2546</v>
      </c>
      <c r="E185" s="53" t="s">
        <v>274</v>
      </c>
      <c r="F185" s="57" t="s">
        <v>7</v>
      </c>
      <c r="G185" s="54" t="s">
        <v>7</v>
      </c>
      <c r="H185" s="198">
        <v>1</v>
      </c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</row>
    <row r="186" spans="1:32" ht="26.25" hidden="1" customHeight="1">
      <c r="A186" s="174"/>
      <c r="B186" s="174"/>
      <c r="C186" s="191"/>
      <c r="D186" s="174"/>
      <c r="E186" s="174"/>
      <c r="F186" s="192"/>
      <c r="G186" s="194"/>
      <c r="H186" s="175" t="s">
        <v>2743</v>
      </c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</row>
    <row r="187" spans="1:32" ht="26.25" hidden="1" customHeight="1">
      <c r="A187" s="53" t="s">
        <v>9</v>
      </c>
      <c r="B187" s="53" t="s">
        <v>30</v>
      </c>
      <c r="C187" s="24" t="s">
        <v>2</v>
      </c>
      <c r="D187" s="53" t="s">
        <v>2546</v>
      </c>
      <c r="E187" s="53" t="s">
        <v>274</v>
      </c>
      <c r="F187" s="57" t="s">
        <v>7</v>
      </c>
      <c r="G187" s="54" t="s">
        <v>7</v>
      </c>
      <c r="H187" s="175">
        <v>1</v>
      </c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</row>
    <row r="188" spans="1:32" ht="26.25" hidden="1" customHeight="1">
      <c r="A188" s="53" t="s">
        <v>9</v>
      </c>
      <c r="B188" s="53" t="s">
        <v>30</v>
      </c>
      <c r="C188" s="24" t="s">
        <v>2</v>
      </c>
      <c r="D188" s="53" t="s">
        <v>2546</v>
      </c>
      <c r="E188" s="53" t="s">
        <v>274</v>
      </c>
      <c r="F188" s="57" t="s">
        <v>7</v>
      </c>
      <c r="G188" s="54" t="s">
        <v>7</v>
      </c>
      <c r="H188" s="175">
        <v>1</v>
      </c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</row>
    <row r="189" spans="1:32" ht="26.25" hidden="1" customHeight="1">
      <c r="A189" s="53" t="s">
        <v>9</v>
      </c>
      <c r="B189" s="53" t="s">
        <v>30</v>
      </c>
      <c r="C189" s="24" t="s">
        <v>2</v>
      </c>
      <c r="D189" s="53" t="s">
        <v>2546</v>
      </c>
      <c r="E189" s="53" t="s">
        <v>274</v>
      </c>
      <c r="F189" s="57" t="s">
        <v>7</v>
      </c>
      <c r="G189" s="54" t="s">
        <v>7</v>
      </c>
      <c r="H189" s="175">
        <v>1</v>
      </c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</row>
    <row r="190" spans="1:32" ht="26.25" hidden="1" customHeight="1">
      <c r="A190" s="174"/>
      <c r="B190" s="174"/>
      <c r="C190" s="191"/>
      <c r="D190" s="191"/>
      <c r="E190" s="174"/>
      <c r="F190" s="192"/>
      <c r="G190" s="194"/>
      <c r="H190" s="173" t="s">
        <v>2744</v>
      </c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</row>
    <row r="191" spans="1:32" ht="26.25" hidden="1" customHeight="1">
      <c r="A191" s="24" t="s">
        <v>28</v>
      </c>
      <c r="B191" s="24"/>
      <c r="C191" s="24" t="s">
        <v>215</v>
      </c>
      <c r="D191" s="24"/>
      <c r="E191" s="24" t="s">
        <v>274</v>
      </c>
      <c r="F191" s="25" t="s">
        <v>7</v>
      </c>
      <c r="G191" s="26" t="s">
        <v>7</v>
      </c>
      <c r="H191" s="173">
        <v>1</v>
      </c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</row>
    <row r="192" spans="1:32" ht="26.25" hidden="1" customHeight="1">
      <c r="A192" s="174"/>
      <c r="B192" s="174"/>
      <c r="C192" s="191"/>
      <c r="D192" s="191"/>
      <c r="E192" s="174"/>
      <c r="F192" s="192"/>
      <c r="G192" s="194"/>
      <c r="H192" s="173" t="s">
        <v>2729</v>
      </c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</row>
    <row r="193" spans="1:32" ht="26.25" hidden="1" customHeight="1">
      <c r="A193" s="53" t="s">
        <v>28</v>
      </c>
      <c r="B193" s="53" t="s">
        <v>50</v>
      </c>
      <c r="C193" s="24" t="s">
        <v>32</v>
      </c>
      <c r="D193" s="24" t="s">
        <v>1666</v>
      </c>
      <c r="E193" s="53" t="s">
        <v>2649</v>
      </c>
      <c r="F193" s="57" t="s">
        <v>693</v>
      </c>
      <c r="G193" s="54" t="s">
        <v>143</v>
      </c>
      <c r="H193" s="173">
        <v>1</v>
      </c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</row>
    <row r="194" spans="1:32" ht="26.25" hidden="1" customHeight="1">
      <c r="A194" s="24" t="s">
        <v>28</v>
      </c>
      <c r="B194" s="24"/>
      <c r="C194" s="24" t="s">
        <v>215</v>
      </c>
      <c r="D194" s="24"/>
      <c r="E194" s="24" t="s">
        <v>2649</v>
      </c>
      <c r="F194" s="25"/>
      <c r="G194" s="26" t="s">
        <v>143</v>
      </c>
      <c r="H194" s="173">
        <v>1</v>
      </c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</row>
    <row r="195" spans="1:32" ht="26.25" hidden="1" customHeight="1">
      <c r="A195" s="191"/>
      <c r="B195" s="191"/>
      <c r="C195" s="191"/>
      <c r="D195" s="191"/>
      <c r="E195" s="191"/>
      <c r="F195" s="196"/>
      <c r="G195" s="197"/>
      <c r="H195" s="173" t="s">
        <v>2745</v>
      </c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</row>
    <row r="196" spans="1:32" ht="26.25" hidden="1" customHeight="1">
      <c r="A196" s="24" t="s">
        <v>28</v>
      </c>
      <c r="B196" s="24" t="s">
        <v>50</v>
      </c>
      <c r="C196" s="24" t="s">
        <v>32</v>
      </c>
      <c r="D196" s="24" t="s">
        <v>1674</v>
      </c>
      <c r="E196" s="24" t="s">
        <v>2652</v>
      </c>
      <c r="F196" s="25" t="s">
        <v>693</v>
      </c>
      <c r="G196" s="26" t="s">
        <v>143</v>
      </c>
      <c r="H196" s="173">
        <v>1</v>
      </c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</row>
    <row r="197" spans="1:32" ht="26.25" hidden="1" customHeight="1">
      <c r="A197" s="24" t="s">
        <v>28</v>
      </c>
      <c r="B197" s="24" t="s">
        <v>50</v>
      </c>
      <c r="C197" s="24" t="s">
        <v>32</v>
      </c>
      <c r="D197" s="24" t="s">
        <v>1718</v>
      </c>
      <c r="E197" s="24" t="s">
        <v>2652</v>
      </c>
      <c r="F197" s="25" t="s">
        <v>7</v>
      </c>
      <c r="G197" s="26" t="s">
        <v>7</v>
      </c>
      <c r="H197" s="173">
        <v>1</v>
      </c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</row>
    <row r="198" spans="1:32" ht="26.25" hidden="1" customHeight="1">
      <c r="A198" s="53" t="s">
        <v>28</v>
      </c>
      <c r="B198" s="53"/>
      <c r="C198" s="24" t="s">
        <v>215</v>
      </c>
      <c r="D198" s="24"/>
      <c r="E198" s="24" t="s">
        <v>2652</v>
      </c>
      <c r="F198" s="57"/>
      <c r="G198" s="54" t="s">
        <v>143</v>
      </c>
      <c r="H198" s="173">
        <v>1</v>
      </c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</row>
    <row r="199" spans="1:32" ht="26.25" hidden="1" customHeight="1">
      <c r="A199" s="174"/>
      <c r="B199" s="174"/>
      <c r="C199" s="191"/>
      <c r="D199" s="191"/>
      <c r="E199" s="174"/>
      <c r="F199" s="192"/>
      <c r="G199" s="194"/>
      <c r="H199" s="198" t="s">
        <v>2746</v>
      </c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</row>
    <row r="200" spans="1:32" ht="26.25" hidden="1" customHeight="1">
      <c r="A200" s="53" t="s">
        <v>28</v>
      </c>
      <c r="B200" s="53" t="s">
        <v>50</v>
      </c>
      <c r="C200" s="24" t="s">
        <v>32</v>
      </c>
      <c r="D200" s="24" t="s">
        <v>1680</v>
      </c>
      <c r="E200" s="53" t="s">
        <v>113</v>
      </c>
      <c r="F200" s="57" t="s">
        <v>693</v>
      </c>
      <c r="G200" s="54" t="s">
        <v>143</v>
      </c>
      <c r="H200" s="198">
        <v>1</v>
      </c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</row>
    <row r="201" spans="1:32" ht="26.25" hidden="1" customHeight="1">
      <c r="A201" s="5" t="s">
        <v>28</v>
      </c>
      <c r="B201" s="5" t="s">
        <v>50</v>
      </c>
      <c r="C201" s="24" t="s">
        <v>32</v>
      </c>
      <c r="D201" s="5" t="s">
        <v>1930</v>
      </c>
      <c r="E201" s="53" t="s">
        <v>113</v>
      </c>
      <c r="F201" s="11" t="s">
        <v>7</v>
      </c>
      <c r="G201" s="7" t="s">
        <v>7</v>
      </c>
      <c r="H201" s="173">
        <v>1</v>
      </c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</row>
    <row r="202" spans="1:32" ht="26.25" hidden="1" customHeight="1">
      <c r="A202" s="24" t="s">
        <v>28</v>
      </c>
      <c r="B202" s="24"/>
      <c r="C202" s="24" t="s">
        <v>215</v>
      </c>
      <c r="D202" s="24"/>
      <c r="E202" s="24" t="s">
        <v>113</v>
      </c>
      <c r="F202" s="25"/>
      <c r="G202" s="26" t="s">
        <v>143</v>
      </c>
      <c r="H202" s="175">
        <v>1</v>
      </c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</row>
    <row r="203" spans="1:32" ht="26.25" hidden="1" customHeight="1">
      <c r="A203" s="190"/>
      <c r="B203" s="190"/>
      <c r="C203" s="190"/>
      <c r="D203" s="190"/>
      <c r="E203" s="190"/>
      <c r="F203" s="199"/>
      <c r="G203" s="193"/>
      <c r="H203" s="173" t="s">
        <v>2744</v>
      </c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</row>
    <row r="204" spans="1:32" ht="26.25" hidden="1" customHeight="1">
      <c r="A204" s="190"/>
      <c r="B204" s="190"/>
      <c r="C204" s="190"/>
      <c r="D204" s="190"/>
      <c r="E204" s="190"/>
      <c r="F204" s="199"/>
      <c r="G204" s="193"/>
      <c r="H204" s="173" t="s">
        <v>2747</v>
      </c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</row>
  </sheetData>
  <autoFilter ref="A33:G204" xr:uid="{00000000-0009-0000-0000-00000F000000}">
    <filterColumn colId="0">
      <filters blank="1">
        <filter val="ENCAR"/>
        <filter val="PORTEIRO"/>
        <filter val="ZELAD"/>
      </filters>
    </filterColumn>
    <filterColumn colId="1">
      <filters>
        <filter val="A  - 12 por 36"/>
        <filter val="C - menos de 44h"/>
      </filters>
    </filterColumn>
    <sortState xmlns:xlrd2="http://schemas.microsoft.com/office/spreadsheetml/2017/richdata2" ref="A33:G204">
      <sortCondition ref="E33:E204"/>
      <sortCondition ref="D33:D204"/>
      <sortCondition ref="B33:B204"/>
      <sortCondition ref="A33:A204"/>
    </sortState>
  </autoFilter>
  <dataValidations count="5">
    <dataValidation type="list" allowBlank="1" showErrorMessage="1" sqref="A11 A15 A19 A22:A23 A27 A34:A56 A58:A59 A61:A63 A65:A67 A69:A73 A75:A77 A85:A98 A100:A136 A138:A140 A142 A144:A146 A148:A165 A167:A169 A171:A174 A176 A178 A180:A185 A187:A189 A191 A193:A194 A196:A198 A200:A202" xr:uid="{00000000-0002-0000-0F00-000000000000}">
      <formula1>"LIMPADOR,PORTEIRO,MANUTENCIONISTA,ZELAD,ENCAR,JARDINEIRO,COORDENADOR DE ENTREGAS"</formula1>
    </dataValidation>
    <dataValidation type="list" allowBlank="1" showDropDown="1" showErrorMessage="1" sqref="F11 F15 F19 F22:F23 F27 F34:F77 F85:F109 F111:F204" xr:uid="{00000000-0002-0000-0F00-000001000000}">
      <formula1>"N/A,20% INSALUB,40% INSALUB"</formula1>
    </dataValidation>
    <dataValidation type="list" allowBlank="1" showErrorMessage="1" sqref="B11 B15 B19 B22:B23 B27 B34:B56 B58:B59 B61:B63 B65:B67 B69:B73 B75:B77 B85:B98 B100:B136 B138:B140 B142 B144:B146 B148:B165 B167:B169 B171:B174 B176 B178 B180:B185 B187:B189 B191 B193:B194 B196:B198 B200:B202" xr:uid="{00000000-0002-0000-0F00-000002000000}">
      <formula1>"A  - 12 por 36,B - 44 horas,C - menos de 44h"</formula1>
    </dataValidation>
    <dataValidation type="list" allowBlank="1" showDropDown="1" showErrorMessage="1" sqref="G11 G15 G19 G22:G23 G27 G34:G77 G85:G109 F110:G110 G111:G204" xr:uid="{00000000-0002-0000-0F00-000003000000}">
      <formula1>"N/A,NR32,NR35"</formula1>
    </dataValidation>
    <dataValidation type="list" allowBlank="1" showErrorMessage="1" sqref="G2:G10 G12:G14 G16:G18 G20:G21 G24:G26 G28:G32" xr:uid="{00000000-0002-0000-0F00-000004000000}">
      <formula1>"N/A,NR32,NR35"</formula1>
    </dataValidation>
  </dataValidations>
  <printOptions horizontalCentered="1"/>
  <pageMargins left="0.25" right="0.25" top="0.2638739269015915" bottom="0.30510422797996523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2:G1016"/>
  <sheetViews>
    <sheetView workbookViewId="0"/>
  </sheetViews>
  <sheetFormatPr defaultColWidth="12.5703125" defaultRowHeight="15" customHeight="1"/>
  <cols>
    <col min="2" max="2" width="20.42578125" customWidth="1"/>
    <col min="3" max="3" width="19.42578125" customWidth="1"/>
    <col min="5" max="5" width="26.7109375" customWidth="1"/>
    <col min="6" max="6" width="33.42578125" customWidth="1"/>
    <col min="7" max="7" width="25.5703125" customWidth="1"/>
  </cols>
  <sheetData>
    <row r="2" spans="1:7">
      <c r="A2" s="53" t="s">
        <v>2432</v>
      </c>
      <c r="B2" s="53" t="s">
        <v>9</v>
      </c>
      <c r="C2" s="53" t="s">
        <v>10</v>
      </c>
      <c r="D2" s="53" t="s">
        <v>49</v>
      </c>
      <c r="E2" s="53" t="s">
        <v>11</v>
      </c>
      <c r="F2" s="53" t="e">
        <f>VLOOKUP(A2,#REF!,2,FALSE())</f>
        <v>#REF!</v>
      </c>
      <c r="G2" s="53" t="e">
        <f>VLOOKUP(A2,#REF!,7,FALSE())</f>
        <v>#REF!</v>
      </c>
    </row>
    <row r="3" spans="1:7">
      <c r="A3" s="2" t="s">
        <v>2432</v>
      </c>
      <c r="B3" s="53" t="s">
        <v>9</v>
      </c>
      <c r="C3" s="53" t="s">
        <v>10</v>
      </c>
      <c r="D3" s="53" t="s">
        <v>49</v>
      </c>
      <c r="E3" s="53" t="s">
        <v>11</v>
      </c>
      <c r="F3" s="2" t="e">
        <f>VLOOKUP(A3,#REF!,2,FALSE())</f>
        <v>#REF!</v>
      </c>
      <c r="G3" s="53" t="e">
        <f>VLOOKUP(A3,#REF!,7,FALSE())</f>
        <v>#REF!</v>
      </c>
    </row>
    <row r="4" spans="1:7">
      <c r="A4" s="2" t="s">
        <v>2432</v>
      </c>
      <c r="B4" s="53" t="s">
        <v>9</v>
      </c>
      <c r="C4" s="53" t="s">
        <v>157</v>
      </c>
      <c r="D4" s="53" t="s">
        <v>49</v>
      </c>
      <c r="E4" s="53" t="s">
        <v>11</v>
      </c>
      <c r="F4" s="2" t="e">
        <f>VLOOKUP(A4,#REF!,2,FALSE())</f>
        <v>#REF!</v>
      </c>
      <c r="G4" s="53" t="e">
        <f>VLOOKUP(A4,#REF!,7,FALSE())</f>
        <v>#REF!</v>
      </c>
    </row>
    <row r="5" spans="1:7">
      <c r="A5" s="2" t="s">
        <v>2432</v>
      </c>
      <c r="B5" s="53" t="s">
        <v>9</v>
      </c>
      <c r="C5" s="53" t="s">
        <v>157</v>
      </c>
      <c r="D5" s="53" t="s">
        <v>49</v>
      </c>
      <c r="E5" s="53" t="s">
        <v>11</v>
      </c>
      <c r="F5" s="2" t="e">
        <f>VLOOKUP(A5,#REF!,2,FALSE())</f>
        <v>#REF!</v>
      </c>
      <c r="G5" s="53" t="e">
        <f>VLOOKUP(A5,#REF!,7,FALSE())</f>
        <v>#REF!</v>
      </c>
    </row>
    <row r="6" spans="1:7">
      <c r="A6" s="2" t="s">
        <v>119</v>
      </c>
      <c r="B6" s="53" t="s">
        <v>9</v>
      </c>
      <c r="C6" s="53" t="s">
        <v>10</v>
      </c>
      <c r="D6" s="53" t="s">
        <v>49</v>
      </c>
      <c r="E6" s="53" t="s">
        <v>11</v>
      </c>
      <c r="F6" s="2" t="e">
        <f>VLOOKUP(A6,#REF!,2,FALSE())</f>
        <v>#REF!</v>
      </c>
      <c r="G6" s="53" t="e">
        <f>VLOOKUP(A6,#REF!,7,FALSE())</f>
        <v>#REF!</v>
      </c>
    </row>
    <row r="7" spans="1:7">
      <c r="A7" s="2" t="s">
        <v>119</v>
      </c>
      <c r="B7" s="53" t="s">
        <v>9</v>
      </c>
      <c r="C7" s="53" t="s">
        <v>10</v>
      </c>
      <c r="D7" s="53" t="s">
        <v>49</v>
      </c>
      <c r="E7" s="53" t="s">
        <v>11</v>
      </c>
      <c r="F7" s="2" t="e">
        <f>VLOOKUP(A7,#REF!,2,FALSE())</f>
        <v>#REF!</v>
      </c>
      <c r="G7" s="53" t="e">
        <f>VLOOKUP(A7,#REF!,7,FALSE())</f>
        <v>#REF!</v>
      </c>
    </row>
    <row r="8" spans="1:7">
      <c r="A8" s="2" t="s">
        <v>119</v>
      </c>
      <c r="B8" s="53" t="s">
        <v>9</v>
      </c>
      <c r="C8" s="53" t="s">
        <v>157</v>
      </c>
      <c r="D8" s="53" t="s">
        <v>49</v>
      </c>
      <c r="E8" s="53" t="s">
        <v>11</v>
      </c>
      <c r="F8" s="2" t="e">
        <f>VLOOKUP(A8,#REF!,2,FALSE())</f>
        <v>#REF!</v>
      </c>
      <c r="G8" s="53" t="e">
        <f>VLOOKUP(A8,#REF!,7,FALSE())</f>
        <v>#REF!</v>
      </c>
    </row>
    <row r="9" spans="1:7">
      <c r="A9" s="2" t="s">
        <v>119</v>
      </c>
      <c r="B9" s="53" t="s">
        <v>9</v>
      </c>
      <c r="C9" s="53" t="s">
        <v>157</v>
      </c>
      <c r="D9" s="53" t="s">
        <v>49</v>
      </c>
      <c r="E9" s="53" t="s">
        <v>11</v>
      </c>
      <c r="F9" s="2" t="e">
        <f>VLOOKUP(A9,#REF!,2,FALSE())</f>
        <v>#REF!</v>
      </c>
      <c r="G9" s="53" t="e">
        <f>VLOOKUP(A9,#REF!,7,FALSE())</f>
        <v>#REF!</v>
      </c>
    </row>
    <row r="10" spans="1:7">
      <c r="A10" s="2" t="s">
        <v>2722</v>
      </c>
      <c r="B10" s="53" t="s">
        <v>9</v>
      </c>
      <c r="C10" s="53" t="s">
        <v>10</v>
      </c>
      <c r="D10" s="53" t="s">
        <v>49</v>
      </c>
      <c r="E10" s="53" t="s">
        <v>11</v>
      </c>
      <c r="F10" s="2" t="e">
        <f>VLOOKUP(A10,#REF!,2,FALSE())</f>
        <v>#REF!</v>
      </c>
      <c r="G10" s="53" t="e">
        <f>VLOOKUP(A10,#REF!,7,FALSE())</f>
        <v>#REF!</v>
      </c>
    </row>
    <row r="11" spans="1:7">
      <c r="A11" s="2" t="s">
        <v>2722</v>
      </c>
      <c r="B11" s="53" t="s">
        <v>9</v>
      </c>
      <c r="C11" s="53" t="s">
        <v>10</v>
      </c>
      <c r="D11" s="53" t="s">
        <v>49</v>
      </c>
      <c r="E11" s="53" t="s">
        <v>11</v>
      </c>
      <c r="F11" s="2" t="e">
        <f>VLOOKUP(A11,#REF!,2,FALSE())</f>
        <v>#REF!</v>
      </c>
      <c r="G11" s="53" t="e">
        <f>VLOOKUP(A11,#REF!,7,FALSE())</f>
        <v>#REF!</v>
      </c>
    </row>
    <row r="12" spans="1:7">
      <c r="A12" s="2" t="s">
        <v>2722</v>
      </c>
      <c r="B12" s="53" t="s">
        <v>9</v>
      </c>
      <c r="C12" s="53" t="s">
        <v>157</v>
      </c>
      <c r="D12" s="53" t="s">
        <v>49</v>
      </c>
      <c r="E12" s="53" t="s">
        <v>11</v>
      </c>
      <c r="F12" s="2" t="e">
        <f>VLOOKUP(A12,#REF!,2,FALSE())</f>
        <v>#REF!</v>
      </c>
      <c r="G12" s="53" t="e">
        <f>VLOOKUP(A12,#REF!,7,FALSE())</f>
        <v>#REF!</v>
      </c>
    </row>
    <row r="13" spans="1:7">
      <c r="A13" s="2" t="s">
        <v>2722</v>
      </c>
      <c r="B13" s="53" t="s">
        <v>9</v>
      </c>
      <c r="C13" s="53" t="s">
        <v>157</v>
      </c>
      <c r="D13" s="53" t="s">
        <v>49</v>
      </c>
      <c r="E13" s="53" t="s">
        <v>11</v>
      </c>
      <c r="F13" s="2" t="e">
        <f>VLOOKUP(A13,#REF!,2,FALSE())</f>
        <v>#REF!</v>
      </c>
      <c r="G13" s="53" t="e">
        <f>VLOOKUP(A13,#REF!,7,FALSE())</f>
        <v>#REF!</v>
      </c>
    </row>
    <row r="14" spans="1:7">
      <c r="A14" s="2" t="s">
        <v>2461</v>
      </c>
      <c r="B14" s="53" t="s">
        <v>9</v>
      </c>
      <c r="C14" s="53" t="s">
        <v>10</v>
      </c>
      <c r="D14" s="53" t="s">
        <v>49</v>
      </c>
      <c r="E14" s="53" t="s">
        <v>11</v>
      </c>
      <c r="F14" s="2" t="e">
        <f>VLOOKUP(A14,#REF!,2,FALSE())</f>
        <v>#REF!</v>
      </c>
      <c r="G14" s="53" t="e">
        <f>VLOOKUP(A14,#REF!,7,FALSE())</f>
        <v>#REF!</v>
      </c>
    </row>
    <row r="15" spans="1:7">
      <c r="A15" s="2" t="s">
        <v>2461</v>
      </c>
      <c r="B15" s="53" t="s">
        <v>9</v>
      </c>
      <c r="C15" s="53" t="s">
        <v>10</v>
      </c>
      <c r="D15" s="53" t="s">
        <v>49</v>
      </c>
      <c r="E15" s="53" t="s">
        <v>11</v>
      </c>
      <c r="F15" s="2" t="e">
        <f>VLOOKUP(A15,#REF!,2,FALSE())</f>
        <v>#REF!</v>
      </c>
      <c r="G15" s="53" t="e">
        <f>VLOOKUP(A15,#REF!,7,FALSE())</f>
        <v>#REF!</v>
      </c>
    </row>
    <row r="16" spans="1:7">
      <c r="A16" s="2" t="s">
        <v>2461</v>
      </c>
      <c r="B16" s="53" t="s">
        <v>9</v>
      </c>
      <c r="C16" s="53" t="s">
        <v>157</v>
      </c>
      <c r="D16" s="53" t="s">
        <v>49</v>
      </c>
      <c r="E16" s="53" t="s">
        <v>11</v>
      </c>
      <c r="F16" s="2" t="e">
        <f>VLOOKUP(A16,#REF!,2,FALSE())</f>
        <v>#REF!</v>
      </c>
      <c r="G16" s="53" t="e">
        <f>VLOOKUP(A16,#REF!,7,FALSE())</f>
        <v>#REF!</v>
      </c>
    </row>
    <row r="17" spans="1:7">
      <c r="A17" s="2" t="s">
        <v>2461</v>
      </c>
      <c r="B17" s="53" t="s">
        <v>9</v>
      </c>
      <c r="C17" s="53" t="s">
        <v>157</v>
      </c>
      <c r="D17" s="53" t="s">
        <v>49</v>
      </c>
      <c r="E17" s="53" t="s">
        <v>11</v>
      </c>
      <c r="F17" s="2" t="e">
        <f>VLOOKUP(A17,#REF!,2,FALSE())</f>
        <v>#REF!</v>
      </c>
      <c r="G17" s="53" t="e">
        <f>VLOOKUP(A17,#REF!,7,FALSE())</f>
        <v>#REF!</v>
      </c>
    </row>
    <row r="18" spans="1:7">
      <c r="A18" s="3" t="s">
        <v>407</v>
      </c>
      <c r="B18" s="5" t="s">
        <v>9</v>
      </c>
      <c r="C18" s="5" t="s">
        <v>157</v>
      </c>
      <c r="D18" s="5" t="s">
        <v>49</v>
      </c>
      <c r="E18" s="5" t="s">
        <v>11</v>
      </c>
      <c r="F18" s="3" t="e">
        <f>VLOOKUP(A18,#REF!,2,FALSE())</f>
        <v>#REF!</v>
      </c>
      <c r="G18" s="5" t="e">
        <f>VLOOKUP(A18,#REF!,7,FALSE())</f>
        <v>#REF!</v>
      </c>
    </row>
    <row r="19" spans="1:7">
      <c r="A19" s="3" t="s">
        <v>1507</v>
      </c>
      <c r="B19" s="5" t="s">
        <v>28</v>
      </c>
      <c r="C19" s="5" t="s">
        <v>10</v>
      </c>
      <c r="D19" s="5" t="s">
        <v>49</v>
      </c>
      <c r="E19" s="5" t="s">
        <v>11</v>
      </c>
      <c r="F19" s="3" t="e">
        <f>VLOOKUP(A19,#REF!,2,FALSE())</f>
        <v>#REF!</v>
      </c>
      <c r="G19" s="5" t="e">
        <f>VLOOKUP(A19,#REF!,7,FALSE())</f>
        <v>#REF!</v>
      </c>
    </row>
    <row r="20" spans="1:7">
      <c r="A20" s="3" t="s">
        <v>1507</v>
      </c>
      <c r="B20" s="5" t="s">
        <v>28</v>
      </c>
      <c r="C20" s="5" t="s">
        <v>10</v>
      </c>
      <c r="D20" s="5" t="s">
        <v>49</v>
      </c>
      <c r="E20" s="5" t="s">
        <v>11</v>
      </c>
      <c r="F20" s="3" t="e">
        <f>VLOOKUP(A20,#REF!,2,FALSE())</f>
        <v>#REF!</v>
      </c>
      <c r="G20" s="5" t="e">
        <f>VLOOKUP(A20,#REF!,7,FALSE())</f>
        <v>#REF!</v>
      </c>
    </row>
    <row r="21" spans="1:7">
      <c r="A21" s="2" t="s">
        <v>1524</v>
      </c>
      <c r="B21" s="53" t="s">
        <v>9</v>
      </c>
      <c r="C21" s="53" t="s">
        <v>10</v>
      </c>
      <c r="D21" s="53" t="s">
        <v>49</v>
      </c>
      <c r="E21" s="53" t="s">
        <v>11</v>
      </c>
      <c r="F21" s="2" t="e">
        <f>VLOOKUP(A21,#REF!,2,FALSE())</f>
        <v>#REF!</v>
      </c>
      <c r="G21" s="53" t="e">
        <f>VLOOKUP(A21,#REF!,7,FALSE())</f>
        <v>#REF!</v>
      </c>
    </row>
    <row r="22" spans="1:7">
      <c r="A22" s="2" t="s">
        <v>1524</v>
      </c>
      <c r="B22" s="53" t="s">
        <v>9</v>
      </c>
      <c r="C22" s="53" t="s">
        <v>10</v>
      </c>
      <c r="D22" s="53" t="s">
        <v>49</v>
      </c>
      <c r="E22" s="53" t="s">
        <v>11</v>
      </c>
      <c r="F22" s="2" t="e">
        <f>VLOOKUP(A22,#REF!,2,FALSE())</f>
        <v>#REF!</v>
      </c>
      <c r="G22" s="53" t="e">
        <f>VLOOKUP(A22,#REF!,7,FALSE())</f>
        <v>#REF!</v>
      </c>
    </row>
    <row r="23" spans="1:7">
      <c r="A23" s="2" t="s">
        <v>1524</v>
      </c>
      <c r="B23" s="53" t="s">
        <v>9</v>
      </c>
      <c r="C23" s="53" t="s">
        <v>157</v>
      </c>
      <c r="D23" s="53" t="s">
        <v>49</v>
      </c>
      <c r="E23" s="53" t="s">
        <v>11</v>
      </c>
      <c r="F23" s="2" t="e">
        <f>VLOOKUP(A23,#REF!,2,FALSE())</f>
        <v>#REF!</v>
      </c>
      <c r="G23" s="53" t="e">
        <f>VLOOKUP(A23,#REF!,7,FALSE())</f>
        <v>#REF!</v>
      </c>
    </row>
    <row r="24" spans="1:7">
      <c r="A24" s="2" t="s">
        <v>1524</v>
      </c>
      <c r="B24" s="53" t="s">
        <v>9</v>
      </c>
      <c r="C24" s="53" t="s">
        <v>157</v>
      </c>
      <c r="D24" s="53" t="s">
        <v>49</v>
      </c>
      <c r="E24" s="53" t="s">
        <v>11</v>
      </c>
      <c r="F24" s="2" t="e">
        <f>VLOOKUP(A24,#REF!,2,FALSE())</f>
        <v>#REF!</v>
      </c>
      <c r="G24" s="53" t="e">
        <f>VLOOKUP(A24,#REF!,7,FALSE())</f>
        <v>#REF!</v>
      </c>
    </row>
    <row r="25" spans="1:7">
      <c r="A25" s="2" t="s">
        <v>2432</v>
      </c>
      <c r="B25" s="53" t="s">
        <v>9</v>
      </c>
      <c r="C25" s="53" t="s">
        <v>10</v>
      </c>
      <c r="D25" s="53" t="s">
        <v>49</v>
      </c>
      <c r="E25" s="53" t="s">
        <v>11</v>
      </c>
      <c r="F25" s="2" t="e">
        <f>VLOOKUP(A25,#REF!,2,FALSE())</f>
        <v>#REF!</v>
      </c>
      <c r="G25" s="53" t="e">
        <f>VLOOKUP(A25,#REF!,7,FALSE())</f>
        <v>#REF!</v>
      </c>
    </row>
    <row r="26" spans="1:7">
      <c r="A26" s="2" t="s">
        <v>2558</v>
      </c>
      <c r="B26" s="53" t="s">
        <v>28</v>
      </c>
      <c r="C26" s="53" t="s">
        <v>10</v>
      </c>
      <c r="D26" s="53" t="s">
        <v>49</v>
      </c>
      <c r="E26" s="53" t="s">
        <v>30</v>
      </c>
      <c r="F26" s="23" t="e">
        <f>VLOOKUP(A26,#REF!,2,FALSE())</f>
        <v>#REF!</v>
      </c>
      <c r="G26" s="53" t="e">
        <f>VLOOKUP(A26,#REF!,7,FALSE())</f>
        <v>#REF!</v>
      </c>
    </row>
    <row r="27" spans="1:7">
      <c r="A27" s="2" t="s">
        <v>2635</v>
      </c>
      <c r="B27" s="53" t="s">
        <v>28</v>
      </c>
      <c r="C27" s="53" t="s">
        <v>10</v>
      </c>
      <c r="D27" s="53" t="s">
        <v>49</v>
      </c>
      <c r="E27" s="53" t="s">
        <v>30</v>
      </c>
      <c r="F27" s="23" t="e">
        <f>VLOOKUP(A27,#REF!,2,FALSE())</f>
        <v>#REF!</v>
      </c>
      <c r="G27" s="53" t="e">
        <f>VLOOKUP(A27,#REF!,7,FALSE())</f>
        <v>#REF!</v>
      </c>
    </row>
    <row r="28" spans="1:7">
      <c r="A28" s="2" t="s">
        <v>2432</v>
      </c>
      <c r="B28" s="53" t="s">
        <v>28</v>
      </c>
      <c r="C28" s="53" t="s">
        <v>10</v>
      </c>
      <c r="D28" s="53" t="s">
        <v>49</v>
      </c>
      <c r="E28" s="53" t="s">
        <v>30</v>
      </c>
      <c r="F28" s="2" t="e">
        <f>VLOOKUP(A28,#REF!,2,FALSE())</f>
        <v>#REF!</v>
      </c>
      <c r="G28" s="53" t="e">
        <f>VLOOKUP(A28,#REF!,7,FALSE())</f>
        <v>#REF!</v>
      </c>
    </row>
    <row r="29" spans="1:7">
      <c r="A29" s="2" t="s">
        <v>2432</v>
      </c>
      <c r="B29" s="53" t="s">
        <v>28</v>
      </c>
      <c r="C29" s="53" t="s">
        <v>10</v>
      </c>
      <c r="D29" s="53" t="s">
        <v>49</v>
      </c>
      <c r="E29" s="53" t="s">
        <v>30</v>
      </c>
      <c r="F29" s="2" t="e">
        <f>VLOOKUP(A29,#REF!,2,FALSE())</f>
        <v>#REF!</v>
      </c>
      <c r="G29" s="53" t="e">
        <f>VLOOKUP(A29,#REF!,7,FALSE())</f>
        <v>#REF!</v>
      </c>
    </row>
    <row r="30" spans="1:7">
      <c r="A30" s="2" t="s">
        <v>119</v>
      </c>
      <c r="B30" s="53" t="s">
        <v>28</v>
      </c>
      <c r="C30" s="53" t="s">
        <v>10</v>
      </c>
      <c r="D30" s="53" t="s">
        <v>49</v>
      </c>
      <c r="E30" s="53" t="s">
        <v>30</v>
      </c>
      <c r="F30" s="2" t="e">
        <f>VLOOKUP(A30,#REF!,2,FALSE())</f>
        <v>#REF!</v>
      </c>
      <c r="G30" s="53" t="e">
        <f>VLOOKUP(A30,#REF!,7,FALSE())</f>
        <v>#REF!</v>
      </c>
    </row>
    <row r="31" spans="1:7">
      <c r="A31" s="3" t="s">
        <v>2527</v>
      </c>
      <c r="B31" s="5" t="s">
        <v>28</v>
      </c>
      <c r="C31" s="5" t="s">
        <v>10</v>
      </c>
      <c r="D31" s="5" t="s">
        <v>49</v>
      </c>
      <c r="E31" s="5" t="s">
        <v>30</v>
      </c>
      <c r="F31" s="3" t="e">
        <f>VLOOKUP(A31,#REF!,2,FALSE())</f>
        <v>#REF!</v>
      </c>
      <c r="G31" s="5" t="e">
        <f>VLOOKUP(A31,#REF!,7,FALSE())</f>
        <v>#REF!</v>
      </c>
    </row>
    <row r="32" spans="1:7">
      <c r="A32" s="2" t="s">
        <v>2563</v>
      </c>
      <c r="B32" s="53" t="s">
        <v>28</v>
      </c>
      <c r="C32" s="53" t="s">
        <v>10</v>
      </c>
      <c r="D32" s="53" t="s">
        <v>49</v>
      </c>
      <c r="E32" s="53" t="s">
        <v>30</v>
      </c>
      <c r="F32" s="23" t="e">
        <f>VLOOKUP(A32,#REF!,2,FALSE())</f>
        <v>#REF!</v>
      </c>
      <c r="G32" s="53" t="s">
        <v>820</v>
      </c>
    </row>
    <row r="33" spans="1:7">
      <c r="A33" s="2" t="s">
        <v>2451</v>
      </c>
      <c r="B33" s="53" t="s">
        <v>28</v>
      </c>
      <c r="C33" s="53" t="s">
        <v>10</v>
      </c>
      <c r="D33" s="53" t="s">
        <v>49</v>
      </c>
      <c r="E33" s="53" t="s">
        <v>30</v>
      </c>
      <c r="F33" s="2" t="e">
        <f>VLOOKUP(A33,#REF!,2,FALSE())</f>
        <v>#REF!</v>
      </c>
      <c r="G33" s="53" t="e">
        <f>VLOOKUP(A33,#REF!,7,FALSE())</f>
        <v>#REF!</v>
      </c>
    </row>
    <row r="34" spans="1:7">
      <c r="A34" s="2" t="s">
        <v>2451</v>
      </c>
      <c r="B34" s="53" t="s">
        <v>28</v>
      </c>
      <c r="C34" s="53" t="s">
        <v>10</v>
      </c>
      <c r="D34" s="53" t="s">
        <v>49</v>
      </c>
      <c r="E34" s="53" t="s">
        <v>30</v>
      </c>
      <c r="F34" s="2" t="e">
        <f>VLOOKUP(A34,#REF!,2,FALSE())</f>
        <v>#REF!</v>
      </c>
      <c r="G34" s="53" t="e">
        <f>VLOOKUP(A34,#REF!,7,FALSE())</f>
        <v>#REF!</v>
      </c>
    </row>
    <row r="35" spans="1:7">
      <c r="A35" s="2" t="s">
        <v>2451</v>
      </c>
      <c r="B35" s="53" t="s">
        <v>28</v>
      </c>
      <c r="C35" s="53" t="s">
        <v>10</v>
      </c>
      <c r="D35" s="53" t="s">
        <v>49</v>
      </c>
      <c r="E35" s="53" t="s">
        <v>30</v>
      </c>
      <c r="F35" s="2" t="e">
        <f>VLOOKUP(A35,#REF!,2,FALSE())</f>
        <v>#REF!</v>
      </c>
      <c r="G35" s="53" t="e">
        <f>VLOOKUP(A35,#REF!,7,FALSE())</f>
        <v>#REF!</v>
      </c>
    </row>
    <row r="36" spans="1:7">
      <c r="A36" s="2" t="s">
        <v>2451</v>
      </c>
      <c r="B36" s="53" t="s">
        <v>28</v>
      </c>
      <c r="C36" s="53" t="s">
        <v>10</v>
      </c>
      <c r="D36" s="53" t="s">
        <v>49</v>
      </c>
      <c r="E36" s="53" t="s">
        <v>30</v>
      </c>
      <c r="F36" s="2" t="e">
        <f>VLOOKUP(A36,#REF!,2,FALSE())</f>
        <v>#REF!</v>
      </c>
      <c r="G36" s="53" t="e">
        <f>VLOOKUP(A36,#REF!,7,FALSE())</f>
        <v>#REF!</v>
      </c>
    </row>
    <row r="37" spans="1:7">
      <c r="A37" s="2" t="s">
        <v>2675</v>
      </c>
      <c r="B37" s="53" t="s">
        <v>28</v>
      </c>
      <c r="C37" s="53" t="s">
        <v>10</v>
      </c>
      <c r="D37" s="53" t="s">
        <v>49</v>
      </c>
      <c r="E37" s="53" t="s">
        <v>30</v>
      </c>
      <c r="F37" s="2" t="e">
        <f>VLOOKUP(A37,#REF!,2,FALSE())</f>
        <v>#REF!</v>
      </c>
      <c r="G37" s="53" t="e">
        <f>VLOOKUP(A37,#REF!,7,FALSE())</f>
        <v>#REF!</v>
      </c>
    </row>
    <row r="38" spans="1:7">
      <c r="A38" s="2" t="s">
        <v>2679</v>
      </c>
      <c r="B38" s="53" t="s">
        <v>28</v>
      </c>
      <c r="C38" s="53" t="s">
        <v>10</v>
      </c>
      <c r="D38" s="53" t="s">
        <v>49</v>
      </c>
      <c r="E38" s="53" t="s">
        <v>30</v>
      </c>
      <c r="F38" s="2" t="e">
        <f>VLOOKUP(A38,#REF!,2,FALSE())</f>
        <v>#REF!</v>
      </c>
      <c r="G38" s="53" t="e">
        <f>VLOOKUP(A38,#REF!,7,FALSE())</f>
        <v>#REF!</v>
      </c>
    </row>
    <row r="39" spans="1:7">
      <c r="A39" s="2" t="s">
        <v>2722</v>
      </c>
      <c r="B39" s="53" t="s">
        <v>28</v>
      </c>
      <c r="C39" s="53" t="s">
        <v>10</v>
      </c>
      <c r="D39" s="53" t="s">
        <v>49</v>
      </c>
      <c r="E39" s="53" t="s">
        <v>30</v>
      </c>
      <c r="F39" s="2" t="e">
        <f>VLOOKUP(A39,#REF!,2,FALSE())</f>
        <v>#REF!</v>
      </c>
      <c r="G39" s="53" t="e">
        <f>VLOOKUP(A39,#REF!,7,FALSE())</f>
        <v>#REF!</v>
      </c>
    </row>
    <row r="40" spans="1:7">
      <c r="A40" s="2" t="s">
        <v>2364</v>
      </c>
      <c r="B40" s="53" t="s">
        <v>28</v>
      </c>
      <c r="C40" s="53" t="s">
        <v>10</v>
      </c>
      <c r="D40" s="53" t="s">
        <v>49</v>
      </c>
      <c r="E40" s="53" t="s">
        <v>30</v>
      </c>
      <c r="F40" s="2" t="e">
        <f>VLOOKUP(A40,#REF!,2,FALSE())</f>
        <v>#REF!</v>
      </c>
      <c r="G40" s="53" t="e">
        <f>VLOOKUP(A40,#REF!,7,FALSE())</f>
        <v>#REF!</v>
      </c>
    </row>
    <row r="41" spans="1:7">
      <c r="A41" s="2" t="s">
        <v>2364</v>
      </c>
      <c r="B41" s="53" t="s">
        <v>28</v>
      </c>
      <c r="C41" s="53" t="s">
        <v>10</v>
      </c>
      <c r="D41" s="53" t="s">
        <v>49</v>
      </c>
      <c r="E41" s="53" t="s">
        <v>30</v>
      </c>
      <c r="F41" s="2" t="e">
        <f>VLOOKUP(A41,#REF!,2,FALSE())</f>
        <v>#REF!</v>
      </c>
      <c r="G41" s="53" t="e">
        <f>VLOOKUP(A41,#REF!,7,FALSE())</f>
        <v>#REF!</v>
      </c>
    </row>
    <row r="42" spans="1:7">
      <c r="A42" s="2" t="s">
        <v>2364</v>
      </c>
      <c r="B42" s="53" t="s">
        <v>28</v>
      </c>
      <c r="C42" s="53" t="s">
        <v>10</v>
      </c>
      <c r="D42" s="53" t="s">
        <v>49</v>
      </c>
      <c r="E42" s="53" t="s">
        <v>30</v>
      </c>
      <c r="F42" s="2" t="e">
        <f>VLOOKUP(A42,#REF!,2,FALSE())</f>
        <v>#REF!</v>
      </c>
      <c r="G42" s="53" t="e">
        <f>VLOOKUP(A42,#REF!,7,FALSE())</f>
        <v>#REF!</v>
      </c>
    </row>
    <row r="43" spans="1:7">
      <c r="A43" s="2" t="s">
        <v>2364</v>
      </c>
      <c r="B43" s="53" t="s">
        <v>28</v>
      </c>
      <c r="C43" s="53" t="s">
        <v>10</v>
      </c>
      <c r="D43" s="53" t="s">
        <v>49</v>
      </c>
      <c r="E43" s="53" t="s">
        <v>30</v>
      </c>
      <c r="F43" s="2" t="e">
        <f>VLOOKUP(A43,#REF!,2,FALSE())</f>
        <v>#REF!</v>
      </c>
      <c r="G43" s="53" t="e">
        <f>VLOOKUP(A43,#REF!,7,FALSE())</f>
        <v>#REF!</v>
      </c>
    </row>
    <row r="44" spans="1:7">
      <c r="A44" s="2" t="s">
        <v>2364</v>
      </c>
      <c r="B44" s="53" t="s">
        <v>28</v>
      </c>
      <c r="C44" s="53" t="s">
        <v>10</v>
      </c>
      <c r="D44" s="53" t="s">
        <v>49</v>
      </c>
      <c r="E44" s="53" t="s">
        <v>30</v>
      </c>
      <c r="F44" s="2" t="e">
        <f>VLOOKUP(A44,#REF!,2,FALSE())</f>
        <v>#REF!</v>
      </c>
      <c r="G44" s="53" t="e">
        <f>VLOOKUP(A44,#REF!,7,FALSE())</f>
        <v>#REF!</v>
      </c>
    </row>
    <row r="45" spans="1:7">
      <c r="A45" s="2" t="s">
        <v>2364</v>
      </c>
      <c r="B45" s="53" t="s">
        <v>28</v>
      </c>
      <c r="C45" s="53" t="s">
        <v>10</v>
      </c>
      <c r="D45" s="53" t="s">
        <v>49</v>
      </c>
      <c r="E45" s="53" t="s">
        <v>30</v>
      </c>
      <c r="F45" s="2" t="e">
        <f>VLOOKUP(A45,#REF!,2,FALSE())</f>
        <v>#REF!</v>
      </c>
      <c r="G45" s="53" t="e">
        <f>VLOOKUP(A45,#REF!,7,FALSE())</f>
        <v>#REF!</v>
      </c>
    </row>
    <row r="46" spans="1:7">
      <c r="A46" s="2" t="s">
        <v>2364</v>
      </c>
      <c r="B46" s="53" t="s">
        <v>28</v>
      </c>
      <c r="C46" s="53" t="s">
        <v>10</v>
      </c>
      <c r="D46" s="53" t="s">
        <v>49</v>
      </c>
      <c r="E46" s="53" t="s">
        <v>30</v>
      </c>
      <c r="F46" s="2" t="e">
        <f>VLOOKUP(A46,#REF!,2,FALSE())</f>
        <v>#REF!</v>
      </c>
      <c r="G46" s="53" t="e">
        <f>VLOOKUP(A46,#REF!,7,FALSE())</f>
        <v>#REF!</v>
      </c>
    </row>
    <row r="47" spans="1:7">
      <c r="A47" s="2" t="s">
        <v>2364</v>
      </c>
      <c r="B47" s="53" t="s">
        <v>28</v>
      </c>
      <c r="C47" s="53" t="s">
        <v>10</v>
      </c>
      <c r="D47" s="53" t="s">
        <v>49</v>
      </c>
      <c r="E47" s="53" t="s">
        <v>30</v>
      </c>
      <c r="F47" s="2" t="e">
        <f>VLOOKUP(A47,#REF!,2,FALSE())</f>
        <v>#REF!</v>
      </c>
      <c r="G47" s="53" t="e">
        <f>VLOOKUP(A47,#REF!,7,FALSE())</f>
        <v>#REF!</v>
      </c>
    </row>
    <row r="48" spans="1:7">
      <c r="A48" s="2" t="s">
        <v>2440</v>
      </c>
      <c r="B48" s="53" t="s">
        <v>28</v>
      </c>
      <c r="C48" s="53" t="s">
        <v>10</v>
      </c>
      <c r="D48" s="53" t="s">
        <v>49</v>
      </c>
      <c r="E48" s="53" t="s">
        <v>30</v>
      </c>
      <c r="F48" s="2" t="e">
        <f>VLOOKUP(A48,#REF!,2,FALSE())</f>
        <v>#REF!</v>
      </c>
      <c r="G48" s="53" t="e">
        <f>VLOOKUP(A48,#REF!,7,FALSE())</f>
        <v>#REF!</v>
      </c>
    </row>
    <row r="49" spans="1:7">
      <c r="A49" s="2" t="s">
        <v>2468</v>
      </c>
      <c r="B49" s="53" t="s">
        <v>9</v>
      </c>
      <c r="C49" s="53" t="s">
        <v>157</v>
      </c>
      <c r="D49" s="53" t="s">
        <v>49</v>
      </c>
      <c r="E49" s="53" t="s">
        <v>30</v>
      </c>
      <c r="F49" s="2" t="e">
        <f>VLOOKUP(A49,#REF!,2,FALSE())</f>
        <v>#REF!</v>
      </c>
      <c r="G49" s="53" t="e">
        <f>VLOOKUP(A49,#REF!,7,FALSE())</f>
        <v>#REF!</v>
      </c>
    </row>
    <row r="50" spans="1:7">
      <c r="A50" s="2" t="s">
        <v>2702</v>
      </c>
      <c r="B50" s="53" t="s">
        <v>28</v>
      </c>
      <c r="C50" s="53" t="s">
        <v>10</v>
      </c>
      <c r="D50" s="53" t="s">
        <v>49</v>
      </c>
      <c r="E50" s="53" t="s">
        <v>30</v>
      </c>
      <c r="F50" s="2" t="e">
        <f>VLOOKUP(A50,#REF!,2,FALSE())</f>
        <v>#REF!</v>
      </c>
      <c r="G50" s="53" t="e">
        <f>VLOOKUP(A50,#REF!,7,FALSE())</f>
        <v>#REF!</v>
      </c>
    </row>
    <row r="51" spans="1:7">
      <c r="A51" s="2" t="s">
        <v>2702</v>
      </c>
      <c r="B51" s="53" t="s">
        <v>28</v>
      </c>
      <c r="C51" s="53" t="s">
        <v>10</v>
      </c>
      <c r="D51" s="53" t="s">
        <v>49</v>
      </c>
      <c r="E51" s="53" t="s">
        <v>30</v>
      </c>
      <c r="F51" s="2" t="e">
        <f>VLOOKUP(A51,#REF!,2,FALSE())</f>
        <v>#REF!</v>
      </c>
      <c r="G51" s="53" t="e">
        <f>VLOOKUP(A51,#REF!,7,FALSE())</f>
        <v>#REF!</v>
      </c>
    </row>
    <row r="52" spans="1:7">
      <c r="A52" s="2" t="s">
        <v>2702</v>
      </c>
      <c r="B52" s="53" t="s">
        <v>28</v>
      </c>
      <c r="C52" s="53" t="s">
        <v>10</v>
      </c>
      <c r="D52" s="53" t="s">
        <v>49</v>
      </c>
      <c r="E52" s="53" t="s">
        <v>30</v>
      </c>
      <c r="F52" s="2" t="e">
        <f>VLOOKUP(A52,#REF!,2,FALSE())</f>
        <v>#REF!</v>
      </c>
      <c r="G52" s="53" t="e">
        <f>VLOOKUP(A52,#REF!,7,FALSE())</f>
        <v>#REF!</v>
      </c>
    </row>
    <row r="53" spans="1:7">
      <c r="A53" s="2" t="s">
        <v>2702</v>
      </c>
      <c r="B53" s="53" t="s">
        <v>28</v>
      </c>
      <c r="C53" s="53" t="s">
        <v>10</v>
      </c>
      <c r="D53" s="53" t="s">
        <v>49</v>
      </c>
      <c r="E53" s="53" t="s">
        <v>30</v>
      </c>
      <c r="F53" s="2" t="e">
        <f>VLOOKUP(A53,#REF!,2,FALSE())</f>
        <v>#REF!</v>
      </c>
      <c r="G53" s="53" t="e">
        <f>VLOOKUP(A53,#REF!,7,FALSE())</f>
        <v>#REF!</v>
      </c>
    </row>
    <row r="54" spans="1:7">
      <c r="A54" s="2" t="s">
        <v>2693</v>
      </c>
      <c r="B54" s="53" t="s">
        <v>9</v>
      </c>
      <c r="C54" s="53" t="s">
        <v>1293</v>
      </c>
      <c r="D54" s="53" t="s">
        <v>49</v>
      </c>
      <c r="E54" s="53" t="s">
        <v>30</v>
      </c>
      <c r="F54" s="2" t="e">
        <f>VLOOKUP(A54,#REF!,2,FALSE())</f>
        <v>#REF!</v>
      </c>
      <c r="G54" s="53" t="e">
        <f>VLOOKUP(A54,#REF!,7,FALSE())</f>
        <v>#REF!</v>
      </c>
    </row>
    <row r="55" spans="1:7">
      <c r="A55" s="2" t="s">
        <v>2580</v>
      </c>
      <c r="B55" s="53" t="s">
        <v>28</v>
      </c>
      <c r="C55" s="53" t="s">
        <v>10</v>
      </c>
      <c r="D55" s="53" t="s">
        <v>49</v>
      </c>
      <c r="E55" s="53" t="s">
        <v>30</v>
      </c>
      <c r="F55" s="23" t="e">
        <f>VLOOKUP(A55,#REF!,2,FALSE())</f>
        <v>#REF!</v>
      </c>
      <c r="G55" s="53" t="e">
        <f>VLOOKUP(A55,#REF!,7,FALSE())</f>
        <v>#REF!</v>
      </c>
    </row>
    <row r="56" spans="1:7">
      <c r="A56" s="2" t="s">
        <v>2580</v>
      </c>
      <c r="B56" s="53" t="s">
        <v>28</v>
      </c>
      <c r="C56" s="53" t="s">
        <v>10</v>
      </c>
      <c r="D56" s="53" t="s">
        <v>49</v>
      </c>
      <c r="E56" s="53" t="s">
        <v>30</v>
      </c>
      <c r="F56" s="23" t="e">
        <f>VLOOKUP(A56,#REF!,2,FALSE())</f>
        <v>#REF!</v>
      </c>
      <c r="G56" s="53" t="e">
        <f>VLOOKUP(A56,#REF!,7,FALSE())</f>
        <v>#REF!</v>
      </c>
    </row>
    <row r="57" spans="1:7">
      <c r="A57" s="2" t="s">
        <v>2549</v>
      </c>
      <c r="B57" s="53" t="s">
        <v>28</v>
      </c>
      <c r="C57" s="53" t="s">
        <v>10</v>
      </c>
      <c r="D57" s="53" t="s">
        <v>49</v>
      </c>
      <c r="E57" s="53" t="s">
        <v>50</v>
      </c>
      <c r="F57" s="2" t="e">
        <f>VLOOKUP(A57,#REF!,2,FALSE())</f>
        <v>#REF!</v>
      </c>
      <c r="G57" s="53" t="e">
        <f>VLOOKUP(A57,#REF!,7,FALSE())</f>
        <v>#REF!</v>
      </c>
    </row>
    <row r="58" spans="1:7">
      <c r="A58" s="3" t="s">
        <v>2549</v>
      </c>
      <c r="B58" s="5" t="s">
        <v>28</v>
      </c>
      <c r="C58" s="5" t="s">
        <v>10</v>
      </c>
      <c r="D58" s="5" t="s">
        <v>49</v>
      </c>
      <c r="E58" s="5" t="s">
        <v>50</v>
      </c>
      <c r="F58" s="3" t="e">
        <f>VLOOKUP(A58,#REF!,2,FALSE())</f>
        <v>#REF!</v>
      </c>
      <c r="G58" s="5" t="e">
        <f>VLOOKUP(A58,#REF!,7,FALSE())</f>
        <v>#REF!</v>
      </c>
    </row>
    <row r="59" spans="1:7">
      <c r="A59" s="23" t="s">
        <v>2579</v>
      </c>
      <c r="B59" s="24" t="s">
        <v>28</v>
      </c>
      <c r="C59" s="24" t="s">
        <v>10</v>
      </c>
      <c r="D59" s="24" t="s">
        <v>49</v>
      </c>
      <c r="E59" s="24" t="s">
        <v>50</v>
      </c>
      <c r="F59" s="23" t="e">
        <f>VLOOKUP(A59,#REF!,2,FALSE())</f>
        <v>#REF!</v>
      </c>
      <c r="G59" s="24" t="e">
        <f>VLOOKUP(A59,#REF!,7,FALSE())</f>
        <v>#REF!</v>
      </c>
    </row>
    <row r="60" spans="1:7">
      <c r="A60" s="23" t="s">
        <v>2570</v>
      </c>
      <c r="B60" s="24" t="s">
        <v>28</v>
      </c>
      <c r="C60" s="24" t="s">
        <v>10</v>
      </c>
      <c r="D60" s="24" t="s">
        <v>49</v>
      </c>
      <c r="E60" s="24" t="s">
        <v>50</v>
      </c>
      <c r="F60" s="23" t="e">
        <f>VLOOKUP(A60,#REF!,2,FALSE())</f>
        <v>#REF!</v>
      </c>
      <c r="G60" s="24" t="e">
        <f>VLOOKUP(A60,#REF!,7,FALSE())</f>
        <v>#REF!</v>
      </c>
    </row>
    <row r="61" spans="1:7">
      <c r="A61" s="23" t="s">
        <v>2623</v>
      </c>
      <c r="B61" s="24" t="s">
        <v>28</v>
      </c>
      <c r="C61" s="24" t="s">
        <v>10</v>
      </c>
      <c r="D61" s="24" t="s">
        <v>49</v>
      </c>
      <c r="E61" s="24" t="s">
        <v>50</v>
      </c>
      <c r="F61" s="23" t="e">
        <f>VLOOKUP(A61,#REF!,2,FALSE())</f>
        <v>#REF!</v>
      </c>
      <c r="G61" s="24" t="e">
        <f>VLOOKUP(A61,#REF!,7,FALSE())</f>
        <v>#REF!</v>
      </c>
    </row>
    <row r="62" spans="1:7">
      <c r="A62" s="23" t="s">
        <v>2570</v>
      </c>
      <c r="B62" s="24" t="s">
        <v>28</v>
      </c>
      <c r="C62" s="24" t="s">
        <v>10</v>
      </c>
      <c r="D62" s="24" t="s">
        <v>49</v>
      </c>
      <c r="E62" s="24" t="s">
        <v>50</v>
      </c>
      <c r="F62" s="23" t="e">
        <f>VLOOKUP(A62,#REF!,2,FALSE())</f>
        <v>#REF!</v>
      </c>
      <c r="G62" s="24" t="e">
        <f>VLOOKUP(A62,#REF!,7,FALSE())</f>
        <v>#REF!</v>
      </c>
    </row>
    <row r="63" spans="1:7">
      <c r="A63" s="2" t="s">
        <v>2458</v>
      </c>
      <c r="B63" s="53" t="s">
        <v>28</v>
      </c>
      <c r="C63" s="53" t="s">
        <v>10</v>
      </c>
      <c r="D63" s="53" t="s">
        <v>49</v>
      </c>
      <c r="E63" s="53" t="s">
        <v>50</v>
      </c>
      <c r="F63" s="2" t="e">
        <f>VLOOKUP(A63,#REF!,2,FALSE())</f>
        <v>#REF!</v>
      </c>
      <c r="G63" s="53" t="e">
        <f>VLOOKUP(A63,#REF!,7,FALSE())</f>
        <v>#REF!</v>
      </c>
    </row>
    <row r="64" spans="1:7">
      <c r="A64" s="23" t="s">
        <v>2724</v>
      </c>
      <c r="B64" s="24" t="s">
        <v>28</v>
      </c>
      <c r="C64" s="24" t="s">
        <v>10</v>
      </c>
      <c r="D64" s="24" t="s">
        <v>49</v>
      </c>
      <c r="E64" s="24" t="s">
        <v>50</v>
      </c>
      <c r="F64" s="23" t="e">
        <f>VLOOKUP(A64,#REF!,2,FALSE())</f>
        <v>#REF!</v>
      </c>
      <c r="G64" s="24" t="e">
        <f>VLOOKUP(A64,#REF!,7,FALSE())</f>
        <v>#REF!</v>
      </c>
    </row>
    <row r="65" spans="1:7">
      <c r="A65" s="2" t="s">
        <v>2577</v>
      </c>
      <c r="B65" s="53" t="s">
        <v>28</v>
      </c>
      <c r="C65" s="53" t="s">
        <v>10</v>
      </c>
      <c r="D65" s="53" t="s">
        <v>49</v>
      </c>
      <c r="E65" s="53" t="s">
        <v>50</v>
      </c>
      <c r="F65" s="23" t="e">
        <f>VLOOKUP(A65,#REF!,2,FALSE())</f>
        <v>#REF!</v>
      </c>
      <c r="G65" s="53" t="e">
        <f>VLOOKUP(A65,#REF!,7,FALSE())</f>
        <v>#REF!</v>
      </c>
    </row>
    <row r="66" spans="1:7">
      <c r="A66" s="23" t="s">
        <v>2725</v>
      </c>
      <c r="B66" s="24" t="s">
        <v>28</v>
      </c>
      <c r="C66" s="24" t="s">
        <v>10</v>
      </c>
      <c r="D66" s="24" t="s">
        <v>49</v>
      </c>
      <c r="E66" s="24" t="s">
        <v>50</v>
      </c>
      <c r="F66" s="23" t="e">
        <f>VLOOKUP(A66,#REF!,2,FALSE())</f>
        <v>#REF!</v>
      </c>
      <c r="G66" s="24" t="e">
        <f>VLOOKUP(A66,#REF!,7,FALSE())</f>
        <v>#REF!</v>
      </c>
    </row>
    <row r="67" spans="1:7">
      <c r="A67" s="23" t="s">
        <v>2726</v>
      </c>
      <c r="B67" s="24" t="s">
        <v>28</v>
      </c>
      <c r="C67" s="24" t="s">
        <v>10</v>
      </c>
      <c r="D67" s="24" t="s">
        <v>49</v>
      </c>
      <c r="E67" s="24" t="s">
        <v>50</v>
      </c>
      <c r="F67" s="23" t="e">
        <f>VLOOKUP(A67,#REF!,2,FALSE())</f>
        <v>#REF!</v>
      </c>
      <c r="G67" s="24" t="e">
        <f>VLOOKUP(A67,#REF!,7,FALSE())</f>
        <v>#REF!</v>
      </c>
    </row>
    <row r="68" spans="1:7">
      <c r="A68" s="23" t="s">
        <v>2461</v>
      </c>
      <c r="B68" s="24" t="s">
        <v>28</v>
      </c>
      <c r="C68" s="24" t="s">
        <v>10</v>
      </c>
      <c r="D68" s="24" t="s">
        <v>49</v>
      </c>
      <c r="E68" s="24" t="s">
        <v>50</v>
      </c>
      <c r="F68" s="23" t="e">
        <f>VLOOKUP(A68,#REF!,2,FALSE())</f>
        <v>#REF!</v>
      </c>
      <c r="G68" s="24" t="e">
        <f>VLOOKUP(A68,#REF!,7,FALSE())</f>
        <v>#REF!</v>
      </c>
    </row>
    <row r="69" spans="1:7">
      <c r="A69" s="23" t="s">
        <v>2464</v>
      </c>
      <c r="B69" s="24" t="s">
        <v>28</v>
      </c>
      <c r="C69" s="24" t="s">
        <v>10</v>
      </c>
      <c r="D69" s="24" t="s">
        <v>49</v>
      </c>
      <c r="E69" s="24" t="s">
        <v>50</v>
      </c>
      <c r="F69" s="23" t="e">
        <f>VLOOKUP(A69,#REF!,2,FALSE())</f>
        <v>#REF!</v>
      </c>
      <c r="G69" s="24" t="e">
        <f>VLOOKUP(A69,#REF!,7,FALSE())</f>
        <v>#REF!</v>
      </c>
    </row>
    <row r="70" spans="1:7">
      <c r="A70" s="2" t="s">
        <v>2722</v>
      </c>
      <c r="B70" s="53" t="s">
        <v>28</v>
      </c>
      <c r="C70" s="53" t="s">
        <v>10</v>
      </c>
      <c r="D70" s="53" t="s">
        <v>49</v>
      </c>
      <c r="E70" s="53" t="s">
        <v>50</v>
      </c>
      <c r="F70" s="2" t="e">
        <f>VLOOKUP(A70,#REF!,2,FALSE())</f>
        <v>#REF!</v>
      </c>
      <c r="G70" s="53" t="e">
        <f>VLOOKUP(A70,#REF!,7,FALSE())</f>
        <v>#REF!</v>
      </c>
    </row>
    <row r="71" spans="1:7">
      <c r="A71" s="23" t="s">
        <v>2727</v>
      </c>
      <c r="B71" s="24" t="s">
        <v>28</v>
      </c>
      <c r="C71" s="24" t="s">
        <v>10</v>
      </c>
      <c r="D71" s="24" t="s">
        <v>49</v>
      </c>
      <c r="E71" s="24" t="s">
        <v>50</v>
      </c>
      <c r="F71" s="23" t="e">
        <f>VLOOKUP(A71,#REF!,2,FALSE())</f>
        <v>#REF!</v>
      </c>
      <c r="G71" s="24" t="e">
        <f>VLOOKUP(A71,#REF!,7,FALSE())</f>
        <v>#REF!</v>
      </c>
    </row>
    <row r="72" spans="1:7">
      <c r="A72" s="23" t="s">
        <v>2726</v>
      </c>
      <c r="B72" s="24" t="s">
        <v>28</v>
      </c>
      <c r="C72" s="24" t="s">
        <v>10</v>
      </c>
      <c r="D72" s="24" t="s">
        <v>49</v>
      </c>
      <c r="E72" s="24" t="s">
        <v>50</v>
      </c>
      <c r="F72" s="23" t="e">
        <f>VLOOKUP(A72,#REF!,2,FALSE())</f>
        <v>#REF!</v>
      </c>
      <c r="G72" s="24" t="e">
        <f>VLOOKUP(A72,#REF!,7,FALSE())</f>
        <v>#REF!</v>
      </c>
    </row>
    <row r="73" spans="1:7">
      <c r="A73" s="23" t="s">
        <v>2728</v>
      </c>
      <c r="B73" s="24" t="s">
        <v>28</v>
      </c>
      <c r="C73" s="24" t="s">
        <v>10</v>
      </c>
      <c r="D73" s="24" t="s">
        <v>49</v>
      </c>
      <c r="E73" s="24" t="s">
        <v>50</v>
      </c>
      <c r="F73" s="23" t="e">
        <f>VLOOKUP(A73,#REF!,2,FALSE())</f>
        <v>#REF!</v>
      </c>
      <c r="G73" s="24" t="e">
        <f>VLOOKUP(A73,#REF!,7,FALSE())</f>
        <v>#REF!</v>
      </c>
    </row>
    <row r="74" spans="1:7">
      <c r="A74" s="23" t="s">
        <v>2730</v>
      </c>
      <c r="B74" s="24" t="s">
        <v>28</v>
      </c>
      <c r="C74" s="24" t="s">
        <v>10</v>
      </c>
      <c r="D74" s="24" t="s">
        <v>49</v>
      </c>
      <c r="E74" s="24" t="s">
        <v>50</v>
      </c>
      <c r="F74" s="23" t="e">
        <f>VLOOKUP(A74,#REF!,2,FALSE())</f>
        <v>#REF!</v>
      </c>
      <c r="G74" s="24" t="e">
        <f>VLOOKUP(A74,#REF!,7,FALSE())</f>
        <v>#REF!</v>
      </c>
    </row>
    <row r="75" spans="1:7">
      <c r="A75" s="23" t="s">
        <v>2679</v>
      </c>
      <c r="B75" s="24" t="s">
        <v>28</v>
      </c>
      <c r="C75" s="24" t="s">
        <v>10</v>
      </c>
      <c r="D75" s="24" t="s">
        <v>49</v>
      </c>
      <c r="E75" s="24" t="s">
        <v>50</v>
      </c>
      <c r="F75" s="23" t="e">
        <f>VLOOKUP(A75,#REF!,2,FALSE())</f>
        <v>#REF!</v>
      </c>
      <c r="G75" s="24" t="e">
        <f>VLOOKUP(A75,#REF!,7,FALSE())</f>
        <v>#REF!</v>
      </c>
    </row>
    <row r="76" spans="1:7">
      <c r="A76" s="23" t="s">
        <v>2723</v>
      </c>
      <c r="B76" s="24" t="s">
        <v>28</v>
      </c>
      <c r="C76" s="24" t="s">
        <v>10</v>
      </c>
      <c r="D76" s="24" t="s">
        <v>49</v>
      </c>
      <c r="E76" s="24" t="s">
        <v>50</v>
      </c>
      <c r="F76" s="23" t="e">
        <f>VLOOKUP(A76,#REF!,2,FALSE())</f>
        <v>#REF!</v>
      </c>
      <c r="G76" s="24" t="e">
        <f>VLOOKUP(A76,#REF!,7,FALSE())</f>
        <v>#REF!</v>
      </c>
    </row>
    <row r="77" spans="1:7">
      <c r="A77" s="23" t="s">
        <v>2731</v>
      </c>
      <c r="B77" s="24" t="s">
        <v>28</v>
      </c>
      <c r="C77" s="24" t="s">
        <v>10</v>
      </c>
      <c r="D77" s="24" t="s">
        <v>49</v>
      </c>
      <c r="E77" s="24" t="s">
        <v>50</v>
      </c>
      <c r="F77" s="23" t="e">
        <f>VLOOKUP(A77,#REF!,2,FALSE())</f>
        <v>#REF!</v>
      </c>
      <c r="G77" s="24" t="e">
        <f>VLOOKUP(A77,#REF!,7,FALSE())</f>
        <v>#REF!</v>
      </c>
    </row>
    <row r="78" spans="1:7">
      <c r="A78" s="23" t="s">
        <v>2732</v>
      </c>
      <c r="B78" s="24" t="s">
        <v>28</v>
      </c>
      <c r="C78" s="24" t="s">
        <v>10</v>
      </c>
      <c r="D78" s="24" t="s">
        <v>49</v>
      </c>
      <c r="E78" s="24" t="s">
        <v>50</v>
      </c>
      <c r="F78" s="23" t="e">
        <f>VLOOKUP(A78,#REF!,2,FALSE())</f>
        <v>#REF!</v>
      </c>
      <c r="G78" s="24" t="e">
        <f>VLOOKUP(A78,#REF!,7,FALSE())</f>
        <v>#REF!</v>
      </c>
    </row>
    <row r="79" spans="1:7">
      <c r="A79" s="23" t="s">
        <v>2733</v>
      </c>
      <c r="B79" s="24" t="s">
        <v>28</v>
      </c>
      <c r="C79" s="24" t="s">
        <v>10</v>
      </c>
      <c r="D79" s="24" t="s">
        <v>49</v>
      </c>
      <c r="E79" s="24" t="s">
        <v>50</v>
      </c>
      <c r="F79" s="23" t="e">
        <f>VLOOKUP(A79,#REF!,2,FALSE())</f>
        <v>#REF!</v>
      </c>
      <c r="G79" s="24" t="e">
        <f>VLOOKUP(A79,#REF!,7,FALSE())</f>
        <v>#REF!</v>
      </c>
    </row>
    <row r="80" spans="1:7">
      <c r="A80" s="23" t="s">
        <v>2734</v>
      </c>
      <c r="B80" s="24" t="s">
        <v>28</v>
      </c>
      <c r="C80" s="24" t="s">
        <v>10</v>
      </c>
      <c r="D80" s="24" t="s">
        <v>49</v>
      </c>
      <c r="E80" s="24" t="s">
        <v>50</v>
      </c>
      <c r="F80" s="23" t="e">
        <f>VLOOKUP(A80,#REF!,2,FALSE())</f>
        <v>#REF!</v>
      </c>
      <c r="G80" s="24" t="e">
        <f>VLOOKUP(A80,#REF!,7,FALSE())</f>
        <v>#REF!</v>
      </c>
    </row>
    <row r="81" spans="1:7">
      <c r="A81" s="23" t="s">
        <v>2726</v>
      </c>
      <c r="B81" s="24" t="s">
        <v>28</v>
      </c>
      <c r="C81" s="24" t="s">
        <v>10</v>
      </c>
      <c r="D81" s="24" t="s">
        <v>49</v>
      </c>
      <c r="E81" s="24" t="s">
        <v>50</v>
      </c>
      <c r="F81" s="23" t="e">
        <f>VLOOKUP(A81,#REF!,2,FALSE())</f>
        <v>#REF!</v>
      </c>
      <c r="G81" s="24" t="e">
        <f>VLOOKUP(A81,#REF!,7,FALSE())</f>
        <v>#REF!</v>
      </c>
    </row>
    <row r="82" spans="1:7">
      <c r="A82" s="23" t="s">
        <v>1501</v>
      </c>
      <c r="B82" s="24" t="s">
        <v>28</v>
      </c>
      <c r="C82" s="24" t="s">
        <v>10</v>
      </c>
      <c r="D82" s="24" t="s">
        <v>49</v>
      </c>
      <c r="E82" s="24" t="s">
        <v>50</v>
      </c>
      <c r="F82" s="23" t="e">
        <f>VLOOKUP(A82,#REF!,2,FALSE())</f>
        <v>#REF!</v>
      </c>
      <c r="G82" s="24" t="e">
        <f>VLOOKUP(A82,#REF!,7,FALSE())</f>
        <v>#REF!</v>
      </c>
    </row>
    <row r="83" spans="1:7">
      <c r="A83" s="23" t="s">
        <v>2736</v>
      </c>
      <c r="B83" s="24" t="s">
        <v>28</v>
      </c>
      <c r="C83" s="24" t="s">
        <v>10</v>
      </c>
      <c r="D83" s="24" t="s">
        <v>49</v>
      </c>
      <c r="E83" s="24" t="s">
        <v>50</v>
      </c>
      <c r="F83" s="23" t="e">
        <f>VLOOKUP(A83,#REF!,2,FALSE())</f>
        <v>#REF!</v>
      </c>
      <c r="G83" s="24" t="e">
        <f>VLOOKUP(A83,#REF!,7,FALSE())</f>
        <v>#REF!</v>
      </c>
    </row>
    <row r="84" spans="1:7">
      <c r="A84" s="23" t="s">
        <v>2737</v>
      </c>
      <c r="B84" s="24" t="s">
        <v>28</v>
      </c>
      <c r="C84" s="24" t="s">
        <v>10</v>
      </c>
      <c r="D84" s="24" t="s">
        <v>49</v>
      </c>
      <c r="E84" s="24" t="s">
        <v>50</v>
      </c>
      <c r="F84" s="23" t="e">
        <f>VLOOKUP(A84,#REF!,2,FALSE())</f>
        <v>#REF!</v>
      </c>
      <c r="G84" s="24" t="e">
        <f>VLOOKUP(A84,#REF!,7,FALSE())</f>
        <v>#REF!</v>
      </c>
    </row>
    <row r="85" spans="1:7">
      <c r="A85" s="2" t="s">
        <v>2442</v>
      </c>
      <c r="B85" s="53" t="s">
        <v>28</v>
      </c>
      <c r="C85" s="53" t="s">
        <v>10</v>
      </c>
      <c r="D85" s="53" t="s">
        <v>49</v>
      </c>
      <c r="E85" s="53" t="s">
        <v>50</v>
      </c>
      <c r="F85" s="2" t="e">
        <f>VLOOKUP(A85,#REF!,2,FALSE())</f>
        <v>#REF!</v>
      </c>
      <c r="G85" s="53" t="e">
        <f>VLOOKUP(A85,#REF!,7,FALSE())</f>
        <v>#REF!</v>
      </c>
    </row>
    <row r="86" spans="1:7">
      <c r="A86" s="23" t="s">
        <v>2465</v>
      </c>
      <c r="B86" s="24" t="s">
        <v>28</v>
      </c>
      <c r="C86" s="24" t="s">
        <v>10</v>
      </c>
      <c r="D86" s="24" t="s">
        <v>49</v>
      </c>
      <c r="E86" s="24" t="s">
        <v>50</v>
      </c>
      <c r="F86" s="23" t="e">
        <f>VLOOKUP(A86,#REF!,2,FALSE())</f>
        <v>#REF!</v>
      </c>
      <c r="G86" s="24" t="e">
        <f>VLOOKUP(A86,#REF!,7,FALSE())</f>
        <v>#REF!</v>
      </c>
    </row>
    <row r="87" spans="1:7">
      <c r="A87" s="3" t="s">
        <v>2726</v>
      </c>
      <c r="B87" s="5" t="s">
        <v>28</v>
      </c>
      <c r="C87" s="5" t="s">
        <v>10</v>
      </c>
      <c r="D87" s="5" t="s">
        <v>49</v>
      </c>
      <c r="E87" s="5" t="s">
        <v>50</v>
      </c>
      <c r="F87" s="3" t="e">
        <f>VLOOKUP(A87,#REF!,2,FALSE())</f>
        <v>#REF!</v>
      </c>
      <c r="G87" s="5" t="e">
        <f>VLOOKUP(A87,#REF!,7,FALSE())</f>
        <v>#REF!</v>
      </c>
    </row>
    <row r="88" spans="1:7">
      <c r="A88" s="3" t="s">
        <v>446</v>
      </c>
      <c r="B88" s="5" t="s">
        <v>28</v>
      </c>
      <c r="C88" s="5" t="s">
        <v>10</v>
      </c>
      <c r="D88" s="5" t="s">
        <v>49</v>
      </c>
      <c r="E88" s="5" t="s">
        <v>50</v>
      </c>
      <c r="F88" s="3" t="e">
        <f>VLOOKUP(A88,#REF!,2,FALSE())</f>
        <v>#REF!</v>
      </c>
      <c r="G88" s="5" t="e">
        <f>VLOOKUP(A88,#REF!,7,FALSE())</f>
        <v>#REF!</v>
      </c>
    </row>
    <row r="89" spans="1:7">
      <c r="A89" s="23" t="s">
        <v>2738</v>
      </c>
      <c r="B89" s="24" t="s">
        <v>28</v>
      </c>
      <c r="C89" s="24" t="s">
        <v>10</v>
      </c>
      <c r="D89" s="24" t="s">
        <v>49</v>
      </c>
      <c r="E89" s="24" t="s">
        <v>50</v>
      </c>
      <c r="F89" s="23" t="e">
        <f>VLOOKUP(A89,#REF!,2,FALSE())</f>
        <v>#REF!</v>
      </c>
      <c r="G89" s="24" t="e">
        <f>VLOOKUP(A89,#REF!,7,FALSE())</f>
        <v>#REF!</v>
      </c>
    </row>
    <row r="90" spans="1:7">
      <c r="A90" s="23" t="s">
        <v>2739</v>
      </c>
      <c r="B90" s="24" t="s">
        <v>28</v>
      </c>
      <c r="C90" s="24" t="s">
        <v>10</v>
      </c>
      <c r="D90" s="24" t="s">
        <v>49</v>
      </c>
      <c r="E90" s="24" t="s">
        <v>50</v>
      </c>
      <c r="F90" s="23" t="e">
        <f>VLOOKUP(A90,#REF!,2,FALSE())</f>
        <v>#REF!</v>
      </c>
      <c r="G90" s="24" t="e">
        <f>VLOOKUP(A90,#REF!,7,FALSE())</f>
        <v>#REF!</v>
      </c>
    </row>
    <row r="91" spans="1:7">
      <c r="A91" s="23" t="s">
        <v>2722</v>
      </c>
      <c r="B91" s="24" t="s">
        <v>28</v>
      </c>
      <c r="C91" s="24" t="s">
        <v>10</v>
      </c>
      <c r="D91" s="24" t="s">
        <v>49</v>
      </c>
      <c r="E91" s="24" t="s">
        <v>50</v>
      </c>
      <c r="F91" s="23" t="e">
        <f>VLOOKUP(A91,#REF!,2,FALSE())</f>
        <v>#REF!</v>
      </c>
      <c r="G91" s="24" t="e">
        <f>VLOOKUP(A91,#REF!,7,FALSE())</f>
        <v>#REF!</v>
      </c>
    </row>
    <row r="92" spans="1:7">
      <c r="A92" s="23" t="s">
        <v>2527</v>
      </c>
      <c r="B92" s="24" t="s">
        <v>9</v>
      </c>
      <c r="C92" s="24" t="s">
        <v>10</v>
      </c>
      <c r="D92" s="24" t="s">
        <v>49</v>
      </c>
      <c r="E92" s="24" t="s">
        <v>50</v>
      </c>
      <c r="F92" s="23" t="e">
        <f>VLOOKUP(A92,#REF!,2,FALSE())</f>
        <v>#REF!</v>
      </c>
      <c r="G92" s="24" t="e">
        <f>VLOOKUP(A92,#REF!,7,FALSE())</f>
        <v>#REF!</v>
      </c>
    </row>
    <row r="93" spans="1:7">
      <c r="A93" s="23" t="s">
        <v>2527</v>
      </c>
      <c r="B93" s="24" t="s">
        <v>9</v>
      </c>
      <c r="C93" s="24" t="s">
        <v>10</v>
      </c>
      <c r="D93" s="24" t="s">
        <v>49</v>
      </c>
      <c r="E93" s="24" t="s">
        <v>50</v>
      </c>
      <c r="F93" s="23" t="e">
        <f>VLOOKUP(A93,#REF!,2,FALSE())</f>
        <v>#REF!</v>
      </c>
      <c r="G93" s="24" t="e">
        <f>VLOOKUP(A93,#REF!,7,FALSE())</f>
        <v>#REF!</v>
      </c>
    </row>
    <row r="94" spans="1:7">
      <c r="A94" s="2" t="s">
        <v>2527</v>
      </c>
      <c r="B94" s="53" t="s">
        <v>9</v>
      </c>
      <c r="C94" s="53" t="s">
        <v>157</v>
      </c>
      <c r="D94" s="53" t="s">
        <v>49</v>
      </c>
      <c r="E94" s="53" t="s">
        <v>50</v>
      </c>
      <c r="F94" s="2" t="e">
        <f>VLOOKUP(A94,#REF!,2,FALSE())</f>
        <v>#REF!</v>
      </c>
      <c r="G94" s="53" t="e">
        <f>VLOOKUP(A94,#REF!,7,FALSE())</f>
        <v>#REF!</v>
      </c>
    </row>
    <row r="95" spans="1:7">
      <c r="A95" s="2" t="s">
        <v>1505</v>
      </c>
      <c r="B95" s="53" t="s">
        <v>28</v>
      </c>
      <c r="C95" s="53" t="s">
        <v>10</v>
      </c>
      <c r="D95" s="53" t="s">
        <v>49</v>
      </c>
      <c r="E95" s="53" t="s">
        <v>50</v>
      </c>
      <c r="F95" s="2" t="e">
        <f>VLOOKUP(A95,#REF!,2,FALSE())</f>
        <v>#REF!</v>
      </c>
      <c r="G95" s="53" t="e">
        <f>VLOOKUP(A95,#REF!,7,FALSE())</f>
        <v>#REF!</v>
      </c>
    </row>
    <row r="96" spans="1:7">
      <c r="A96" s="23" t="s">
        <v>2475</v>
      </c>
      <c r="B96" s="24" t="s">
        <v>28</v>
      </c>
      <c r="C96" s="24" t="s">
        <v>10</v>
      </c>
      <c r="D96" s="24" t="s">
        <v>49</v>
      </c>
      <c r="E96" s="24" t="s">
        <v>50</v>
      </c>
      <c r="F96" s="23" t="e">
        <f>VLOOKUP(A96,#REF!,2,FALSE())</f>
        <v>#REF!</v>
      </c>
      <c r="G96" s="24" t="e">
        <f>VLOOKUP(A96,#REF!,7,FALSE())</f>
        <v>#REF!</v>
      </c>
    </row>
    <row r="97" spans="1:7">
      <c r="A97" s="23" t="s">
        <v>2468</v>
      </c>
      <c r="B97" s="24" t="s">
        <v>9</v>
      </c>
      <c r="C97" s="24" t="s">
        <v>157</v>
      </c>
      <c r="D97" s="24" t="s">
        <v>49</v>
      </c>
      <c r="E97" s="24" t="s">
        <v>50</v>
      </c>
      <c r="F97" s="23" t="e">
        <f>VLOOKUP(A97,#REF!,2,FALSE())</f>
        <v>#REF!</v>
      </c>
      <c r="G97" s="24" t="e">
        <f>VLOOKUP(A97,#REF!,7,FALSE())</f>
        <v>#REF!</v>
      </c>
    </row>
    <row r="98" spans="1:7">
      <c r="A98" s="23" t="s">
        <v>2468</v>
      </c>
      <c r="B98" s="24" t="s">
        <v>9</v>
      </c>
      <c r="C98" s="24" t="s">
        <v>10</v>
      </c>
      <c r="D98" s="24" t="s">
        <v>49</v>
      </c>
      <c r="E98" s="24" t="s">
        <v>50</v>
      </c>
      <c r="F98" s="23" t="e">
        <f>VLOOKUP(A98,#REF!,2,FALSE())</f>
        <v>#REF!</v>
      </c>
      <c r="G98" s="24" t="e">
        <f>VLOOKUP(A98,#REF!,7,FALSE())</f>
        <v>#REF!</v>
      </c>
    </row>
    <row r="99" spans="1:7">
      <c r="A99" s="23" t="s">
        <v>2740</v>
      </c>
      <c r="B99" s="24" t="s">
        <v>28</v>
      </c>
      <c r="C99" s="24" t="s">
        <v>10</v>
      </c>
      <c r="D99" s="24" t="s">
        <v>49</v>
      </c>
      <c r="E99" s="24" t="s">
        <v>50</v>
      </c>
      <c r="F99" s="23" t="e">
        <f>VLOOKUP(A99,#REF!,2,FALSE())</f>
        <v>#REF!</v>
      </c>
      <c r="G99" s="24" t="e">
        <f>VLOOKUP(A99,#REF!,7,FALSE())</f>
        <v>#REF!</v>
      </c>
    </row>
    <row r="100" spans="1:7">
      <c r="A100" s="2" t="s">
        <v>2693</v>
      </c>
      <c r="B100" s="53" t="s">
        <v>9</v>
      </c>
      <c r="C100" s="53" t="s">
        <v>157</v>
      </c>
      <c r="D100" s="53" t="s">
        <v>49</v>
      </c>
      <c r="E100" s="53" t="s">
        <v>50</v>
      </c>
      <c r="F100" s="2" t="e">
        <f>VLOOKUP(A100,#REF!,2,FALSE())</f>
        <v>#REF!</v>
      </c>
      <c r="G100" s="53" t="e">
        <f>VLOOKUP(A100,#REF!,7,FALSE())</f>
        <v>#REF!</v>
      </c>
    </row>
    <row r="101" spans="1:7">
      <c r="A101" s="23" t="s">
        <v>2445</v>
      </c>
      <c r="B101" s="24" t="s">
        <v>28</v>
      </c>
      <c r="C101" s="24" t="s">
        <v>10</v>
      </c>
      <c r="D101" s="24" t="s">
        <v>49</v>
      </c>
      <c r="E101" s="24" t="s">
        <v>50</v>
      </c>
      <c r="F101" s="23" t="e">
        <f>VLOOKUP(A101,#REF!,2,FALSE())</f>
        <v>#REF!</v>
      </c>
      <c r="G101" s="24" t="e">
        <f>VLOOKUP(A101,#REF!,7,FALSE())</f>
        <v>#REF!</v>
      </c>
    </row>
    <row r="102" spans="1:7">
      <c r="A102" s="2" t="s">
        <v>2445</v>
      </c>
      <c r="B102" s="53" t="s">
        <v>28</v>
      </c>
      <c r="C102" s="53" t="s">
        <v>10</v>
      </c>
      <c r="D102" s="53" t="s">
        <v>49</v>
      </c>
      <c r="E102" s="53" t="s">
        <v>50</v>
      </c>
      <c r="F102" s="2" t="e">
        <f>VLOOKUP(A102,#REF!,2,FALSE())</f>
        <v>#REF!</v>
      </c>
      <c r="G102" s="53" t="e">
        <f>VLOOKUP(A102,#REF!,7,FALSE())</f>
        <v>#REF!</v>
      </c>
    </row>
    <row r="989" spans="1:7">
      <c r="A989" s="2" t="s">
        <v>2432</v>
      </c>
      <c r="B989" s="53" t="s">
        <v>9</v>
      </c>
      <c r="C989" s="53" t="s">
        <v>10</v>
      </c>
      <c r="D989" s="53" t="s">
        <v>49</v>
      </c>
      <c r="E989" s="53" t="s">
        <v>11</v>
      </c>
      <c r="F989" s="2" t="e">
        <f>VLOOKUP(A989,#REF!,2,FALSE())</f>
        <v>#REF!</v>
      </c>
      <c r="G989" s="53" t="e">
        <f>VLOOKUP(A989,#REF!,7,FALSE())</f>
        <v>#REF!</v>
      </c>
    </row>
    <row r="990" spans="1:7">
      <c r="A990" s="2" t="s">
        <v>2432</v>
      </c>
      <c r="B990" s="53" t="s">
        <v>9</v>
      </c>
      <c r="C990" s="53" t="s">
        <v>157</v>
      </c>
      <c r="D990" s="53" t="s">
        <v>49</v>
      </c>
      <c r="E990" s="53" t="s">
        <v>11</v>
      </c>
      <c r="F990" s="2" t="e">
        <f>VLOOKUP(A990,#REF!,2,FALSE())</f>
        <v>#REF!</v>
      </c>
      <c r="G990" s="53" t="e">
        <f>VLOOKUP(A990,#REF!,7,FALSE())</f>
        <v>#REF!</v>
      </c>
    </row>
    <row r="991" spans="1:7">
      <c r="A991" s="2" t="s">
        <v>2432</v>
      </c>
      <c r="B991" s="53" t="s">
        <v>9</v>
      </c>
      <c r="C991" s="53" t="s">
        <v>157</v>
      </c>
      <c r="D991" s="53" t="s">
        <v>49</v>
      </c>
      <c r="E991" s="53" t="s">
        <v>11</v>
      </c>
      <c r="F991" s="2" t="e">
        <f>VLOOKUP(A991,#REF!,2,FALSE())</f>
        <v>#REF!</v>
      </c>
      <c r="G991" s="53" t="e">
        <f>VLOOKUP(A991,#REF!,7,FALSE())</f>
        <v>#REF!</v>
      </c>
    </row>
    <row r="992" spans="1:7">
      <c r="A992" s="2" t="s">
        <v>119</v>
      </c>
      <c r="B992" s="53" t="s">
        <v>9</v>
      </c>
      <c r="C992" s="53" t="s">
        <v>10</v>
      </c>
      <c r="D992" s="53" t="s">
        <v>49</v>
      </c>
      <c r="E992" s="53" t="s">
        <v>11</v>
      </c>
      <c r="F992" s="2" t="e">
        <f>VLOOKUP(A992,#REF!,2,FALSE())</f>
        <v>#REF!</v>
      </c>
      <c r="G992" s="53" t="e">
        <f>VLOOKUP(A992,#REF!,7,FALSE())</f>
        <v>#REF!</v>
      </c>
    </row>
    <row r="993" spans="1:7">
      <c r="A993" s="2" t="s">
        <v>119</v>
      </c>
      <c r="B993" s="53" t="s">
        <v>9</v>
      </c>
      <c r="C993" s="53" t="s">
        <v>10</v>
      </c>
      <c r="D993" s="53" t="s">
        <v>49</v>
      </c>
      <c r="E993" s="53" t="s">
        <v>11</v>
      </c>
      <c r="F993" s="2" t="e">
        <f>VLOOKUP(A993,#REF!,2,FALSE())</f>
        <v>#REF!</v>
      </c>
      <c r="G993" s="53" t="e">
        <f>VLOOKUP(A993,#REF!,7,FALSE())</f>
        <v>#REF!</v>
      </c>
    </row>
    <row r="994" spans="1:7">
      <c r="A994" s="2" t="s">
        <v>119</v>
      </c>
      <c r="B994" s="53" t="s">
        <v>9</v>
      </c>
      <c r="C994" s="53" t="s">
        <v>157</v>
      </c>
      <c r="D994" s="53" t="s">
        <v>49</v>
      </c>
      <c r="E994" s="53" t="s">
        <v>11</v>
      </c>
      <c r="F994" s="2" t="e">
        <f>VLOOKUP(A994,#REF!,2,FALSE())</f>
        <v>#REF!</v>
      </c>
      <c r="G994" s="53" t="e">
        <f>VLOOKUP(A994,#REF!,7,FALSE())</f>
        <v>#REF!</v>
      </c>
    </row>
    <row r="995" spans="1:7">
      <c r="A995" s="2" t="s">
        <v>119</v>
      </c>
      <c r="B995" s="53" t="s">
        <v>9</v>
      </c>
      <c r="C995" s="53" t="s">
        <v>157</v>
      </c>
      <c r="D995" s="53" t="s">
        <v>49</v>
      </c>
      <c r="E995" s="53" t="s">
        <v>11</v>
      </c>
      <c r="F995" s="2" t="e">
        <f>VLOOKUP(A995,#REF!,2,FALSE())</f>
        <v>#REF!</v>
      </c>
      <c r="G995" s="53" t="e">
        <f>VLOOKUP(A995,#REF!,7,FALSE())</f>
        <v>#REF!</v>
      </c>
    </row>
    <row r="996" spans="1:7">
      <c r="A996" s="2" t="s">
        <v>2722</v>
      </c>
      <c r="B996" s="53" t="s">
        <v>9</v>
      </c>
      <c r="C996" s="53" t="s">
        <v>10</v>
      </c>
      <c r="D996" s="53" t="s">
        <v>49</v>
      </c>
      <c r="E996" s="53" t="s">
        <v>11</v>
      </c>
      <c r="F996" s="2" t="e">
        <f>VLOOKUP(A996,#REF!,2,FALSE())</f>
        <v>#REF!</v>
      </c>
      <c r="G996" s="53" t="e">
        <f>VLOOKUP(A996,#REF!,7,FALSE())</f>
        <v>#REF!</v>
      </c>
    </row>
    <row r="997" spans="1:7">
      <c r="A997" s="2" t="s">
        <v>2722</v>
      </c>
      <c r="B997" s="53" t="s">
        <v>9</v>
      </c>
      <c r="C997" s="53" t="s">
        <v>10</v>
      </c>
      <c r="D997" s="53" t="s">
        <v>49</v>
      </c>
      <c r="E997" s="53" t="s">
        <v>11</v>
      </c>
      <c r="F997" s="2" t="e">
        <f>VLOOKUP(A997,#REF!,2,FALSE())</f>
        <v>#REF!</v>
      </c>
      <c r="G997" s="53" t="e">
        <f>VLOOKUP(A997,#REF!,7,FALSE())</f>
        <v>#REF!</v>
      </c>
    </row>
    <row r="998" spans="1:7">
      <c r="A998" s="2" t="s">
        <v>2722</v>
      </c>
      <c r="B998" s="53" t="s">
        <v>9</v>
      </c>
      <c r="C998" s="53" t="s">
        <v>157</v>
      </c>
      <c r="D998" s="53" t="s">
        <v>49</v>
      </c>
      <c r="E998" s="53" t="s">
        <v>11</v>
      </c>
      <c r="F998" s="2" t="e">
        <f>VLOOKUP(A998,#REF!,2,FALSE())</f>
        <v>#REF!</v>
      </c>
      <c r="G998" s="53" t="e">
        <f>VLOOKUP(A998,#REF!,7,FALSE())</f>
        <v>#REF!</v>
      </c>
    </row>
    <row r="999" spans="1:7">
      <c r="A999" s="2" t="s">
        <v>2722</v>
      </c>
      <c r="B999" s="53" t="s">
        <v>9</v>
      </c>
      <c r="C999" s="53" t="s">
        <v>157</v>
      </c>
      <c r="D999" s="53" t="s">
        <v>49</v>
      </c>
      <c r="E999" s="53" t="s">
        <v>11</v>
      </c>
      <c r="F999" s="2" t="e">
        <f>VLOOKUP(A999,#REF!,2,FALSE())</f>
        <v>#REF!</v>
      </c>
      <c r="G999" s="53" t="e">
        <f>VLOOKUP(A999,#REF!,7,FALSE())</f>
        <v>#REF!</v>
      </c>
    </row>
    <row r="1000" spans="1:7">
      <c r="A1000" s="2" t="s">
        <v>2461</v>
      </c>
      <c r="B1000" s="53" t="s">
        <v>9</v>
      </c>
      <c r="C1000" s="53" t="s">
        <v>10</v>
      </c>
      <c r="D1000" s="53" t="s">
        <v>49</v>
      </c>
      <c r="E1000" s="53" t="s">
        <v>11</v>
      </c>
      <c r="F1000" s="2" t="e">
        <f>VLOOKUP(A1000,#REF!,2,FALSE())</f>
        <v>#REF!</v>
      </c>
      <c r="G1000" s="53" t="e">
        <f>VLOOKUP(A1000,#REF!,7,FALSE())</f>
        <v>#REF!</v>
      </c>
    </row>
    <row r="1001" spans="1:7">
      <c r="A1001" s="2" t="s">
        <v>2461</v>
      </c>
      <c r="B1001" s="53" t="s">
        <v>9</v>
      </c>
      <c r="C1001" s="53" t="s">
        <v>10</v>
      </c>
      <c r="D1001" s="53" t="s">
        <v>49</v>
      </c>
      <c r="E1001" s="53" t="s">
        <v>11</v>
      </c>
      <c r="F1001" s="2" t="e">
        <f>VLOOKUP(A1001,#REF!,2,FALSE())</f>
        <v>#REF!</v>
      </c>
      <c r="G1001" s="53" t="e">
        <f>VLOOKUP(A1001,#REF!,7,FALSE())</f>
        <v>#REF!</v>
      </c>
    </row>
    <row r="1002" spans="1:7">
      <c r="A1002" s="2" t="s">
        <v>2461</v>
      </c>
      <c r="B1002" s="53" t="s">
        <v>9</v>
      </c>
      <c r="C1002" s="53" t="s">
        <v>157</v>
      </c>
      <c r="D1002" s="53" t="s">
        <v>49</v>
      </c>
      <c r="E1002" s="53" t="s">
        <v>11</v>
      </c>
      <c r="F1002" s="2" t="e">
        <f>VLOOKUP(A1002,#REF!,2,FALSE())</f>
        <v>#REF!</v>
      </c>
      <c r="G1002" s="53" t="e">
        <f>VLOOKUP(A1002,#REF!,7,FALSE())</f>
        <v>#REF!</v>
      </c>
    </row>
    <row r="1003" spans="1:7">
      <c r="A1003" s="2" t="s">
        <v>2461</v>
      </c>
      <c r="B1003" s="53" t="s">
        <v>9</v>
      </c>
      <c r="C1003" s="53" t="s">
        <v>157</v>
      </c>
      <c r="D1003" s="53" t="s">
        <v>49</v>
      </c>
      <c r="E1003" s="53" t="s">
        <v>11</v>
      </c>
      <c r="F1003" s="2" t="e">
        <f>VLOOKUP(A1003,#REF!,2,FALSE())</f>
        <v>#REF!</v>
      </c>
      <c r="G1003" s="53" t="e">
        <f>VLOOKUP(A1003,#REF!,7,FALSE())</f>
        <v>#REF!</v>
      </c>
    </row>
    <row r="1004" spans="1:7">
      <c r="A1004" s="3" t="s">
        <v>407</v>
      </c>
      <c r="B1004" s="5" t="s">
        <v>9</v>
      </c>
      <c r="C1004" s="5" t="s">
        <v>157</v>
      </c>
      <c r="D1004" s="5" t="s">
        <v>49</v>
      </c>
      <c r="E1004" s="5" t="s">
        <v>11</v>
      </c>
      <c r="F1004" s="3" t="e">
        <f>VLOOKUP(A1004,#REF!,2,FALSE())</f>
        <v>#REF!</v>
      </c>
      <c r="G1004" s="5" t="e">
        <f>VLOOKUP(A1004,#REF!,7,FALSE())</f>
        <v>#REF!</v>
      </c>
    </row>
    <row r="1005" spans="1:7">
      <c r="A1005" s="2" t="s">
        <v>1524</v>
      </c>
      <c r="B1005" s="53" t="s">
        <v>9</v>
      </c>
      <c r="C1005" s="53" t="s">
        <v>10</v>
      </c>
      <c r="D1005" s="53" t="s">
        <v>49</v>
      </c>
      <c r="E1005" s="53" t="s">
        <v>11</v>
      </c>
      <c r="F1005" s="2" t="e">
        <f>VLOOKUP(A1005,#REF!,2,FALSE())</f>
        <v>#REF!</v>
      </c>
      <c r="G1005" s="53" t="e">
        <f>VLOOKUP(A1005,#REF!,7,FALSE())</f>
        <v>#REF!</v>
      </c>
    </row>
    <row r="1006" spans="1:7">
      <c r="A1006" s="2" t="s">
        <v>1524</v>
      </c>
      <c r="B1006" s="53" t="s">
        <v>9</v>
      </c>
      <c r="C1006" s="53" t="s">
        <v>10</v>
      </c>
      <c r="D1006" s="53" t="s">
        <v>49</v>
      </c>
      <c r="E1006" s="53" t="s">
        <v>11</v>
      </c>
      <c r="F1006" s="2" t="e">
        <f>VLOOKUP(A1006,#REF!,2,FALSE())</f>
        <v>#REF!</v>
      </c>
      <c r="G1006" s="53" t="e">
        <f>VLOOKUP(A1006,#REF!,7,FALSE())</f>
        <v>#REF!</v>
      </c>
    </row>
    <row r="1007" spans="1:7">
      <c r="A1007" s="2" t="s">
        <v>1524</v>
      </c>
      <c r="B1007" s="53" t="s">
        <v>9</v>
      </c>
      <c r="C1007" s="53" t="s">
        <v>157</v>
      </c>
      <c r="D1007" s="53" t="s">
        <v>49</v>
      </c>
      <c r="E1007" s="53" t="s">
        <v>11</v>
      </c>
      <c r="F1007" s="2" t="e">
        <f>VLOOKUP(A1007,#REF!,2,FALSE())</f>
        <v>#REF!</v>
      </c>
      <c r="G1007" s="53" t="e">
        <f>VLOOKUP(A1007,#REF!,7,FALSE())</f>
        <v>#REF!</v>
      </c>
    </row>
    <row r="1008" spans="1:7">
      <c r="A1008" s="2" t="s">
        <v>1524</v>
      </c>
      <c r="B1008" s="53" t="s">
        <v>9</v>
      </c>
      <c r="C1008" s="53" t="s">
        <v>157</v>
      </c>
      <c r="D1008" s="53" t="s">
        <v>49</v>
      </c>
      <c r="E1008" s="53" t="s">
        <v>11</v>
      </c>
      <c r="F1008" s="2" t="e">
        <f>VLOOKUP(A1008,#REF!,2,FALSE())</f>
        <v>#REF!</v>
      </c>
      <c r="G1008" s="53" t="e">
        <f>VLOOKUP(A1008,#REF!,7,FALSE())</f>
        <v>#REF!</v>
      </c>
    </row>
    <row r="1009" spans="1:7">
      <c r="A1009" s="23" t="s">
        <v>2527</v>
      </c>
      <c r="B1009" s="24" t="s">
        <v>9</v>
      </c>
      <c r="C1009" s="24" t="s">
        <v>10</v>
      </c>
      <c r="D1009" s="24" t="s">
        <v>49</v>
      </c>
      <c r="E1009" s="24" t="s">
        <v>50</v>
      </c>
      <c r="F1009" s="23" t="e">
        <f>VLOOKUP(A1009,#REF!,2,FALSE())</f>
        <v>#REF!</v>
      </c>
      <c r="G1009" s="24" t="e">
        <f>VLOOKUP(A1009,#REF!,7,FALSE())</f>
        <v>#REF!</v>
      </c>
    </row>
    <row r="1010" spans="1:7">
      <c r="A1010" s="23" t="s">
        <v>2527</v>
      </c>
      <c r="B1010" s="24" t="s">
        <v>9</v>
      </c>
      <c r="C1010" s="24" t="s">
        <v>10</v>
      </c>
      <c r="D1010" s="24" t="s">
        <v>49</v>
      </c>
      <c r="E1010" s="24" t="s">
        <v>50</v>
      </c>
      <c r="F1010" s="23" t="e">
        <f>VLOOKUP(A1010,#REF!,2,FALSE())</f>
        <v>#REF!</v>
      </c>
      <c r="G1010" s="24" t="e">
        <f>VLOOKUP(A1010,#REF!,7,FALSE())</f>
        <v>#REF!</v>
      </c>
    </row>
    <row r="1011" spans="1:7">
      <c r="A1011" s="2" t="s">
        <v>2527</v>
      </c>
      <c r="B1011" s="53" t="s">
        <v>9</v>
      </c>
      <c r="C1011" s="53" t="s">
        <v>157</v>
      </c>
      <c r="D1011" s="53" t="s">
        <v>49</v>
      </c>
      <c r="E1011" s="53" t="s">
        <v>50</v>
      </c>
      <c r="F1011" s="2" t="e">
        <f>VLOOKUP(A1011,#REF!,2,FALSE())</f>
        <v>#REF!</v>
      </c>
      <c r="G1011" s="53" t="e">
        <f>VLOOKUP(A1011,#REF!,7,FALSE())</f>
        <v>#REF!</v>
      </c>
    </row>
    <row r="1012" spans="1:7">
      <c r="A1012" s="2" t="s">
        <v>2468</v>
      </c>
      <c r="B1012" s="53" t="s">
        <v>9</v>
      </c>
      <c r="C1012" s="53" t="s">
        <v>157</v>
      </c>
      <c r="D1012" s="53" t="s">
        <v>49</v>
      </c>
      <c r="E1012" s="53" t="s">
        <v>30</v>
      </c>
      <c r="F1012" s="2" t="e">
        <f>VLOOKUP(A1012,#REF!,2,FALSE())</f>
        <v>#REF!</v>
      </c>
      <c r="G1012" s="53" t="e">
        <f>VLOOKUP(A1012,#REF!,7,FALSE())</f>
        <v>#REF!</v>
      </c>
    </row>
    <row r="1013" spans="1:7">
      <c r="A1013" s="23" t="s">
        <v>2468</v>
      </c>
      <c r="B1013" s="24" t="s">
        <v>9</v>
      </c>
      <c r="C1013" s="24" t="s">
        <v>157</v>
      </c>
      <c r="D1013" s="24" t="s">
        <v>49</v>
      </c>
      <c r="E1013" s="24" t="s">
        <v>50</v>
      </c>
      <c r="F1013" s="23" t="e">
        <f>VLOOKUP(A1013,#REF!,2,FALSE())</f>
        <v>#REF!</v>
      </c>
      <c r="G1013" s="24" t="e">
        <f>VLOOKUP(A1013,#REF!,7,FALSE())</f>
        <v>#REF!</v>
      </c>
    </row>
    <row r="1014" spans="1:7">
      <c r="A1014" s="23" t="s">
        <v>2468</v>
      </c>
      <c r="B1014" s="24" t="s">
        <v>9</v>
      </c>
      <c r="C1014" s="24" t="s">
        <v>10</v>
      </c>
      <c r="D1014" s="24" t="s">
        <v>49</v>
      </c>
      <c r="E1014" s="24" t="s">
        <v>50</v>
      </c>
      <c r="F1014" s="23" t="e">
        <f>VLOOKUP(A1014,#REF!,2,FALSE())</f>
        <v>#REF!</v>
      </c>
      <c r="G1014" s="24" t="e">
        <f>VLOOKUP(A1014,#REF!,7,FALSE())</f>
        <v>#REF!</v>
      </c>
    </row>
    <row r="1015" spans="1:7">
      <c r="A1015" s="2" t="s">
        <v>2693</v>
      </c>
      <c r="B1015" s="53" t="s">
        <v>9</v>
      </c>
      <c r="C1015" s="53" t="s">
        <v>1293</v>
      </c>
      <c r="D1015" s="53" t="s">
        <v>49</v>
      </c>
      <c r="E1015" s="53" t="s">
        <v>30</v>
      </c>
      <c r="F1015" s="2" t="e">
        <f>VLOOKUP(A1015,#REF!,2,FALSE())</f>
        <v>#REF!</v>
      </c>
      <c r="G1015" s="53" t="e">
        <f>VLOOKUP(A1015,#REF!,7,FALSE())</f>
        <v>#REF!</v>
      </c>
    </row>
    <row r="1016" spans="1:7">
      <c r="A1016" s="2" t="s">
        <v>2693</v>
      </c>
      <c r="B1016" s="53" t="s">
        <v>9</v>
      </c>
      <c r="C1016" s="53" t="s">
        <v>157</v>
      </c>
      <c r="D1016" s="53" t="s">
        <v>49</v>
      </c>
      <c r="E1016" s="53" t="s">
        <v>50</v>
      </c>
      <c r="F1016" s="2" t="e">
        <f>VLOOKUP(A1016,#REF!,2,FALSE())</f>
        <v>#REF!</v>
      </c>
      <c r="G1016" s="53" t="e">
        <f>VLOOKUP(A1016,#REF!,7,FALSE())</f>
        <v>#REF!</v>
      </c>
    </row>
  </sheetData>
  <autoFilter ref="A1:G102" xr:uid="{00000000-0009-0000-0000-000010000000}"/>
  <dataValidations count="4">
    <dataValidation type="list" allowBlank="1" showErrorMessage="1" sqref="B2:B102 B989:B1016" xr:uid="{00000000-0002-0000-1000-000000000000}">
      <formula1>"LIMPADOR,PORTEIRO,MANUTENCIONISTA,ZELAD,ENCAR,JARDINEIRO,COORDENADOR DE ENTREGAS"</formula1>
    </dataValidation>
    <dataValidation type="list" allowBlank="1" showErrorMessage="1" sqref="E2:E102 E989:E1016" xr:uid="{00000000-0002-0000-1000-000001000000}">
      <formula1>"A  - 12 por 36,B - 44 horas,C - menos de 44h"</formula1>
    </dataValidation>
    <dataValidation type="list" allowBlank="1" showErrorMessage="1" sqref="C2:C102 C989:C1016" xr:uid="{00000000-0002-0000-1000-000002000000}">
      <formula1>"DIURNO,NOTURNO,MISTO"</formula1>
    </dataValidation>
    <dataValidation type="list" allowBlank="1" showErrorMessage="1" sqref="D2:D102 D989:D1016" xr:uid="{00000000-0002-0000-1000-000003000000}">
      <formula1>"AVULSO,-,EXTRA"</formula1>
    </dataValidation>
  </dataValidation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2:AG90"/>
  <sheetViews>
    <sheetView workbookViewId="0"/>
  </sheetViews>
  <sheetFormatPr defaultColWidth="12.5703125" defaultRowHeight="15" customHeight="1"/>
  <cols>
    <col min="1" max="1" width="22.42578125" customWidth="1"/>
    <col min="2" max="2" width="9.85546875" customWidth="1"/>
    <col min="3" max="3" width="20.140625" customWidth="1"/>
    <col min="4" max="4" width="22" customWidth="1"/>
    <col min="5" max="5" width="13.140625" customWidth="1"/>
    <col min="6" max="6" width="33.42578125" customWidth="1"/>
    <col min="7" max="7" width="10.85546875" customWidth="1"/>
  </cols>
  <sheetData>
    <row r="2" spans="1:33" ht="24.75" customHeight="1">
      <c r="A2" s="53" t="s">
        <v>1699</v>
      </c>
      <c r="B2" s="54">
        <v>1</v>
      </c>
      <c r="C2" s="53" t="s">
        <v>28</v>
      </c>
      <c r="D2" s="53" t="s">
        <v>50</v>
      </c>
      <c r="E2" s="24" t="s">
        <v>32</v>
      </c>
      <c r="F2" s="24" t="s">
        <v>1693</v>
      </c>
      <c r="G2" s="57" t="s">
        <v>693</v>
      </c>
      <c r="H2" s="54" t="s">
        <v>143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33" ht="26.25" customHeight="1">
      <c r="A3" s="5" t="s">
        <v>132</v>
      </c>
      <c r="B3" s="200">
        <v>1</v>
      </c>
      <c r="C3" s="5" t="s">
        <v>28</v>
      </c>
      <c r="D3" s="5" t="s">
        <v>50</v>
      </c>
      <c r="E3" s="24" t="s">
        <v>32</v>
      </c>
      <c r="F3" s="24" t="s">
        <v>1684</v>
      </c>
      <c r="G3" s="57" t="s">
        <v>693</v>
      </c>
      <c r="H3" s="7" t="s">
        <v>143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33" ht="26.25" customHeight="1">
      <c r="A4" s="53" t="s">
        <v>48</v>
      </c>
      <c r="B4" s="54">
        <v>1</v>
      </c>
      <c r="C4" s="53" t="s">
        <v>28</v>
      </c>
      <c r="D4" s="53" t="s">
        <v>50</v>
      </c>
      <c r="E4" s="24" t="s">
        <v>32</v>
      </c>
      <c r="F4" s="24" t="s">
        <v>1655</v>
      </c>
      <c r="G4" s="57" t="s">
        <v>693</v>
      </c>
      <c r="H4" s="54" t="s">
        <v>143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1:33" ht="26.25" customHeight="1">
      <c r="A5" s="53" t="s">
        <v>48</v>
      </c>
      <c r="B5" s="54">
        <v>1</v>
      </c>
      <c r="C5" s="53" t="s">
        <v>28</v>
      </c>
      <c r="D5" s="53" t="s">
        <v>50</v>
      </c>
      <c r="E5" s="24" t="s">
        <v>32</v>
      </c>
      <c r="F5" s="24" t="s">
        <v>1660</v>
      </c>
      <c r="G5" s="57" t="s">
        <v>693</v>
      </c>
      <c r="H5" s="54" t="s">
        <v>143</v>
      </c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</row>
    <row r="6" spans="1:33" ht="27" customHeight="1">
      <c r="A6" s="53" t="s">
        <v>151</v>
      </c>
      <c r="B6" s="483">
        <v>2</v>
      </c>
      <c r="C6" s="53" t="s">
        <v>28</v>
      </c>
      <c r="D6" s="53" t="s">
        <v>50</v>
      </c>
      <c r="E6" s="24" t="s">
        <v>32</v>
      </c>
      <c r="F6" s="24" t="s">
        <v>1647</v>
      </c>
      <c r="G6" s="57" t="s">
        <v>693</v>
      </c>
      <c r="H6" s="54" t="s">
        <v>143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spans="1:33" ht="26.25" customHeight="1">
      <c r="A7" s="53" t="s">
        <v>151</v>
      </c>
      <c r="B7" s="481"/>
      <c r="C7" s="53" t="s">
        <v>28</v>
      </c>
      <c r="D7" s="53" t="s">
        <v>30</v>
      </c>
      <c r="E7" s="24" t="s">
        <v>32</v>
      </c>
      <c r="F7" s="24" t="s">
        <v>1651</v>
      </c>
      <c r="G7" s="57" t="s">
        <v>693</v>
      </c>
      <c r="H7" s="54" t="s">
        <v>143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 spans="1:33" ht="26.25" customHeight="1">
      <c r="A8" s="53" t="s">
        <v>2649</v>
      </c>
      <c r="B8" s="54">
        <v>1</v>
      </c>
      <c r="C8" s="53" t="s">
        <v>28</v>
      </c>
      <c r="D8" s="53" t="s">
        <v>50</v>
      </c>
      <c r="E8" s="24" t="s">
        <v>32</v>
      </c>
      <c r="F8" s="24" t="s">
        <v>1666</v>
      </c>
      <c r="G8" s="57" t="s">
        <v>693</v>
      </c>
      <c r="H8" s="54" t="s">
        <v>143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33" ht="26.25" customHeight="1">
      <c r="A9" s="24" t="s">
        <v>2652</v>
      </c>
      <c r="B9" s="479">
        <v>2</v>
      </c>
      <c r="C9" s="24" t="s">
        <v>28</v>
      </c>
      <c r="D9" s="24" t="s">
        <v>50</v>
      </c>
      <c r="E9" s="24" t="s">
        <v>32</v>
      </c>
      <c r="F9" s="24" t="s">
        <v>1674</v>
      </c>
      <c r="G9" s="25" t="s">
        <v>693</v>
      </c>
      <c r="H9" s="26" t="s">
        <v>143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</row>
    <row r="10" spans="1:33" ht="26.25" customHeight="1">
      <c r="A10" s="24" t="s">
        <v>2652</v>
      </c>
      <c r="B10" s="481"/>
      <c r="C10" s="24" t="s">
        <v>28</v>
      </c>
      <c r="D10" s="24" t="s">
        <v>50</v>
      </c>
      <c r="E10" s="24" t="s">
        <v>32</v>
      </c>
      <c r="F10" s="24" t="s">
        <v>1718</v>
      </c>
      <c r="G10" s="25" t="s">
        <v>7</v>
      </c>
      <c r="H10" s="26" t="s">
        <v>7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 spans="1:33" ht="26.25" customHeight="1">
      <c r="A11" s="53" t="s">
        <v>113</v>
      </c>
      <c r="B11" s="483">
        <v>2</v>
      </c>
      <c r="C11" s="53" t="s">
        <v>28</v>
      </c>
      <c r="D11" s="53" t="s">
        <v>50</v>
      </c>
      <c r="E11" s="24" t="s">
        <v>32</v>
      </c>
      <c r="F11" s="24" t="s">
        <v>1680</v>
      </c>
      <c r="G11" s="57" t="s">
        <v>693</v>
      </c>
      <c r="H11" s="54" t="s">
        <v>143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</row>
    <row r="12" spans="1:33" ht="32.25" customHeight="1">
      <c r="A12" s="53" t="s">
        <v>113</v>
      </c>
      <c r="B12" s="481"/>
      <c r="C12" s="5" t="s">
        <v>28</v>
      </c>
      <c r="D12" s="5" t="s">
        <v>50</v>
      </c>
      <c r="E12" s="24" t="s">
        <v>32</v>
      </c>
      <c r="F12" s="5" t="s">
        <v>1930</v>
      </c>
      <c r="G12" s="11" t="s">
        <v>7</v>
      </c>
      <c r="H12" s="7" t="s">
        <v>7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</row>
    <row r="13" spans="1:33" ht="26.25" customHeight="1">
      <c r="A13" s="53" t="s">
        <v>396</v>
      </c>
      <c r="B13" s="483">
        <v>3</v>
      </c>
      <c r="C13" s="53" t="s">
        <v>9</v>
      </c>
      <c r="D13" s="53" t="s">
        <v>11</v>
      </c>
      <c r="E13" s="53" t="s">
        <v>2</v>
      </c>
      <c r="F13" s="53" t="s">
        <v>1491</v>
      </c>
      <c r="G13" s="57" t="s">
        <v>7</v>
      </c>
      <c r="H13" s="54" t="s">
        <v>7</v>
      </c>
    </row>
    <row r="14" spans="1:33" ht="26.25" customHeight="1">
      <c r="A14" s="53" t="s">
        <v>396</v>
      </c>
      <c r="B14" s="480"/>
      <c r="C14" s="53" t="s">
        <v>9</v>
      </c>
      <c r="D14" s="53" t="s">
        <v>11</v>
      </c>
      <c r="E14" s="53" t="s">
        <v>2</v>
      </c>
      <c r="F14" s="53" t="s">
        <v>1491</v>
      </c>
      <c r="G14" s="57" t="s">
        <v>7</v>
      </c>
      <c r="H14" s="54" t="s">
        <v>7</v>
      </c>
    </row>
    <row r="15" spans="1:33" ht="24.75" customHeight="1">
      <c r="A15" s="53" t="s">
        <v>396</v>
      </c>
      <c r="B15" s="481"/>
      <c r="C15" s="53" t="s">
        <v>28</v>
      </c>
      <c r="D15" s="53" t="s">
        <v>30</v>
      </c>
      <c r="E15" s="53" t="s">
        <v>2</v>
      </c>
      <c r="F15" s="53" t="s">
        <v>1491</v>
      </c>
      <c r="G15" s="57" t="s">
        <v>7</v>
      </c>
      <c r="H15" s="54" t="s">
        <v>7</v>
      </c>
    </row>
    <row r="16" spans="1:33" ht="24.75" customHeight="1">
      <c r="A16" s="53" t="s">
        <v>274</v>
      </c>
      <c r="B16" s="483">
        <v>7</v>
      </c>
      <c r="C16" s="53" t="s">
        <v>28</v>
      </c>
      <c r="D16" s="53" t="s">
        <v>30</v>
      </c>
      <c r="E16" s="24" t="s">
        <v>2</v>
      </c>
      <c r="F16" s="53" t="s">
        <v>2546</v>
      </c>
      <c r="G16" s="57" t="s">
        <v>7</v>
      </c>
      <c r="H16" s="54" t="s">
        <v>7</v>
      </c>
    </row>
    <row r="17" spans="1:33" ht="24.75" customHeight="1">
      <c r="A17" s="53" t="s">
        <v>274</v>
      </c>
      <c r="B17" s="480"/>
      <c r="C17" s="53" t="s">
        <v>28</v>
      </c>
      <c r="D17" s="53" t="s">
        <v>30</v>
      </c>
      <c r="E17" s="24" t="s">
        <v>2</v>
      </c>
      <c r="F17" s="53" t="s">
        <v>2546</v>
      </c>
      <c r="G17" s="57" t="s">
        <v>7</v>
      </c>
      <c r="H17" s="54" t="s">
        <v>7</v>
      </c>
    </row>
    <row r="18" spans="1:33" ht="24.75" customHeight="1">
      <c r="A18" s="53" t="s">
        <v>274</v>
      </c>
      <c r="B18" s="480"/>
      <c r="C18" s="53" t="s">
        <v>28</v>
      </c>
      <c r="D18" s="53" t="s">
        <v>30</v>
      </c>
      <c r="E18" s="24" t="s">
        <v>2</v>
      </c>
      <c r="F18" s="53" t="s">
        <v>2546</v>
      </c>
      <c r="G18" s="57" t="s">
        <v>7</v>
      </c>
      <c r="H18" s="54" t="s">
        <v>7</v>
      </c>
    </row>
    <row r="19" spans="1:33" ht="24.75" customHeight="1">
      <c r="A19" s="53" t="s">
        <v>274</v>
      </c>
      <c r="B19" s="480"/>
      <c r="C19" s="53" t="s">
        <v>28</v>
      </c>
      <c r="D19" s="53" t="s">
        <v>30</v>
      </c>
      <c r="E19" s="24" t="s">
        <v>2</v>
      </c>
      <c r="F19" s="53" t="s">
        <v>2546</v>
      </c>
      <c r="G19" s="57" t="s">
        <v>693</v>
      </c>
      <c r="H19" s="54" t="s">
        <v>7</v>
      </c>
    </row>
    <row r="20" spans="1:33" ht="24.75" customHeight="1">
      <c r="A20" s="53" t="s">
        <v>274</v>
      </c>
      <c r="B20" s="480"/>
      <c r="C20" s="53" t="s">
        <v>28</v>
      </c>
      <c r="D20" s="53" t="s">
        <v>30</v>
      </c>
      <c r="E20" s="24" t="s">
        <v>2</v>
      </c>
      <c r="F20" s="53" t="s">
        <v>2546</v>
      </c>
      <c r="G20" s="57" t="s">
        <v>7</v>
      </c>
      <c r="H20" s="54" t="s">
        <v>7</v>
      </c>
    </row>
    <row r="21" spans="1:33" ht="24.75" customHeight="1">
      <c r="A21" s="53" t="s">
        <v>274</v>
      </c>
      <c r="B21" s="480"/>
      <c r="C21" s="53" t="s">
        <v>28</v>
      </c>
      <c r="D21" s="53" t="s">
        <v>30</v>
      </c>
      <c r="E21" s="24" t="s">
        <v>2</v>
      </c>
      <c r="F21" s="53" t="s">
        <v>2546</v>
      </c>
      <c r="G21" s="57" t="s">
        <v>7</v>
      </c>
      <c r="H21" s="54" t="s">
        <v>7</v>
      </c>
    </row>
    <row r="22" spans="1:33" ht="24.75" customHeight="1">
      <c r="A22" s="53" t="s">
        <v>274</v>
      </c>
      <c r="B22" s="481"/>
      <c r="C22" s="53" t="s">
        <v>2750</v>
      </c>
      <c r="D22" s="53" t="s">
        <v>30</v>
      </c>
      <c r="E22" s="24" t="s">
        <v>2</v>
      </c>
      <c r="F22" s="53" t="s">
        <v>2546</v>
      </c>
      <c r="G22" s="57" t="s">
        <v>7</v>
      </c>
      <c r="H22" s="54" t="s">
        <v>7</v>
      </c>
    </row>
    <row r="23" spans="1:33" ht="24" customHeight="1"/>
    <row r="24" spans="1:33" ht="27" customHeight="1"/>
    <row r="25" spans="1:33" ht="26.25" customHeight="1">
      <c r="A25" s="53" t="s">
        <v>1588</v>
      </c>
      <c r="B25" s="26">
        <v>1</v>
      </c>
      <c r="C25" s="24" t="s">
        <v>93</v>
      </c>
      <c r="D25" s="24" t="s">
        <v>50</v>
      </c>
      <c r="E25" s="24" t="s">
        <v>32</v>
      </c>
      <c r="F25" s="24" t="s">
        <v>1743</v>
      </c>
      <c r="G25" s="25" t="s">
        <v>7</v>
      </c>
      <c r="H25" s="26" t="s">
        <v>7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 spans="1:33" ht="24.75" customHeight="1">
      <c r="A26" s="53" t="s">
        <v>1588</v>
      </c>
      <c r="B26" s="479">
        <v>4</v>
      </c>
      <c r="C26" s="24" t="s">
        <v>388</v>
      </c>
      <c r="D26" s="24" t="s">
        <v>50</v>
      </c>
      <c r="E26" s="24" t="s">
        <v>32</v>
      </c>
      <c r="F26" s="24" t="s">
        <v>1884</v>
      </c>
      <c r="G26" s="25" t="s">
        <v>7</v>
      </c>
      <c r="H26" s="26" t="s">
        <v>7</v>
      </c>
    </row>
    <row r="27" spans="1:33" ht="24.75" customHeight="1">
      <c r="A27" s="53" t="s">
        <v>1588</v>
      </c>
      <c r="B27" s="480"/>
      <c r="C27" s="24" t="s">
        <v>388</v>
      </c>
      <c r="D27" s="24" t="s">
        <v>50</v>
      </c>
      <c r="E27" s="24" t="s">
        <v>32</v>
      </c>
      <c r="F27" s="24" t="s">
        <v>1815</v>
      </c>
      <c r="G27" s="25" t="s">
        <v>7</v>
      </c>
      <c r="H27" s="26" t="s">
        <v>7</v>
      </c>
    </row>
    <row r="28" spans="1:33" ht="24.75" customHeight="1">
      <c r="A28" s="53" t="s">
        <v>1588</v>
      </c>
      <c r="B28" s="480"/>
      <c r="C28" s="24" t="s">
        <v>388</v>
      </c>
      <c r="D28" s="24" t="s">
        <v>50</v>
      </c>
      <c r="E28" s="24" t="s">
        <v>32</v>
      </c>
      <c r="F28" s="24" t="s">
        <v>1869</v>
      </c>
      <c r="G28" s="25" t="s">
        <v>7</v>
      </c>
      <c r="H28" s="26" t="s">
        <v>7</v>
      </c>
    </row>
    <row r="29" spans="1:33" ht="24.75" customHeight="1">
      <c r="A29" s="53" t="s">
        <v>1588</v>
      </c>
      <c r="B29" s="481"/>
      <c r="C29" s="24" t="s">
        <v>388</v>
      </c>
      <c r="D29" s="24" t="s">
        <v>50</v>
      </c>
      <c r="E29" s="24" t="s">
        <v>32</v>
      </c>
      <c r="F29" s="24" t="s">
        <v>2524</v>
      </c>
      <c r="G29" s="25" t="s">
        <v>7</v>
      </c>
      <c r="H29" s="26" t="s">
        <v>7</v>
      </c>
    </row>
    <row r="30" spans="1:33" ht="24.75" customHeight="1">
      <c r="A30" s="53" t="s">
        <v>1588</v>
      </c>
      <c r="B30" s="479">
        <v>6</v>
      </c>
      <c r="C30" s="24" t="s">
        <v>9</v>
      </c>
      <c r="D30" s="24" t="s">
        <v>50</v>
      </c>
      <c r="E30" s="24" t="s">
        <v>32</v>
      </c>
      <c r="F30" s="24" t="s">
        <v>1605</v>
      </c>
      <c r="G30" s="25" t="s">
        <v>7</v>
      </c>
      <c r="H30" s="26" t="s">
        <v>7</v>
      </c>
    </row>
    <row r="31" spans="1:33" ht="24.75" customHeight="1">
      <c r="A31" s="53" t="s">
        <v>1588</v>
      </c>
      <c r="B31" s="480"/>
      <c r="C31" s="24" t="s">
        <v>9</v>
      </c>
      <c r="D31" s="24" t="s">
        <v>50</v>
      </c>
      <c r="E31" s="24" t="s">
        <v>32</v>
      </c>
      <c r="F31" s="24" t="s">
        <v>1605</v>
      </c>
      <c r="G31" s="25" t="s">
        <v>7</v>
      </c>
      <c r="H31" s="26" t="s">
        <v>7</v>
      </c>
    </row>
    <row r="32" spans="1:33" ht="24.75" customHeight="1">
      <c r="A32" s="53" t="s">
        <v>1588</v>
      </c>
      <c r="B32" s="480"/>
      <c r="C32" s="53" t="s">
        <v>9</v>
      </c>
      <c r="D32" s="53" t="s">
        <v>50</v>
      </c>
      <c r="E32" s="24" t="s">
        <v>32</v>
      </c>
      <c r="F32" s="53" t="s">
        <v>1810</v>
      </c>
      <c r="G32" s="57" t="s">
        <v>7</v>
      </c>
      <c r="H32" s="54" t="s">
        <v>7</v>
      </c>
    </row>
    <row r="33" spans="1:8" ht="24.75" customHeight="1">
      <c r="A33" s="53" t="s">
        <v>1588</v>
      </c>
      <c r="B33" s="480"/>
      <c r="C33" s="53" t="s">
        <v>9</v>
      </c>
      <c r="D33" s="53" t="s">
        <v>50</v>
      </c>
      <c r="E33" s="53" t="s">
        <v>32</v>
      </c>
      <c r="F33" s="53" t="s">
        <v>1616</v>
      </c>
      <c r="G33" s="57" t="s">
        <v>7</v>
      </c>
      <c r="H33" s="54" t="s">
        <v>7</v>
      </c>
    </row>
    <row r="34" spans="1:8" ht="24.75" customHeight="1">
      <c r="A34" s="53" t="s">
        <v>1588</v>
      </c>
      <c r="B34" s="480"/>
      <c r="C34" s="24" t="s">
        <v>9</v>
      </c>
      <c r="D34" s="24" t="s">
        <v>50</v>
      </c>
      <c r="E34" s="24" t="s">
        <v>32</v>
      </c>
      <c r="F34" s="24" t="s">
        <v>1616</v>
      </c>
      <c r="G34" s="25" t="s">
        <v>7</v>
      </c>
      <c r="H34" s="26" t="s">
        <v>7</v>
      </c>
    </row>
    <row r="35" spans="1:8" ht="24.75" customHeight="1">
      <c r="A35" s="53" t="s">
        <v>1588</v>
      </c>
      <c r="B35" s="481"/>
      <c r="C35" s="24" t="s">
        <v>9</v>
      </c>
      <c r="D35" s="24" t="s">
        <v>50</v>
      </c>
      <c r="E35" s="24" t="s">
        <v>2</v>
      </c>
      <c r="F35" s="24" t="s">
        <v>1616</v>
      </c>
      <c r="G35" s="25" t="s">
        <v>7</v>
      </c>
      <c r="H35" s="26" t="s">
        <v>7</v>
      </c>
    </row>
    <row r="36" spans="1:8" ht="24.75" customHeight="1">
      <c r="A36" s="53" t="s">
        <v>1588</v>
      </c>
      <c r="B36" s="479">
        <v>15</v>
      </c>
      <c r="C36" s="24" t="s">
        <v>28</v>
      </c>
      <c r="D36" s="24" t="s">
        <v>50</v>
      </c>
      <c r="E36" s="24" t="s">
        <v>32</v>
      </c>
      <c r="F36" s="24" t="s">
        <v>1895</v>
      </c>
      <c r="G36" s="25" t="s">
        <v>7</v>
      </c>
      <c r="H36" s="26" t="s">
        <v>7</v>
      </c>
    </row>
    <row r="37" spans="1:8" ht="24.75" customHeight="1">
      <c r="A37" s="53" t="s">
        <v>1588</v>
      </c>
      <c r="B37" s="480"/>
      <c r="C37" s="5" t="s">
        <v>28</v>
      </c>
      <c r="D37" s="5" t="s">
        <v>50</v>
      </c>
      <c r="E37" s="24" t="s">
        <v>32</v>
      </c>
      <c r="F37" s="5" t="s">
        <v>2514</v>
      </c>
      <c r="G37" s="11" t="s">
        <v>7</v>
      </c>
      <c r="H37" s="7" t="s">
        <v>7</v>
      </c>
    </row>
    <row r="38" spans="1:8" ht="24.75" customHeight="1">
      <c r="A38" s="53" t="s">
        <v>1588</v>
      </c>
      <c r="B38" s="480"/>
      <c r="C38" s="24" t="s">
        <v>28</v>
      </c>
      <c r="D38" s="24" t="s">
        <v>50</v>
      </c>
      <c r="E38" s="24" t="s">
        <v>32</v>
      </c>
      <c r="F38" s="24" t="s">
        <v>1834</v>
      </c>
      <c r="G38" s="25" t="s">
        <v>7</v>
      </c>
      <c r="H38" s="26" t="s">
        <v>7</v>
      </c>
    </row>
    <row r="39" spans="1:8" ht="24.75" customHeight="1">
      <c r="A39" s="53" t="s">
        <v>1588</v>
      </c>
      <c r="B39" s="480"/>
      <c r="C39" s="24" t="s">
        <v>28</v>
      </c>
      <c r="D39" s="24" t="s">
        <v>50</v>
      </c>
      <c r="E39" s="24" t="s">
        <v>32</v>
      </c>
      <c r="F39" s="24" t="s">
        <v>1798</v>
      </c>
      <c r="G39" s="25" t="s">
        <v>7</v>
      </c>
      <c r="H39" s="26" t="s">
        <v>7</v>
      </c>
    </row>
    <row r="40" spans="1:8" ht="24.75" customHeight="1">
      <c r="A40" s="53" t="s">
        <v>1588</v>
      </c>
      <c r="B40" s="480"/>
      <c r="C40" s="24" t="s">
        <v>28</v>
      </c>
      <c r="D40" s="24" t="s">
        <v>50</v>
      </c>
      <c r="E40" s="24" t="s">
        <v>32</v>
      </c>
      <c r="F40" s="24" t="s">
        <v>1839</v>
      </c>
      <c r="G40" s="25" t="s">
        <v>7</v>
      </c>
      <c r="H40" s="26" t="s">
        <v>7</v>
      </c>
    </row>
    <row r="41" spans="1:8" ht="24.75" customHeight="1">
      <c r="A41" s="53" t="s">
        <v>1588</v>
      </c>
      <c r="B41" s="480"/>
      <c r="C41" s="24" t="s">
        <v>28</v>
      </c>
      <c r="D41" s="24" t="s">
        <v>50</v>
      </c>
      <c r="E41" s="24" t="s">
        <v>32</v>
      </c>
      <c r="F41" s="24" t="s">
        <v>1805</v>
      </c>
      <c r="G41" s="25" t="s">
        <v>7</v>
      </c>
      <c r="H41" s="26" t="s">
        <v>7</v>
      </c>
    </row>
    <row r="42" spans="1:8" ht="24.75" customHeight="1">
      <c r="A42" s="53" t="s">
        <v>1588</v>
      </c>
      <c r="B42" s="480"/>
      <c r="C42" s="24" t="s">
        <v>28</v>
      </c>
      <c r="D42" s="24" t="s">
        <v>50</v>
      </c>
      <c r="E42" s="24" t="s">
        <v>32</v>
      </c>
      <c r="F42" s="24" t="s">
        <v>1756</v>
      </c>
      <c r="G42" s="25" t="s">
        <v>7</v>
      </c>
      <c r="H42" s="26" t="s">
        <v>7</v>
      </c>
    </row>
    <row r="43" spans="1:8" ht="24.75" customHeight="1">
      <c r="A43" s="53" t="s">
        <v>1588</v>
      </c>
      <c r="B43" s="480"/>
      <c r="C43" s="24" t="s">
        <v>28</v>
      </c>
      <c r="D43" s="24" t="s">
        <v>50</v>
      </c>
      <c r="E43" s="24" t="s">
        <v>32</v>
      </c>
      <c r="F43" s="24" t="s">
        <v>1763</v>
      </c>
      <c r="G43" s="25" t="s">
        <v>7</v>
      </c>
      <c r="H43" s="26" t="s">
        <v>7</v>
      </c>
    </row>
    <row r="44" spans="1:8" ht="24.75" customHeight="1">
      <c r="A44" s="53" t="s">
        <v>1588</v>
      </c>
      <c r="B44" s="480"/>
      <c r="C44" s="24" t="s">
        <v>28</v>
      </c>
      <c r="D44" s="24" t="s">
        <v>50</v>
      </c>
      <c r="E44" s="24" t="s">
        <v>32</v>
      </c>
      <c r="F44" s="24" t="s">
        <v>1869</v>
      </c>
      <c r="G44" s="25" t="s">
        <v>7</v>
      </c>
      <c r="H44" s="26" t="s">
        <v>7</v>
      </c>
    </row>
    <row r="45" spans="1:8" ht="24.75" customHeight="1">
      <c r="A45" s="53" t="s">
        <v>1588</v>
      </c>
      <c r="B45" s="480"/>
      <c r="C45" s="53" t="s">
        <v>28</v>
      </c>
      <c r="D45" s="53" t="s">
        <v>50</v>
      </c>
      <c r="E45" s="53" t="s">
        <v>32</v>
      </c>
      <c r="F45" s="53" t="s">
        <v>1915</v>
      </c>
      <c r="G45" s="57" t="s">
        <v>7</v>
      </c>
      <c r="H45" s="54" t="s">
        <v>7</v>
      </c>
    </row>
    <row r="46" spans="1:8" ht="24.75" customHeight="1">
      <c r="A46" s="53" t="s">
        <v>1588</v>
      </c>
      <c r="B46" s="480"/>
      <c r="C46" s="24" t="s">
        <v>28</v>
      </c>
      <c r="D46" s="24" t="s">
        <v>50</v>
      </c>
      <c r="E46" s="24" t="s">
        <v>32</v>
      </c>
      <c r="F46" s="24" t="s">
        <v>1878</v>
      </c>
      <c r="G46" s="25" t="s">
        <v>7</v>
      </c>
      <c r="H46" s="26" t="s">
        <v>7</v>
      </c>
    </row>
    <row r="47" spans="1:8" ht="24.75" customHeight="1">
      <c r="A47" s="53" t="s">
        <v>1588</v>
      </c>
      <c r="B47" s="480"/>
      <c r="C47" s="24" t="s">
        <v>28</v>
      </c>
      <c r="D47" s="24" t="s">
        <v>50</v>
      </c>
      <c r="E47" s="24" t="s">
        <v>32</v>
      </c>
      <c r="F47" s="24" t="s">
        <v>1815</v>
      </c>
      <c r="G47" s="25" t="s">
        <v>7</v>
      </c>
      <c r="H47" s="26" t="s">
        <v>7</v>
      </c>
    </row>
    <row r="48" spans="1:8" ht="24.75" customHeight="1">
      <c r="A48" s="53" t="s">
        <v>1588</v>
      </c>
      <c r="B48" s="480"/>
      <c r="C48" s="24" t="s">
        <v>28</v>
      </c>
      <c r="D48" s="24" t="s">
        <v>50</v>
      </c>
      <c r="E48" s="24" t="s">
        <v>32</v>
      </c>
      <c r="F48" s="24" t="s">
        <v>1736</v>
      </c>
      <c r="G48" s="25" t="s">
        <v>7</v>
      </c>
      <c r="H48" s="26" t="s">
        <v>7</v>
      </c>
    </row>
    <row r="49" spans="1:33" ht="24.75" customHeight="1">
      <c r="A49" s="53" t="s">
        <v>1588</v>
      </c>
      <c r="B49" s="480"/>
      <c r="C49" s="53" t="s">
        <v>28</v>
      </c>
      <c r="D49" s="53" t="s">
        <v>50</v>
      </c>
      <c r="E49" s="24" t="s">
        <v>32</v>
      </c>
      <c r="F49" s="53" t="s">
        <v>1736</v>
      </c>
      <c r="G49" s="57" t="s">
        <v>7</v>
      </c>
      <c r="H49" s="54" t="s">
        <v>7</v>
      </c>
    </row>
    <row r="50" spans="1:33" ht="24.75" customHeight="1">
      <c r="A50" s="53" t="s">
        <v>1588</v>
      </c>
      <c r="B50" s="481"/>
      <c r="C50" s="24" t="s">
        <v>28</v>
      </c>
      <c r="D50" s="24" t="s">
        <v>50</v>
      </c>
      <c r="E50" s="24" t="s">
        <v>32</v>
      </c>
      <c r="F50" s="24" t="s">
        <v>2643</v>
      </c>
      <c r="G50" s="25" t="s">
        <v>7</v>
      </c>
      <c r="H50" s="26" t="s">
        <v>7</v>
      </c>
    </row>
    <row r="51" spans="1:33" ht="24.75" customHeight="1">
      <c r="A51" s="53" t="s">
        <v>1588</v>
      </c>
      <c r="B51" s="482">
        <v>3</v>
      </c>
      <c r="C51" s="5" t="s">
        <v>28</v>
      </c>
      <c r="D51" s="5" t="s">
        <v>11</v>
      </c>
      <c r="E51" s="53" t="s">
        <v>2</v>
      </c>
      <c r="F51" s="5" t="s">
        <v>1922</v>
      </c>
      <c r="G51" s="11" t="s">
        <v>7</v>
      </c>
      <c r="H51" s="7" t="s">
        <v>7</v>
      </c>
    </row>
    <row r="52" spans="1:33" ht="24.75" customHeight="1">
      <c r="A52" s="53" t="s">
        <v>1588</v>
      </c>
      <c r="B52" s="480"/>
      <c r="C52" s="5" t="s">
        <v>28</v>
      </c>
      <c r="D52" s="5" t="s">
        <v>11</v>
      </c>
      <c r="E52" s="53" t="s">
        <v>2</v>
      </c>
      <c r="F52" s="5" t="s">
        <v>1922</v>
      </c>
      <c r="G52" s="11" t="s">
        <v>7</v>
      </c>
      <c r="H52" s="7" t="s">
        <v>7</v>
      </c>
    </row>
    <row r="53" spans="1:33" ht="24.75" customHeight="1">
      <c r="A53" s="53" t="s">
        <v>1588</v>
      </c>
      <c r="B53" s="481"/>
      <c r="C53" s="53" t="s">
        <v>28</v>
      </c>
      <c r="D53" s="53" t="s">
        <v>11</v>
      </c>
      <c r="E53" s="53" t="s">
        <v>2</v>
      </c>
      <c r="F53" s="53" t="s">
        <v>1763</v>
      </c>
      <c r="G53" s="57" t="s">
        <v>7</v>
      </c>
      <c r="H53" s="54" t="s">
        <v>7</v>
      </c>
    </row>
    <row r="54" spans="1:33" ht="24.75" customHeight="1">
      <c r="A54" s="53" t="s">
        <v>1588</v>
      </c>
      <c r="B54" s="483">
        <v>4</v>
      </c>
      <c r="C54" s="53" t="s">
        <v>93</v>
      </c>
      <c r="D54" s="53" t="s">
        <v>30</v>
      </c>
      <c r="E54" s="53" t="s">
        <v>2</v>
      </c>
      <c r="F54" s="53" t="s">
        <v>1827</v>
      </c>
      <c r="G54" s="57" t="s">
        <v>7</v>
      </c>
      <c r="H54" s="54" t="s">
        <v>949</v>
      </c>
    </row>
    <row r="55" spans="1:33" ht="24.75" customHeight="1">
      <c r="A55" s="53" t="s">
        <v>1588</v>
      </c>
      <c r="B55" s="480"/>
      <c r="C55" s="53" t="s">
        <v>93</v>
      </c>
      <c r="D55" s="53" t="s">
        <v>30</v>
      </c>
      <c r="E55" s="53" t="s">
        <v>2</v>
      </c>
      <c r="F55" s="53" t="s">
        <v>1827</v>
      </c>
      <c r="G55" s="57" t="s">
        <v>7</v>
      </c>
      <c r="H55" s="54" t="s">
        <v>7</v>
      </c>
    </row>
    <row r="56" spans="1:33" ht="24.75" customHeight="1">
      <c r="A56" s="53" t="s">
        <v>1588</v>
      </c>
      <c r="B56" s="480"/>
      <c r="C56" s="53" t="s">
        <v>93</v>
      </c>
      <c r="D56" s="53" t="s">
        <v>30</v>
      </c>
      <c r="E56" s="53" t="s">
        <v>2</v>
      </c>
      <c r="F56" s="53" t="s">
        <v>1902</v>
      </c>
      <c r="G56" s="57" t="s">
        <v>7</v>
      </c>
      <c r="H56" s="54" t="s">
        <v>7</v>
      </c>
    </row>
    <row r="57" spans="1:33" ht="24.75" customHeight="1">
      <c r="A57" s="53" t="s">
        <v>1588</v>
      </c>
      <c r="B57" s="481"/>
      <c r="C57" s="53" t="s">
        <v>93</v>
      </c>
      <c r="D57" s="53" t="s">
        <v>30</v>
      </c>
      <c r="E57" s="53" t="s">
        <v>2</v>
      </c>
      <c r="F57" s="53" t="s">
        <v>2664</v>
      </c>
      <c r="G57" s="57" t="s">
        <v>7</v>
      </c>
      <c r="H57" s="54" t="s">
        <v>7</v>
      </c>
    </row>
    <row r="58" spans="1:33" ht="26.25" customHeight="1">
      <c r="A58" s="53" t="s">
        <v>1588</v>
      </c>
      <c r="B58" s="54">
        <v>1</v>
      </c>
      <c r="C58" s="53" t="s">
        <v>388</v>
      </c>
      <c r="D58" s="53" t="s">
        <v>30</v>
      </c>
      <c r="E58" s="24" t="s">
        <v>2</v>
      </c>
      <c r="F58" s="53" t="s">
        <v>1778</v>
      </c>
      <c r="G58" s="57" t="s">
        <v>7</v>
      </c>
      <c r="H58" s="54" t="s">
        <v>7</v>
      </c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 spans="1:33" ht="26.25" customHeight="1">
      <c r="A59" s="53" t="s">
        <v>1588</v>
      </c>
      <c r="B59" s="54">
        <v>1</v>
      </c>
      <c r="C59" s="53" t="s">
        <v>2752</v>
      </c>
      <c r="D59" s="53" t="s">
        <v>30</v>
      </c>
      <c r="E59" s="53" t="s">
        <v>2</v>
      </c>
      <c r="F59" s="53" t="s">
        <v>1827</v>
      </c>
      <c r="G59" s="57" t="s">
        <v>7</v>
      </c>
      <c r="H59" s="54" t="s">
        <v>7</v>
      </c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  <row r="60" spans="1:33" ht="24.75" customHeight="1">
      <c r="A60" s="53" t="s">
        <v>1588</v>
      </c>
      <c r="B60" s="483">
        <v>2</v>
      </c>
      <c r="C60" s="53" t="s">
        <v>9</v>
      </c>
      <c r="D60" s="53" t="s">
        <v>30</v>
      </c>
      <c r="E60" s="53" t="s">
        <v>2</v>
      </c>
      <c r="F60" s="53" t="s">
        <v>1810</v>
      </c>
      <c r="G60" s="57" t="s">
        <v>7</v>
      </c>
      <c r="H60" s="54" t="s">
        <v>7</v>
      </c>
    </row>
    <row r="61" spans="1:33" ht="24.75" customHeight="1">
      <c r="A61" s="53" t="s">
        <v>1588</v>
      </c>
      <c r="B61" s="481"/>
      <c r="C61" s="53" t="s">
        <v>9</v>
      </c>
      <c r="D61" s="53" t="s">
        <v>30</v>
      </c>
      <c r="E61" s="53" t="s">
        <v>2</v>
      </c>
      <c r="F61" s="53" t="s">
        <v>1605</v>
      </c>
      <c r="G61" s="57" t="s">
        <v>7</v>
      </c>
      <c r="H61" s="54" t="s">
        <v>7</v>
      </c>
    </row>
    <row r="62" spans="1:33" ht="24.75" customHeight="1">
      <c r="A62" s="53" t="s">
        <v>1588</v>
      </c>
      <c r="B62" s="483">
        <v>27</v>
      </c>
      <c r="C62" s="53" t="s">
        <v>28</v>
      </c>
      <c r="D62" s="53" t="s">
        <v>30</v>
      </c>
      <c r="E62" s="24" t="s">
        <v>2</v>
      </c>
      <c r="F62" s="24" t="s">
        <v>1629</v>
      </c>
      <c r="G62" s="57" t="s">
        <v>693</v>
      </c>
      <c r="H62" s="54" t="s">
        <v>143</v>
      </c>
    </row>
    <row r="63" spans="1:33" ht="24.75" customHeight="1">
      <c r="A63" s="53" t="s">
        <v>1588</v>
      </c>
      <c r="B63" s="480"/>
      <c r="C63" s="53" t="s">
        <v>28</v>
      </c>
      <c r="D63" s="53" t="s">
        <v>30</v>
      </c>
      <c r="E63" s="24" t="s">
        <v>2</v>
      </c>
      <c r="F63" s="24" t="s">
        <v>1689</v>
      </c>
      <c r="G63" s="57" t="s">
        <v>693</v>
      </c>
      <c r="H63" s="54" t="s">
        <v>143</v>
      </c>
    </row>
    <row r="64" spans="1:33" ht="24.75" customHeight="1">
      <c r="A64" s="53" t="s">
        <v>1588</v>
      </c>
      <c r="B64" s="480"/>
      <c r="C64" s="53" t="s">
        <v>28</v>
      </c>
      <c r="D64" s="53" t="s">
        <v>30</v>
      </c>
      <c r="E64" s="24" t="s">
        <v>2</v>
      </c>
      <c r="F64" s="53" t="s">
        <v>1778</v>
      </c>
      <c r="G64" s="57" t="s">
        <v>7</v>
      </c>
      <c r="H64" s="54" t="s">
        <v>7</v>
      </c>
    </row>
    <row r="65" spans="1:8" ht="24.75" customHeight="1">
      <c r="A65" s="53" t="s">
        <v>1588</v>
      </c>
      <c r="B65" s="480"/>
      <c r="C65" s="53" t="s">
        <v>28</v>
      </c>
      <c r="D65" s="53" t="s">
        <v>30</v>
      </c>
      <c r="E65" s="24" t="s">
        <v>2</v>
      </c>
      <c r="F65" s="53" t="s">
        <v>1778</v>
      </c>
      <c r="G65" s="57" t="s">
        <v>7</v>
      </c>
      <c r="H65" s="54" t="s">
        <v>7</v>
      </c>
    </row>
    <row r="66" spans="1:8" ht="24.75" customHeight="1">
      <c r="A66" s="53" t="s">
        <v>1588</v>
      </c>
      <c r="B66" s="480"/>
      <c r="C66" s="53" t="s">
        <v>28</v>
      </c>
      <c r="D66" s="53" t="s">
        <v>30</v>
      </c>
      <c r="E66" s="53" t="s">
        <v>2</v>
      </c>
      <c r="F66" s="53" t="s">
        <v>2482</v>
      </c>
      <c r="G66" s="57" t="s">
        <v>7</v>
      </c>
      <c r="H66" s="54" t="s">
        <v>7</v>
      </c>
    </row>
    <row r="67" spans="1:8" ht="24.75" customHeight="1">
      <c r="A67" s="53" t="s">
        <v>1588</v>
      </c>
      <c r="B67" s="480"/>
      <c r="C67" s="5" t="s">
        <v>28</v>
      </c>
      <c r="D67" s="5" t="s">
        <v>30</v>
      </c>
      <c r="E67" s="53" t="s">
        <v>2</v>
      </c>
      <c r="F67" s="5" t="s">
        <v>1616</v>
      </c>
      <c r="G67" s="11" t="s">
        <v>7</v>
      </c>
      <c r="H67" s="7" t="s">
        <v>7</v>
      </c>
    </row>
    <row r="68" spans="1:8" ht="24.75" customHeight="1">
      <c r="A68" s="53" t="s">
        <v>1588</v>
      </c>
      <c r="B68" s="480"/>
      <c r="C68" s="53" t="s">
        <v>28</v>
      </c>
      <c r="D68" s="53" t="s">
        <v>30</v>
      </c>
      <c r="E68" s="53" t="s">
        <v>2</v>
      </c>
      <c r="F68" s="24" t="s">
        <v>1664</v>
      </c>
      <c r="G68" s="57" t="s">
        <v>693</v>
      </c>
      <c r="H68" s="54" t="s">
        <v>143</v>
      </c>
    </row>
    <row r="69" spans="1:8" ht="24.75" customHeight="1">
      <c r="A69" s="53" t="s">
        <v>1588</v>
      </c>
      <c r="B69" s="480"/>
      <c r="C69" s="53" t="s">
        <v>28</v>
      </c>
      <c r="D69" s="53" t="s">
        <v>30</v>
      </c>
      <c r="E69" s="53" t="s">
        <v>2</v>
      </c>
      <c r="F69" s="53" t="s">
        <v>1727</v>
      </c>
      <c r="G69" s="57" t="s">
        <v>7</v>
      </c>
      <c r="H69" s="54" t="s">
        <v>7</v>
      </c>
    </row>
    <row r="70" spans="1:8" ht="24.75" customHeight="1">
      <c r="A70" s="53" t="s">
        <v>1588</v>
      </c>
      <c r="B70" s="480"/>
      <c r="C70" s="53" t="s">
        <v>28</v>
      </c>
      <c r="D70" s="53" t="s">
        <v>30</v>
      </c>
      <c r="E70" s="53" t="s">
        <v>2</v>
      </c>
      <c r="F70" s="53" t="s">
        <v>1727</v>
      </c>
      <c r="G70" s="57" t="s">
        <v>7</v>
      </c>
      <c r="H70" s="54" t="s">
        <v>7</v>
      </c>
    </row>
    <row r="71" spans="1:8" ht="24.75" customHeight="1">
      <c r="A71" s="53" t="s">
        <v>1588</v>
      </c>
      <c r="B71" s="480"/>
      <c r="C71" s="53" t="s">
        <v>28</v>
      </c>
      <c r="D71" s="53" t="s">
        <v>30</v>
      </c>
      <c r="E71" s="53" t="s">
        <v>2</v>
      </c>
      <c r="F71" s="53" t="s">
        <v>1727</v>
      </c>
      <c r="G71" s="57" t="s">
        <v>7</v>
      </c>
      <c r="H71" s="54" t="s">
        <v>7</v>
      </c>
    </row>
    <row r="72" spans="1:8" ht="24.75" customHeight="1">
      <c r="A72" s="53" t="s">
        <v>1588</v>
      </c>
      <c r="B72" s="480"/>
      <c r="C72" s="53" t="s">
        <v>28</v>
      </c>
      <c r="D72" s="53" t="s">
        <v>30</v>
      </c>
      <c r="E72" s="53" t="s">
        <v>2</v>
      </c>
      <c r="F72" s="53" t="s">
        <v>1727</v>
      </c>
      <c r="G72" s="57" t="s">
        <v>7</v>
      </c>
      <c r="H72" s="54" t="s">
        <v>7</v>
      </c>
    </row>
    <row r="73" spans="1:8" ht="24.75" customHeight="1">
      <c r="A73" s="53" t="s">
        <v>1588</v>
      </c>
      <c r="B73" s="480"/>
      <c r="C73" s="53" t="s">
        <v>28</v>
      </c>
      <c r="D73" s="53" t="s">
        <v>30</v>
      </c>
      <c r="E73" s="53" t="s">
        <v>2</v>
      </c>
      <c r="F73" s="53" t="s">
        <v>1891</v>
      </c>
      <c r="G73" s="57" t="s">
        <v>7</v>
      </c>
      <c r="H73" s="54" t="s">
        <v>7</v>
      </c>
    </row>
    <row r="74" spans="1:8" ht="24.75" customHeight="1">
      <c r="A74" s="53" t="s">
        <v>1588</v>
      </c>
      <c r="B74" s="480"/>
      <c r="C74" s="53" t="s">
        <v>28</v>
      </c>
      <c r="D74" s="53" t="s">
        <v>30</v>
      </c>
      <c r="E74" s="53" t="s">
        <v>2</v>
      </c>
      <c r="F74" s="53" t="s">
        <v>1891</v>
      </c>
      <c r="G74" s="57" t="s">
        <v>7</v>
      </c>
      <c r="H74" s="54" t="s">
        <v>7</v>
      </c>
    </row>
    <row r="75" spans="1:8" ht="24.75" customHeight="1">
      <c r="A75" s="53" t="s">
        <v>1588</v>
      </c>
      <c r="B75" s="480"/>
      <c r="C75" s="53" t="s">
        <v>28</v>
      </c>
      <c r="D75" s="53" t="s">
        <v>30</v>
      </c>
      <c r="E75" s="53" t="s">
        <v>2</v>
      </c>
      <c r="F75" s="53" t="s">
        <v>1891</v>
      </c>
      <c r="G75" s="57" t="s">
        <v>7</v>
      </c>
      <c r="H75" s="54" t="s">
        <v>7</v>
      </c>
    </row>
    <row r="76" spans="1:8" ht="24.75" customHeight="1">
      <c r="A76" s="53" t="s">
        <v>1588</v>
      </c>
      <c r="B76" s="480"/>
      <c r="C76" s="53" t="s">
        <v>28</v>
      </c>
      <c r="D76" s="53" t="s">
        <v>30</v>
      </c>
      <c r="E76" s="53" t="s">
        <v>2</v>
      </c>
      <c r="F76" s="53" t="s">
        <v>1891</v>
      </c>
      <c r="G76" s="57" t="s">
        <v>7</v>
      </c>
      <c r="H76" s="54" t="s">
        <v>7</v>
      </c>
    </row>
    <row r="77" spans="1:8" ht="24.75" customHeight="1">
      <c r="A77" s="53" t="s">
        <v>1588</v>
      </c>
      <c r="B77" s="480"/>
      <c r="C77" s="53" t="s">
        <v>28</v>
      </c>
      <c r="D77" s="53" t="s">
        <v>30</v>
      </c>
      <c r="E77" s="53" t="s">
        <v>2</v>
      </c>
      <c r="F77" s="53" t="s">
        <v>1891</v>
      </c>
      <c r="G77" s="57" t="s">
        <v>7</v>
      </c>
      <c r="H77" s="54" t="s">
        <v>7</v>
      </c>
    </row>
    <row r="78" spans="1:8" ht="24.75" customHeight="1">
      <c r="A78" s="53" t="s">
        <v>1588</v>
      </c>
      <c r="B78" s="480"/>
      <c r="C78" s="53" t="s">
        <v>28</v>
      </c>
      <c r="D78" s="53" t="s">
        <v>30</v>
      </c>
      <c r="E78" s="53" t="s">
        <v>2</v>
      </c>
      <c r="F78" s="53" t="s">
        <v>1891</v>
      </c>
      <c r="G78" s="57" t="s">
        <v>7</v>
      </c>
      <c r="H78" s="54" t="s">
        <v>7</v>
      </c>
    </row>
    <row r="79" spans="1:8" ht="24.75" customHeight="1">
      <c r="A79" s="53" t="s">
        <v>1588</v>
      </c>
      <c r="B79" s="480"/>
      <c r="C79" s="53" t="s">
        <v>28</v>
      </c>
      <c r="D79" s="53" t="s">
        <v>30</v>
      </c>
      <c r="E79" s="53" t="s">
        <v>2</v>
      </c>
      <c r="F79" s="53" t="s">
        <v>1891</v>
      </c>
      <c r="G79" s="57" t="s">
        <v>7</v>
      </c>
      <c r="H79" s="54" t="s">
        <v>7</v>
      </c>
    </row>
    <row r="80" spans="1:8" ht="24.75" customHeight="1">
      <c r="A80" s="53" t="s">
        <v>1588</v>
      </c>
      <c r="B80" s="480"/>
      <c r="C80" s="53" t="s">
        <v>28</v>
      </c>
      <c r="D80" s="53" t="s">
        <v>30</v>
      </c>
      <c r="E80" s="53" t="s">
        <v>2</v>
      </c>
      <c r="F80" s="53" t="s">
        <v>1891</v>
      </c>
      <c r="G80" s="57" t="s">
        <v>7</v>
      </c>
      <c r="H80" s="54" t="s">
        <v>7</v>
      </c>
    </row>
    <row r="81" spans="1:8" ht="24.75" customHeight="1">
      <c r="A81" s="53" t="s">
        <v>1588</v>
      </c>
      <c r="B81" s="480"/>
      <c r="C81" s="53" t="s">
        <v>28</v>
      </c>
      <c r="D81" s="53" t="s">
        <v>30</v>
      </c>
      <c r="E81" s="53" t="s">
        <v>2</v>
      </c>
      <c r="F81" s="53" t="s">
        <v>1827</v>
      </c>
      <c r="G81" s="57" t="s">
        <v>7</v>
      </c>
      <c r="H81" s="54" t="s">
        <v>7</v>
      </c>
    </row>
    <row r="82" spans="1:8" ht="24.75" customHeight="1">
      <c r="A82" s="53" t="s">
        <v>1588</v>
      </c>
      <c r="B82" s="480"/>
      <c r="C82" s="53" t="s">
        <v>28</v>
      </c>
      <c r="D82" s="53" t="s">
        <v>30</v>
      </c>
      <c r="E82" s="53" t="s">
        <v>2</v>
      </c>
      <c r="F82" s="53" t="s">
        <v>1827</v>
      </c>
      <c r="G82" s="57" t="s">
        <v>7</v>
      </c>
      <c r="H82" s="54" t="s">
        <v>7</v>
      </c>
    </row>
    <row r="83" spans="1:8" ht="24.75" customHeight="1">
      <c r="A83" s="53" t="s">
        <v>1588</v>
      </c>
      <c r="B83" s="480"/>
      <c r="C83" s="53" t="s">
        <v>28</v>
      </c>
      <c r="D83" s="53" t="s">
        <v>30</v>
      </c>
      <c r="E83" s="53" t="s">
        <v>2</v>
      </c>
      <c r="F83" s="53" t="s">
        <v>1827</v>
      </c>
      <c r="G83" s="57" t="s">
        <v>7</v>
      </c>
      <c r="H83" s="54" t="s">
        <v>7</v>
      </c>
    </row>
    <row r="84" spans="1:8" ht="24.75" customHeight="1">
      <c r="A84" s="53" t="s">
        <v>1588</v>
      </c>
      <c r="B84" s="480"/>
      <c r="C84" s="53" t="s">
        <v>28</v>
      </c>
      <c r="D84" s="53" t="s">
        <v>30</v>
      </c>
      <c r="E84" s="53" t="s">
        <v>2</v>
      </c>
      <c r="F84" s="53" t="s">
        <v>1827</v>
      </c>
      <c r="G84" s="57" t="s">
        <v>7</v>
      </c>
      <c r="H84" s="54" t="s">
        <v>7</v>
      </c>
    </row>
    <row r="85" spans="1:8" ht="24.75" customHeight="1">
      <c r="A85" s="53" t="s">
        <v>1588</v>
      </c>
      <c r="B85" s="480"/>
      <c r="C85" s="53" t="s">
        <v>28</v>
      </c>
      <c r="D85" s="53" t="s">
        <v>30</v>
      </c>
      <c r="E85" s="24" t="s">
        <v>2</v>
      </c>
      <c r="F85" s="24" t="s">
        <v>1474</v>
      </c>
      <c r="G85" s="57" t="s">
        <v>693</v>
      </c>
      <c r="H85" s="54" t="s">
        <v>143</v>
      </c>
    </row>
    <row r="86" spans="1:8" ht="24.75" customHeight="1">
      <c r="A86" s="53" t="s">
        <v>1588</v>
      </c>
      <c r="B86" s="480"/>
      <c r="C86" s="53" t="s">
        <v>28</v>
      </c>
      <c r="D86" s="53" t="s">
        <v>30</v>
      </c>
      <c r="E86" s="24" t="s">
        <v>2</v>
      </c>
      <c r="F86" s="24" t="s">
        <v>1474</v>
      </c>
      <c r="G86" s="57" t="s">
        <v>693</v>
      </c>
      <c r="H86" s="54" t="s">
        <v>143</v>
      </c>
    </row>
    <row r="87" spans="1:8" ht="24.75" customHeight="1">
      <c r="A87" s="53" t="s">
        <v>1588</v>
      </c>
      <c r="B87" s="480"/>
      <c r="C87" s="53" t="s">
        <v>28</v>
      </c>
      <c r="D87" s="53" t="s">
        <v>30</v>
      </c>
      <c r="E87" s="53" t="s">
        <v>2</v>
      </c>
      <c r="F87" s="53" t="s">
        <v>1495</v>
      </c>
      <c r="G87" s="57" t="s">
        <v>7</v>
      </c>
      <c r="H87" s="54" t="s">
        <v>7</v>
      </c>
    </row>
    <row r="88" spans="1:8" ht="24.75" customHeight="1">
      <c r="A88" s="53" t="s">
        <v>1588</v>
      </c>
      <c r="B88" s="481"/>
      <c r="C88" s="53" t="s">
        <v>28</v>
      </c>
      <c r="D88" s="53" t="s">
        <v>30</v>
      </c>
      <c r="E88" s="53" t="s">
        <v>2</v>
      </c>
      <c r="F88" s="53" t="s">
        <v>1839</v>
      </c>
      <c r="G88" s="57" t="s">
        <v>7</v>
      </c>
      <c r="H88" s="54" t="s">
        <v>7</v>
      </c>
    </row>
    <row r="89" spans="1:8" ht="24.75" customHeight="1"/>
    <row r="90" spans="1:8" ht="24.75" customHeight="1"/>
  </sheetData>
  <mergeCells count="12">
    <mergeCell ref="B26:B29"/>
    <mergeCell ref="B30:B35"/>
    <mergeCell ref="B6:B7"/>
    <mergeCell ref="B9:B10"/>
    <mergeCell ref="B11:B12"/>
    <mergeCell ref="B13:B15"/>
    <mergeCell ref="B16:B22"/>
    <mergeCell ref="B36:B50"/>
    <mergeCell ref="B51:B53"/>
    <mergeCell ref="B54:B57"/>
    <mergeCell ref="B60:B61"/>
    <mergeCell ref="B62:B88"/>
  </mergeCells>
  <conditionalFormatting sqref="B1:B992">
    <cfRule type="notContainsBlanks" dxfId="2" priority="1">
      <formula>LEN(TRIM(B1))&gt;0</formula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  <pageSetUpPr fitToPage="1"/>
  </sheetPr>
  <dimension ref="A1:X80"/>
  <sheetViews>
    <sheetView showGridLines="0" workbookViewId="0"/>
  </sheetViews>
  <sheetFormatPr defaultColWidth="12.5703125" defaultRowHeight="15" customHeight="1" outlineLevelCol="1"/>
  <cols>
    <col min="1" max="1" width="2.7109375" customWidth="1"/>
    <col min="2" max="2" width="6.140625" customWidth="1" outlineLevel="1"/>
    <col min="3" max="3" width="7" customWidth="1" outlineLevel="1"/>
    <col min="4" max="4" width="23.85546875" customWidth="1" outlineLevel="1"/>
    <col min="5" max="5" width="13.7109375" customWidth="1" outlineLevel="1"/>
    <col min="6" max="6" width="20.7109375" customWidth="1" outlineLevel="1"/>
    <col min="7" max="7" width="15.42578125" customWidth="1" outlineLevel="1"/>
    <col min="8" max="23" width="6.42578125" customWidth="1"/>
    <col min="24" max="24" width="3.85546875" customWidth="1"/>
  </cols>
  <sheetData>
    <row r="1" spans="1:24" ht="15.75" customHeight="1">
      <c r="A1" s="201"/>
      <c r="B1" s="201"/>
      <c r="C1" s="201"/>
      <c r="D1" s="201"/>
      <c r="E1" s="201"/>
      <c r="F1" s="201"/>
      <c r="G1" s="201"/>
      <c r="H1" s="202"/>
      <c r="I1" s="203"/>
      <c r="J1" s="202"/>
      <c r="K1" s="202"/>
      <c r="L1" s="202"/>
      <c r="M1" s="202"/>
      <c r="N1" s="202"/>
      <c r="O1" s="204"/>
      <c r="P1" s="204"/>
      <c r="Q1" s="204"/>
      <c r="R1" s="204"/>
      <c r="S1" s="204"/>
      <c r="T1" s="204"/>
      <c r="U1" s="204"/>
      <c r="V1" s="204"/>
      <c r="W1" s="204"/>
      <c r="X1" s="204"/>
    </row>
    <row r="2" spans="1:24" ht="30" customHeight="1">
      <c r="A2" s="201"/>
      <c r="B2" s="205">
        <v>45413</v>
      </c>
      <c r="D2" s="206">
        <f>WEEKDAY(B2)</f>
        <v>4</v>
      </c>
      <c r="E2" s="207"/>
      <c r="F2" s="207"/>
      <c r="G2" s="208"/>
      <c r="H2" s="209" t="e">
        <f>IF(B6=0,,VLOOKUP(E6,#REF!,2, FALSE()))</f>
        <v>#REF!</v>
      </c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10"/>
    </row>
    <row r="3" spans="1:24" ht="30" customHeight="1">
      <c r="A3" s="201"/>
    </row>
    <row r="4" spans="1:24" ht="30" customHeight="1">
      <c r="A4" s="201"/>
      <c r="H4" s="48" t="s">
        <v>2748</v>
      </c>
      <c r="I4" s="18"/>
      <c r="J4" s="48" t="s">
        <v>2749</v>
      </c>
      <c r="K4" s="18"/>
      <c r="L4" s="48" t="s">
        <v>2751</v>
      </c>
      <c r="M4" s="18"/>
      <c r="N4" s="48" t="s">
        <v>583</v>
      </c>
      <c r="O4" s="18"/>
      <c r="P4" s="48" t="s">
        <v>584</v>
      </c>
      <c r="Q4" s="18"/>
      <c r="R4" s="48" t="s">
        <v>585</v>
      </c>
      <c r="S4" s="18"/>
      <c r="T4" s="48" t="s">
        <v>586</v>
      </c>
      <c r="X4" s="204"/>
    </row>
    <row r="5" spans="1:24" ht="30" customHeight="1">
      <c r="A5" s="201"/>
      <c r="H5" s="83"/>
      <c r="J5" s="83"/>
      <c r="L5" s="211">
        <f>B2</f>
        <v>45413</v>
      </c>
      <c r="N5" s="211">
        <f>L5+1</f>
        <v>45414</v>
      </c>
      <c r="P5" s="211">
        <f>F2</f>
        <v>0</v>
      </c>
      <c r="R5" s="211" t="e">
        <f>H2</f>
        <v>#REF!</v>
      </c>
      <c r="T5" s="211">
        <f t="shared" ref="T5:U5" si="0">J2</f>
        <v>0</v>
      </c>
      <c r="U5" s="211">
        <f t="shared" si="0"/>
        <v>0</v>
      </c>
    </row>
    <row r="6" spans="1:24" ht="24.75" customHeight="1">
      <c r="A6" s="212"/>
      <c r="B6" s="5">
        <v>1</v>
      </c>
      <c r="C6" s="213" t="str">
        <f t="shared" ref="C6:C13" si="1">IF(B6=0,,CONCATENATE(B$19,"/",B6))</f>
        <v>R.01/1</v>
      </c>
      <c r="D6" s="214" t="e">
        <f>IF(B6=0,,VLOOKUP(C6,#REF!,4, FALSE()))</f>
        <v>#REF!</v>
      </c>
      <c r="E6" s="214" t="e">
        <f>IF(B6=0,,VLOOKUP(C6,#REF!,7, FALSE()))</f>
        <v>#REF!</v>
      </c>
      <c r="F6" s="214" t="e">
        <f>IF(B6=0,,VLOOKUP(C6,#REF!,6, FALSE()))</f>
        <v>#REF!</v>
      </c>
      <c r="G6" s="214" t="e">
        <f>IF(B6=0,,VLOOKUP(C6,#REF!,9, FALSE()))</f>
        <v>#REF!</v>
      </c>
      <c r="H6" s="215" t="s">
        <v>3010</v>
      </c>
      <c r="I6" s="216" t="s">
        <v>3010</v>
      </c>
      <c r="J6" s="215" t="s">
        <v>3010</v>
      </c>
      <c r="K6" s="216" t="s">
        <v>3010</v>
      </c>
      <c r="L6" s="215" t="s">
        <v>3010</v>
      </c>
      <c r="M6" s="216" t="s">
        <v>3010</v>
      </c>
      <c r="N6" s="215" t="s">
        <v>3010</v>
      </c>
      <c r="O6" s="216" t="s">
        <v>3010</v>
      </c>
      <c r="P6" s="215" t="s">
        <v>3010</v>
      </c>
      <c r="Q6" s="216" t="s">
        <v>3010</v>
      </c>
      <c r="R6" s="215" t="s">
        <v>3010</v>
      </c>
      <c r="S6" s="216" t="s">
        <v>3010</v>
      </c>
      <c r="T6" s="215" t="s">
        <v>3010</v>
      </c>
      <c r="U6" s="216" t="s">
        <v>3010</v>
      </c>
      <c r="V6" s="215" t="s">
        <v>3010</v>
      </c>
      <c r="W6" s="204"/>
      <c r="X6" s="204"/>
    </row>
    <row r="7" spans="1:24" ht="24.75" customHeight="1">
      <c r="A7" s="212"/>
      <c r="B7" s="5">
        <v>2</v>
      </c>
      <c r="C7" s="213" t="str">
        <f t="shared" si="1"/>
        <v>R.01/2</v>
      </c>
      <c r="D7" s="214" t="e">
        <f>IF(B7=0,,VLOOKUP(C7,#REF!,4, FALSE()))</f>
        <v>#REF!</v>
      </c>
      <c r="E7" s="214" t="e">
        <f>IF(B7=0,,VLOOKUP(C7,#REF!,7, FALSE()))</f>
        <v>#REF!</v>
      </c>
      <c r="F7" s="214" t="e">
        <f>IF(B7=0,,VLOOKUP(C7,#REF!,6, FALSE()))</f>
        <v>#REF!</v>
      </c>
      <c r="G7" s="214" t="e">
        <f>IF(B7=0,,VLOOKUP(C7,#REF!,9, FALSE()))</f>
        <v>#REF!</v>
      </c>
      <c r="H7" s="215" t="s">
        <v>3010</v>
      </c>
      <c r="I7" s="216" t="s">
        <v>3010</v>
      </c>
      <c r="J7" s="215" t="s">
        <v>3010</v>
      </c>
      <c r="K7" s="216" t="s">
        <v>3010</v>
      </c>
      <c r="L7" s="215" t="s">
        <v>3010</v>
      </c>
      <c r="M7" s="216" t="s">
        <v>3010</v>
      </c>
      <c r="N7" s="215" t="s">
        <v>3010</v>
      </c>
      <c r="O7" s="216" t="s">
        <v>3010</v>
      </c>
      <c r="P7" s="215" t="s">
        <v>3010</v>
      </c>
      <c r="Q7" s="216" t="s">
        <v>3010</v>
      </c>
      <c r="R7" s="215" t="s">
        <v>3010</v>
      </c>
      <c r="S7" s="216" t="s">
        <v>3010</v>
      </c>
      <c r="T7" s="215" t="s">
        <v>3010</v>
      </c>
      <c r="U7" s="216" t="s">
        <v>3010</v>
      </c>
      <c r="V7" s="215" t="s">
        <v>3010</v>
      </c>
      <c r="W7" s="204"/>
      <c r="X7" s="204"/>
    </row>
    <row r="8" spans="1:24" ht="24.75" customHeight="1">
      <c r="A8" s="212"/>
      <c r="B8" s="5">
        <v>3</v>
      </c>
      <c r="C8" s="213" t="str">
        <f t="shared" si="1"/>
        <v>R.01/3</v>
      </c>
      <c r="D8" s="214" t="e">
        <f>IF(B8=0,,VLOOKUP(C8,#REF!,4, FALSE()))</f>
        <v>#REF!</v>
      </c>
      <c r="E8" s="214" t="e">
        <f>IF(B8=0,,VLOOKUP(C8,#REF!,7, FALSE()))</f>
        <v>#REF!</v>
      </c>
      <c r="F8" s="214" t="e">
        <f>IF(B8=0,,VLOOKUP(C8,#REF!,6, FALSE()))</f>
        <v>#REF!</v>
      </c>
      <c r="G8" s="214" t="e">
        <f>IF(B8=0,,VLOOKUP(C8,#REF!,9, FALSE()))</f>
        <v>#REF!</v>
      </c>
      <c r="H8" s="215" t="s">
        <v>3010</v>
      </c>
      <c r="I8" s="216" t="s">
        <v>3010</v>
      </c>
      <c r="J8" s="215" t="s">
        <v>3010</v>
      </c>
      <c r="K8" s="216" t="s">
        <v>3010</v>
      </c>
      <c r="L8" s="215" t="s">
        <v>3010</v>
      </c>
      <c r="M8" s="216" t="s">
        <v>3010</v>
      </c>
      <c r="N8" s="215" t="s">
        <v>3010</v>
      </c>
      <c r="O8" s="216" t="s">
        <v>3010</v>
      </c>
      <c r="P8" s="215" t="s">
        <v>3010</v>
      </c>
      <c r="Q8" s="216" t="s">
        <v>3010</v>
      </c>
      <c r="R8" s="215" t="s">
        <v>3010</v>
      </c>
      <c r="S8" s="216" t="s">
        <v>3010</v>
      </c>
      <c r="T8" s="215" t="s">
        <v>3010</v>
      </c>
      <c r="U8" s="216" t="s">
        <v>3010</v>
      </c>
      <c r="V8" s="215" t="s">
        <v>3010</v>
      </c>
      <c r="W8" s="204"/>
      <c r="X8" s="204"/>
    </row>
    <row r="9" spans="1:24" ht="24.75" customHeight="1">
      <c r="A9" s="212"/>
      <c r="B9" s="5">
        <v>0</v>
      </c>
      <c r="C9" s="213">
        <f t="shared" si="1"/>
        <v>0</v>
      </c>
      <c r="D9" s="214">
        <f>IF(B9=0,,VLOOKUP(C9,#REF!,4, FALSE()))</f>
        <v>0</v>
      </c>
      <c r="E9" s="214">
        <f>IF(B9=0,,VLOOKUP(C9,#REF!,7, FALSE()))</f>
        <v>0</v>
      </c>
      <c r="F9" s="214">
        <f>IF(B9=0,,VLOOKUP(C9,#REF!,6, FALSE()))</f>
        <v>0</v>
      </c>
      <c r="G9" s="214">
        <f>IF(B9=0,,VLOOKUP(C9,#REF!,9, FALSE()))</f>
        <v>0</v>
      </c>
      <c r="H9" s="215" t="s">
        <v>3010</v>
      </c>
      <c r="I9" s="216" t="s">
        <v>3010</v>
      </c>
      <c r="J9" s="215" t="s">
        <v>3010</v>
      </c>
      <c r="K9" s="216" t="s">
        <v>3010</v>
      </c>
      <c r="L9" s="215" t="s">
        <v>3010</v>
      </c>
      <c r="M9" s="216" t="s">
        <v>3010</v>
      </c>
      <c r="N9" s="215" t="s">
        <v>3010</v>
      </c>
      <c r="O9" s="216" t="s">
        <v>3010</v>
      </c>
      <c r="P9" s="215" t="s">
        <v>3010</v>
      </c>
      <c r="Q9" s="216" t="s">
        <v>3010</v>
      </c>
      <c r="R9" s="215" t="s">
        <v>3010</v>
      </c>
      <c r="S9" s="216" t="s">
        <v>3010</v>
      </c>
      <c r="T9" s="215" t="s">
        <v>3010</v>
      </c>
      <c r="U9" s="216" t="s">
        <v>3010</v>
      </c>
      <c r="V9" s="215" t="s">
        <v>3010</v>
      </c>
      <c r="W9" s="204"/>
      <c r="X9" s="204"/>
    </row>
    <row r="10" spans="1:24" ht="24.75" customHeight="1">
      <c r="A10" s="212"/>
      <c r="B10" s="5">
        <v>0</v>
      </c>
      <c r="C10" s="213">
        <f t="shared" si="1"/>
        <v>0</v>
      </c>
      <c r="D10" s="214">
        <f>IF(B10=0,,VLOOKUP(C10,#REF!,4, FALSE()))</f>
        <v>0</v>
      </c>
      <c r="E10" s="214">
        <f>IF(B10=0,,VLOOKUP(C10,#REF!,7, FALSE()))</f>
        <v>0</v>
      </c>
      <c r="F10" s="214">
        <f>IF(B10=0,,VLOOKUP(C10,#REF!,6, FALSE()))</f>
        <v>0</v>
      </c>
      <c r="G10" s="214">
        <f>IF(B10=0,,VLOOKUP(C10,#REF!,9, FALSE()))</f>
        <v>0</v>
      </c>
      <c r="H10" s="215" t="s">
        <v>3010</v>
      </c>
      <c r="I10" s="216" t="s">
        <v>3010</v>
      </c>
      <c r="J10" s="215" t="s">
        <v>3010</v>
      </c>
      <c r="K10" s="216" t="s">
        <v>3010</v>
      </c>
      <c r="L10" s="215" t="s">
        <v>3010</v>
      </c>
      <c r="M10" s="216" t="s">
        <v>3010</v>
      </c>
      <c r="N10" s="215" t="s">
        <v>3010</v>
      </c>
      <c r="O10" s="216" t="s">
        <v>3010</v>
      </c>
      <c r="P10" s="215" t="s">
        <v>3010</v>
      </c>
      <c r="Q10" s="216" t="s">
        <v>3010</v>
      </c>
      <c r="R10" s="215" t="s">
        <v>3010</v>
      </c>
      <c r="S10" s="216" t="s">
        <v>3010</v>
      </c>
      <c r="T10" s="215" t="s">
        <v>3010</v>
      </c>
      <c r="U10" s="216" t="s">
        <v>3010</v>
      </c>
      <c r="V10" s="215" t="s">
        <v>3010</v>
      </c>
      <c r="W10" s="204"/>
      <c r="X10" s="204"/>
    </row>
    <row r="11" spans="1:24" ht="24.75" customHeight="1">
      <c r="A11" s="212"/>
      <c r="B11" s="5">
        <v>0</v>
      </c>
      <c r="C11" s="213">
        <f t="shared" si="1"/>
        <v>0</v>
      </c>
      <c r="D11" s="214">
        <f>IF(B11=0,,VLOOKUP(C11,#REF!,4, FALSE()))</f>
        <v>0</v>
      </c>
      <c r="E11" s="214">
        <f>IF(B11=0,,VLOOKUP(C11,#REF!,7, FALSE()))</f>
        <v>0</v>
      </c>
      <c r="F11" s="214">
        <f>IF(B11=0,,VLOOKUP(C11,#REF!,6, FALSE()))</f>
        <v>0</v>
      </c>
      <c r="G11" s="214">
        <f>IF(B11=0,,VLOOKUP(C11,#REF!,9, FALSE()))</f>
        <v>0</v>
      </c>
      <c r="H11" s="215" t="s">
        <v>3010</v>
      </c>
      <c r="I11" s="216" t="s">
        <v>3010</v>
      </c>
      <c r="J11" s="215" t="s">
        <v>3010</v>
      </c>
      <c r="K11" s="216" t="s">
        <v>3010</v>
      </c>
      <c r="L11" s="215" t="s">
        <v>3010</v>
      </c>
      <c r="M11" s="216" t="s">
        <v>3010</v>
      </c>
      <c r="N11" s="215" t="s">
        <v>3010</v>
      </c>
      <c r="O11" s="216" t="s">
        <v>3010</v>
      </c>
      <c r="P11" s="215" t="s">
        <v>3010</v>
      </c>
      <c r="Q11" s="216" t="s">
        <v>3010</v>
      </c>
      <c r="R11" s="215" t="s">
        <v>3010</v>
      </c>
      <c r="S11" s="216" t="s">
        <v>3010</v>
      </c>
      <c r="T11" s="215" t="s">
        <v>3010</v>
      </c>
      <c r="U11" s="216" t="s">
        <v>3010</v>
      </c>
      <c r="V11" s="215" t="s">
        <v>3010</v>
      </c>
      <c r="W11" s="204"/>
      <c r="X11" s="204"/>
    </row>
    <row r="12" spans="1:24" ht="24.75" customHeight="1">
      <c r="A12" s="212"/>
      <c r="B12" s="5">
        <v>0</v>
      </c>
      <c r="C12" s="213">
        <f t="shared" si="1"/>
        <v>0</v>
      </c>
      <c r="D12" s="214">
        <f>IF(B12=0,,VLOOKUP(C12,#REF!,4, FALSE()))</f>
        <v>0</v>
      </c>
      <c r="E12" s="214">
        <f>IF(B12=0,,VLOOKUP(C12,#REF!,7, FALSE()))</f>
        <v>0</v>
      </c>
      <c r="F12" s="214">
        <f>IF(B12=0,,VLOOKUP(C12,#REF!,6, FALSE()))</f>
        <v>0</v>
      </c>
      <c r="G12" s="214">
        <f>IF(B12=0,,VLOOKUP(C12,#REF!,9, FALSE()))</f>
        <v>0</v>
      </c>
      <c r="H12" s="215" t="s">
        <v>3010</v>
      </c>
      <c r="I12" s="216" t="s">
        <v>3010</v>
      </c>
      <c r="J12" s="215" t="s">
        <v>3010</v>
      </c>
      <c r="K12" s="216" t="s">
        <v>3010</v>
      </c>
      <c r="L12" s="215" t="s">
        <v>3010</v>
      </c>
      <c r="M12" s="216" t="s">
        <v>3010</v>
      </c>
      <c r="N12" s="215" t="s">
        <v>3010</v>
      </c>
      <c r="O12" s="216" t="s">
        <v>3010</v>
      </c>
      <c r="P12" s="215" t="s">
        <v>3010</v>
      </c>
      <c r="Q12" s="216" t="s">
        <v>3010</v>
      </c>
      <c r="R12" s="215" t="s">
        <v>3010</v>
      </c>
      <c r="S12" s="216" t="e">
        <f>VLOOKUP($D12,[1]velho!$A$31:$BG$207,35, FALSE())</f>
        <v>#N/A</v>
      </c>
      <c r="T12" s="215" t="s">
        <v>3010</v>
      </c>
      <c r="U12" s="216" t="s">
        <v>3010</v>
      </c>
      <c r="V12" s="215" t="s">
        <v>3010</v>
      </c>
      <c r="W12" s="204"/>
      <c r="X12" s="204"/>
    </row>
    <row r="13" spans="1:24" ht="24.75" customHeight="1">
      <c r="A13" s="212"/>
      <c r="B13" s="5">
        <v>0</v>
      </c>
      <c r="C13" s="213">
        <f t="shared" si="1"/>
        <v>0</v>
      </c>
      <c r="D13" s="214">
        <f>IF(B13=0,,VLOOKUP(C13,#REF!,4, FALSE()))</f>
        <v>0</v>
      </c>
      <c r="E13" s="214">
        <f>IF(B13=0,,VLOOKUP(C13,#REF!,7, FALSE()))</f>
        <v>0</v>
      </c>
      <c r="F13" s="214">
        <f>IF(B13=0,,VLOOKUP(C13,#REF!,6, FALSE()))</f>
        <v>0</v>
      </c>
      <c r="G13" s="214">
        <f>IF(B13=0,,VLOOKUP(C13,#REF!,9, FALSE()))</f>
        <v>0</v>
      </c>
      <c r="H13" s="215" t="s">
        <v>3010</v>
      </c>
      <c r="I13" s="216" t="s">
        <v>3010</v>
      </c>
      <c r="J13" s="215" t="s">
        <v>3010</v>
      </c>
      <c r="K13" s="216" t="s">
        <v>3010</v>
      </c>
      <c r="L13" s="215" t="s">
        <v>3010</v>
      </c>
      <c r="M13" s="216" t="s">
        <v>3010</v>
      </c>
      <c r="N13" s="215" t="s">
        <v>3010</v>
      </c>
      <c r="O13" s="216" t="s">
        <v>3010</v>
      </c>
      <c r="P13" s="215" t="s">
        <v>3010</v>
      </c>
      <c r="Q13" s="216" t="s">
        <v>3010</v>
      </c>
      <c r="R13" s="215" t="s">
        <v>3010</v>
      </c>
      <c r="S13" s="216" t="e">
        <f>VLOOKUP($D13,[1]velho!$A$31:$BG$207,39, FALSE())</f>
        <v>#N/A</v>
      </c>
      <c r="T13" s="215" t="s">
        <v>3010</v>
      </c>
      <c r="U13" s="216" t="s">
        <v>3010</v>
      </c>
      <c r="V13" s="215" t="s">
        <v>3010</v>
      </c>
      <c r="W13" s="204"/>
      <c r="X13" s="204"/>
    </row>
    <row r="14" spans="1:24" ht="44.25" customHeight="1">
      <c r="A14" s="201"/>
      <c r="X14" s="204"/>
    </row>
    <row r="15" spans="1:24" ht="44.25" customHeight="1">
      <c r="A15" s="201"/>
      <c r="E15" s="79" t="s">
        <v>2753</v>
      </c>
      <c r="X15" s="204"/>
    </row>
    <row r="16" spans="1:24" ht="44.25" customHeight="1">
      <c r="A16" s="201"/>
      <c r="X16" s="204"/>
    </row>
    <row r="17" spans="1:24" ht="44.25" customHeight="1">
      <c r="A17" s="201"/>
      <c r="X17" s="204"/>
    </row>
    <row r="18" spans="1:24" ht="44.25" customHeight="1">
      <c r="A18" s="201"/>
      <c r="X18" s="204"/>
    </row>
    <row r="19" spans="1:24" ht="44.25" customHeight="1">
      <c r="A19" s="201"/>
      <c r="B19" s="217" t="s">
        <v>2448</v>
      </c>
      <c r="C19" s="484" t="s">
        <v>2754</v>
      </c>
      <c r="D19" s="478"/>
      <c r="E19" s="485"/>
      <c r="F19" s="478"/>
      <c r="X19" s="204"/>
    </row>
    <row r="20" spans="1:24" ht="44.25" customHeight="1">
      <c r="A20" s="201"/>
      <c r="B20" s="486" t="s">
        <v>2755</v>
      </c>
      <c r="C20" s="478"/>
      <c r="D20" s="485"/>
      <c r="E20" s="478"/>
      <c r="F20" s="484" t="s">
        <v>2756</v>
      </c>
      <c r="G20" s="478"/>
      <c r="X20" s="204"/>
    </row>
    <row r="21" spans="1:24" ht="44.25" customHeight="1">
      <c r="A21" s="201"/>
      <c r="B21" s="487"/>
      <c r="C21" s="478"/>
      <c r="D21" s="484" t="str">
        <f>IF(F21&lt;0.09,"Falta Cumprir","Completar Pgmtº")</f>
        <v>Falta Cumprir</v>
      </c>
      <c r="E21" s="478"/>
      <c r="F21" s="485"/>
      <c r="G21" s="478"/>
      <c r="X21" s="204"/>
    </row>
    <row r="22" spans="1:24" ht="44.25" customHeight="1">
      <c r="A22" s="201"/>
      <c r="X22" s="204"/>
    </row>
    <row r="23" spans="1:24" ht="3.75" customHeight="1">
      <c r="A23" s="204"/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</row>
    <row r="24" spans="1:24" ht="31.5" customHeight="1">
      <c r="A24" s="218"/>
      <c r="B24" s="219"/>
      <c r="C24" s="218"/>
      <c r="D24" s="218"/>
      <c r="E24" s="218"/>
      <c r="F24" s="218"/>
      <c r="G24" s="218"/>
      <c r="X24" s="204"/>
    </row>
    <row r="25" spans="1:24" ht="3.75" customHeight="1">
      <c r="A25" s="204"/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</row>
    <row r="26" spans="1:24" ht="15.75" customHeight="1">
      <c r="A26" s="218"/>
      <c r="B26" s="219"/>
      <c r="C26" s="218"/>
      <c r="D26" s="218"/>
      <c r="E26" s="218" t="s">
        <v>2757</v>
      </c>
      <c r="F26" s="204"/>
      <c r="G26" s="218" t="s">
        <v>2758</v>
      </c>
      <c r="H26" s="220">
        <f t="shared" ref="H26:V26" si="2">H27</f>
        <v>45413</v>
      </c>
      <c r="I26" s="221">
        <f t="shared" si="2"/>
        <v>45414</v>
      </c>
      <c r="J26" s="220">
        <f t="shared" si="2"/>
        <v>45415</v>
      </c>
      <c r="K26" s="220">
        <f t="shared" si="2"/>
        <v>45416</v>
      </c>
      <c r="L26" s="220">
        <f t="shared" si="2"/>
        <v>45417</v>
      </c>
      <c r="M26" s="220">
        <f t="shared" si="2"/>
        <v>45418</v>
      </c>
      <c r="N26" s="220">
        <f t="shared" si="2"/>
        <v>45419</v>
      </c>
      <c r="O26" s="220">
        <f t="shared" si="2"/>
        <v>45420</v>
      </c>
      <c r="P26" s="220">
        <f t="shared" si="2"/>
        <v>45421</v>
      </c>
      <c r="Q26" s="220">
        <f t="shared" si="2"/>
        <v>45422</v>
      </c>
      <c r="R26" s="220">
        <f t="shared" si="2"/>
        <v>45423</v>
      </c>
      <c r="S26" s="220">
        <f t="shared" si="2"/>
        <v>45424</v>
      </c>
      <c r="T26" s="220">
        <f t="shared" si="2"/>
        <v>45425</v>
      </c>
      <c r="U26" s="220">
        <f t="shared" si="2"/>
        <v>45426</v>
      </c>
      <c r="V26" s="221">
        <f t="shared" si="2"/>
        <v>45427</v>
      </c>
      <c r="W26" s="204"/>
      <c r="X26" s="204"/>
    </row>
    <row r="27" spans="1:24" ht="21" customHeight="1">
      <c r="A27" s="218"/>
      <c r="B27" s="219"/>
      <c r="C27" s="218"/>
      <c r="D27" s="218"/>
      <c r="E27" s="222" t="e">
        <f>IF(B6=0,,VLOOKUP(E6,#REF!,9, FALSE()))</f>
        <v>#REF!</v>
      </c>
      <c r="F27" s="204"/>
      <c r="G27" s="223" t="e">
        <f>SUM(F6:F10)</f>
        <v>#REF!</v>
      </c>
      <c r="H27" s="224">
        <f>B2</f>
        <v>45413</v>
      </c>
      <c r="I27" s="224">
        <f t="shared" ref="I27:V27" si="3">H27+1</f>
        <v>45414</v>
      </c>
      <c r="J27" s="224">
        <f t="shared" si="3"/>
        <v>45415</v>
      </c>
      <c r="K27" s="224">
        <f t="shared" si="3"/>
        <v>45416</v>
      </c>
      <c r="L27" s="224">
        <f t="shared" si="3"/>
        <v>45417</v>
      </c>
      <c r="M27" s="224">
        <f t="shared" si="3"/>
        <v>45418</v>
      </c>
      <c r="N27" s="224">
        <f t="shared" si="3"/>
        <v>45419</v>
      </c>
      <c r="O27" s="224">
        <f t="shared" si="3"/>
        <v>45420</v>
      </c>
      <c r="P27" s="224">
        <f t="shared" si="3"/>
        <v>45421</v>
      </c>
      <c r="Q27" s="224">
        <f t="shared" si="3"/>
        <v>45422</v>
      </c>
      <c r="R27" s="224">
        <f t="shared" si="3"/>
        <v>45423</v>
      </c>
      <c r="S27" s="224">
        <f t="shared" si="3"/>
        <v>45424</v>
      </c>
      <c r="T27" s="224">
        <f t="shared" si="3"/>
        <v>45425</v>
      </c>
      <c r="U27" s="224">
        <f t="shared" si="3"/>
        <v>45426</v>
      </c>
      <c r="V27" s="224">
        <f t="shared" si="3"/>
        <v>45427</v>
      </c>
      <c r="W27" s="204"/>
      <c r="X27" s="204"/>
    </row>
    <row r="36" spans="1:24" ht="9" customHeight="1">
      <c r="A36" s="218"/>
      <c r="B36" s="218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04"/>
    </row>
    <row r="37" spans="1:24" ht="21" customHeight="1">
      <c r="A37" s="218"/>
      <c r="B37" s="218"/>
      <c r="C37" s="218"/>
      <c r="D37" s="218"/>
      <c r="E37" s="218"/>
      <c r="F37" s="218"/>
      <c r="G37" s="218"/>
      <c r="H37" s="220">
        <f t="shared" ref="H37:W37" si="4">H38</f>
        <v>45428</v>
      </c>
      <c r="I37" s="221">
        <f t="shared" si="4"/>
        <v>45429</v>
      </c>
      <c r="J37" s="220">
        <f t="shared" si="4"/>
        <v>45430</v>
      </c>
      <c r="K37" s="220">
        <f t="shared" si="4"/>
        <v>45431</v>
      </c>
      <c r="L37" s="220">
        <f t="shared" si="4"/>
        <v>45432</v>
      </c>
      <c r="M37" s="220">
        <f t="shared" si="4"/>
        <v>45433</v>
      </c>
      <c r="N37" s="220">
        <f t="shared" si="4"/>
        <v>45434</v>
      </c>
      <c r="O37" s="220">
        <f t="shared" si="4"/>
        <v>45435</v>
      </c>
      <c r="P37" s="220">
        <f t="shared" si="4"/>
        <v>45436</v>
      </c>
      <c r="Q37" s="220">
        <f t="shared" si="4"/>
        <v>45437</v>
      </c>
      <c r="R37" s="220">
        <f t="shared" si="4"/>
        <v>45438</v>
      </c>
      <c r="S37" s="220">
        <f t="shared" si="4"/>
        <v>45439</v>
      </c>
      <c r="T37" s="220">
        <f t="shared" si="4"/>
        <v>45440</v>
      </c>
      <c r="U37" s="220">
        <f t="shared" si="4"/>
        <v>45441</v>
      </c>
      <c r="V37" s="220">
        <f t="shared" si="4"/>
        <v>45442</v>
      </c>
      <c r="W37" s="220">
        <f t="shared" si="4"/>
        <v>45443</v>
      </c>
      <c r="X37" s="204"/>
    </row>
    <row r="38" spans="1:24" ht="21" customHeight="1">
      <c r="A38" s="218"/>
      <c r="B38" s="218"/>
      <c r="C38" s="218"/>
      <c r="D38" s="218"/>
      <c r="E38" s="218"/>
      <c r="F38" s="218"/>
      <c r="G38" s="218"/>
      <c r="H38" s="224">
        <f>V27+1</f>
        <v>45428</v>
      </c>
      <c r="I38" s="224">
        <f t="shared" ref="I38:W38" si="5">H38+1</f>
        <v>45429</v>
      </c>
      <c r="J38" s="224">
        <f t="shared" si="5"/>
        <v>45430</v>
      </c>
      <c r="K38" s="224">
        <f t="shared" si="5"/>
        <v>45431</v>
      </c>
      <c r="L38" s="224">
        <f t="shared" si="5"/>
        <v>45432</v>
      </c>
      <c r="M38" s="224">
        <f t="shared" si="5"/>
        <v>45433</v>
      </c>
      <c r="N38" s="224">
        <f t="shared" si="5"/>
        <v>45434</v>
      </c>
      <c r="O38" s="224">
        <f t="shared" si="5"/>
        <v>45435</v>
      </c>
      <c r="P38" s="224">
        <f t="shared" si="5"/>
        <v>45436</v>
      </c>
      <c r="Q38" s="224">
        <f t="shared" si="5"/>
        <v>45437</v>
      </c>
      <c r="R38" s="224">
        <f t="shared" si="5"/>
        <v>45438</v>
      </c>
      <c r="S38" s="224">
        <f t="shared" si="5"/>
        <v>45439</v>
      </c>
      <c r="T38" s="224">
        <f t="shared" si="5"/>
        <v>45440</v>
      </c>
      <c r="U38" s="224">
        <f t="shared" si="5"/>
        <v>45441</v>
      </c>
      <c r="V38" s="224">
        <f t="shared" si="5"/>
        <v>45442</v>
      </c>
      <c r="W38" s="224">
        <f t="shared" si="5"/>
        <v>45443</v>
      </c>
      <c r="X38" s="204"/>
    </row>
    <row r="39" spans="1:24" ht="24.75" customHeight="1">
      <c r="A39" s="225"/>
      <c r="B39" s="213">
        <f t="shared" ref="B39:G39" si="6">B6</f>
        <v>1</v>
      </c>
      <c r="C39" s="213" t="str">
        <f t="shared" si="6"/>
        <v>R.01/1</v>
      </c>
      <c r="D39" s="226" t="e">
        <f t="shared" si="6"/>
        <v>#REF!</v>
      </c>
      <c r="E39" s="227" t="e">
        <f t="shared" si="6"/>
        <v>#REF!</v>
      </c>
      <c r="F39" s="228" t="e">
        <f t="shared" si="6"/>
        <v>#REF!</v>
      </c>
      <c r="G39" s="228" t="e">
        <f t="shared" si="6"/>
        <v>#REF!</v>
      </c>
      <c r="H39" s="215" t="s">
        <v>3010</v>
      </c>
      <c r="I39" s="216" t="s">
        <v>3010</v>
      </c>
      <c r="J39" s="215" t="s">
        <v>3010</v>
      </c>
      <c r="K39" s="216" t="s">
        <v>3010</v>
      </c>
      <c r="L39" s="215" t="s">
        <v>3010</v>
      </c>
      <c r="M39" s="216" t="s">
        <v>3010</v>
      </c>
      <c r="N39" s="215" t="s">
        <v>3010</v>
      </c>
      <c r="O39" s="216" t="s">
        <v>3010</v>
      </c>
      <c r="P39" s="215" t="s">
        <v>3010</v>
      </c>
      <c r="Q39" s="216" t="s">
        <v>3010</v>
      </c>
      <c r="R39" s="215" t="s">
        <v>3010</v>
      </c>
      <c r="S39" s="216" t="s">
        <v>3010</v>
      </c>
      <c r="T39" s="215" t="s">
        <v>3010</v>
      </c>
      <c r="U39" s="216" t="s">
        <v>3010</v>
      </c>
      <c r="V39" s="215" t="s">
        <v>3010</v>
      </c>
      <c r="W39" s="216" t="s">
        <v>3010</v>
      </c>
      <c r="X39" s="204"/>
    </row>
    <row r="40" spans="1:24" ht="24.75" customHeight="1">
      <c r="A40" s="225"/>
      <c r="B40" s="213">
        <f t="shared" ref="B40:G40" si="7">B7</f>
        <v>2</v>
      </c>
      <c r="C40" s="213" t="str">
        <f t="shared" si="7"/>
        <v>R.01/2</v>
      </c>
      <c r="D40" s="226" t="e">
        <f t="shared" si="7"/>
        <v>#REF!</v>
      </c>
      <c r="E40" s="227" t="e">
        <f t="shared" si="7"/>
        <v>#REF!</v>
      </c>
      <c r="F40" s="228" t="e">
        <f t="shared" si="7"/>
        <v>#REF!</v>
      </c>
      <c r="G40" s="228" t="e">
        <f t="shared" si="7"/>
        <v>#REF!</v>
      </c>
      <c r="H40" s="215" t="s">
        <v>3010</v>
      </c>
      <c r="I40" s="216" t="s">
        <v>3010</v>
      </c>
      <c r="J40" s="215" t="s">
        <v>3010</v>
      </c>
      <c r="K40" s="216" t="s">
        <v>3010</v>
      </c>
      <c r="L40" s="215" t="s">
        <v>3010</v>
      </c>
      <c r="M40" s="216" t="s">
        <v>3010</v>
      </c>
      <c r="N40" s="215" t="s">
        <v>3010</v>
      </c>
      <c r="O40" s="216" t="s">
        <v>3010</v>
      </c>
      <c r="P40" s="215" t="s">
        <v>3010</v>
      </c>
      <c r="Q40" s="216" t="s">
        <v>3010</v>
      </c>
      <c r="R40" s="215" t="s">
        <v>3010</v>
      </c>
      <c r="S40" s="216" t="s">
        <v>3010</v>
      </c>
      <c r="T40" s="215" t="s">
        <v>3010</v>
      </c>
      <c r="U40" s="216" t="s">
        <v>3010</v>
      </c>
      <c r="V40" s="215" t="s">
        <v>3010</v>
      </c>
      <c r="W40" s="216" t="s">
        <v>3010</v>
      </c>
      <c r="X40" s="204"/>
    </row>
    <row r="41" spans="1:24" ht="24.75" customHeight="1">
      <c r="A41" s="225"/>
      <c r="B41" s="213">
        <f t="shared" ref="B41:G41" si="8">B8</f>
        <v>3</v>
      </c>
      <c r="C41" s="213" t="str">
        <f t="shared" si="8"/>
        <v>R.01/3</v>
      </c>
      <c r="D41" s="226" t="e">
        <f t="shared" si="8"/>
        <v>#REF!</v>
      </c>
      <c r="E41" s="227" t="e">
        <f t="shared" si="8"/>
        <v>#REF!</v>
      </c>
      <c r="F41" s="228" t="e">
        <f t="shared" si="8"/>
        <v>#REF!</v>
      </c>
      <c r="G41" s="228" t="e">
        <f t="shared" si="8"/>
        <v>#REF!</v>
      </c>
      <c r="H41" s="215" t="s">
        <v>3010</v>
      </c>
      <c r="I41" s="216" t="s">
        <v>3010</v>
      </c>
      <c r="J41" s="215" t="s">
        <v>3010</v>
      </c>
      <c r="K41" s="216" t="s">
        <v>3010</v>
      </c>
      <c r="L41" s="215" t="s">
        <v>3010</v>
      </c>
      <c r="M41" s="216" t="s">
        <v>3010</v>
      </c>
      <c r="N41" s="215" t="s">
        <v>3010</v>
      </c>
      <c r="O41" s="216" t="s">
        <v>3010</v>
      </c>
      <c r="P41" s="215" t="s">
        <v>3010</v>
      </c>
      <c r="Q41" s="216" t="s">
        <v>3010</v>
      </c>
      <c r="R41" s="215" t="s">
        <v>3010</v>
      </c>
      <c r="S41" s="216" t="s">
        <v>3010</v>
      </c>
      <c r="T41" s="215" t="s">
        <v>3010</v>
      </c>
      <c r="U41" s="216" t="s">
        <v>3010</v>
      </c>
      <c r="V41" s="215" t="s">
        <v>3010</v>
      </c>
      <c r="W41" s="216" t="s">
        <v>3010</v>
      </c>
      <c r="X41" s="204"/>
    </row>
    <row r="42" spans="1:24" ht="24.75" customHeight="1">
      <c r="A42" s="225"/>
      <c r="B42" s="213">
        <f t="shared" ref="B42:G42" si="9">B9</f>
        <v>0</v>
      </c>
      <c r="C42" s="213">
        <f t="shared" si="9"/>
        <v>0</v>
      </c>
      <c r="D42" s="228">
        <f t="shared" si="9"/>
        <v>0</v>
      </c>
      <c r="E42" s="228">
        <f t="shared" si="9"/>
        <v>0</v>
      </c>
      <c r="F42" s="228">
        <f t="shared" si="9"/>
        <v>0</v>
      </c>
      <c r="G42" s="228">
        <f t="shared" si="9"/>
        <v>0</v>
      </c>
      <c r="H42" s="215" t="s">
        <v>3010</v>
      </c>
      <c r="I42" s="216" t="s">
        <v>3010</v>
      </c>
      <c r="J42" s="215" t="s">
        <v>3010</v>
      </c>
      <c r="K42" s="216" t="s">
        <v>3010</v>
      </c>
      <c r="L42" s="215" t="s">
        <v>3010</v>
      </c>
      <c r="M42" s="216" t="s">
        <v>3010</v>
      </c>
      <c r="N42" s="215" t="s">
        <v>3010</v>
      </c>
      <c r="O42" s="216" t="s">
        <v>3010</v>
      </c>
      <c r="P42" s="215" t="s">
        <v>3010</v>
      </c>
      <c r="Q42" s="216" t="s">
        <v>3010</v>
      </c>
      <c r="R42" s="215" t="s">
        <v>3010</v>
      </c>
      <c r="S42" s="216" t="s">
        <v>3010</v>
      </c>
      <c r="T42" s="215" t="s">
        <v>3010</v>
      </c>
      <c r="U42" s="216" t="s">
        <v>3010</v>
      </c>
      <c r="V42" s="215" t="s">
        <v>3010</v>
      </c>
      <c r="W42" s="216" t="s">
        <v>3010</v>
      </c>
      <c r="X42" s="204"/>
    </row>
    <row r="43" spans="1:24" ht="24.75" customHeight="1">
      <c r="A43" s="225"/>
      <c r="B43" s="213">
        <f t="shared" ref="B43:G43" si="10">B10</f>
        <v>0</v>
      </c>
      <c r="C43" s="213">
        <f t="shared" si="10"/>
        <v>0</v>
      </c>
      <c r="D43" s="228">
        <f t="shared" si="10"/>
        <v>0</v>
      </c>
      <c r="E43" s="228">
        <f t="shared" si="10"/>
        <v>0</v>
      </c>
      <c r="F43" s="228">
        <f t="shared" si="10"/>
        <v>0</v>
      </c>
      <c r="G43" s="228">
        <f t="shared" si="10"/>
        <v>0</v>
      </c>
      <c r="H43" s="215" t="s">
        <v>3010</v>
      </c>
      <c r="I43" s="216" t="s">
        <v>3010</v>
      </c>
      <c r="J43" s="215" t="s">
        <v>3010</v>
      </c>
      <c r="K43" s="216" t="s">
        <v>3010</v>
      </c>
      <c r="L43" s="215" t="s">
        <v>3010</v>
      </c>
      <c r="M43" s="216" t="s">
        <v>3010</v>
      </c>
      <c r="N43" s="215" t="s">
        <v>3010</v>
      </c>
      <c r="O43" s="216" t="s">
        <v>3010</v>
      </c>
      <c r="P43" s="215" t="s">
        <v>3010</v>
      </c>
      <c r="Q43" s="216" t="s">
        <v>3010</v>
      </c>
      <c r="R43" s="215" t="s">
        <v>3010</v>
      </c>
      <c r="S43" s="216" t="s">
        <v>3010</v>
      </c>
      <c r="T43" s="215" t="s">
        <v>3010</v>
      </c>
      <c r="U43" s="216" t="s">
        <v>3010</v>
      </c>
      <c r="V43" s="215" t="s">
        <v>3010</v>
      </c>
      <c r="W43" s="216" t="s">
        <v>3010</v>
      </c>
      <c r="X43" s="204"/>
    </row>
    <row r="44" spans="1:24" ht="24.75" customHeight="1">
      <c r="A44" s="225"/>
      <c r="B44" s="213">
        <f t="shared" ref="B44:G44" si="11">B11</f>
        <v>0</v>
      </c>
      <c r="C44" s="213">
        <f t="shared" si="11"/>
        <v>0</v>
      </c>
      <c r="D44" s="228">
        <f t="shared" si="11"/>
        <v>0</v>
      </c>
      <c r="E44" s="228">
        <f t="shared" si="11"/>
        <v>0</v>
      </c>
      <c r="F44" s="228">
        <f t="shared" si="11"/>
        <v>0</v>
      </c>
      <c r="G44" s="228">
        <f t="shared" si="11"/>
        <v>0</v>
      </c>
      <c r="H44" s="215" t="s">
        <v>3010</v>
      </c>
      <c r="I44" s="216" t="s">
        <v>3010</v>
      </c>
      <c r="J44" s="215" t="s">
        <v>3010</v>
      </c>
      <c r="K44" s="216" t="s">
        <v>3010</v>
      </c>
      <c r="L44" s="215" t="s">
        <v>3010</v>
      </c>
      <c r="M44" s="216" t="s">
        <v>3010</v>
      </c>
      <c r="N44" s="215" t="s">
        <v>3010</v>
      </c>
      <c r="O44" s="216" t="s">
        <v>3010</v>
      </c>
      <c r="P44" s="215" t="s">
        <v>3010</v>
      </c>
      <c r="Q44" s="216" t="s">
        <v>3010</v>
      </c>
      <c r="R44" s="215" t="s">
        <v>3010</v>
      </c>
      <c r="S44" s="216" t="s">
        <v>3010</v>
      </c>
      <c r="T44" s="215" t="s">
        <v>3010</v>
      </c>
      <c r="U44" s="216" t="s">
        <v>3010</v>
      </c>
      <c r="V44" s="215" t="s">
        <v>3010</v>
      </c>
      <c r="W44" s="216" t="s">
        <v>3010</v>
      </c>
      <c r="X44" s="204"/>
    </row>
    <row r="45" spans="1:24" ht="24.75" customHeight="1">
      <c r="A45" s="225"/>
      <c r="B45" s="213">
        <f t="shared" ref="B45:G45" si="12">B12</f>
        <v>0</v>
      </c>
      <c r="C45" s="213">
        <f t="shared" si="12"/>
        <v>0</v>
      </c>
      <c r="D45" s="228">
        <f t="shared" si="12"/>
        <v>0</v>
      </c>
      <c r="E45" s="228">
        <f t="shared" si="12"/>
        <v>0</v>
      </c>
      <c r="F45" s="228">
        <f t="shared" si="12"/>
        <v>0</v>
      </c>
      <c r="G45" s="228">
        <f t="shared" si="12"/>
        <v>0</v>
      </c>
      <c r="H45" s="215" t="s">
        <v>3010</v>
      </c>
      <c r="I45" s="216" t="s">
        <v>3010</v>
      </c>
      <c r="J45" s="215" t="s">
        <v>3010</v>
      </c>
      <c r="K45" s="216" t="e">
        <f>VLOOKUP($D45,[1]velho!$A$31:$BG$207,35, FALSE())</f>
        <v>#N/A</v>
      </c>
      <c r="L45" s="215" t="s">
        <v>3010</v>
      </c>
      <c r="M45" s="216" t="s">
        <v>3010</v>
      </c>
      <c r="N45" s="215" t="s">
        <v>3010</v>
      </c>
      <c r="O45" s="216" t="s">
        <v>3010</v>
      </c>
      <c r="P45" s="215" t="s">
        <v>3010</v>
      </c>
      <c r="Q45" s="216" t="s">
        <v>3010</v>
      </c>
      <c r="R45" s="215" t="e">
        <f>VLOOKUP($D45,[1]velho!$A$31:$BG$207,49, FALSE())</f>
        <v>#N/A</v>
      </c>
      <c r="S45" s="216" t="s">
        <v>3010</v>
      </c>
      <c r="T45" s="215" t="s">
        <v>3010</v>
      </c>
      <c r="U45" s="216" t="s">
        <v>3010</v>
      </c>
      <c r="V45" s="215" t="s">
        <v>3010</v>
      </c>
      <c r="W45" s="216" t="s">
        <v>3010</v>
      </c>
      <c r="X45" s="204"/>
    </row>
    <row r="46" spans="1:24" ht="24.75" customHeight="1">
      <c r="A46" s="225"/>
      <c r="B46" s="213">
        <f t="shared" ref="B46:G46" si="13">B13</f>
        <v>0</v>
      </c>
      <c r="C46" s="213">
        <f t="shared" si="13"/>
        <v>0</v>
      </c>
      <c r="D46" s="228">
        <f t="shared" si="13"/>
        <v>0</v>
      </c>
      <c r="E46" s="228">
        <f t="shared" si="13"/>
        <v>0</v>
      </c>
      <c r="F46" s="228">
        <f t="shared" si="13"/>
        <v>0</v>
      </c>
      <c r="G46" s="228">
        <f t="shared" si="13"/>
        <v>0</v>
      </c>
      <c r="H46" s="215" t="s">
        <v>3010</v>
      </c>
      <c r="I46" s="216" t="s">
        <v>3010</v>
      </c>
      <c r="J46" s="215" t="s">
        <v>3010</v>
      </c>
      <c r="K46" s="216" t="e">
        <f>VLOOKUP($D46,[1]velho!$A$31:$BG$207,46, FALSE())</f>
        <v>#N/A</v>
      </c>
      <c r="L46" s="215" t="s">
        <v>3010</v>
      </c>
      <c r="M46" s="216" t="s">
        <v>3010</v>
      </c>
      <c r="N46" s="215" t="s">
        <v>3010</v>
      </c>
      <c r="O46" s="216" t="s">
        <v>3010</v>
      </c>
      <c r="P46" s="215" t="s">
        <v>3010</v>
      </c>
      <c r="Q46" s="216" t="s">
        <v>3010</v>
      </c>
      <c r="R46" s="215" t="e">
        <f>VLOOKUP($D46,[1]velho!$A$31:$BG$207,53, FALSE())</f>
        <v>#N/A</v>
      </c>
      <c r="S46" s="216" t="s">
        <v>3010</v>
      </c>
      <c r="T46" s="215" t="s">
        <v>3010</v>
      </c>
      <c r="U46" s="216" t="s">
        <v>3010</v>
      </c>
      <c r="V46" s="215" t="s">
        <v>3010</v>
      </c>
      <c r="W46" s="216" t="s">
        <v>3010</v>
      </c>
      <c r="X46" s="204"/>
    </row>
    <row r="47" spans="1:24" ht="17.25" customHeight="1">
      <c r="A47" s="204"/>
      <c r="B47" s="204"/>
      <c r="C47" s="204"/>
      <c r="D47" s="235"/>
      <c r="E47" s="236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</row>
    <row r="48" spans="1:24" ht="66.75" customHeight="1">
      <c r="A48" s="204"/>
      <c r="B48" s="204"/>
      <c r="C48" s="204"/>
      <c r="D48" s="235"/>
      <c r="E48" s="236"/>
      <c r="F48" s="204"/>
      <c r="G48" s="204"/>
      <c r="H48" s="237"/>
      <c r="I48" s="237"/>
      <c r="J48" s="237"/>
      <c r="K48" s="237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8"/>
      <c r="X48" s="204"/>
    </row>
    <row r="49" spans="1:24" ht="15.75" customHeight="1">
      <c r="A49" s="204"/>
      <c r="B49" s="204"/>
      <c r="C49" s="204"/>
      <c r="D49" s="235"/>
      <c r="E49" s="236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</row>
    <row r="50" spans="1:24" ht="45" customHeight="1">
      <c r="A50" s="239"/>
      <c r="B50" s="239"/>
      <c r="C50" s="239"/>
      <c r="D50" s="242"/>
      <c r="E50" s="243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</row>
    <row r="51" spans="1:24" ht="45" customHeight="1">
      <c r="A51" s="201"/>
      <c r="B51" s="201"/>
      <c r="C51" s="201"/>
      <c r="D51" s="201"/>
      <c r="E51" s="201"/>
      <c r="F51" s="201"/>
      <c r="G51" s="201"/>
      <c r="H51" s="202"/>
      <c r="I51" s="203"/>
      <c r="J51" s="202"/>
      <c r="K51" s="202"/>
      <c r="L51" s="202"/>
      <c r="M51" s="202"/>
      <c r="N51" s="202"/>
      <c r="O51" s="204"/>
      <c r="P51" s="204"/>
      <c r="Q51" s="204"/>
      <c r="R51" s="204"/>
      <c r="S51" s="204"/>
      <c r="T51" s="204"/>
      <c r="U51" s="204"/>
      <c r="V51" s="204"/>
      <c r="W51" s="204"/>
      <c r="X51" s="204"/>
    </row>
    <row r="52" spans="1:24" ht="15.75" customHeight="1">
      <c r="A52" s="201"/>
      <c r="B52" s="201"/>
      <c r="C52" s="201"/>
      <c r="D52" s="201"/>
      <c r="E52" s="201"/>
      <c r="F52" s="201"/>
      <c r="G52" s="201"/>
      <c r="H52" s="202"/>
      <c r="I52" s="203"/>
      <c r="J52" s="202"/>
      <c r="K52" s="202"/>
      <c r="L52" s="202"/>
      <c r="M52" s="202"/>
      <c r="N52" s="202"/>
      <c r="O52" s="204"/>
      <c r="P52" s="204"/>
      <c r="Q52" s="204"/>
      <c r="R52" s="204"/>
      <c r="S52" s="204"/>
      <c r="T52" s="204"/>
      <c r="U52" s="204"/>
      <c r="V52" s="204"/>
      <c r="W52" s="204"/>
      <c r="X52" s="204"/>
    </row>
    <row r="53" spans="1:24" ht="44.25" customHeight="1">
      <c r="A53" s="201"/>
      <c r="B53" s="488">
        <f>B2</f>
        <v>45413</v>
      </c>
      <c r="C53" s="477"/>
      <c r="D53" s="477"/>
      <c r="E53" s="477"/>
      <c r="F53" s="477"/>
      <c r="G53" s="478"/>
      <c r="H53" s="209" t="e">
        <f>H2</f>
        <v>#REF!</v>
      </c>
      <c r="I53" s="209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09"/>
      <c r="U53" s="209"/>
      <c r="V53" s="209"/>
      <c r="W53" s="210"/>
      <c r="X53" s="204"/>
    </row>
    <row r="54" spans="1:24" ht="3.75" customHeight="1">
      <c r="A54" s="204"/>
      <c r="B54" s="204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</row>
    <row r="55" spans="1:24" ht="31.5" customHeight="1">
      <c r="A55" s="218"/>
      <c r="B55" s="219"/>
      <c r="C55" s="218"/>
      <c r="D55" s="218"/>
      <c r="E55" s="218"/>
      <c r="F55" s="218"/>
      <c r="G55" s="218"/>
      <c r="H55" s="245" t="s">
        <v>2754</v>
      </c>
      <c r="I55" s="246"/>
      <c r="J55" s="485">
        <f>E19</f>
        <v>0</v>
      </c>
      <c r="K55" s="478"/>
      <c r="L55" s="486" t="s">
        <v>2755</v>
      </c>
      <c r="M55" s="478"/>
      <c r="N55" s="485">
        <f>D20</f>
        <v>0</v>
      </c>
      <c r="O55" s="478"/>
      <c r="P55" s="484" t="s">
        <v>2756</v>
      </c>
      <c r="Q55" s="478"/>
      <c r="R55" s="487"/>
      <c r="S55" s="478"/>
      <c r="T55" s="484" t="str">
        <f>IF(V55&lt;0.09,"Falta Cumprir","Completar Pgmtº")</f>
        <v>Falta Cumprir</v>
      </c>
      <c r="U55" s="478"/>
      <c r="V55" s="485">
        <f>F21</f>
        <v>0</v>
      </c>
      <c r="W55" s="478"/>
      <c r="X55" s="204"/>
    </row>
    <row r="56" spans="1:24" ht="3.75" customHeight="1">
      <c r="A56" s="204"/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 t="b">
        <f>R55=B21</f>
        <v>1</v>
      </c>
      <c r="O56" s="204"/>
      <c r="P56" s="204"/>
      <c r="Q56" s="204"/>
      <c r="R56" s="204"/>
      <c r="S56" s="204"/>
      <c r="T56" s="204"/>
      <c r="U56" s="204"/>
      <c r="V56" s="204"/>
      <c r="W56" s="204"/>
      <c r="X56" s="204"/>
    </row>
    <row r="57" spans="1:24" ht="15.75" customHeight="1">
      <c r="A57" s="218"/>
      <c r="B57" s="219"/>
      <c r="C57" s="218"/>
      <c r="D57" s="218"/>
      <c r="E57" s="218" t="s">
        <v>2757</v>
      </c>
      <c r="F57" s="204"/>
      <c r="G57" s="218" t="s">
        <v>2758</v>
      </c>
      <c r="H57" s="220">
        <f t="shared" ref="H57:V57" si="14">H58</f>
        <v>45413</v>
      </c>
      <c r="I57" s="221">
        <f t="shared" si="14"/>
        <v>45414</v>
      </c>
      <c r="J57" s="220">
        <f t="shared" si="14"/>
        <v>45415</v>
      </c>
      <c r="K57" s="220">
        <f t="shared" si="14"/>
        <v>45416</v>
      </c>
      <c r="L57" s="220">
        <f t="shared" si="14"/>
        <v>45417</v>
      </c>
      <c r="M57" s="220">
        <f t="shared" si="14"/>
        <v>45418</v>
      </c>
      <c r="N57" s="220">
        <f t="shared" si="14"/>
        <v>45419</v>
      </c>
      <c r="O57" s="220">
        <f t="shared" si="14"/>
        <v>45420</v>
      </c>
      <c r="P57" s="220">
        <f t="shared" si="14"/>
        <v>45421</v>
      </c>
      <c r="Q57" s="220">
        <f t="shared" si="14"/>
        <v>45422</v>
      </c>
      <c r="R57" s="220">
        <f t="shared" si="14"/>
        <v>45423</v>
      </c>
      <c r="S57" s="220">
        <f t="shared" si="14"/>
        <v>45424</v>
      </c>
      <c r="T57" s="220">
        <f t="shared" si="14"/>
        <v>45425</v>
      </c>
      <c r="U57" s="220">
        <f t="shared" si="14"/>
        <v>45426</v>
      </c>
      <c r="V57" s="221">
        <f t="shared" si="14"/>
        <v>45427</v>
      </c>
      <c r="W57" s="204"/>
      <c r="X57" s="204"/>
    </row>
    <row r="58" spans="1:24" ht="21" customHeight="1">
      <c r="A58" s="218"/>
      <c r="B58" s="219"/>
      <c r="C58" s="218"/>
      <c r="D58" s="218"/>
      <c r="E58" s="222" t="e">
        <f>IF(B59=0,,VLOOKUP(E59,#REF!,9, FALSE()))</f>
        <v>#REF!</v>
      </c>
      <c r="F58" s="204"/>
      <c r="G58" s="223" t="e">
        <f>SUM(F59:F63)</f>
        <v>#REF!</v>
      </c>
      <c r="H58" s="224">
        <f>B53</f>
        <v>45413</v>
      </c>
      <c r="I58" s="224">
        <f t="shared" ref="I58:V58" si="15">H58+1</f>
        <v>45414</v>
      </c>
      <c r="J58" s="224">
        <f t="shared" si="15"/>
        <v>45415</v>
      </c>
      <c r="K58" s="224">
        <f t="shared" si="15"/>
        <v>45416</v>
      </c>
      <c r="L58" s="224">
        <f t="shared" si="15"/>
        <v>45417</v>
      </c>
      <c r="M58" s="224">
        <f t="shared" si="15"/>
        <v>45418</v>
      </c>
      <c r="N58" s="224">
        <f t="shared" si="15"/>
        <v>45419</v>
      </c>
      <c r="O58" s="224">
        <f t="shared" si="15"/>
        <v>45420</v>
      </c>
      <c r="P58" s="224">
        <f t="shared" si="15"/>
        <v>45421</v>
      </c>
      <c r="Q58" s="224">
        <f t="shared" si="15"/>
        <v>45422</v>
      </c>
      <c r="R58" s="224">
        <f t="shared" si="15"/>
        <v>45423</v>
      </c>
      <c r="S58" s="224">
        <f t="shared" si="15"/>
        <v>45424</v>
      </c>
      <c r="T58" s="224">
        <f t="shared" si="15"/>
        <v>45425</v>
      </c>
      <c r="U58" s="224">
        <f t="shared" si="15"/>
        <v>45426</v>
      </c>
      <c r="V58" s="224">
        <f t="shared" si="15"/>
        <v>45427</v>
      </c>
      <c r="W58" s="204"/>
      <c r="X58" s="204"/>
    </row>
    <row r="59" spans="1:24" ht="24.75" customHeight="1">
      <c r="A59" s="212"/>
      <c r="B59" s="252">
        <f t="shared" ref="B59:V59" si="16">B6</f>
        <v>1</v>
      </c>
      <c r="C59" s="213" t="str">
        <f t="shared" si="16"/>
        <v>R.01/1</v>
      </c>
      <c r="D59" s="226" t="e">
        <f t="shared" si="16"/>
        <v>#REF!</v>
      </c>
      <c r="E59" s="227" t="e">
        <f t="shared" si="16"/>
        <v>#REF!</v>
      </c>
      <c r="F59" s="214" t="e">
        <f t="shared" si="16"/>
        <v>#REF!</v>
      </c>
      <c r="G59" s="214" t="e">
        <f t="shared" si="16"/>
        <v>#REF!</v>
      </c>
      <c r="H59" s="215" t="str">
        <f t="shared" si="16"/>
        <v>#REF!</v>
      </c>
      <c r="I59" s="216" t="str">
        <f t="shared" si="16"/>
        <v>#REF!</v>
      </c>
      <c r="J59" s="215" t="str">
        <f t="shared" si="16"/>
        <v>#REF!</v>
      </c>
      <c r="K59" s="216" t="str">
        <f t="shared" si="16"/>
        <v>#REF!</v>
      </c>
      <c r="L59" s="215" t="str">
        <f t="shared" si="16"/>
        <v>#REF!</v>
      </c>
      <c r="M59" s="216" t="str">
        <f t="shared" si="16"/>
        <v>#REF!</v>
      </c>
      <c r="N59" s="215" t="str">
        <f t="shared" si="16"/>
        <v>#REF!</v>
      </c>
      <c r="O59" s="216" t="str">
        <f t="shared" si="16"/>
        <v>#REF!</v>
      </c>
      <c r="P59" s="215" t="str">
        <f t="shared" si="16"/>
        <v>#REF!</v>
      </c>
      <c r="Q59" s="216" t="str">
        <f t="shared" si="16"/>
        <v>#REF!</v>
      </c>
      <c r="R59" s="215" t="str">
        <f t="shared" si="16"/>
        <v>#REF!</v>
      </c>
      <c r="S59" s="216" t="str">
        <f t="shared" si="16"/>
        <v>#REF!</v>
      </c>
      <c r="T59" s="215" t="str">
        <f t="shared" si="16"/>
        <v>#REF!</v>
      </c>
      <c r="U59" s="216" t="str">
        <f t="shared" si="16"/>
        <v>#REF!</v>
      </c>
      <c r="V59" s="215" t="str">
        <f t="shared" si="16"/>
        <v>#REF!</v>
      </c>
      <c r="W59" s="204"/>
      <c r="X59" s="204"/>
    </row>
    <row r="60" spans="1:24" ht="24.75" customHeight="1">
      <c r="A60" s="212"/>
      <c r="B60" s="252">
        <f t="shared" ref="B60:V60" si="17">B7</f>
        <v>2</v>
      </c>
      <c r="C60" s="213" t="str">
        <f t="shared" si="17"/>
        <v>R.01/2</v>
      </c>
      <c r="D60" s="226" t="e">
        <f t="shared" si="17"/>
        <v>#REF!</v>
      </c>
      <c r="E60" s="227" t="e">
        <f t="shared" si="17"/>
        <v>#REF!</v>
      </c>
      <c r="F60" s="214" t="e">
        <f t="shared" si="17"/>
        <v>#REF!</v>
      </c>
      <c r="G60" s="214" t="e">
        <f t="shared" si="17"/>
        <v>#REF!</v>
      </c>
      <c r="H60" s="215" t="str">
        <f t="shared" si="17"/>
        <v>#REF!</v>
      </c>
      <c r="I60" s="216" t="str">
        <f t="shared" si="17"/>
        <v>#REF!</v>
      </c>
      <c r="J60" s="215" t="str">
        <f t="shared" si="17"/>
        <v>#REF!</v>
      </c>
      <c r="K60" s="216" t="str">
        <f t="shared" si="17"/>
        <v>#REF!</v>
      </c>
      <c r="L60" s="215" t="str">
        <f t="shared" si="17"/>
        <v>#REF!</v>
      </c>
      <c r="M60" s="216" t="str">
        <f t="shared" si="17"/>
        <v>#REF!</v>
      </c>
      <c r="N60" s="215" t="str">
        <f t="shared" si="17"/>
        <v>#REF!</v>
      </c>
      <c r="O60" s="216" t="str">
        <f t="shared" si="17"/>
        <v>#REF!</v>
      </c>
      <c r="P60" s="215" t="str">
        <f t="shared" si="17"/>
        <v>#REF!</v>
      </c>
      <c r="Q60" s="216" t="str">
        <f t="shared" si="17"/>
        <v>#REF!</v>
      </c>
      <c r="R60" s="215" t="str">
        <f t="shared" si="17"/>
        <v>#REF!</v>
      </c>
      <c r="S60" s="216" t="str">
        <f t="shared" si="17"/>
        <v>#REF!</v>
      </c>
      <c r="T60" s="215" t="str">
        <f t="shared" si="17"/>
        <v>#REF!</v>
      </c>
      <c r="U60" s="216" t="str">
        <f t="shared" si="17"/>
        <v>#REF!</v>
      </c>
      <c r="V60" s="215" t="str">
        <f t="shared" si="17"/>
        <v>#REF!</v>
      </c>
      <c r="W60" s="204"/>
      <c r="X60" s="204"/>
    </row>
    <row r="61" spans="1:24" ht="24.75" customHeight="1">
      <c r="A61" s="212"/>
      <c r="B61" s="252">
        <f t="shared" ref="B61:V61" si="18">B8</f>
        <v>3</v>
      </c>
      <c r="C61" s="213" t="str">
        <f t="shared" si="18"/>
        <v>R.01/3</v>
      </c>
      <c r="D61" s="226" t="e">
        <f t="shared" si="18"/>
        <v>#REF!</v>
      </c>
      <c r="E61" s="227" t="e">
        <f t="shared" si="18"/>
        <v>#REF!</v>
      </c>
      <c r="F61" s="214" t="e">
        <f t="shared" si="18"/>
        <v>#REF!</v>
      </c>
      <c r="G61" s="214" t="e">
        <f t="shared" si="18"/>
        <v>#REF!</v>
      </c>
      <c r="H61" s="215" t="str">
        <f t="shared" si="18"/>
        <v>#REF!</v>
      </c>
      <c r="I61" s="216" t="str">
        <f t="shared" si="18"/>
        <v>#REF!</v>
      </c>
      <c r="J61" s="215" t="str">
        <f t="shared" si="18"/>
        <v>#REF!</v>
      </c>
      <c r="K61" s="216" t="str">
        <f t="shared" si="18"/>
        <v>#REF!</v>
      </c>
      <c r="L61" s="215" t="str">
        <f t="shared" si="18"/>
        <v>#REF!</v>
      </c>
      <c r="M61" s="216" t="str">
        <f t="shared" si="18"/>
        <v>#REF!</v>
      </c>
      <c r="N61" s="215" t="str">
        <f t="shared" si="18"/>
        <v>#REF!</v>
      </c>
      <c r="O61" s="216" t="str">
        <f t="shared" si="18"/>
        <v>#REF!</v>
      </c>
      <c r="P61" s="215" t="str">
        <f t="shared" si="18"/>
        <v>#REF!</v>
      </c>
      <c r="Q61" s="216" t="str">
        <f t="shared" si="18"/>
        <v>#REF!</v>
      </c>
      <c r="R61" s="215" t="str">
        <f t="shared" si="18"/>
        <v>#REF!</v>
      </c>
      <c r="S61" s="216" t="str">
        <f t="shared" si="18"/>
        <v>#REF!</v>
      </c>
      <c r="T61" s="215" t="str">
        <f t="shared" si="18"/>
        <v>#REF!</v>
      </c>
      <c r="U61" s="216" t="str">
        <f t="shared" si="18"/>
        <v>#REF!</v>
      </c>
      <c r="V61" s="215" t="str">
        <f t="shared" si="18"/>
        <v>#REF!</v>
      </c>
      <c r="W61" s="204"/>
      <c r="X61" s="204"/>
    </row>
    <row r="62" spans="1:24" ht="24.75" hidden="1" customHeight="1">
      <c r="A62" s="212"/>
      <c r="B62" s="252">
        <f t="shared" ref="B62:V62" si="19">B9</f>
        <v>0</v>
      </c>
      <c r="C62" s="213">
        <f t="shared" si="19"/>
        <v>0</v>
      </c>
      <c r="D62" s="226">
        <f t="shared" si="19"/>
        <v>0</v>
      </c>
      <c r="E62" s="227">
        <f t="shared" si="19"/>
        <v>0</v>
      </c>
      <c r="F62" s="214">
        <f t="shared" si="19"/>
        <v>0</v>
      </c>
      <c r="G62" s="214">
        <f t="shared" si="19"/>
        <v>0</v>
      </c>
      <c r="H62" s="215" t="str">
        <f t="shared" si="19"/>
        <v>#REF!</v>
      </c>
      <c r="I62" s="216" t="str">
        <f t="shared" si="19"/>
        <v>#REF!</v>
      </c>
      <c r="J62" s="215" t="str">
        <f t="shared" si="19"/>
        <v>#REF!</v>
      </c>
      <c r="K62" s="216" t="str">
        <f t="shared" si="19"/>
        <v>#REF!</v>
      </c>
      <c r="L62" s="215" t="str">
        <f t="shared" si="19"/>
        <v>#REF!</v>
      </c>
      <c r="M62" s="216" t="str">
        <f t="shared" si="19"/>
        <v>#REF!</v>
      </c>
      <c r="N62" s="215" t="str">
        <f t="shared" si="19"/>
        <v>#REF!</v>
      </c>
      <c r="O62" s="216" t="str">
        <f t="shared" si="19"/>
        <v>#REF!</v>
      </c>
      <c r="P62" s="215" t="str">
        <f t="shared" si="19"/>
        <v>#REF!</v>
      </c>
      <c r="Q62" s="216" t="str">
        <f t="shared" si="19"/>
        <v>#REF!</v>
      </c>
      <c r="R62" s="215" t="str">
        <f t="shared" si="19"/>
        <v>#REF!</v>
      </c>
      <c r="S62" s="216" t="str">
        <f t="shared" si="19"/>
        <v>#REF!</v>
      </c>
      <c r="T62" s="215" t="str">
        <f t="shared" si="19"/>
        <v>#REF!</v>
      </c>
      <c r="U62" s="216" t="str">
        <f t="shared" si="19"/>
        <v>#REF!</v>
      </c>
      <c r="V62" s="215" t="str">
        <f t="shared" si="19"/>
        <v>#REF!</v>
      </c>
      <c r="W62" s="204"/>
      <c r="X62" s="204"/>
    </row>
    <row r="63" spans="1:24" ht="24.75" hidden="1" customHeight="1">
      <c r="A63" s="212"/>
      <c r="B63" s="252">
        <f t="shared" ref="B63:V63" si="20">B10</f>
        <v>0</v>
      </c>
      <c r="C63" s="213">
        <f t="shared" si="20"/>
        <v>0</v>
      </c>
      <c r="D63" s="226">
        <f t="shared" si="20"/>
        <v>0</v>
      </c>
      <c r="E63" s="227">
        <f t="shared" si="20"/>
        <v>0</v>
      </c>
      <c r="F63" s="214">
        <f t="shared" si="20"/>
        <v>0</v>
      </c>
      <c r="G63" s="214">
        <f t="shared" si="20"/>
        <v>0</v>
      </c>
      <c r="H63" s="215" t="str">
        <f t="shared" si="20"/>
        <v>#REF!</v>
      </c>
      <c r="I63" s="216" t="str">
        <f t="shared" si="20"/>
        <v>#REF!</v>
      </c>
      <c r="J63" s="215" t="str">
        <f t="shared" si="20"/>
        <v>#REF!</v>
      </c>
      <c r="K63" s="216" t="str">
        <f t="shared" si="20"/>
        <v>#REF!</v>
      </c>
      <c r="L63" s="215" t="str">
        <f t="shared" si="20"/>
        <v>#REF!</v>
      </c>
      <c r="M63" s="216" t="str">
        <f t="shared" si="20"/>
        <v>#REF!</v>
      </c>
      <c r="N63" s="215" t="str">
        <f t="shared" si="20"/>
        <v>#REF!</v>
      </c>
      <c r="O63" s="216" t="str">
        <f t="shared" si="20"/>
        <v>#REF!</v>
      </c>
      <c r="P63" s="215" t="str">
        <f t="shared" si="20"/>
        <v>#REF!</v>
      </c>
      <c r="Q63" s="216" t="str">
        <f t="shared" si="20"/>
        <v>#REF!</v>
      </c>
      <c r="R63" s="215" t="str">
        <f t="shared" si="20"/>
        <v>#REF!</v>
      </c>
      <c r="S63" s="216" t="str">
        <f t="shared" si="20"/>
        <v>#REF!</v>
      </c>
      <c r="T63" s="215" t="str">
        <f t="shared" si="20"/>
        <v>#REF!</v>
      </c>
      <c r="U63" s="216" t="str">
        <f t="shared" si="20"/>
        <v>#REF!</v>
      </c>
      <c r="V63" s="215" t="str">
        <f t="shared" si="20"/>
        <v>#REF!</v>
      </c>
      <c r="W63" s="204"/>
      <c r="X63" s="204"/>
    </row>
    <row r="64" spans="1:24" ht="24.75" hidden="1" customHeight="1">
      <c r="A64" s="212"/>
      <c r="B64" s="252">
        <f t="shared" ref="B64:V64" si="21">B11</f>
        <v>0</v>
      </c>
      <c r="C64" s="213">
        <f t="shared" si="21"/>
        <v>0</v>
      </c>
      <c r="D64" s="226">
        <f t="shared" si="21"/>
        <v>0</v>
      </c>
      <c r="E64" s="227">
        <f t="shared" si="21"/>
        <v>0</v>
      </c>
      <c r="F64" s="214">
        <f t="shared" si="21"/>
        <v>0</v>
      </c>
      <c r="G64" s="214">
        <f t="shared" si="21"/>
        <v>0</v>
      </c>
      <c r="H64" s="215" t="str">
        <f t="shared" si="21"/>
        <v>#REF!</v>
      </c>
      <c r="I64" s="216" t="str">
        <f t="shared" si="21"/>
        <v>#REF!</v>
      </c>
      <c r="J64" s="215" t="str">
        <f t="shared" si="21"/>
        <v>#REF!</v>
      </c>
      <c r="K64" s="216" t="str">
        <f t="shared" si="21"/>
        <v>#REF!</v>
      </c>
      <c r="L64" s="215" t="str">
        <f t="shared" si="21"/>
        <v>#REF!</v>
      </c>
      <c r="M64" s="216" t="str">
        <f t="shared" si="21"/>
        <v>#REF!</v>
      </c>
      <c r="N64" s="215" t="str">
        <f t="shared" si="21"/>
        <v>#REF!</v>
      </c>
      <c r="O64" s="216" t="str">
        <f t="shared" si="21"/>
        <v>#REF!</v>
      </c>
      <c r="P64" s="215" t="str">
        <f t="shared" si="21"/>
        <v>#REF!</v>
      </c>
      <c r="Q64" s="216" t="str">
        <f t="shared" si="21"/>
        <v>#REF!</v>
      </c>
      <c r="R64" s="215" t="str">
        <f t="shared" si="21"/>
        <v>#REF!</v>
      </c>
      <c r="S64" s="216" t="str">
        <f t="shared" si="21"/>
        <v>#REF!</v>
      </c>
      <c r="T64" s="215" t="str">
        <f t="shared" si="21"/>
        <v>#REF!</v>
      </c>
      <c r="U64" s="216" t="str">
        <f t="shared" si="21"/>
        <v>#REF!</v>
      </c>
      <c r="V64" s="215" t="str">
        <f t="shared" si="21"/>
        <v>#REF!</v>
      </c>
      <c r="W64" s="204"/>
      <c r="X64" s="204"/>
    </row>
    <row r="65" spans="1:24" ht="24.75" hidden="1" customHeight="1">
      <c r="A65" s="212"/>
      <c r="B65" s="252">
        <f t="shared" ref="B65:V65" si="22">B12</f>
        <v>0</v>
      </c>
      <c r="C65" s="213">
        <f t="shared" si="22"/>
        <v>0</v>
      </c>
      <c r="D65" s="226">
        <f t="shared" si="22"/>
        <v>0</v>
      </c>
      <c r="E65" s="227">
        <f t="shared" si="22"/>
        <v>0</v>
      </c>
      <c r="F65" s="214">
        <f t="shared" si="22"/>
        <v>0</v>
      </c>
      <c r="G65" s="214">
        <f t="shared" si="22"/>
        <v>0</v>
      </c>
      <c r="H65" s="215" t="str">
        <f t="shared" si="22"/>
        <v>#REF!</v>
      </c>
      <c r="I65" s="216" t="str">
        <f t="shared" si="22"/>
        <v>#REF!</v>
      </c>
      <c r="J65" s="215" t="str">
        <f t="shared" si="22"/>
        <v>#REF!</v>
      </c>
      <c r="K65" s="216" t="str">
        <f t="shared" si="22"/>
        <v>#REF!</v>
      </c>
      <c r="L65" s="215" t="str">
        <f t="shared" si="22"/>
        <v>#REF!</v>
      </c>
      <c r="M65" s="216" t="str">
        <f t="shared" si="22"/>
        <v>#REF!</v>
      </c>
      <c r="N65" s="215" t="str">
        <f t="shared" si="22"/>
        <v>#REF!</v>
      </c>
      <c r="O65" s="216" t="str">
        <f t="shared" si="22"/>
        <v>#REF!</v>
      </c>
      <c r="P65" s="215" t="str">
        <f t="shared" si="22"/>
        <v>#REF!</v>
      </c>
      <c r="Q65" s="216" t="str">
        <f t="shared" si="22"/>
        <v>#REF!</v>
      </c>
      <c r="R65" s="215" t="str">
        <f t="shared" si="22"/>
        <v>#REF!</v>
      </c>
      <c r="S65" s="216" t="e">
        <f t="shared" si="22"/>
        <v>#N/A</v>
      </c>
      <c r="T65" s="215" t="str">
        <f t="shared" si="22"/>
        <v>#REF!</v>
      </c>
      <c r="U65" s="216" t="str">
        <f t="shared" si="22"/>
        <v>#REF!</v>
      </c>
      <c r="V65" s="215" t="str">
        <f t="shared" si="22"/>
        <v>#REF!</v>
      </c>
      <c r="W65" s="204"/>
      <c r="X65" s="204"/>
    </row>
    <row r="66" spans="1:24" ht="24.75" hidden="1" customHeight="1">
      <c r="A66" s="212"/>
      <c r="B66" s="252">
        <f t="shared" ref="B66:V66" si="23">B13</f>
        <v>0</v>
      </c>
      <c r="C66" s="213">
        <f t="shared" si="23"/>
        <v>0</v>
      </c>
      <c r="D66" s="226">
        <f t="shared" si="23"/>
        <v>0</v>
      </c>
      <c r="E66" s="227">
        <f t="shared" si="23"/>
        <v>0</v>
      </c>
      <c r="F66" s="214">
        <f t="shared" si="23"/>
        <v>0</v>
      </c>
      <c r="G66" s="214">
        <f t="shared" si="23"/>
        <v>0</v>
      </c>
      <c r="H66" s="215" t="str">
        <f t="shared" si="23"/>
        <v>#REF!</v>
      </c>
      <c r="I66" s="216" t="str">
        <f t="shared" si="23"/>
        <v>#REF!</v>
      </c>
      <c r="J66" s="215" t="str">
        <f t="shared" si="23"/>
        <v>#REF!</v>
      </c>
      <c r="K66" s="216" t="str">
        <f t="shared" si="23"/>
        <v>#REF!</v>
      </c>
      <c r="L66" s="215" t="str">
        <f t="shared" si="23"/>
        <v>#REF!</v>
      </c>
      <c r="M66" s="216" t="str">
        <f t="shared" si="23"/>
        <v>#REF!</v>
      </c>
      <c r="N66" s="215" t="str">
        <f t="shared" si="23"/>
        <v>#REF!</v>
      </c>
      <c r="O66" s="216" t="str">
        <f t="shared" si="23"/>
        <v>#REF!</v>
      </c>
      <c r="P66" s="215" t="str">
        <f t="shared" si="23"/>
        <v>#REF!</v>
      </c>
      <c r="Q66" s="216" t="str">
        <f t="shared" si="23"/>
        <v>#REF!</v>
      </c>
      <c r="R66" s="215" t="str">
        <f t="shared" si="23"/>
        <v>#REF!</v>
      </c>
      <c r="S66" s="216" t="e">
        <f t="shared" si="23"/>
        <v>#N/A</v>
      </c>
      <c r="T66" s="215" t="str">
        <f t="shared" si="23"/>
        <v>#REF!</v>
      </c>
      <c r="U66" s="216" t="str">
        <f t="shared" si="23"/>
        <v>#REF!</v>
      </c>
      <c r="V66" s="215" t="str">
        <f t="shared" si="23"/>
        <v>#REF!</v>
      </c>
      <c r="W66" s="204"/>
      <c r="X66" s="204"/>
    </row>
    <row r="67" spans="1:24" ht="9" customHeight="1">
      <c r="A67" s="218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04"/>
    </row>
    <row r="68" spans="1:24" ht="21" customHeight="1">
      <c r="A68" s="218"/>
      <c r="B68" s="218"/>
      <c r="C68" s="218"/>
      <c r="D68" s="218"/>
      <c r="E68" s="218"/>
      <c r="F68" s="218"/>
      <c r="G68" s="218"/>
      <c r="H68" s="220">
        <f t="shared" ref="H68:W68" si="24">H69</f>
        <v>45428</v>
      </c>
      <c r="I68" s="221">
        <f t="shared" si="24"/>
        <v>45429</v>
      </c>
      <c r="J68" s="220">
        <f t="shared" si="24"/>
        <v>45430</v>
      </c>
      <c r="K68" s="220">
        <f t="shared" si="24"/>
        <v>45431</v>
      </c>
      <c r="L68" s="220">
        <f t="shared" si="24"/>
        <v>45432</v>
      </c>
      <c r="M68" s="220">
        <f t="shared" si="24"/>
        <v>45433</v>
      </c>
      <c r="N68" s="220">
        <f t="shared" si="24"/>
        <v>45434</v>
      </c>
      <c r="O68" s="220">
        <f t="shared" si="24"/>
        <v>45435</v>
      </c>
      <c r="P68" s="220">
        <f t="shared" si="24"/>
        <v>45436</v>
      </c>
      <c r="Q68" s="220">
        <f t="shared" si="24"/>
        <v>45437</v>
      </c>
      <c r="R68" s="220">
        <f t="shared" si="24"/>
        <v>45438</v>
      </c>
      <c r="S68" s="220">
        <f t="shared" si="24"/>
        <v>45439</v>
      </c>
      <c r="T68" s="220">
        <f t="shared" si="24"/>
        <v>45440</v>
      </c>
      <c r="U68" s="220">
        <f t="shared" si="24"/>
        <v>45441</v>
      </c>
      <c r="V68" s="220">
        <f t="shared" si="24"/>
        <v>45442</v>
      </c>
      <c r="W68" s="220">
        <f t="shared" si="24"/>
        <v>45443</v>
      </c>
      <c r="X68" s="204"/>
    </row>
    <row r="69" spans="1:24" ht="21" customHeight="1">
      <c r="A69" s="218"/>
      <c r="B69" s="218"/>
      <c r="C69" s="218"/>
      <c r="D69" s="218"/>
      <c r="E69" s="218"/>
      <c r="F69" s="218"/>
      <c r="G69" s="218"/>
      <c r="H69" s="224">
        <f>V58+1</f>
        <v>45428</v>
      </c>
      <c r="I69" s="224">
        <f t="shared" ref="I69:W69" si="25">H69+1</f>
        <v>45429</v>
      </c>
      <c r="J69" s="224">
        <f t="shared" si="25"/>
        <v>45430</v>
      </c>
      <c r="K69" s="224">
        <f t="shared" si="25"/>
        <v>45431</v>
      </c>
      <c r="L69" s="224">
        <f t="shared" si="25"/>
        <v>45432</v>
      </c>
      <c r="M69" s="224">
        <f t="shared" si="25"/>
        <v>45433</v>
      </c>
      <c r="N69" s="224">
        <f t="shared" si="25"/>
        <v>45434</v>
      </c>
      <c r="O69" s="224">
        <f t="shared" si="25"/>
        <v>45435</v>
      </c>
      <c r="P69" s="224">
        <f t="shared" si="25"/>
        <v>45436</v>
      </c>
      <c r="Q69" s="224">
        <f t="shared" si="25"/>
        <v>45437</v>
      </c>
      <c r="R69" s="224">
        <f t="shared" si="25"/>
        <v>45438</v>
      </c>
      <c r="S69" s="224">
        <f t="shared" si="25"/>
        <v>45439</v>
      </c>
      <c r="T69" s="224">
        <f t="shared" si="25"/>
        <v>45440</v>
      </c>
      <c r="U69" s="224">
        <f t="shared" si="25"/>
        <v>45441</v>
      </c>
      <c r="V69" s="224">
        <f t="shared" si="25"/>
        <v>45442</v>
      </c>
      <c r="W69" s="224">
        <f t="shared" si="25"/>
        <v>45443</v>
      </c>
      <c r="X69" s="204"/>
    </row>
    <row r="70" spans="1:24" ht="24.75" customHeight="1">
      <c r="A70" s="225"/>
      <c r="B70" s="213">
        <f t="shared" ref="B70:W70" si="26">B39</f>
        <v>1</v>
      </c>
      <c r="C70" s="213" t="str">
        <f t="shared" si="26"/>
        <v>R.01/1</v>
      </c>
      <c r="D70" s="226" t="e">
        <f t="shared" si="26"/>
        <v>#REF!</v>
      </c>
      <c r="E70" s="227" t="e">
        <f t="shared" si="26"/>
        <v>#REF!</v>
      </c>
      <c r="F70" s="228" t="e">
        <f t="shared" si="26"/>
        <v>#REF!</v>
      </c>
      <c r="G70" s="228" t="e">
        <f t="shared" si="26"/>
        <v>#REF!</v>
      </c>
      <c r="H70" s="215" t="str">
        <f t="shared" si="26"/>
        <v>#REF!</v>
      </c>
      <c r="I70" s="216" t="str">
        <f t="shared" si="26"/>
        <v>#REF!</v>
      </c>
      <c r="J70" s="215" t="str">
        <f t="shared" si="26"/>
        <v>#REF!</v>
      </c>
      <c r="K70" s="216" t="str">
        <f t="shared" si="26"/>
        <v>#REF!</v>
      </c>
      <c r="L70" s="215" t="str">
        <f t="shared" si="26"/>
        <v>#REF!</v>
      </c>
      <c r="M70" s="216" t="str">
        <f t="shared" si="26"/>
        <v>#REF!</v>
      </c>
      <c r="N70" s="215" t="str">
        <f t="shared" si="26"/>
        <v>#REF!</v>
      </c>
      <c r="O70" s="216" t="str">
        <f t="shared" si="26"/>
        <v>#REF!</v>
      </c>
      <c r="P70" s="215" t="str">
        <f t="shared" si="26"/>
        <v>#REF!</v>
      </c>
      <c r="Q70" s="216" t="str">
        <f t="shared" si="26"/>
        <v>#REF!</v>
      </c>
      <c r="R70" s="215" t="str">
        <f t="shared" si="26"/>
        <v>#REF!</v>
      </c>
      <c r="S70" s="216" t="str">
        <f t="shared" si="26"/>
        <v>#REF!</v>
      </c>
      <c r="T70" s="215" t="str">
        <f t="shared" si="26"/>
        <v>#REF!</v>
      </c>
      <c r="U70" s="216" t="str">
        <f t="shared" si="26"/>
        <v>#REF!</v>
      </c>
      <c r="V70" s="215" t="str">
        <f t="shared" si="26"/>
        <v>#REF!</v>
      </c>
      <c r="W70" s="216" t="str">
        <f t="shared" si="26"/>
        <v>#REF!</v>
      </c>
      <c r="X70" s="204"/>
    </row>
    <row r="71" spans="1:24" ht="24.75" customHeight="1">
      <c r="A71" s="225"/>
      <c r="B71" s="213">
        <f t="shared" ref="B71:W71" si="27">B40</f>
        <v>2</v>
      </c>
      <c r="C71" s="213" t="str">
        <f t="shared" si="27"/>
        <v>R.01/2</v>
      </c>
      <c r="D71" s="226" t="e">
        <f t="shared" si="27"/>
        <v>#REF!</v>
      </c>
      <c r="E71" s="227" t="e">
        <f t="shared" si="27"/>
        <v>#REF!</v>
      </c>
      <c r="F71" s="228" t="e">
        <f t="shared" si="27"/>
        <v>#REF!</v>
      </c>
      <c r="G71" s="228" t="e">
        <f t="shared" si="27"/>
        <v>#REF!</v>
      </c>
      <c r="H71" s="215" t="str">
        <f t="shared" si="27"/>
        <v>#REF!</v>
      </c>
      <c r="I71" s="216" t="str">
        <f t="shared" si="27"/>
        <v>#REF!</v>
      </c>
      <c r="J71" s="215" t="str">
        <f t="shared" si="27"/>
        <v>#REF!</v>
      </c>
      <c r="K71" s="216" t="str">
        <f t="shared" si="27"/>
        <v>#REF!</v>
      </c>
      <c r="L71" s="215" t="str">
        <f t="shared" si="27"/>
        <v>#REF!</v>
      </c>
      <c r="M71" s="216" t="str">
        <f t="shared" si="27"/>
        <v>#REF!</v>
      </c>
      <c r="N71" s="215" t="str">
        <f t="shared" si="27"/>
        <v>#REF!</v>
      </c>
      <c r="O71" s="216" t="str">
        <f t="shared" si="27"/>
        <v>#REF!</v>
      </c>
      <c r="P71" s="215" t="str">
        <f t="shared" si="27"/>
        <v>#REF!</v>
      </c>
      <c r="Q71" s="216" t="str">
        <f t="shared" si="27"/>
        <v>#REF!</v>
      </c>
      <c r="R71" s="215" t="str">
        <f t="shared" si="27"/>
        <v>#REF!</v>
      </c>
      <c r="S71" s="216" t="str">
        <f t="shared" si="27"/>
        <v>#REF!</v>
      </c>
      <c r="T71" s="215" t="str">
        <f t="shared" si="27"/>
        <v>#REF!</v>
      </c>
      <c r="U71" s="216" t="str">
        <f t="shared" si="27"/>
        <v>#REF!</v>
      </c>
      <c r="V71" s="215" t="str">
        <f t="shared" si="27"/>
        <v>#REF!</v>
      </c>
      <c r="W71" s="216" t="str">
        <f t="shared" si="27"/>
        <v>#REF!</v>
      </c>
      <c r="X71" s="204"/>
    </row>
    <row r="72" spans="1:24" ht="24.75" customHeight="1">
      <c r="A72" s="225"/>
      <c r="B72" s="213">
        <f t="shared" ref="B72:W72" si="28">B41</f>
        <v>3</v>
      </c>
      <c r="C72" s="213" t="str">
        <f t="shared" si="28"/>
        <v>R.01/3</v>
      </c>
      <c r="D72" s="226" t="e">
        <f t="shared" si="28"/>
        <v>#REF!</v>
      </c>
      <c r="E72" s="227" t="e">
        <f t="shared" si="28"/>
        <v>#REF!</v>
      </c>
      <c r="F72" s="228" t="e">
        <f t="shared" si="28"/>
        <v>#REF!</v>
      </c>
      <c r="G72" s="228" t="e">
        <f t="shared" si="28"/>
        <v>#REF!</v>
      </c>
      <c r="H72" s="215" t="str">
        <f t="shared" si="28"/>
        <v>#REF!</v>
      </c>
      <c r="I72" s="216" t="str">
        <f t="shared" si="28"/>
        <v>#REF!</v>
      </c>
      <c r="J72" s="215" t="str">
        <f t="shared" si="28"/>
        <v>#REF!</v>
      </c>
      <c r="K72" s="216" t="str">
        <f t="shared" si="28"/>
        <v>#REF!</v>
      </c>
      <c r="L72" s="215" t="str">
        <f t="shared" si="28"/>
        <v>#REF!</v>
      </c>
      <c r="M72" s="216" t="str">
        <f t="shared" si="28"/>
        <v>#REF!</v>
      </c>
      <c r="N72" s="215" t="str">
        <f t="shared" si="28"/>
        <v>#REF!</v>
      </c>
      <c r="O72" s="216" t="str">
        <f t="shared" si="28"/>
        <v>#REF!</v>
      </c>
      <c r="P72" s="215" t="str">
        <f t="shared" si="28"/>
        <v>#REF!</v>
      </c>
      <c r="Q72" s="216" t="str">
        <f t="shared" si="28"/>
        <v>#REF!</v>
      </c>
      <c r="R72" s="215" t="str">
        <f t="shared" si="28"/>
        <v>#REF!</v>
      </c>
      <c r="S72" s="216" t="str">
        <f t="shared" si="28"/>
        <v>#REF!</v>
      </c>
      <c r="T72" s="215" t="str">
        <f t="shared" si="28"/>
        <v>#REF!</v>
      </c>
      <c r="U72" s="216" t="str">
        <f t="shared" si="28"/>
        <v>#REF!</v>
      </c>
      <c r="V72" s="215" t="str">
        <f t="shared" si="28"/>
        <v>#REF!</v>
      </c>
      <c r="W72" s="216" t="str">
        <f t="shared" si="28"/>
        <v>#REF!</v>
      </c>
      <c r="X72" s="204"/>
    </row>
    <row r="73" spans="1:24" ht="24.75" hidden="1" customHeight="1">
      <c r="A73" s="225"/>
      <c r="B73" s="213">
        <f t="shared" ref="B73:W73" si="29">B42</f>
        <v>0</v>
      </c>
      <c r="C73" s="213">
        <f t="shared" si="29"/>
        <v>0</v>
      </c>
      <c r="D73" s="228">
        <f t="shared" si="29"/>
        <v>0</v>
      </c>
      <c r="E73" s="228">
        <f t="shared" si="29"/>
        <v>0</v>
      </c>
      <c r="F73" s="228">
        <f t="shared" si="29"/>
        <v>0</v>
      </c>
      <c r="G73" s="228">
        <f t="shared" si="29"/>
        <v>0</v>
      </c>
      <c r="H73" s="215" t="str">
        <f t="shared" si="29"/>
        <v>#REF!</v>
      </c>
      <c r="I73" s="216" t="str">
        <f t="shared" si="29"/>
        <v>#REF!</v>
      </c>
      <c r="J73" s="215" t="str">
        <f t="shared" si="29"/>
        <v>#REF!</v>
      </c>
      <c r="K73" s="216" t="str">
        <f t="shared" si="29"/>
        <v>#REF!</v>
      </c>
      <c r="L73" s="215" t="str">
        <f t="shared" si="29"/>
        <v>#REF!</v>
      </c>
      <c r="M73" s="216" t="str">
        <f t="shared" si="29"/>
        <v>#REF!</v>
      </c>
      <c r="N73" s="215" t="str">
        <f t="shared" si="29"/>
        <v>#REF!</v>
      </c>
      <c r="O73" s="216" t="str">
        <f t="shared" si="29"/>
        <v>#REF!</v>
      </c>
      <c r="P73" s="215" t="str">
        <f t="shared" si="29"/>
        <v>#REF!</v>
      </c>
      <c r="Q73" s="216" t="str">
        <f t="shared" si="29"/>
        <v>#REF!</v>
      </c>
      <c r="R73" s="215" t="str">
        <f t="shared" si="29"/>
        <v>#REF!</v>
      </c>
      <c r="S73" s="216" t="str">
        <f t="shared" si="29"/>
        <v>#REF!</v>
      </c>
      <c r="T73" s="215" t="str">
        <f t="shared" si="29"/>
        <v>#REF!</v>
      </c>
      <c r="U73" s="216" t="str">
        <f t="shared" si="29"/>
        <v>#REF!</v>
      </c>
      <c r="V73" s="215" t="str">
        <f t="shared" si="29"/>
        <v>#REF!</v>
      </c>
      <c r="W73" s="216" t="str">
        <f t="shared" si="29"/>
        <v>#REF!</v>
      </c>
      <c r="X73" s="204"/>
    </row>
    <row r="74" spans="1:24" ht="24.75" hidden="1" customHeight="1">
      <c r="A74" s="225"/>
      <c r="B74" s="213">
        <f t="shared" ref="B74:W74" si="30">B43</f>
        <v>0</v>
      </c>
      <c r="C74" s="213">
        <f t="shared" si="30"/>
        <v>0</v>
      </c>
      <c r="D74" s="228">
        <f t="shared" si="30"/>
        <v>0</v>
      </c>
      <c r="E74" s="228">
        <f t="shared" si="30"/>
        <v>0</v>
      </c>
      <c r="F74" s="228">
        <f t="shared" si="30"/>
        <v>0</v>
      </c>
      <c r="G74" s="228">
        <f t="shared" si="30"/>
        <v>0</v>
      </c>
      <c r="H74" s="215" t="str">
        <f t="shared" si="30"/>
        <v>#REF!</v>
      </c>
      <c r="I74" s="216" t="str">
        <f t="shared" si="30"/>
        <v>#REF!</v>
      </c>
      <c r="J74" s="215" t="str">
        <f t="shared" si="30"/>
        <v>#REF!</v>
      </c>
      <c r="K74" s="216" t="str">
        <f t="shared" si="30"/>
        <v>#REF!</v>
      </c>
      <c r="L74" s="215" t="str">
        <f t="shared" si="30"/>
        <v>#REF!</v>
      </c>
      <c r="M74" s="216" t="str">
        <f t="shared" si="30"/>
        <v>#REF!</v>
      </c>
      <c r="N74" s="215" t="str">
        <f t="shared" si="30"/>
        <v>#REF!</v>
      </c>
      <c r="O74" s="216" t="str">
        <f t="shared" si="30"/>
        <v>#REF!</v>
      </c>
      <c r="P74" s="215" t="str">
        <f t="shared" si="30"/>
        <v>#REF!</v>
      </c>
      <c r="Q74" s="216" t="str">
        <f t="shared" si="30"/>
        <v>#REF!</v>
      </c>
      <c r="R74" s="215" t="str">
        <f t="shared" si="30"/>
        <v>#REF!</v>
      </c>
      <c r="S74" s="216" t="str">
        <f t="shared" si="30"/>
        <v>#REF!</v>
      </c>
      <c r="T74" s="215" t="str">
        <f t="shared" si="30"/>
        <v>#REF!</v>
      </c>
      <c r="U74" s="216" t="str">
        <f t="shared" si="30"/>
        <v>#REF!</v>
      </c>
      <c r="V74" s="215" t="str">
        <f t="shared" si="30"/>
        <v>#REF!</v>
      </c>
      <c r="W74" s="216" t="str">
        <f t="shared" si="30"/>
        <v>#REF!</v>
      </c>
      <c r="X74" s="204"/>
    </row>
    <row r="75" spans="1:24" ht="24.75" hidden="1" customHeight="1">
      <c r="A75" s="225"/>
      <c r="B75" s="213">
        <f t="shared" ref="B75:W75" si="31">B44</f>
        <v>0</v>
      </c>
      <c r="C75" s="213">
        <f t="shared" si="31"/>
        <v>0</v>
      </c>
      <c r="D75" s="228">
        <f t="shared" si="31"/>
        <v>0</v>
      </c>
      <c r="E75" s="228">
        <f t="shared" si="31"/>
        <v>0</v>
      </c>
      <c r="F75" s="228">
        <f t="shared" si="31"/>
        <v>0</v>
      </c>
      <c r="G75" s="228">
        <f t="shared" si="31"/>
        <v>0</v>
      </c>
      <c r="H75" s="215" t="str">
        <f t="shared" si="31"/>
        <v>#REF!</v>
      </c>
      <c r="I75" s="216" t="str">
        <f t="shared" si="31"/>
        <v>#REF!</v>
      </c>
      <c r="J75" s="215" t="str">
        <f t="shared" si="31"/>
        <v>#REF!</v>
      </c>
      <c r="K75" s="216" t="str">
        <f t="shared" si="31"/>
        <v>#REF!</v>
      </c>
      <c r="L75" s="215" t="str">
        <f t="shared" si="31"/>
        <v>#REF!</v>
      </c>
      <c r="M75" s="216" t="str">
        <f t="shared" si="31"/>
        <v>#REF!</v>
      </c>
      <c r="N75" s="215" t="str">
        <f t="shared" si="31"/>
        <v>#REF!</v>
      </c>
      <c r="O75" s="216" t="str">
        <f t="shared" si="31"/>
        <v>#REF!</v>
      </c>
      <c r="P75" s="215" t="str">
        <f t="shared" si="31"/>
        <v>#REF!</v>
      </c>
      <c r="Q75" s="216" t="str">
        <f t="shared" si="31"/>
        <v>#REF!</v>
      </c>
      <c r="R75" s="215" t="str">
        <f t="shared" si="31"/>
        <v>#REF!</v>
      </c>
      <c r="S75" s="216" t="str">
        <f t="shared" si="31"/>
        <v>#REF!</v>
      </c>
      <c r="T75" s="215" t="str">
        <f t="shared" si="31"/>
        <v>#REF!</v>
      </c>
      <c r="U75" s="216" t="str">
        <f t="shared" si="31"/>
        <v>#REF!</v>
      </c>
      <c r="V75" s="215" t="str">
        <f t="shared" si="31"/>
        <v>#REF!</v>
      </c>
      <c r="W75" s="216" t="str">
        <f t="shared" si="31"/>
        <v>#REF!</v>
      </c>
      <c r="X75" s="204"/>
    </row>
    <row r="76" spans="1:24" ht="24.75" hidden="1" customHeight="1">
      <c r="A76" s="225"/>
      <c r="B76" s="213">
        <f t="shared" ref="B76:W76" si="32">B45</f>
        <v>0</v>
      </c>
      <c r="C76" s="213">
        <f t="shared" si="32"/>
        <v>0</v>
      </c>
      <c r="D76" s="228">
        <f t="shared" si="32"/>
        <v>0</v>
      </c>
      <c r="E76" s="228">
        <f t="shared" si="32"/>
        <v>0</v>
      </c>
      <c r="F76" s="228">
        <f t="shared" si="32"/>
        <v>0</v>
      </c>
      <c r="G76" s="228">
        <f t="shared" si="32"/>
        <v>0</v>
      </c>
      <c r="H76" s="215" t="str">
        <f t="shared" si="32"/>
        <v>#REF!</v>
      </c>
      <c r="I76" s="216" t="str">
        <f t="shared" si="32"/>
        <v>#REF!</v>
      </c>
      <c r="J76" s="215" t="str">
        <f t="shared" si="32"/>
        <v>#REF!</v>
      </c>
      <c r="K76" s="216" t="e">
        <f t="shared" si="32"/>
        <v>#N/A</v>
      </c>
      <c r="L76" s="215" t="str">
        <f t="shared" si="32"/>
        <v>#REF!</v>
      </c>
      <c r="M76" s="216" t="str">
        <f t="shared" si="32"/>
        <v>#REF!</v>
      </c>
      <c r="N76" s="215" t="str">
        <f t="shared" si="32"/>
        <v>#REF!</v>
      </c>
      <c r="O76" s="216" t="str">
        <f t="shared" si="32"/>
        <v>#REF!</v>
      </c>
      <c r="P76" s="215" t="str">
        <f t="shared" si="32"/>
        <v>#REF!</v>
      </c>
      <c r="Q76" s="216" t="str">
        <f t="shared" si="32"/>
        <v>#REF!</v>
      </c>
      <c r="R76" s="215" t="e">
        <f t="shared" si="32"/>
        <v>#N/A</v>
      </c>
      <c r="S76" s="216" t="str">
        <f t="shared" si="32"/>
        <v>#REF!</v>
      </c>
      <c r="T76" s="215" t="str">
        <f t="shared" si="32"/>
        <v>#REF!</v>
      </c>
      <c r="U76" s="216" t="str">
        <f t="shared" si="32"/>
        <v>#REF!</v>
      </c>
      <c r="V76" s="215" t="str">
        <f t="shared" si="32"/>
        <v>#REF!</v>
      </c>
      <c r="W76" s="216" t="str">
        <f t="shared" si="32"/>
        <v>#REF!</v>
      </c>
      <c r="X76" s="204"/>
    </row>
    <row r="77" spans="1:24" ht="24.75" hidden="1" customHeight="1">
      <c r="A77" s="225"/>
      <c r="B77" s="213">
        <f t="shared" ref="B77:W77" si="33">B46</f>
        <v>0</v>
      </c>
      <c r="C77" s="213">
        <f t="shared" si="33"/>
        <v>0</v>
      </c>
      <c r="D77" s="228">
        <f t="shared" si="33"/>
        <v>0</v>
      </c>
      <c r="E77" s="228">
        <f t="shared" si="33"/>
        <v>0</v>
      </c>
      <c r="F77" s="228">
        <f t="shared" si="33"/>
        <v>0</v>
      </c>
      <c r="G77" s="228">
        <f t="shared" si="33"/>
        <v>0</v>
      </c>
      <c r="H77" s="215" t="str">
        <f t="shared" si="33"/>
        <v>#REF!</v>
      </c>
      <c r="I77" s="216" t="str">
        <f t="shared" si="33"/>
        <v>#REF!</v>
      </c>
      <c r="J77" s="215" t="str">
        <f t="shared" si="33"/>
        <v>#REF!</v>
      </c>
      <c r="K77" s="216" t="e">
        <f t="shared" si="33"/>
        <v>#N/A</v>
      </c>
      <c r="L77" s="215" t="str">
        <f t="shared" si="33"/>
        <v>#REF!</v>
      </c>
      <c r="M77" s="216" t="str">
        <f t="shared" si="33"/>
        <v>#REF!</v>
      </c>
      <c r="N77" s="215" t="str">
        <f t="shared" si="33"/>
        <v>#REF!</v>
      </c>
      <c r="O77" s="216" t="str">
        <f t="shared" si="33"/>
        <v>#REF!</v>
      </c>
      <c r="P77" s="215" t="str">
        <f t="shared" si="33"/>
        <v>#REF!</v>
      </c>
      <c r="Q77" s="216" t="str">
        <f t="shared" si="33"/>
        <v>#REF!</v>
      </c>
      <c r="R77" s="215" t="e">
        <f t="shared" si="33"/>
        <v>#N/A</v>
      </c>
      <c r="S77" s="216" t="str">
        <f t="shared" si="33"/>
        <v>#REF!</v>
      </c>
      <c r="T77" s="215" t="str">
        <f t="shared" si="33"/>
        <v>#REF!</v>
      </c>
      <c r="U77" s="216" t="str">
        <f t="shared" si="33"/>
        <v>#REF!</v>
      </c>
      <c r="V77" s="215" t="str">
        <f t="shared" si="33"/>
        <v>#REF!</v>
      </c>
      <c r="W77" s="216" t="str">
        <f t="shared" si="33"/>
        <v>#REF!</v>
      </c>
      <c r="X77" s="204"/>
    </row>
    <row r="78" spans="1:24" ht="17.25" customHeight="1">
      <c r="A78" s="204"/>
      <c r="B78" s="204"/>
      <c r="C78" s="204"/>
      <c r="D78" s="235"/>
      <c r="E78" s="236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</row>
    <row r="79" spans="1:24" ht="66.75" customHeight="1">
      <c r="A79" s="204"/>
      <c r="B79" s="204"/>
      <c r="C79" s="204"/>
      <c r="D79" s="235"/>
      <c r="E79" s="236"/>
      <c r="F79" s="204"/>
      <c r="G79" s="204"/>
      <c r="H79" s="237"/>
      <c r="I79" s="237"/>
      <c r="J79" s="237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8"/>
      <c r="X79" s="204"/>
    </row>
    <row r="80" spans="1:24" ht="15.75" customHeight="1">
      <c r="A80" s="204"/>
      <c r="B80" s="204"/>
      <c r="C80" s="204"/>
      <c r="D80" s="235"/>
      <c r="E80" s="236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</row>
  </sheetData>
  <mergeCells count="16">
    <mergeCell ref="B21:C21"/>
    <mergeCell ref="D21:E21"/>
    <mergeCell ref="T55:U55"/>
    <mergeCell ref="V55:W55"/>
    <mergeCell ref="F21:G21"/>
    <mergeCell ref="B53:G53"/>
    <mergeCell ref="J55:K55"/>
    <mergeCell ref="L55:M55"/>
    <mergeCell ref="N55:O55"/>
    <mergeCell ref="P55:Q55"/>
    <mergeCell ref="R55:S55"/>
    <mergeCell ref="C19:D19"/>
    <mergeCell ref="E19:F19"/>
    <mergeCell ref="B20:C20"/>
    <mergeCell ref="D20:E20"/>
    <mergeCell ref="F20:G20"/>
  </mergeCells>
  <dataValidations count="2">
    <dataValidation type="list" allowBlank="1" showErrorMessage="1" sqref="B19" xr:uid="{00000000-0002-0000-1200-000000000000}">
      <formula1>"R.01,R.02,R.03,R.04,R.05,R.06,R.07,R.08,R.09,R.10,R.11,R.12,R.13,R.14,R.15,R.16,R.17,R.18,R.19,R.20,R.21"</formula1>
    </dataValidation>
    <dataValidation type="list" allowBlank="1" showErrorMessage="1" sqref="B6:B13" xr:uid="{00000000-0002-0000-1200-000001000000}">
      <formula1>"1,2,3,4,5,6,7,8,0"</formula1>
    </dataValidation>
  </dataValidations>
  <printOptions horizontalCentered="1" verticalCentered="1"/>
  <pageMargins left="0.19685039370078738" right="0.19685039370078738" top="0.19685039370078738" bottom="0.19685039370078738" header="0" footer="0"/>
  <pageSetup paperSize="9" pageOrder="overThenDown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184"/>
  <sheetViews>
    <sheetView workbookViewId="0"/>
  </sheetViews>
  <sheetFormatPr defaultColWidth="12.5703125" defaultRowHeight="15" customHeight="1" outlineLevelRow="1" outlineLevelCol="1"/>
  <cols>
    <col min="1" max="1" width="42.5703125" customWidth="1"/>
    <col min="2" max="2" width="10.42578125" customWidth="1" outlineLevel="1"/>
    <col min="3" max="3" width="11" customWidth="1" outlineLevel="1"/>
    <col min="4" max="4" width="10.42578125" customWidth="1" outlineLevel="1"/>
    <col min="5" max="6" width="11" customWidth="1" outlineLevel="1"/>
    <col min="7" max="7" width="11.85546875" customWidth="1" outlineLevel="1"/>
    <col min="8" max="8" width="128.42578125" customWidth="1"/>
  </cols>
  <sheetData>
    <row r="1" spans="1:8" ht="19.5" customHeight="1">
      <c r="A1" s="229"/>
      <c r="B1" s="34"/>
      <c r="C1" s="34"/>
      <c r="D1" s="50"/>
      <c r="E1" s="34"/>
      <c r="F1" s="34"/>
      <c r="G1" s="34"/>
      <c r="H1" s="33"/>
    </row>
    <row r="2" spans="1:8" ht="57.75" customHeight="1">
      <c r="A2" s="230" t="e">
        <f>#REF!</f>
        <v>#REF!</v>
      </c>
      <c r="B2" s="231" t="s">
        <v>1382</v>
      </c>
      <c r="C2" s="231"/>
      <c r="D2" s="232" t="s">
        <v>1383</v>
      </c>
      <c r="E2" s="232"/>
      <c r="F2" s="232" t="s">
        <v>1384</v>
      </c>
      <c r="G2" s="232" t="s">
        <v>1385</v>
      </c>
      <c r="H2" s="233"/>
    </row>
    <row r="3" spans="1:8" ht="19.5" customHeight="1" collapsed="1">
      <c r="A3" s="234" t="e">
        <f>#REF!</f>
        <v>#REF!</v>
      </c>
      <c r="B3" s="9"/>
      <c r="C3" s="9"/>
      <c r="D3" s="9"/>
      <c r="E3" s="9"/>
      <c r="F3" s="9"/>
      <c r="G3" s="9"/>
      <c r="H3" s="4"/>
    </row>
    <row r="4" spans="1:8" ht="19.5" hidden="1" customHeight="1" outlineLevel="1">
      <c r="A4" s="229" t="e">
        <f t="shared" ref="A4:A25" si="0">#REF!</f>
        <v>#REF!</v>
      </c>
      <c r="B4" s="34" t="s">
        <v>2</v>
      </c>
      <c r="C4" s="34"/>
      <c r="D4" s="50">
        <v>1.8333333333333333</v>
      </c>
      <c r="E4" s="34"/>
      <c r="F4" s="34" t="s">
        <v>3</v>
      </c>
      <c r="G4" s="34" t="s">
        <v>378</v>
      </c>
      <c r="H4" s="33"/>
    </row>
    <row r="5" spans="1:8" ht="19.5" hidden="1" customHeight="1" outlineLevel="1">
      <c r="A5" s="229" t="e">
        <f t="shared" si="0"/>
        <v>#REF!</v>
      </c>
      <c r="B5" s="34" t="s">
        <v>2</v>
      </c>
      <c r="C5" s="34"/>
      <c r="D5" s="50">
        <v>1.8333333333333333</v>
      </c>
      <c r="E5" s="34"/>
      <c r="F5" s="34" t="s">
        <v>3</v>
      </c>
      <c r="G5" s="34" t="s">
        <v>378</v>
      </c>
      <c r="H5" s="33"/>
    </row>
    <row r="6" spans="1:8" ht="19.5" hidden="1" customHeight="1" outlineLevel="1">
      <c r="A6" s="229" t="e">
        <f t="shared" si="0"/>
        <v>#REF!</v>
      </c>
      <c r="B6" s="34" t="s">
        <v>215</v>
      </c>
      <c r="C6" s="34"/>
      <c r="D6" s="50">
        <v>0</v>
      </c>
      <c r="E6" s="34"/>
      <c r="F6" s="34" t="s">
        <v>3</v>
      </c>
      <c r="G6" s="34" t="s">
        <v>1588</v>
      </c>
      <c r="H6" s="33"/>
    </row>
    <row r="7" spans="1:8" ht="19.5" hidden="1" customHeight="1" outlineLevel="1">
      <c r="A7" s="229" t="e">
        <f t="shared" si="0"/>
        <v>#REF!</v>
      </c>
      <c r="B7" s="34" t="s">
        <v>215</v>
      </c>
      <c r="C7" s="34"/>
      <c r="D7" s="36" t="s">
        <v>2759</v>
      </c>
      <c r="E7" s="34"/>
      <c r="F7" s="34" t="s">
        <v>3</v>
      </c>
      <c r="G7" s="34" t="s">
        <v>378</v>
      </c>
      <c r="H7" s="33"/>
    </row>
    <row r="8" spans="1:8" ht="19.5" hidden="1" customHeight="1" outlineLevel="1">
      <c r="A8" s="229" t="e">
        <f t="shared" si="0"/>
        <v>#REF!</v>
      </c>
      <c r="B8" s="34" t="s">
        <v>32</v>
      </c>
      <c r="C8" s="34"/>
      <c r="D8" s="50"/>
      <c r="E8" s="34"/>
      <c r="F8" s="34" t="s">
        <v>3</v>
      </c>
      <c r="G8" s="34" t="s">
        <v>48</v>
      </c>
      <c r="H8" s="33"/>
    </row>
    <row r="9" spans="1:8" ht="19.5" hidden="1" customHeight="1" outlineLevel="1">
      <c r="A9" s="229" t="e">
        <f t="shared" si="0"/>
        <v>#REF!</v>
      </c>
      <c r="B9" s="34" t="s">
        <v>215</v>
      </c>
      <c r="C9" s="34"/>
      <c r="D9" s="50">
        <v>0</v>
      </c>
      <c r="E9" s="34"/>
      <c r="F9" s="34" t="s">
        <v>3</v>
      </c>
      <c r="G9" s="34" t="s">
        <v>378</v>
      </c>
      <c r="H9" s="33"/>
    </row>
    <row r="10" spans="1:8" ht="19.5" hidden="1" customHeight="1" outlineLevel="1">
      <c r="A10" s="229" t="e">
        <f t="shared" si="0"/>
        <v>#REF!</v>
      </c>
      <c r="B10" s="34" t="s">
        <v>215</v>
      </c>
      <c r="C10" s="34"/>
      <c r="D10" s="50">
        <v>0</v>
      </c>
      <c r="E10" s="34"/>
      <c r="F10" s="34" t="s">
        <v>3</v>
      </c>
      <c r="G10" s="34" t="s">
        <v>1588</v>
      </c>
      <c r="H10" s="33"/>
    </row>
    <row r="11" spans="1:8" ht="19.5" hidden="1" customHeight="1" outlineLevel="1">
      <c r="A11" s="229" t="e">
        <f t="shared" si="0"/>
        <v>#REF!</v>
      </c>
      <c r="B11" s="34" t="s">
        <v>2</v>
      </c>
      <c r="C11" s="34"/>
      <c r="D11" s="36" t="s">
        <v>366</v>
      </c>
      <c r="E11" s="34"/>
      <c r="F11" s="34" t="s">
        <v>3</v>
      </c>
      <c r="G11" s="34" t="s">
        <v>1588</v>
      </c>
      <c r="H11" s="33"/>
    </row>
    <row r="12" spans="1:8" ht="19.5" hidden="1" customHeight="1" outlineLevel="1">
      <c r="A12" s="229" t="e">
        <f t="shared" si="0"/>
        <v>#REF!</v>
      </c>
      <c r="B12" s="34" t="s">
        <v>32</v>
      </c>
      <c r="C12" s="34"/>
      <c r="D12" s="36" t="s">
        <v>2760</v>
      </c>
      <c r="E12" s="34"/>
      <c r="F12" s="34" t="s">
        <v>3</v>
      </c>
      <c r="G12" s="34" t="s">
        <v>2542</v>
      </c>
      <c r="H12" s="33"/>
    </row>
    <row r="13" spans="1:8" ht="19.5" hidden="1" customHeight="1" outlineLevel="1">
      <c r="A13" s="229" t="e">
        <f t="shared" si="0"/>
        <v>#REF!</v>
      </c>
      <c r="B13" s="34" t="s">
        <v>215</v>
      </c>
      <c r="C13" s="34"/>
      <c r="D13" s="50">
        <v>0</v>
      </c>
      <c r="E13" s="34"/>
      <c r="F13" s="34" t="s">
        <v>3</v>
      </c>
      <c r="G13" s="34" t="s">
        <v>151</v>
      </c>
      <c r="H13" s="33"/>
    </row>
    <row r="14" spans="1:8" ht="19.5" hidden="1" customHeight="1" outlineLevel="1">
      <c r="A14" s="229" t="e">
        <f t="shared" si="0"/>
        <v>#REF!</v>
      </c>
      <c r="B14" s="34" t="s">
        <v>215</v>
      </c>
      <c r="C14" s="34"/>
      <c r="D14" s="50">
        <v>0</v>
      </c>
      <c r="E14" s="34"/>
      <c r="F14" s="34" t="s">
        <v>3</v>
      </c>
      <c r="G14" s="34" t="s">
        <v>378</v>
      </c>
      <c r="H14" s="33"/>
    </row>
    <row r="15" spans="1:8" ht="19.5" hidden="1" customHeight="1" outlineLevel="1">
      <c r="A15" s="229" t="e">
        <f t="shared" si="0"/>
        <v>#REF!</v>
      </c>
      <c r="B15" s="34" t="s">
        <v>215</v>
      </c>
      <c r="C15" s="34"/>
      <c r="D15" s="50">
        <v>0</v>
      </c>
      <c r="E15" s="34"/>
      <c r="F15" s="34" t="s">
        <v>3</v>
      </c>
      <c r="G15" s="34" t="s">
        <v>274</v>
      </c>
      <c r="H15" s="33"/>
    </row>
    <row r="16" spans="1:8" ht="19.5" hidden="1" customHeight="1" outlineLevel="1">
      <c r="A16" s="229" t="e">
        <f t="shared" si="0"/>
        <v>#REF!</v>
      </c>
      <c r="B16" s="34" t="s">
        <v>215</v>
      </c>
      <c r="C16" s="34"/>
      <c r="D16" s="50">
        <v>0</v>
      </c>
      <c r="E16" s="34"/>
      <c r="F16" s="34" t="s">
        <v>72</v>
      </c>
      <c r="G16" s="34" t="s">
        <v>1588</v>
      </c>
      <c r="H16" s="33"/>
    </row>
    <row r="17" spans="1:8" ht="19.5" hidden="1" customHeight="1" outlineLevel="1">
      <c r="A17" s="229" t="e">
        <f t="shared" si="0"/>
        <v>#REF!</v>
      </c>
      <c r="B17" s="34" t="s">
        <v>215</v>
      </c>
      <c r="C17" s="34"/>
      <c r="D17" s="50">
        <v>0</v>
      </c>
      <c r="E17" s="34"/>
      <c r="F17" s="34" t="s">
        <v>3</v>
      </c>
      <c r="G17" s="34" t="s">
        <v>1588</v>
      </c>
      <c r="H17" s="33"/>
    </row>
    <row r="18" spans="1:8" ht="19.5" hidden="1" customHeight="1" outlineLevel="1">
      <c r="A18" s="229" t="e">
        <f t="shared" si="0"/>
        <v>#REF!</v>
      </c>
      <c r="B18" s="34" t="s">
        <v>215</v>
      </c>
      <c r="C18" s="34"/>
      <c r="D18" s="50">
        <v>0</v>
      </c>
      <c r="E18" s="34"/>
      <c r="F18" s="34" t="s">
        <v>72</v>
      </c>
      <c r="G18" s="34" t="s">
        <v>1588</v>
      </c>
      <c r="H18" s="33"/>
    </row>
    <row r="19" spans="1:8" ht="19.5" hidden="1" customHeight="1" outlineLevel="1">
      <c r="A19" s="229" t="e">
        <f t="shared" si="0"/>
        <v>#REF!</v>
      </c>
      <c r="B19" s="34" t="s">
        <v>215</v>
      </c>
      <c r="C19" s="34"/>
      <c r="D19" s="50">
        <v>0</v>
      </c>
      <c r="E19" s="34"/>
      <c r="F19" s="34" t="s">
        <v>3</v>
      </c>
      <c r="G19" s="34" t="s">
        <v>274</v>
      </c>
      <c r="H19" s="33"/>
    </row>
    <row r="20" spans="1:8" ht="19.5" hidden="1" customHeight="1" outlineLevel="1">
      <c r="A20" s="229" t="e">
        <f t="shared" si="0"/>
        <v>#REF!</v>
      </c>
      <c r="B20" s="34" t="s">
        <v>215</v>
      </c>
      <c r="C20" s="34"/>
      <c r="D20" s="50">
        <v>0</v>
      </c>
      <c r="E20" s="34"/>
      <c r="F20" s="34" t="s">
        <v>3</v>
      </c>
      <c r="G20" s="34" t="s">
        <v>1588</v>
      </c>
      <c r="H20" s="33"/>
    </row>
    <row r="21" spans="1:8" ht="19.5" hidden="1" customHeight="1" outlineLevel="1">
      <c r="A21" s="229" t="e">
        <f t="shared" si="0"/>
        <v>#REF!</v>
      </c>
      <c r="B21" s="34" t="s">
        <v>215</v>
      </c>
      <c r="C21" s="34"/>
      <c r="D21" s="50">
        <v>0</v>
      </c>
      <c r="E21" s="34"/>
      <c r="F21" s="34" t="s">
        <v>3</v>
      </c>
      <c r="G21" s="34" t="s">
        <v>1588</v>
      </c>
      <c r="H21" s="33"/>
    </row>
    <row r="22" spans="1:8" ht="19.5" hidden="1" customHeight="1" outlineLevel="1">
      <c r="A22" s="229" t="e">
        <f t="shared" si="0"/>
        <v>#REF!</v>
      </c>
      <c r="B22" s="34" t="s">
        <v>215</v>
      </c>
      <c r="C22" s="34"/>
      <c r="D22" s="50">
        <v>0</v>
      </c>
      <c r="E22" s="34"/>
      <c r="F22" s="34" t="s">
        <v>3</v>
      </c>
      <c r="G22" s="34" t="s">
        <v>1588</v>
      </c>
      <c r="H22" s="33"/>
    </row>
    <row r="23" spans="1:8" ht="19.5" hidden="1" customHeight="1" outlineLevel="1">
      <c r="A23" s="229" t="e">
        <f t="shared" si="0"/>
        <v>#REF!</v>
      </c>
      <c r="B23" s="34"/>
      <c r="C23" s="34"/>
      <c r="D23" s="50"/>
      <c r="E23" s="34"/>
      <c r="F23" s="34"/>
      <c r="G23" s="34"/>
      <c r="H23" s="33"/>
    </row>
    <row r="24" spans="1:8" ht="19.5" hidden="1" customHeight="1" outlineLevel="1">
      <c r="A24" s="229" t="e">
        <f t="shared" si="0"/>
        <v>#REF!</v>
      </c>
      <c r="B24" s="34" t="s">
        <v>215</v>
      </c>
      <c r="C24" s="34"/>
      <c r="D24" s="50">
        <v>0</v>
      </c>
      <c r="E24" s="34"/>
      <c r="F24" s="34" t="s">
        <v>3</v>
      </c>
      <c r="G24" s="34" t="s">
        <v>1588</v>
      </c>
      <c r="H24" s="33"/>
    </row>
    <row r="25" spans="1:8" ht="19.5" hidden="1" customHeight="1" outlineLevel="1">
      <c r="A25" s="229" t="e">
        <f t="shared" si="0"/>
        <v>#REF!</v>
      </c>
      <c r="B25" s="34" t="s">
        <v>215</v>
      </c>
      <c r="C25" s="34"/>
      <c r="D25" s="36" t="s">
        <v>2759</v>
      </c>
      <c r="E25" s="34"/>
      <c r="F25" s="34" t="s">
        <v>3</v>
      </c>
      <c r="G25" s="34" t="s">
        <v>48</v>
      </c>
      <c r="H25" s="33"/>
    </row>
    <row r="26" spans="1:8" ht="19.5" customHeight="1" collapsed="1">
      <c r="A26" s="240" t="e">
        <f>#REF!</f>
        <v>#REF!</v>
      </c>
      <c r="B26" s="9"/>
      <c r="C26" s="9"/>
      <c r="D26" s="9"/>
      <c r="E26" s="9"/>
      <c r="F26" s="9"/>
      <c r="G26" s="9"/>
      <c r="H26" s="4"/>
    </row>
    <row r="27" spans="1:8" ht="19.5" hidden="1" customHeight="1" outlineLevel="1">
      <c r="A27" s="241" t="e">
        <f>#REF!</f>
        <v>#REF!</v>
      </c>
      <c r="B27" s="34" t="s">
        <v>2</v>
      </c>
      <c r="C27" s="34"/>
      <c r="D27" s="50">
        <v>1.8333333333333333</v>
      </c>
      <c r="E27" s="34"/>
      <c r="F27" s="34" t="s">
        <v>522</v>
      </c>
      <c r="G27" s="34" t="s">
        <v>1588</v>
      </c>
      <c r="H27" s="33"/>
    </row>
    <row r="28" spans="1:8" ht="19.5" hidden="1" customHeight="1" outlineLevel="1">
      <c r="A28" s="241" t="e">
        <f>#REF!</f>
        <v>#REF!</v>
      </c>
      <c r="B28" s="34" t="s">
        <v>2</v>
      </c>
      <c r="C28" s="34"/>
      <c r="D28" s="50">
        <v>1.8333333333333333</v>
      </c>
      <c r="E28" s="34"/>
      <c r="F28" s="34" t="s">
        <v>3</v>
      </c>
      <c r="G28" s="34" t="s">
        <v>1588</v>
      </c>
      <c r="H28" s="33"/>
    </row>
    <row r="29" spans="1:8" ht="19.5" hidden="1" customHeight="1" outlineLevel="1">
      <c r="A29" s="241" t="e">
        <f>#REF!</f>
        <v>#REF!</v>
      </c>
      <c r="B29" s="34" t="s">
        <v>2</v>
      </c>
      <c r="C29" s="34"/>
      <c r="D29" s="50">
        <v>1.8333333333333333</v>
      </c>
      <c r="E29" s="34"/>
      <c r="F29" s="34" t="s">
        <v>3</v>
      </c>
      <c r="G29" s="34" t="s">
        <v>274</v>
      </c>
      <c r="H29" s="33"/>
    </row>
    <row r="30" spans="1:8" ht="19.5" hidden="1" customHeight="1" outlineLevel="1">
      <c r="A30" s="241" t="e">
        <f>#REF!</f>
        <v>#REF!</v>
      </c>
      <c r="B30" s="34" t="s">
        <v>2</v>
      </c>
      <c r="C30" s="34"/>
      <c r="D30" s="50">
        <v>1.8333333333333333</v>
      </c>
      <c r="E30" s="34"/>
      <c r="F30" s="34" t="s">
        <v>3</v>
      </c>
      <c r="G30" s="34" t="s">
        <v>1588</v>
      </c>
      <c r="H30" s="33"/>
    </row>
    <row r="31" spans="1:8" ht="19.5" hidden="1" customHeight="1" outlineLevel="1">
      <c r="A31" s="241" t="e">
        <f>#REF!</f>
        <v>#REF!</v>
      </c>
      <c r="B31" s="34" t="s">
        <v>2</v>
      </c>
      <c r="C31" s="34"/>
      <c r="D31" s="50">
        <v>1.8333333333333333</v>
      </c>
      <c r="E31" s="34"/>
      <c r="F31" s="34" t="s">
        <v>72</v>
      </c>
      <c r="G31" s="34" t="s">
        <v>1588</v>
      </c>
      <c r="H31" s="33"/>
    </row>
    <row r="32" spans="1:8" ht="19.5" hidden="1" customHeight="1" outlineLevel="1">
      <c r="A32" s="241" t="e">
        <f t="shared" ref="A32:A33" si="1">#REF!</f>
        <v>#REF!</v>
      </c>
      <c r="B32" s="34" t="s">
        <v>2</v>
      </c>
      <c r="C32" s="34"/>
      <c r="D32" s="50">
        <v>1.8333333333333333</v>
      </c>
      <c r="E32" s="34"/>
      <c r="F32" s="34" t="s">
        <v>72</v>
      </c>
      <c r="G32" s="34" t="s">
        <v>1588</v>
      </c>
      <c r="H32" s="33"/>
    </row>
    <row r="33" spans="1:8" ht="19.5" hidden="1" customHeight="1" outlineLevel="1">
      <c r="A33" s="241" t="e">
        <f t="shared" si="1"/>
        <v>#REF!</v>
      </c>
      <c r="B33" s="34" t="s">
        <v>2</v>
      </c>
      <c r="C33" s="34"/>
      <c r="D33" s="50">
        <v>1.8333333333333333</v>
      </c>
      <c r="E33" s="34"/>
      <c r="F33" s="34" t="s">
        <v>522</v>
      </c>
      <c r="G33" s="34" t="s">
        <v>1588</v>
      </c>
      <c r="H33" s="33"/>
    </row>
    <row r="34" spans="1:8" ht="19.5" hidden="1" customHeight="1" outlineLevel="1">
      <c r="A34" s="241" t="e">
        <f>#REF!</f>
        <v>#REF!</v>
      </c>
      <c r="B34" s="34" t="s">
        <v>2</v>
      </c>
      <c r="C34" s="34"/>
      <c r="D34" s="50">
        <v>1.8333333333333333</v>
      </c>
      <c r="E34" s="34"/>
      <c r="F34" s="34" t="s">
        <v>3</v>
      </c>
      <c r="G34" s="34" t="s">
        <v>1588</v>
      </c>
      <c r="H34" s="33"/>
    </row>
    <row r="35" spans="1:8" ht="19.5" hidden="1" customHeight="1" outlineLevel="1">
      <c r="A35" s="244" t="e">
        <f>#REF!</f>
        <v>#REF!</v>
      </c>
      <c r="B35" s="34" t="s">
        <v>2</v>
      </c>
      <c r="C35" s="34"/>
      <c r="D35" s="50">
        <v>1.8333333333333333</v>
      </c>
      <c r="E35" s="34"/>
      <c r="F35" s="34" t="s">
        <v>3</v>
      </c>
      <c r="G35" s="34" t="s">
        <v>1588</v>
      </c>
      <c r="H35" s="33"/>
    </row>
    <row r="36" spans="1:8" ht="19.5" hidden="1" customHeight="1" outlineLevel="1">
      <c r="A36" s="241" t="e">
        <f>#REF!</f>
        <v>#REF!</v>
      </c>
      <c r="B36" s="34" t="s">
        <v>2</v>
      </c>
      <c r="C36" s="34"/>
      <c r="D36" s="50">
        <v>1.8333333333333333</v>
      </c>
      <c r="E36" s="34"/>
      <c r="F36" s="34" t="s">
        <v>522</v>
      </c>
      <c r="G36" s="34" t="s">
        <v>1588</v>
      </c>
      <c r="H36" s="33"/>
    </row>
    <row r="37" spans="1:8" ht="19.5" hidden="1" customHeight="1" outlineLevel="1">
      <c r="A37" s="241" t="e">
        <f>#REF!</f>
        <v>#REF!</v>
      </c>
      <c r="B37" s="34" t="s">
        <v>2</v>
      </c>
      <c r="C37" s="34"/>
      <c r="D37" s="50">
        <v>1.8333333333333333</v>
      </c>
      <c r="E37" s="34"/>
      <c r="F37" s="34" t="s">
        <v>3</v>
      </c>
      <c r="G37" s="34" t="s">
        <v>378</v>
      </c>
      <c r="H37" s="33"/>
    </row>
    <row r="38" spans="1:8" ht="19.5" hidden="1" customHeight="1" outlineLevel="1">
      <c r="A38" s="241" t="e">
        <f>#REF!</f>
        <v>#REF!</v>
      </c>
      <c r="B38" s="34" t="s">
        <v>2</v>
      </c>
      <c r="C38" s="34"/>
      <c r="D38" s="50">
        <v>1.8333333333333333</v>
      </c>
      <c r="E38" s="34"/>
      <c r="F38" s="34" t="s">
        <v>3</v>
      </c>
      <c r="G38" s="34" t="s">
        <v>1588</v>
      </c>
      <c r="H38" s="33"/>
    </row>
    <row r="39" spans="1:8" ht="19.5" hidden="1" customHeight="1" outlineLevel="1">
      <c r="A39" s="229" t="e">
        <f>#REF!</f>
        <v>#REF!</v>
      </c>
      <c r="B39" s="34" t="s">
        <v>2</v>
      </c>
      <c r="C39" s="34"/>
      <c r="D39" s="36" t="s">
        <v>366</v>
      </c>
      <c r="E39" s="34"/>
      <c r="F39" s="34" t="s">
        <v>3</v>
      </c>
      <c r="G39" s="34" t="s">
        <v>1588</v>
      </c>
      <c r="H39" s="33"/>
    </row>
    <row r="40" spans="1:8" ht="19.5" hidden="1" customHeight="1" outlineLevel="1">
      <c r="A40" s="241" t="e">
        <f>#REF!</f>
        <v>#REF!</v>
      </c>
      <c r="B40" s="34" t="s">
        <v>2</v>
      </c>
      <c r="C40" s="34"/>
      <c r="D40" s="50">
        <v>1.8333333333333333</v>
      </c>
      <c r="E40" s="34"/>
      <c r="F40" s="34" t="s">
        <v>3</v>
      </c>
      <c r="G40" s="34" t="s">
        <v>1588</v>
      </c>
      <c r="H40" s="33"/>
    </row>
    <row r="41" spans="1:8" ht="19.5" hidden="1" customHeight="1" outlineLevel="1">
      <c r="A41" s="241" t="e">
        <f>#REF!</f>
        <v>#REF!</v>
      </c>
      <c r="B41" s="34" t="s">
        <v>2</v>
      </c>
      <c r="C41" s="34"/>
      <c r="D41" s="50">
        <v>1.8333333333333333</v>
      </c>
      <c r="E41" s="34"/>
      <c r="F41" s="34" t="s">
        <v>3</v>
      </c>
      <c r="G41" s="34" t="s">
        <v>378</v>
      </c>
      <c r="H41" s="33"/>
    </row>
    <row r="42" spans="1:8" ht="19.5" hidden="1" customHeight="1" outlineLevel="1">
      <c r="A42" s="241" t="e">
        <f>#REF!</f>
        <v>#REF!</v>
      </c>
      <c r="B42" s="34" t="s">
        <v>32</v>
      </c>
      <c r="C42" s="34"/>
      <c r="D42" s="247">
        <v>0.75</v>
      </c>
      <c r="E42" s="34"/>
      <c r="F42" s="34" t="s">
        <v>3</v>
      </c>
      <c r="G42" s="34" t="s">
        <v>1588</v>
      </c>
      <c r="H42" s="33"/>
    </row>
    <row r="43" spans="1:8" ht="19.5" customHeight="1" collapsed="1">
      <c r="A43" s="248" t="e">
        <f>#REF!</f>
        <v>#REF!</v>
      </c>
      <c r="B43" s="9"/>
      <c r="C43" s="9"/>
      <c r="D43" s="9"/>
      <c r="E43" s="9"/>
      <c r="F43" s="9"/>
      <c r="G43" s="9"/>
      <c r="H43" s="4"/>
    </row>
    <row r="44" spans="1:8" ht="19.5" hidden="1" customHeight="1" outlineLevel="1">
      <c r="A44" s="249" t="e">
        <f>#REF!</f>
        <v>#REF!</v>
      </c>
      <c r="B44" s="34" t="s">
        <v>2</v>
      </c>
      <c r="C44" s="34"/>
      <c r="D44" s="50">
        <v>1.8333333333333333</v>
      </c>
      <c r="E44" s="34"/>
      <c r="F44" s="34" t="s">
        <v>522</v>
      </c>
      <c r="G44" s="34" t="s">
        <v>1588</v>
      </c>
      <c r="H44" s="33"/>
    </row>
    <row r="45" spans="1:8" ht="19.5" hidden="1" customHeight="1" outlineLevel="1">
      <c r="A45" s="250" t="e">
        <f>#REF!</f>
        <v>#REF!</v>
      </c>
      <c r="B45" s="34" t="s">
        <v>2</v>
      </c>
      <c r="C45" s="34"/>
      <c r="D45" s="50">
        <v>1.8333333333333333</v>
      </c>
      <c r="E45" s="34"/>
      <c r="F45" s="34" t="s">
        <v>529</v>
      </c>
      <c r="G45" s="34" t="s">
        <v>2761</v>
      </c>
      <c r="H45" s="33"/>
    </row>
    <row r="46" spans="1:8" ht="19.5" hidden="1" customHeight="1" outlineLevel="1">
      <c r="A46" s="250" t="e">
        <f>#REF!</f>
        <v>#REF!</v>
      </c>
      <c r="B46" s="34" t="s">
        <v>2</v>
      </c>
      <c r="C46" s="34"/>
      <c r="D46" s="50">
        <v>1.8333333333333333</v>
      </c>
      <c r="E46" s="34"/>
      <c r="F46" s="34" t="s">
        <v>522</v>
      </c>
      <c r="G46" s="34" t="s">
        <v>1588</v>
      </c>
      <c r="H46" s="33"/>
    </row>
    <row r="47" spans="1:8" ht="19.5" hidden="1" customHeight="1" outlineLevel="1">
      <c r="A47" s="250" t="e">
        <f>#REF!</f>
        <v>#REF!</v>
      </c>
      <c r="B47" s="34" t="s">
        <v>2</v>
      </c>
      <c r="C47" s="34"/>
      <c r="D47" s="50">
        <v>1.8333333333333333</v>
      </c>
      <c r="E47" s="34"/>
      <c r="F47" s="34" t="s">
        <v>522</v>
      </c>
      <c r="G47" s="34" t="s">
        <v>1588</v>
      </c>
      <c r="H47" s="33"/>
    </row>
    <row r="48" spans="1:8" ht="19.5" hidden="1" customHeight="1" outlineLevel="1">
      <c r="A48" s="250" t="e">
        <f>#REF!</f>
        <v>#REF!</v>
      </c>
      <c r="B48" s="34" t="s">
        <v>2</v>
      </c>
      <c r="C48" s="34"/>
      <c r="D48" s="50">
        <v>1.8333333333333333</v>
      </c>
      <c r="E48" s="34"/>
      <c r="F48" s="34" t="s">
        <v>529</v>
      </c>
      <c r="G48" s="34" t="s">
        <v>1588</v>
      </c>
      <c r="H48" s="33"/>
    </row>
    <row r="49" spans="1:8" ht="19.5" hidden="1" customHeight="1" outlineLevel="1">
      <c r="A49" s="250" t="e">
        <f t="shared" ref="A49:A51" si="2">#REF!</f>
        <v>#REF!</v>
      </c>
      <c r="B49" s="34" t="s">
        <v>2</v>
      </c>
      <c r="C49" s="34"/>
      <c r="D49" s="50">
        <v>1.8333333333333333</v>
      </c>
      <c r="E49" s="34"/>
      <c r="F49" s="34" t="s">
        <v>522</v>
      </c>
      <c r="G49" s="34" t="s">
        <v>1588</v>
      </c>
      <c r="H49" s="33"/>
    </row>
    <row r="50" spans="1:8" ht="19.5" hidden="1" customHeight="1" outlineLevel="1">
      <c r="A50" s="250" t="e">
        <f t="shared" si="2"/>
        <v>#REF!</v>
      </c>
      <c r="B50" s="34" t="s">
        <v>2</v>
      </c>
      <c r="C50" s="34"/>
      <c r="D50" s="50">
        <v>1.8333333333333333</v>
      </c>
      <c r="E50" s="34"/>
      <c r="F50" s="34" t="s">
        <v>522</v>
      </c>
      <c r="G50" s="34" t="s">
        <v>1588</v>
      </c>
      <c r="H50" s="33"/>
    </row>
    <row r="51" spans="1:8" ht="19.5" hidden="1" customHeight="1" outlineLevel="1">
      <c r="A51" s="250" t="e">
        <f t="shared" si="2"/>
        <v>#REF!</v>
      </c>
      <c r="B51" s="34" t="s">
        <v>2</v>
      </c>
      <c r="C51" s="34"/>
      <c r="D51" s="50" t="s">
        <v>366</v>
      </c>
      <c r="E51" s="34"/>
      <c r="F51" s="34" t="s">
        <v>522</v>
      </c>
      <c r="G51" s="34" t="s">
        <v>1588</v>
      </c>
      <c r="H51" s="33"/>
    </row>
    <row r="52" spans="1:8" ht="19.5" hidden="1" customHeight="1" outlineLevel="1">
      <c r="A52" s="251" t="e">
        <f>#REF!</f>
        <v>#REF!</v>
      </c>
      <c r="B52" s="34" t="s">
        <v>2</v>
      </c>
      <c r="C52" s="34"/>
      <c r="D52" s="50">
        <v>1.8333333333333333</v>
      </c>
      <c r="E52" s="34"/>
      <c r="F52" s="34" t="s">
        <v>522</v>
      </c>
      <c r="G52" s="34" t="s">
        <v>1588</v>
      </c>
      <c r="H52" s="33"/>
    </row>
    <row r="53" spans="1:8" ht="19.5" hidden="1" customHeight="1" outlineLevel="1">
      <c r="A53" s="241" t="e">
        <f>#REF!</f>
        <v>#REF!</v>
      </c>
      <c r="B53" s="34" t="s">
        <v>2</v>
      </c>
      <c r="C53" s="34"/>
      <c r="D53" s="50">
        <v>1.8333333333333333</v>
      </c>
      <c r="E53" s="34"/>
      <c r="F53" s="34" t="s">
        <v>522</v>
      </c>
      <c r="G53" s="34" t="s">
        <v>1588</v>
      </c>
      <c r="H53" s="33"/>
    </row>
    <row r="54" spans="1:8" ht="19.5" hidden="1" customHeight="1" outlineLevel="1">
      <c r="A54" s="229" t="e">
        <f>#REF!</f>
        <v>#REF!</v>
      </c>
      <c r="B54" s="34" t="s">
        <v>2</v>
      </c>
      <c r="C54" s="34"/>
      <c r="D54" s="50">
        <v>1.8333333333333333</v>
      </c>
      <c r="E54" s="34"/>
      <c r="F54" s="34" t="s">
        <v>522</v>
      </c>
      <c r="G54" s="34" t="s">
        <v>1588</v>
      </c>
      <c r="H54" s="33"/>
    </row>
    <row r="55" spans="1:8" ht="19.5" hidden="1" customHeight="1" outlineLevel="1">
      <c r="A55" s="229" t="e">
        <f>#REF!</f>
        <v>#REF!</v>
      </c>
      <c r="B55" s="34"/>
      <c r="C55" s="34"/>
      <c r="D55" s="36"/>
      <c r="E55" s="34"/>
      <c r="F55" s="34"/>
      <c r="G55" s="34"/>
      <c r="H55" s="33"/>
    </row>
    <row r="56" spans="1:8" ht="18.75" customHeight="1">
      <c r="A56" s="248" t="e">
        <f>#REF!</f>
        <v>#REF!</v>
      </c>
      <c r="B56" s="9"/>
      <c r="C56" s="9"/>
      <c r="D56" s="9"/>
      <c r="E56" s="9"/>
      <c r="F56" s="9"/>
      <c r="G56" s="9"/>
      <c r="H56" s="4"/>
    </row>
    <row r="57" spans="1:8" ht="19.5" customHeight="1" outlineLevel="1">
      <c r="A57" s="229" t="e">
        <f t="shared" ref="A57:C57" si="3">#REF!</f>
        <v>#REF!</v>
      </c>
      <c r="B57" s="34" t="e">
        <f t="shared" si="3"/>
        <v>#REF!</v>
      </c>
      <c r="C57" s="34" t="e">
        <f t="shared" si="3"/>
        <v>#REF!</v>
      </c>
      <c r="D57" s="36" t="e">
        <f>VLOOKUP(A57,#REF!,15,FALSE())</f>
        <v>#REF!</v>
      </c>
      <c r="E57" s="34"/>
      <c r="F57" s="34" t="s">
        <v>3</v>
      </c>
      <c r="G57" s="34" t="s">
        <v>1588</v>
      </c>
      <c r="H57" s="33"/>
    </row>
    <row r="58" spans="1:8" ht="19.5" customHeight="1" outlineLevel="1">
      <c r="A58" s="229" t="e">
        <f t="shared" ref="A58:C58" si="4">#REF!</f>
        <v>#REF!</v>
      </c>
      <c r="B58" s="34" t="e">
        <f t="shared" si="4"/>
        <v>#REF!</v>
      </c>
      <c r="C58" s="34" t="e">
        <f t="shared" si="4"/>
        <v>#REF!</v>
      </c>
      <c r="D58" s="36" t="e">
        <f>VLOOKUP(A58,#REF!,15,FALSE())</f>
        <v>#REF!</v>
      </c>
      <c r="E58" s="34"/>
      <c r="F58" s="34" t="s">
        <v>3</v>
      </c>
      <c r="G58" s="34" t="s">
        <v>274</v>
      </c>
      <c r="H58" s="33"/>
    </row>
    <row r="59" spans="1:8" ht="19.5" customHeight="1" outlineLevel="1">
      <c r="A59" s="229" t="e">
        <f>#REF!</f>
        <v>#REF!</v>
      </c>
      <c r="B59" s="34" t="e">
        <f>#REF!</f>
        <v>#REF!</v>
      </c>
      <c r="C59" s="34" t="e">
        <f>#REF!</f>
        <v>#REF!</v>
      </c>
      <c r="D59" s="36" t="e">
        <f>VLOOKUP(A59,#REF!,15,FALSE())</f>
        <v>#REF!</v>
      </c>
      <c r="E59" s="34"/>
      <c r="F59" s="34" t="s">
        <v>529</v>
      </c>
      <c r="G59" s="34" t="s">
        <v>274</v>
      </c>
      <c r="H59" s="33"/>
    </row>
    <row r="60" spans="1:8" ht="19.5" customHeight="1" outlineLevel="1">
      <c r="A60" s="229" t="e">
        <f t="shared" ref="A60:C60" si="5">#REF!</f>
        <v>#REF!</v>
      </c>
      <c r="B60" s="34" t="e">
        <f t="shared" si="5"/>
        <v>#REF!</v>
      </c>
      <c r="C60" s="34" t="e">
        <f t="shared" si="5"/>
        <v>#REF!</v>
      </c>
      <c r="D60" s="36" t="e">
        <f>VLOOKUP(A60,#REF!,15,FALSE())</f>
        <v>#REF!</v>
      </c>
      <c r="E60" s="34"/>
      <c r="F60" s="34" t="s">
        <v>72</v>
      </c>
      <c r="G60" s="34" t="s">
        <v>1588</v>
      </c>
      <c r="H60" s="253" t="s">
        <v>2762</v>
      </c>
    </row>
    <row r="61" spans="1:8" ht="19.5" customHeight="1" outlineLevel="1">
      <c r="A61" s="229" t="e">
        <f>#REF!</f>
        <v>#REF!</v>
      </c>
      <c r="B61" s="34" t="e">
        <f>#REF!</f>
        <v>#REF!</v>
      </c>
      <c r="C61" s="34" t="e">
        <f>#REF!</f>
        <v>#REF!</v>
      </c>
      <c r="D61" s="36" t="e">
        <f>VLOOKUP(A61,#REF!,15,FALSE())</f>
        <v>#REF!</v>
      </c>
      <c r="E61" s="34"/>
      <c r="F61" s="34" t="s">
        <v>3</v>
      </c>
      <c r="G61" s="34" t="s">
        <v>1588</v>
      </c>
      <c r="H61" s="254" t="s">
        <v>2763</v>
      </c>
    </row>
    <row r="62" spans="1:8" ht="19.5" customHeight="1" outlineLevel="1">
      <c r="A62" s="229" t="e">
        <f t="shared" ref="A62:C62" si="6">#REF!</f>
        <v>#REF!</v>
      </c>
      <c r="B62" s="34" t="e">
        <f t="shared" si="6"/>
        <v>#REF!</v>
      </c>
      <c r="C62" s="34" t="e">
        <f t="shared" si="6"/>
        <v>#REF!</v>
      </c>
      <c r="D62" s="36" t="e">
        <f>VLOOKUP(A62,#REF!,15,FALSE())</f>
        <v>#REF!</v>
      </c>
      <c r="E62" s="34"/>
      <c r="F62" s="34" t="s">
        <v>529</v>
      </c>
      <c r="G62" s="34" t="s">
        <v>274</v>
      </c>
      <c r="H62" s="33"/>
    </row>
    <row r="63" spans="1:8" ht="19.5" customHeight="1" outlineLevel="1">
      <c r="A63" s="229" t="e">
        <f t="shared" ref="A63:C63" si="7">#REF!</f>
        <v>#REF!</v>
      </c>
      <c r="B63" s="34" t="e">
        <f t="shared" si="7"/>
        <v>#REF!</v>
      </c>
      <c r="C63" s="34" t="e">
        <f t="shared" si="7"/>
        <v>#REF!</v>
      </c>
      <c r="D63" s="36" t="e">
        <f>VLOOKUP(A63,#REF!,15,FALSE())</f>
        <v>#REF!</v>
      </c>
      <c r="E63" s="34"/>
      <c r="F63" s="34" t="s">
        <v>3</v>
      </c>
      <c r="G63" s="34" t="s">
        <v>274</v>
      </c>
      <c r="H63" s="33"/>
    </row>
    <row r="64" spans="1:8" ht="19.5" customHeight="1" outlineLevel="1">
      <c r="A64" s="229" t="e">
        <f>#REF!</f>
        <v>#REF!</v>
      </c>
      <c r="B64" s="34" t="e">
        <f>#REF!</f>
        <v>#REF!</v>
      </c>
      <c r="C64" s="34" t="e">
        <f>#REF!</f>
        <v>#REF!</v>
      </c>
      <c r="D64" s="36" t="e">
        <f>VLOOKUP(A64,#REF!,15,FALSE())</f>
        <v>#REF!</v>
      </c>
      <c r="E64" s="34"/>
      <c r="F64" s="34" t="s">
        <v>3</v>
      </c>
      <c r="G64" s="34" t="s">
        <v>1588</v>
      </c>
      <c r="H64" s="255" t="s">
        <v>2763</v>
      </c>
    </row>
    <row r="65" spans="1:8" ht="19.5" customHeight="1" outlineLevel="1">
      <c r="A65" s="229" t="e">
        <f t="shared" ref="A65:C65" si="8">#REF!</f>
        <v>#REF!</v>
      </c>
      <c r="B65" s="34" t="e">
        <f t="shared" si="8"/>
        <v>#REF!</v>
      </c>
      <c r="C65" s="34" t="e">
        <f t="shared" si="8"/>
        <v>#REF!</v>
      </c>
      <c r="D65" s="36" t="e">
        <f>VLOOKUP(A65,#REF!,15,FALSE())</f>
        <v>#REF!</v>
      </c>
      <c r="E65" s="34"/>
      <c r="F65" s="34" t="s">
        <v>3</v>
      </c>
      <c r="G65" s="34" t="s">
        <v>1291</v>
      </c>
      <c r="H65" s="33"/>
    </row>
    <row r="66" spans="1:8" ht="19.5" customHeight="1" outlineLevel="1">
      <c r="A66" s="229" t="e">
        <f t="shared" ref="A66:C66" si="9">#REF!</f>
        <v>#REF!</v>
      </c>
      <c r="B66" s="34" t="e">
        <f t="shared" si="9"/>
        <v>#REF!</v>
      </c>
      <c r="C66" s="34" t="e">
        <f t="shared" si="9"/>
        <v>#REF!</v>
      </c>
      <c r="D66" s="36" t="e">
        <f>VLOOKUP(A66,#REF!,15,FALSE())</f>
        <v>#REF!</v>
      </c>
      <c r="E66" s="34"/>
      <c r="F66" s="34" t="s">
        <v>3</v>
      </c>
      <c r="G66" s="34" t="s">
        <v>1588</v>
      </c>
      <c r="H66" s="33"/>
    </row>
    <row r="67" spans="1:8" ht="19.5" customHeight="1" outlineLevel="1">
      <c r="A67" s="229" t="e">
        <f t="shared" ref="A67:C67" si="10">#REF!</f>
        <v>#REF!</v>
      </c>
      <c r="B67" s="34" t="e">
        <f t="shared" si="10"/>
        <v>#REF!</v>
      </c>
      <c r="C67" s="34" t="e">
        <f t="shared" si="10"/>
        <v>#REF!</v>
      </c>
      <c r="D67" s="36" t="e">
        <f>VLOOKUP(A67,#REF!,15,FALSE())</f>
        <v>#REF!</v>
      </c>
      <c r="E67" s="34"/>
      <c r="F67" s="34" t="s">
        <v>3</v>
      </c>
      <c r="G67" s="34" t="s">
        <v>1588</v>
      </c>
      <c r="H67" s="33"/>
    </row>
    <row r="68" spans="1:8" ht="19.5" customHeight="1" outlineLevel="1">
      <c r="A68" s="229" t="e">
        <f t="shared" ref="A68:C68" si="11">#REF!</f>
        <v>#REF!</v>
      </c>
      <c r="B68" s="34" t="e">
        <f t="shared" si="11"/>
        <v>#REF!</v>
      </c>
      <c r="C68" s="34" t="e">
        <f t="shared" si="11"/>
        <v>#REF!</v>
      </c>
      <c r="D68" s="36" t="e">
        <f>VLOOKUP(A68,#REF!,15,FALSE())</f>
        <v>#REF!</v>
      </c>
      <c r="E68" s="34"/>
      <c r="F68" s="34" t="s">
        <v>3</v>
      </c>
      <c r="G68" s="34" t="s">
        <v>396</v>
      </c>
      <c r="H68" s="33"/>
    </row>
    <row r="69" spans="1:8" ht="19.5" customHeight="1" outlineLevel="1">
      <c r="A69" s="229" t="e">
        <f t="shared" ref="A69:C69" si="12">#REF!</f>
        <v>#REF!</v>
      </c>
      <c r="B69" s="34" t="e">
        <f t="shared" si="12"/>
        <v>#REF!</v>
      </c>
      <c r="C69" s="34" t="e">
        <f t="shared" si="12"/>
        <v>#REF!</v>
      </c>
      <c r="D69" s="36" t="e">
        <f>VLOOKUP(A69,#REF!,15,FALSE())</f>
        <v>#REF!</v>
      </c>
      <c r="E69" s="34"/>
      <c r="F69" s="34" t="s">
        <v>72</v>
      </c>
      <c r="G69" s="34" t="s">
        <v>1588</v>
      </c>
      <c r="H69" s="33"/>
    </row>
    <row r="70" spans="1:8" ht="19.5" customHeight="1" outlineLevel="1">
      <c r="A70" s="229" t="e">
        <f t="shared" ref="A70:C70" si="13">#REF!</f>
        <v>#REF!</v>
      </c>
      <c r="B70" s="34" t="e">
        <f t="shared" si="13"/>
        <v>#REF!</v>
      </c>
      <c r="C70" s="34" t="e">
        <f t="shared" si="13"/>
        <v>#REF!</v>
      </c>
      <c r="D70" s="50">
        <v>1.8333333333333333</v>
      </c>
      <c r="E70" s="34"/>
      <c r="F70" s="34" t="s">
        <v>3</v>
      </c>
      <c r="G70" s="34" t="s">
        <v>274</v>
      </c>
      <c r="H70" s="33"/>
    </row>
    <row r="71" spans="1:8" ht="19.5" customHeight="1" outlineLevel="1">
      <c r="A71" s="229" t="e">
        <f t="shared" ref="A71:C71" si="14">#REF!</f>
        <v>#REF!</v>
      </c>
      <c r="B71" s="34" t="e">
        <f t="shared" si="14"/>
        <v>#REF!</v>
      </c>
      <c r="C71" s="34" t="e">
        <f t="shared" si="14"/>
        <v>#REF!</v>
      </c>
      <c r="D71" s="50">
        <v>1.8333333333333333</v>
      </c>
      <c r="E71" s="34"/>
      <c r="F71" s="34" t="s">
        <v>3</v>
      </c>
      <c r="G71" s="34" t="s">
        <v>1588</v>
      </c>
      <c r="H71" s="33"/>
    </row>
    <row r="72" spans="1:8" ht="19.5" customHeight="1" outlineLevel="1">
      <c r="A72" s="229" t="e">
        <f t="shared" ref="A72:C72" si="15">#REF!</f>
        <v>#REF!</v>
      </c>
      <c r="B72" s="34" t="e">
        <f t="shared" si="15"/>
        <v>#REF!</v>
      </c>
      <c r="C72" s="34" t="e">
        <f t="shared" si="15"/>
        <v>#REF!</v>
      </c>
      <c r="D72" s="50">
        <v>1.8333333333333333</v>
      </c>
      <c r="E72" s="34"/>
      <c r="F72" s="34" t="s">
        <v>72</v>
      </c>
      <c r="G72" s="34" t="s">
        <v>396</v>
      </c>
      <c r="H72" s="33"/>
    </row>
    <row r="73" spans="1:8" ht="19.5" customHeight="1" outlineLevel="1">
      <c r="A73" s="229" t="e">
        <f t="shared" ref="A73:C73" si="16">#REF!</f>
        <v>#REF!</v>
      </c>
      <c r="B73" s="34" t="e">
        <f t="shared" si="16"/>
        <v>#REF!</v>
      </c>
      <c r="C73" s="34" t="e">
        <f t="shared" si="16"/>
        <v>#REF!</v>
      </c>
      <c r="D73" s="50"/>
      <c r="E73" s="34"/>
      <c r="F73" s="34" t="s">
        <v>3</v>
      </c>
      <c r="G73" s="34" t="s">
        <v>113</v>
      </c>
      <c r="H73" s="33"/>
    </row>
    <row r="74" spans="1:8" ht="19.5" customHeight="1" outlineLevel="1">
      <c r="A74" s="229" t="e">
        <f>#REF!</f>
        <v>#REF!</v>
      </c>
      <c r="B74" s="34" t="e">
        <f>#REF!</f>
        <v>#REF!</v>
      </c>
      <c r="C74" s="256" t="e">
        <f>#REF!</f>
        <v>#REF!</v>
      </c>
      <c r="D74" s="50">
        <v>1.8333333333333333</v>
      </c>
      <c r="E74" s="34"/>
      <c r="F74" s="34" t="s">
        <v>3</v>
      </c>
      <c r="G74" s="34" t="s">
        <v>274</v>
      </c>
      <c r="H74" s="33"/>
    </row>
    <row r="75" spans="1:8" ht="19.5" customHeight="1" outlineLevel="1">
      <c r="A75" s="229" t="e">
        <f t="shared" ref="A75:C75" si="17">#REF!</f>
        <v>#REF!</v>
      </c>
      <c r="B75" s="34" t="e">
        <f t="shared" si="17"/>
        <v>#REF!</v>
      </c>
      <c r="C75" s="34" t="e">
        <f t="shared" si="17"/>
        <v>#REF!</v>
      </c>
      <c r="D75" s="50">
        <v>1.8333333333333333</v>
      </c>
      <c r="E75" s="34"/>
      <c r="F75" s="34" t="s">
        <v>3</v>
      </c>
      <c r="G75" s="34" t="s">
        <v>274</v>
      </c>
      <c r="H75" s="33"/>
    </row>
    <row r="76" spans="1:8" ht="19.5" customHeight="1" outlineLevel="1">
      <c r="A76" s="229" t="e">
        <f t="shared" ref="A76:C76" si="18">#REF!</f>
        <v>#REF!</v>
      </c>
      <c r="B76" s="34" t="e">
        <f t="shared" si="18"/>
        <v>#REF!</v>
      </c>
      <c r="C76" s="34" t="e">
        <f t="shared" si="18"/>
        <v>#REF!</v>
      </c>
      <c r="D76" s="50">
        <v>1.8333333333333333</v>
      </c>
      <c r="E76" s="34"/>
      <c r="F76" s="34" t="s">
        <v>72</v>
      </c>
      <c r="G76" s="34" t="s">
        <v>1588</v>
      </c>
      <c r="H76" s="33"/>
    </row>
    <row r="77" spans="1:8" ht="19.5" customHeight="1" outlineLevel="1">
      <c r="A77" s="229" t="e">
        <f t="shared" ref="A77:C77" si="19">#REF!</f>
        <v>#REF!</v>
      </c>
      <c r="B77" s="34" t="e">
        <f t="shared" si="19"/>
        <v>#REF!</v>
      </c>
      <c r="C77" s="34" t="e">
        <f t="shared" si="19"/>
        <v>#REF!</v>
      </c>
      <c r="D77" s="50">
        <v>1.8333333333333333</v>
      </c>
      <c r="E77" s="34"/>
      <c r="F77" s="34" t="s">
        <v>3</v>
      </c>
      <c r="G77" s="34" t="s">
        <v>1588</v>
      </c>
      <c r="H77" s="33"/>
    </row>
    <row r="78" spans="1:8" ht="19.5" customHeight="1" outlineLevel="1">
      <c r="A78" s="229" t="e">
        <f t="shared" ref="A78:C78" si="20">#REF!</f>
        <v>#REF!</v>
      </c>
      <c r="B78" s="34" t="e">
        <f t="shared" si="20"/>
        <v>#REF!</v>
      </c>
      <c r="C78" s="34" t="e">
        <f t="shared" si="20"/>
        <v>#REF!</v>
      </c>
      <c r="D78" s="50">
        <v>1.8333333333333333</v>
      </c>
      <c r="E78" s="34"/>
      <c r="F78" s="34" t="s">
        <v>3</v>
      </c>
      <c r="G78" s="34" t="s">
        <v>1588</v>
      </c>
      <c r="H78" s="33"/>
    </row>
    <row r="79" spans="1:8" ht="19.5" customHeight="1" outlineLevel="1">
      <c r="A79" s="229" t="e">
        <f t="shared" ref="A79:C79" si="21">#REF!</f>
        <v>#REF!</v>
      </c>
      <c r="B79" s="34" t="e">
        <f t="shared" si="21"/>
        <v>#REF!</v>
      </c>
      <c r="C79" s="34" t="e">
        <f t="shared" si="21"/>
        <v>#REF!</v>
      </c>
      <c r="D79" s="50">
        <v>1.8333333333333333</v>
      </c>
      <c r="E79" s="34"/>
      <c r="F79" s="34" t="s">
        <v>3</v>
      </c>
      <c r="G79" s="34" t="s">
        <v>1588</v>
      </c>
      <c r="H79" s="33"/>
    </row>
    <row r="80" spans="1:8" ht="19.5" customHeight="1" outlineLevel="1">
      <c r="A80" s="229" t="e">
        <f t="shared" ref="A80:C80" si="22">#REF!</f>
        <v>#REF!</v>
      </c>
      <c r="B80" s="34" t="e">
        <f t="shared" si="22"/>
        <v>#REF!</v>
      </c>
      <c r="C80" s="34" t="e">
        <f t="shared" si="22"/>
        <v>#REF!</v>
      </c>
      <c r="D80" s="50">
        <v>0.33333333333333331</v>
      </c>
      <c r="E80" s="34"/>
      <c r="F80" s="34" t="s">
        <v>3</v>
      </c>
      <c r="G80" s="34" t="s">
        <v>1588</v>
      </c>
      <c r="H80" s="33"/>
    </row>
    <row r="81" spans="1:8" ht="19.5" customHeight="1" outlineLevel="1">
      <c r="A81" s="229" t="e">
        <f t="shared" ref="A81:C81" si="23">#REF!</f>
        <v>#REF!</v>
      </c>
      <c r="B81" s="34" t="e">
        <f t="shared" si="23"/>
        <v>#REF!</v>
      </c>
      <c r="C81" s="34" t="e">
        <f t="shared" si="23"/>
        <v>#REF!</v>
      </c>
      <c r="D81" s="50"/>
      <c r="E81" s="34"/>
      <c r="F81" s="34" t="s">
        <v>3</v>
      </c>
      <c r="G81" s="34" t="s">
        <v>48</v>
      </c>
      <c r="H81" s="33"/>
    </row>
    <row r="82" spans="1:8" ht="19.5" customHeight="1" outlineLevel="1">
      <c r="A82" s="229" t="e">
        <f t="shared" ref="A82:C82" si="24">#REF!</f>
        <v>#REF!</v>
      </c>
      <c r="B82" s="34" t="e">
        <f t="shared" si="24"/>
        <v>#REF!</v>
      </c>
      <c r="C82" s="34" t="e">
        <f t="shared" si="24"/>
        <v>#REF!</v>
      </c>
      <c r="D82" s="50">
        <v>1.8333333333333333</v>
      </c>
      <c r="E82" s="34"/>
      <c r="F82" s="34" t="s">
        <v>3</v>
      </c>
      <c r="G82" s="34" t="s">
        <v>2542</v>
      </c>
      <c r="H82" s="33"/>
    </row>
    <row r="83" spans="1:8" ht="19.5" customHeight="1" outlineLevel="1">
      <c r="A83" s="257" t="e">
        <f>#REF!</f>
        <v>#REF!</v>
      </c>
      <c r="B83" s="34" t="e">
        <f>#REF!</f>
        <v>#REF!</v>
      </c>
      <c r="C83" s="34" t="e">
        <f>#REF!</f>
        <v>#REF!</v>
      </c>
      <c r="D83" s="50">
        <v>1.8333333333333333</v>
      </c>
      <c r="E83" s="34"/>
      <c r="F83" s="34" t="s">
        <v>3</v>
      </c>
      <c r="G83" s="34" t="s">
        <v>2542</v>
      </c>
      <c r="H83" s="33"/>
    </row>
    <row r="84" spans="1:8" ht="19.5" customHeight="1" outlineLevel="1">
      <c r="A84" s="229" t="e">
        <f t="shared" ref="A84:C84" si="25">#REF!</f>
        <v>#REF!</v>
      </c>
      <c r="B84" s="34" t="e">
        <f t="shared" si="25"/>
        <v>#REF!</v>
      </c>
      <c r="C84" s="34" t="e">
        <f t="shared" si="25"/>
        <v>#REF!</v>
      </c>
      <c r="D84" s="36" t="s">
        <v>2759</v>
      </c>
      <c r="E84" s="34"/>
      <c r="F84" s="34" t="s">
        <v>3</v>
      </c>
      <c r="G84" s="34" t="s">
        <v>1588</v>
      </c>
      <c r="H84" s="33"/>
    </row>
    <row r="85" spans="1:8" ht="19.5" customHeight="1" outlineLevel="1">
      <c r="A85" s="229" t="e">
        <f t="shared" ref="A85:C85" si="26">#REF!</f>
        <v>#REF!</v>
      </c>
      <c r="B85" s="34" t="e">
        <f t="shared" si="26"/>
        <v>#REF!</v>
      </c>
      <c r="C85" s="34" t="e">
        <f t="shared" si="26"/>
        <v>#REF!</v>
      </c>
      <c r="D85" s="50">
        <v>1.8333333333333333</v>
      </c>
      <c r="E85" s="34"/>
      <c r="F85" s="34" t="s">
        <v>522</v>
      </c>
      <c r="G85" s="34" t="s">
        <v>274</v>
      </c>
      <c r="H85" s="33"/>
    </row>
    <row r="86" spans="1:8" ht="19.5" customHeight="1" outlineLevel="1">
      <c r="A86" s="229" t="e">
        <f t="shared" ref="A86:C86" si="27">#REF!</f>
        <v>#REF!</v>
      </c>
      <c r="B86" s="34" t="e">
        <f t="shared" si="27"/>
        <v>#REF!</v>
      </c>
      <c r="C86" s="34" t="e">
        <f t="shared" si="27"/>
        <v>#REF!</v>
      </c>
      <c r="D86" s="50">
        <v>1.8333333333333333</v>
      </c>
      <c r="E86" s="34"/>
      <c r="F86" s="34" t="s">
        <v>3</v>
      </c>
      <c r="G86" s="34" t="s">
        <v>1588</v>
      </c>
      <c r="H86" s="33"/>
    </row>
    <row r="87" spans="1:8" ht="19.5" customHeight="1" outlineLevel="1">
      <c r="A87" s="229" t="e">
        <f t="shared" ref="A87:C87" si="28">#REF!</f>
        <v>#REF!</v>
      </c>
      <c r="B87" s="34" t="e">
        <f t="shared" si="28"/>
        <v>#REF!</v>
      </c>
      <c r="C87" s="34" t="e">
        <f t="shared" si="28"/>
        <v>#REF!</v>
      </c>
      <c r="D87" s="50">
        <v>1.8333333333333333</v>
      </c>
      <c r="E87" s="34"/>
      <c r="F87" s="34" t="s">
        <v>72</v>
      </c>
      <c r="G87" s="34" t="s">
        <v>1588</v>
      </c>
      <c r="H87" s="33"/>
    </row>
    <row r="88" spans="1:8" ht="19.5" customHeight="1">
      <c r="A88" s="229" t="e">
        <f t="shared" ref="A88:C88" si="29">#REF!</f>
        <v>#REF!</v>
      </c>
      <c r="B88" s="34" t="e">
        <f t="shared" si="29"/>
        <v>#REF!</v>
      </c>
      <c r="C88" s="34" t="e">
        <f t="shared" si="29"/>
        <v>#REF!</v>
      </c>
      <c r="D88" s="36" t="s">
        <v>366</v>
      </c>
      <c r="E88" s="34"/>
      <c r="F88" s="34" t="s">
        <v>3</v>
      </c>
      <c r="G88" s="34" t="s">
        <v>2542</v>
      </c>
      <c r="H88" s="33"/>
    </row>
    <row r="89" spans="1:8" ht="19.5" customHeight="1" outlineLevel="1">
      <c r="A89" s="229" t="e">
        <f t="shared" ref="A89:C89" si="30">#REF!</f>
        <v>#REF!</v>
      </c>
      <c r="B89" s="34" t="e">
        <f t="shared" si="30"/>
        <v>#REF!</v>
      </c>
      <c r="C89" s="34" t="e">
        <f t="shared" si="30"/>
        <v>#REF!</v>
      </c>
      <c r="D89" s="50">
        <v>1.8333333333333333</v>
      </c>
      <c r="E89" s="34"/>
      <c r="F89" s="34" t="s">
        <v>3</v>
      </c>
      <c r="G89" s="34" t="s">
        <v>1588</v>
      </c>
      <c r="H89" s="33"/>
    </row>
    <row r="90" spans="1:8" ht="19.5" customHeight="1" outlineLevel="1">
      <c r="A90" s="229" t="e">
        <f t="shared" ref="A90:C90" si="31">#REF!</f>
        <v>#REF!</v>
      </c>
      <c r="B90" s="34" t="e">
        <f t="shared" si="31"/>
        <v>#REF!</v>
      </c>
      <c r="C90" s="34" t="e">
        <f t="shared" si="31"/>
        <v>#REF!</v>
      </c>
      <c r="D90" s="50">
        <v>1.8333333333333333</v>
      </c>
      <c r="E90" s="34"/>
      <c r="F90" s="34" t="s">
        <v>72</v>
      </c>
      <c r="G90" s="34" t="s">
        <v>1588</v>
      </c>
      <c r="H90" s="33"/>
    </row>
    <row r="91" spans="1:8" ht="19.5" customHeight="1" outlineLevel="1">
      <c r="A91" s="229" t="e">
        <f t="shared" ref="A91:C91" si="32">#REF!</f>
        <v>#REF!</v>
      </c>
      <c r="B91" s="34" t="e">
        <f t="shared" si="32"/>
        <v>#REF!</v>
      </c>
      <c r="C91" s="34" t="e">
        <f t="shared" si="32"/>
        <v>#REF!</v>
      </c>
      <c r="D91" s="50">
        <v>1.8333333333333333</v>
      </c>
      <c r="E91" s="34"/>
      <c r="F91" s="34" t="s">
        <v>72</v>
      </c>
      <c r="G91" s="34" t="s">
        <v>1588</v>
      </c>
      <c r="H91" s="33"/>
    </row>
    <row r="92" spans="1:8" ht="19.5" customHeight="1" outlineLevel="1">
      <c r="A92" s="229" t="e">
        <f t="shared" ref="A92:C92" si="33">#REF!</f>
        <v>#REF!</v>
      </c>
      <c r="B92" s="34" t="e">
        <f t="shared" si="33"/>
        <v>#REF!</v>
      </c>
      <c r="C92" s="34" t="e">
        <f t="shared" si="33"/>
        <v>#REF!</v>
      </c>
      <c r="D92" s="50">
        <v>1</v>
      </c>
      <c r="E92" s="34"/>
      <c r="F92" s="34" t="s">
        <v>3</v>
      </c>
      <c r="G92" s="34" t="s">
        <v>1588</v>
      </c>
      <c r="H92" s="33"/>
    </row>
    <row r="93" spans="1:8" ht="19.5" customHeight="1" outlineLevel="1">
      <c r="A93" s="229" t="e">
        <f t="shared" ref="A93:C93" si="34">#REF!</f>
        <v>#REF!</v>
      </c>
      <c r="B93" s="34" t="e">
        <f t="shared" si="34"/>
        <v>#REF!</v>
      </c>
      <c r="C93" s="34" t="e">
        <f t="shared" si="34"/>
        <v>#REF!</v>
      </c>
      <c r="D93" s="50">
        <v>1.8333333333333333</v>
      </c>
      <c r="E93" s="34"/>
      <c r="F93" s="34" t="s">
        <v>3</v>
      </c>
      <c r="G93" s="34" t="s">
        <v>2542</v>
      </c>
      <c r="H93" s="33"/>
    </row>
    <row r="94" spans="1:8" ht="19.5" customHeight="1" outlineLevel="1">
      <c r="A94" s="229" t="e">
        <f t="shared" ref="A94:C94" si="35">#REF!</f>
        <v>#REF!</v>
      </c>
      <c r="B94" s="34" t="e">
        <f t="shared" si="35"/>
        <v>#REF!</v>
      </c>
      <c r="C94" s="34" t="e">
        <f t="shared" si="35"/>
        <v>#REF!</v>
      </c>
      <c r="D94" s="36" t="s">
        <v>216</v>
      </c>
      <c r="E94" s="34"/>
      <c r="F94" s="34" t="s">
        <v>3</v>
      </c>
      <c r="G94" s="34" t="s">
        <v>368</v>
      </c>
      <c r="H94" s="33"/>
    </row>
    <row r="95" spans="1:8" ht="19.5" customHeight="1" outlineLevel="1">
      <c r="A95" s="229" t="e">
        <f t="shared" ref="A95:C95" si="36">#REF!</f>
        <v>#REF!</v>
      </c>
      <c r="B95" s="34" t="e">
        <f t="shared" si="36"/>
        <v>#REF!</v>
      </c>
      <c r="C95" s="34" t="e">
        <f t="shared" si="36"/>
        <v>#REF!</v>
      </c>
      <c r="D95" s="50">
        <v>1.8333333333333333</v>
      </c>
      <c r="E95" s="34"/>
      <c r="F95" s="34" t="s">
        <v>3</v>
      </c>
      <c r="G95" s="34" t="s">
        <v>1588</v>
      </c>
      <c r="H95" s="33"/>
    </row>
    <row r="96" spans="1:8" ht="19.5" customHeight="1" outlineLevel="1">
      <c r="A96" s="229" t="e">
        <f t="shared" ref="A96:C96" si="37">#REF!</f>
        <v>#REF!</v>
      </c>
      <c r="B96" s="34" t="e">
        <f t="shared" si="37"/>
        <v>#REF!</v>
      </c>
      <c r="C96" s="34" t="e">
        <f t="shared" si="37"/>
        <v>#REF!</v>
      </c>
      <c r="D96" s="50">
        <v>1.8333333333333333</v>
      </c>
      <c r="E96" s="34"/>
      <c r="F96" s="34" t="s">
        <v>72</v>
      </c>
      <c r="G96" s="34" t="s">
        <v>1588</v>
      </c>
      <c r="H96" s="33"/>
    </row>
    <row r="97" spans="1:8" ht="19.5" customHeight="1" outlineLevel="1">
      <c r="A97" s="229" t="e">
        <f t="shared" ref="A97:C97" si="38">#REF!</f>
        <v>#REF!</v>
      </c>
      <c r="B97" s="34" t="e">
        <f t="shared" si="38"/>
        <v>#REF!</v>
      </c>
      <c r="C97" s="34" t="e">
        <f t="shared" si="38"/>
        <v>#REF!</v>
      </c>
      <c r="D97" s="50">
        <v>1.8333333333333333</v>
      </c>
      <c r="E97" s="34"/>
      <c r="F97" s="34" t="s">
        <v>3</v>
      </c>
      <c r="G97" s="34" t="s">
        <v>2542</v>
      </c>
      <c r="H97" s="33"/>
    </row>
    <row r="98" spans="1:8" ht="19.5" customHeight="1" outlineLevel="1">
      <c r="A98" s="229" t="e">
        <f t="shared" ref="A98:C98" si="39">#REF!</f>
        <v>#REF!</v>
      </c>
      <c r="B98" s="34" t="e">
        <f t="shared" si="39"/>
        <v>#REF!</v>
      </c>
      <c r="C98" s="34" t="e">
        <f t="shared" si="39"/>
        <v>#REF!</v>
      </c>
      <c r="D98" s="50">
        <v>1.8333333333333333</v>
      </c>
      <c r="E98" s="34"/>
      <c r="F98" s="34" t="s">
        <v>72</v>
      </c>
      <c r="G98" s="34" t="s">
        <v>1588</v>
      </c>
      <c r="H98" s="33"/>
    </row>
    <row r="99" spans="1:8" ht="19.5" customHeight="1" outlineLevel="1">
      <c r="A99" s="229" t="e">
        <f t="shared" ref="A99:C99" si="40">#REF!</f>
        <v>#REF!</v>
      </c>
      <c r="B99" s="34" t="e">
        <f t="shared" si="40"/>
        <v>#REF!</v>
      </c>
      <c r="C99" s="34" t="e">
        <f t="shared" si="40"/>
        <v>#REF!</v>
      </c>
      <c r="D99" s="36" t="s">
        <v>366</v>
      </c>
      <c r="E99" s="34"/>
      <c r="F99" s="34" t="s">
        <v>3</v>
      </c>
      <c r="G99" s="34" t="s">
        <v>1588</v>
      </c>
      <c r="H99" s="33"/>
    </row>
    <row r="100" spans="1:8" ht="19.5" customHeight="1" outlineLevel="1">
      <c r="A100" s="229" t="e">
        <f t="shared" ref="A100:C100" si="41">#REF!</f>
        <v>#REF!</v>
      </c>
      <c r="B100" s="34" t="e">
        <f t="shared" si="41"/>
        <v>#REF!</v>
      </c>
      <c r="C100" s="34" t="e">
        <f t="shared" si="41"/>
        <v>#REF!</v>
      </c>
      <c r="D100" s="50">
        <v>1.8333333333333333</v>
      </c>
      <c r="E100" s="34"/>
      <c r="F100" s="34" t="s">
        <v>72</v>
      </c>
      <c r="G100" s="34" t="s">
        <v>1588</v>
      </c>
      <c r="H100" s="33"/>
    </row>
    <row r="101" spans="1:8" ht="19.5" customHeight="1" outlineLevel="1">
      <c r="A101" s="229" t="e">
        <f t="shared" ref="A101:C101" si="42">#REF!</f>
        <v>#REF!</v>
      </c>
      <c r="B101" s="34" t="e">
        <f t="shared" si="42"/>
        <v>#REF!</v>
      </c>
      <c r="C101" s="34" t="e">
        <f t="shared" si="42"/>
        <v>#REF!</v>
      </c>
      <c r="D101" s="36" t="s">
        <v>216</v>
      </c>
      <c r="E101" s="34"/>
      <c r="F101" s="34" t="s">
        <v>3</v>
      </c>
      <c r="G101" s="34" t="s">
        <v>1588</v>
      </c>
      <c r="H101" s="33"/>
    </row>
    <row r="102" spans="1:8" ht="19.5" customHeight="1" outlineLevel="1">
      <c r="A102" s="229" t="e">
        <f t="shared" ref="A102:C102" si="43">#REF!</f>
        <v>#REF!</v>
      </c>
      <c r="B102" s="34" t="e">
        <f t="shared" si="43"/>
        <v>#REF!</v>
      </c>
      <c r="C102" s="34" t="e">
        <f t="shared" si="43"/>
        <v>#REF!</v>
      </c>
      <c r="D102" s="50">
        <v>1.8333333333333333</v>
      </c>
      <c r="E102" s="34"/>
      <c r="F102" s="34" t="s">
        <v>3</v>
      </c>
      <c r="G102" s="34" t="s">
        <v>1588</v>
      </c>
      <c r="H102" s="33"/>
    </row>
    <row r="103" spans="1:8" ht="19.5" customHeight="1" outlineLevel="1">
      <c r="A103" s="229" t="e">
        <f t="shared" ref="A103:C103" si="44">#REF!</f>
        <v>#REF!</v>
      </c>
      <c r="B103" s="34" t="e">
        <f t="shared" si="44"/>
        <v>#REF!</v>
      </c>
      <c r="C103" s="34" t="e">
        <f t="shared" si="44"/>
        <v>#REF!</v>
      </c>
      <c r="D103" s="36" t="s">
        <v>366</v>
      </c>
      <c r="E103" s="34"/>
      <c r="F103" s="34" t="s">
        <v>72</v>
      </c>
      <c r="G103" s="34" t="s">
        <v>1588</v>
      </c>
      <c r="H103" s="33"/>
    </row>
    <row r="104" spans="1:8" ht="19.5" customHeight="1" outlineLevel="1">
      <c r="A104" s="229" t="e">
        <f t="shared" ref="A104:C104" si="45">#REF!</f>
        <v>#REF!</v>
      </c>
      <c r="B104" s="34" t="e">
        <f t="shared" si="45"/>
        <v>#REF!</v>
      </c>
      <c r="C104" s="34" t="e">
        <f t="shared" si="45"/>
        <v>#REF!</v>
      </c>
      <c r="D104" s="50"/>
      <c r="E104" s="34"/>
      <c r="F104" s="34" t="s">
        <v>3</v>
      </c>
      <c r="G104" s="34" t="s">
        <v>113</v>
      </c>
      <c r="H104" s="33"/>
    </row>
    <row r="105" spans="1:8" ht="19.5" customHeight="1" outlineLevel="1">
      <c r="A105" s="229" t="e">
        <f t="shared" ref="A105:C105" si="46">#REF!</f>
        <v>#REF!</v>
      </c>
      <c r="B105" s="34" t="e">
        <f t="shared" si="46"/>
        <v>#REF!</v>
      </c>
      <c r="C105" s="34" t="e">
        <f t="shared" si="46"/>
        <v>#REF!</v>
      </c>
      <c r="D105" s="50">
        <v>1.8333333333333333</v>
      </c>
      <c r="E105" s="34"/>
      <c r="F105" s="34" t="s">
        <v>72</v>
      </c>
      <c r="G105" s="34" t="s">
        <v>396</v>
      </c>
      <c r="H105" s="33"/>
    </row>
    <row r="106" spans="1:8" ht="19.5" customHeight="1" outlineLevel="1">
      <c r="A106" s="229" t="e">
        <f t="shared" ref="A106:C106" si="47">#REF!</f>
        <v>#REF!</v>
      </c>
      <c r="B106" s="34" t="e">
        <f t="shared" si="47"/>
        <v>#REF!</v>
      </c>
      <c r="C106" s="34" t="e">
        <f t="shared" si="47"/>
        <v>#REF!</v>
      </c>
      <c r="D106" s="50">
        <v>0</v>
      </c>
      <c r="E106" s="34"/>
      <c r="F106" s="34" t="s">
        <v>3</v>
      </c>
      <c r="G106" s="34" t="s">
        <v>48</v>
      </c>
      <c r="H106" s="33"/>
    </row>
    <row r="107" spans="1:8" ht="19.5" customHeight="1" outlineLevel="1">
      <c r="A107" s="229" t="e">
        <f>#REF!</f>
        <v>#REF!</v>
      </c>
      <c r="B107" s="34" t="e">
        <f>#REF!</f>
        <v>#REF!</v>
      </c>
      <c r="C107" s="256" t="e">
        <f>#REF!</f>
        <v>#REF!</v>
      </c>
      <c r="D107" s="50" t="s">
        <v>159</v>
      </c>
      <c r="E107" s="34"/>
      <c r="F107" s="34" t="s">
        <v>3</v>
      </c>
      <c r="G107" s="34" t="s">
        <v>2542</v>
      </c>
      <c r="H107" s="33"/>
    </row>
    <row r="108" spans="1:8" ht="19.5" customHeight="1" outlineLevel="1">
      <c r="A108" s="229" t="e">
        <f t="shared" ref="A108:C108" si="48">#REF!</f>
        <v>#REF!</v>
      </c>
      <c r="B108" s="34" t="e">
        <f t="shared" si="48"/>
        <v>#REF!</v>
      </c>
      <c r="C108" s="34" t="e">
        <f t="shared" si="48"/>
        <v>#REF!</v>
      </c>
      <c r="D108" s="50">
        <v>1.8333333333333333</v>
      </c>
      <c r="E108" s="34"/>
      <c r="F108" s="34" t="s">
        <v>3</v>
      </c>
      <c r="G108" s="34" t="s">
        <v>1588</v>
      </c>
      <c r="H108" s="33"/>
    </row>
    <row r="109" spans="1:8" ht="19.5" customHeight="1" outlineLevel="1">
      <c r="A109" s="229" t="e">
        <f t="shared" ref="A109:C109" si="49">#REF!</f>
        <v>#REF!</v>
      </c>
      <c r="B109" s="34" t="e">
        <f t="shared" si="49"/>
        <v>#REF!</v>
      </c>
      <c r="C109" s="34" t="e">
        <f t="shared" si="49"/>
        <v>#REF!</v>
      </c>
      <c r="D109" s="36" t="s">
        <v>366</v>
      </c>
      <c r="E109" s="34"/>
      <c r="F109" s="34" t="s">
        <v>3</v>
      </c>
      <c r="G109" s="34" t="s">
        <v>1588</v>
      </c>
      <c r="H109" s="33"/>
    </row>
    <row r="110" spans="1:8" ht="19.5" customHeight="1" outlineLevel="1">
      <c r="A110" s="229" t="e">
        <f t="shared" ref="A110:C110" si="50">#REF!</f>
        <v>#REF!</v>
      </c>
      <c r="B110" s="34" t="e">
        <f t="shared" si="50"/>
        <v>#REF!</v>
      </c>
      <c r="C110" s="34" t="e">
        <f t="shared" si="50"/>
        <v>#REF!</v>
      </c>
      <c r="D110" s="36" t="s">
        <v>2760</v>
      </c>
      <c r="E110" s="34"/>
      <c r="F110" s="34" t="s">
        <v>3</v>
      </c>
      <c r="G110" s="34" t="s">
        <v>2542</v>
      </c>
      <c r="H110" s="33"/>
    </row>
    <row r="111" spans="1:8" ht="19.5" customHeight="1" outlineLevel="1">
      <c r="A111" s="229" t="e">
        <f t="shared" ref="A111:C111" si="51">#REF!</f>
        <v>#REF!</v>
      </c>
      <c r="B111" s="34" t="e">
        <f t="shared" si="51"/>
        <v>#REF!</v>
      </c>
      <c r="C111" s="34" t="e">
        <f t="shared" si="51"/>
        <v>#REF!</v>
      </c>
      <c r="D111" s="36" t="s">
        <v>216</v>
      </c>
      <c r="E111" s="34"/>
      <c r="F111" s="34" t="s">
        <v>3</v>
      </c>
      <c r="G111" s="34" t="s">
        <v>2542</v>
      </c>
      <c r="H111" s="33"/>
    </row>
    <row r="112" spans="1:8" ht="19.5" customHeight="1" outlineLevel="1">
      <c r="A112" s="229" t="e">
        <f t="shared" ref="A112:C112" si="52">#REF!</f>
        <v>#REF!</v>
      </c>
      <c r="B112" s="34" t="e">
        <f t="shared" si="52"/>
        <v>#REF!</v>
      </c>
      <c r="C112" s="34" t="e">
        <f t="shared" si="52"/>
        <v>#REF!</v>
      </c>
      <c r="D112" s="50"/>
      <c r="E112" s="34"/>
      <c r="F112" s="34" t="s">
        <v>3</v>
      </c>
      <c r="G112" s="34" t="s">
        <v>1698</v>
      </c>
      <c r="H112" s="33"/>
    </row>
    <row r="113" spans="1:8" ht="19.5" customHeight="1" outlineLevel="1">
      <c r="A113" s="229" t="e">
        <f t="shared" ref="A113:C113" si="53">#REF!</f>
        <v>#REF!</v>
      </c>
      <c r="B113" s="34" t="e">
        <f t="shared" si="53"/>
        <v>#REF!</v>
      </c>
      <c r="C113" s="34" t="e">
        <f t="shared" si="53"/>
        <v>#REF!</v>
      </c>
      <c r="D113" s="50">
        <v>1.8333333333333333</v>
      </c>
      <c r="E113" s="34"/>
      <c r="F113" s="34" t="s">
        <v>72</v>
      </c>
      <c r="G113" s="34" t="s">
        <v>1588</v>
      </c>
      <c r="H113" s="33"/>
    </row>
    <row r="114" spans="1:8" ht="19.5" customHeight="1" outlineLevel="1">
      <c r="A114" s="229" t="e">
        <f t="shared" ref="A114:C114" si="54">#REF!</f>
        <v>#REF!</v>
      </c>
      <c r="B114" s="34" t="e">
        <f t="shared" si="54"/>
        <v>#REF!</v>
      </c>
      <c r="C114" s="34" t="e">
        <f t="shared" si="54"/>
        <v>#REF!</v>
      </c>
      <c r="D114" s="36" t="s">
        <v>366</v>
      </c>
      <c r="E114" s="34"/>
      <c r="F114" s="34" t="s">
        <v>3</v>
      </c>
      <c r="G114" s="34" t="s">
        <v>1588</v>
      </c>
      <c r="H114" s="33"/>
    </row>
    <row r="115" spans="1:8" ht="19.5" customHeight="1" outlineLevel="1">
      <c r="A115" s="229" t="e">
        <f t="shared" ref="A115:C115" si="55">#REF!</f>
        <v>#REF!</v>
      </c>
      <c r="B115" s="34" t="e">
        <f t="shared" si="55"/>
        <v>#REF!</v>
      </c>
      <c r="C115" s="34" t="e">
        <f t="shared" si="55"/>
        <v>#REF!</v>
      </c>
      <c r="D115" s="50"/>
      <c r="E115" s="34"/>
      <c r="F115" s="34" t="s">
        <v>72</v>
      </c>
      <c r="G115" s="34" t="s">
        <v>1588</v>
      </c>
      <c r="H115" s="33"/>
    </row>
    <row r="116" spans="1:8" ht="19.5" customHeight="1" outlineLevel="1">
      <c r="A116" s="229" t="e">
        <f t="shared" ref="A116:C116" si="56">#REF!</f>
        <v>#REF!</v>
      </c>
      <c r="B116" s="34" t="e">
        <f t="shared" si="56"/>
        <v>#REF!</v>
      </c>
      <c r="C116" s="34" t="e">
        <f t="shared" si="56"/>
        <v>#REF!</v>
      </c>
      <c r="D116" s="50">
        <v>1.8333333333333333</v>
      </c>
      <c r="E116" s="34"/>
      <c r="F116" s="34" t="s">
        <v>72</v>
      </c>
      <c r="G116" s="34" t="s">
        <v>1588</v>
      </c>
      <c r="H116" s="33"/>
    </row>
    <row r="117" spans="1:8" ht="19.5" customHeight="1" outlineLevel="1">
      <c r="A117" s="229" t="e">
        <f t="shared" ref="A117:C117" si="57">#REF!</f>
        <v>#REF!</v>
      </c>
      <c r="B117" s="34" t="e">
        <f t="shared" si="57"/>
        <v>#REF!</v>
      </c>
      <c r="C117" s="34" t="e">
        <f t="shared" si="57"/>
        <v>#REF!</v>
      </c>
      <c r="D117" s="50">
        <v>1.8333333333333333</v>
      </c>
      <c r="E117" s="34"/>
      <c r="F117" s="34" t="s">
        <v>404</v>
      </c>
      <c r="G117" s="34" t="s">
        <v>1588</v>
      </c>
      <c r="H117" s="33"/>
    </row>
    <row r="118" spans="1:8" ht="19.5" customHeight="1" outlineLevel="1">
      <c r="A118" s="229" t="e">
        <f t="shared" ref="A118:C118" si="58">#REF!</f>
        <v>#REF!</v>
      </c>
      <c r="B118" s="34" t="e">
        <f t="shared" si="58"/>
        <v>#REF!</v>
      </c>
      <c r="C118" s="34" t="e">
        <f t="shared" si="58"/>
        <v>#REF!</v>
      </c>
      <c r="D118" s="50"/>
      <c r="E118" s="34"/>
      <c r="F118" s="34" t="s">
        <v>72</v>
      </c>
      <c r="G118" s="34" t="s">
        <v>1588</v>
      </c>
      <c r="H118" s="33"/>
    </row>
    <row r="119" spans="1:8" ht="19.5" customHeight="1" outlineLevel="1">
      <c r="A119" s="229" t="e">
        <f t="shared" ref="A119:C119" si="59">#REF!</f>
        <v>#REF!</v>
      </c>
      <c r="B119" s="34" t="e">
        <f t="shared" si="59"/>
        <v>#REF!</v>
      </c>
      <c r="C119" s="34" t="e">
        <f t="shared" si="59"/>
        <v>#REF!</v>
      </c>
      <c r="D119" s="50">
        <v>1.8333333333333333</v>
      </c>
      <c r="E119" s="34"/>
      <c r="F119" s="34" t="s">
        <v>72</v>
      </c>
      <c r="G119" s="34" t="s">
        <v>1588</v>
      </c>
      <c r="H119" s="33"/>
    </row>
    <row r="120" spans="1:8" ht="19.5" customHeight="1" outlineLevel="1">
      <c r="A120" s="229" t="e">
        <f t="shared" ref="A120:C120" si="60">#REF!</f>
        <v>#REF!</v>
      </c>
      <c r="B120" s="34" t="e">
        <f t="shared" si="60"/>
        <v>#REF!</v>
      </c>
      <c r="C120" s="34" t="e">
        <f t="shared" si="60"/>
        <v>#REF!</v>
      </c>
      <c r="D120" s="50">
        <v>1.8333333333333333</v>
      </c>
      <c r="E120" s="34"/>
      <c r="F120" s="34" t="s">
        <v>3</v>
      </c>
      <c r="G120" s="34" t="s">
        <v>1588</v>
      </c>
      <c r="H120" s="33"/>
    </row>
    <row r="121" spans="1:8" ht="19.5" customHeight="1" outlineLevel="1">
      <c r="A121" s="229" t="e">
        <f>#REF!</f>
        <v>#REF!</v>
      </c>
      <c r="B121" s="34" t="e">
        <f>#REF!</f>
        <v>#REF!</v>
      </c>
      <c r="C121" s="256" t="e">
        <f>#REF!</f>
        <v>#REF!</v>
      </c>
      <c r="D121" s="50">
        <v>1.8333333333333333</v>
      </c>
      <c r="E121" s="34"/>
      <c r="F121" s="34" t="s">
        <v>3</v>
      </c>
      <c r="G121" s="34" t="s">
        <v>1588</v>
      </c>
      <c r="H121" s="33"/>
    </row>
    <row r="122" spans="1:8" ht="19.5" customHeight="1" outlineLevel="1">
      <c r="A122" s="229" t="e">
        <f t="shared" ref="A122:C122" si="61">#REF!</f>
        <v>#REF!</v>
      </c>
      <c r="B122" s="34" t="e">
        <f t="shared" si="61"/>
        <v>#REF!</v>
      </c>
      <c r="C122" s="34" t="e">
        <f t="shared" si="61"/>
        <v>#REF!</v>
      </c>
      <c r="D122" s="36" t="s">
        <v>366</v>
      </c>
      <c r="E122" s="34"/>
      <c r="F122" s="34" t="s">
        <v>3</v>
      </c>
      <c r="G122" s="34" t="s">
        <v>1588</v>
      </c>
      <c r="H122" s="33"/>
    </row>
    <row r="123" spans="1:8" ht="19.5" customHeight="1" outlineLevel="1">
      <c r="A123" s="229" t="e">
        <f t="shared" ref="A123:C123" si="62">#REF!</f>
        <v>#REF!</v>
      </c>
      <c r="B123" s="34" t="e">
        <f t="shared" si="62"/>
        <v>#REF!</v>
      </c>
      <c r="C123" s="34" t="e">
        <f t="shared" si="62"/>
        <v>#REF!</v>
      </c>
      <c r="D123" s="50">
        <v>1.8333333333333333</v>
      </c>
      <c r="E123" s="34"/>
      <c r="F123" s="34" t="s">
        <v>3</v>
      </c>
      <c r="G123" s="34" t="s">
        <v>1588</v>
      </c>
      <c r="H123" s="33"/>
    </row>
    <row r="124" spans="1:8" ht="19.5" customHeight="1" outlineLevel="1">
      <c r="A124" s="229" t="e">
        <f t="shared" ref="A124:C124" si="63">#REF!</f>
        <v>#REF!</v>
      </c>
      <c r="B124" s="34" t="e">
        <f t="shared" si="63"/>
        <v>#REF!</v>
      </c>
      <c r="C124" s="34" t="e">
        <f t="shared" si="63"/>
        <v>#REF!</v>
      </c>
      <c r="D124" s="50">
        <v>1.8333333333333333</v>
      </c>
      <c r="E124" s="34"/>
      <c r="F124" s="34" t="s">
        <v>3</v>
      </c>
      <c r="G124" s="34" t="s">
        <v>1588</v>
      </c>
      <c r="H124" s="33"/>
    </row>
    <row r="125" spans="1:8" ht="19.5" customHeight="1" outlineLevel="1">
      <c r="A125" s="229" t="e">
        <f t="shared" ref="A125:C125" si="64">#REF!</f>
        <v>#REF!</v>
      </c>
      <c r="B125" s="34" t="e">
        <f t="shared" si="64"/>
        <v>#REF!</v>
      </c>
      <c r="C125" s="34" t="e">
        <f t="shared" si="64"/>
        <v>#REF!</v>
      </c>
      <c r="D125" s="50">
        <v>1.8333333333333333</v>
      </c>
      <c r="E125" s="34"/>
      <c r="F125" s="34" t="s">
        <v>3</v>
      </c>
      <c r="G125" s="34" t="s">
        <v>1588</v>
      </c>
      <c r="H125" s="33"/>
    </row>
    <row r="126" spans="1:8" ht="19.5" customHeight="1" outlineLevel="1">
      <c r="A126" s="229" t="e">
        <f t="shared" ref="A126:C126" si="65">#REF!</f>
        <v>#REF!</v>
      </c>
      <c r="B126" s="34" t="e">
        <f t="shared" si="65"/>
        <v>#REF!</v>
      </c>
      <c r="C126" s="34" t="e">
        <f t="shared" si="65"/>
        <v>#REF!</v>
      </c>
      <c r="D126" s="36" t="s">
        <v>216</v>
      </c>
      <c r="E126" s="34"/>
      <c r="F126" s="34" t="s">
        <v>3</v>
      </c>
      <c r="G126" s="34" t="s">
        <v>2542</v>
      </c>
      <c r="H126" s="33"/>
    </row>
    <row r="127" spans="1:8" ht="19.5" customHeight="1" outlineLevel="1">
      <c r="A127" s="229" t="e">
        <f t="shared" ref="A127:C127" si="66">#REF!</f>
        <v>#REF!</v>
      </c>
      <c r="B127" s="34" t="e">
        <f t="shared" si="66"/>
        <v>#REF!</v>
      </c>
      <c r="C127" s="34" t="e">
        <f t="shared" si="66"/>
        <v>#REF!</v>
      </c>
      <c r="D127" s="36" t="s">
        <v>2760</v>
      </c>
      <c r="E127" s="34"/>
      <c r="F127" s="34" t="s">
        <v>3</v>
      </c>
      <c r="G127" s="34" t="s">
        <v>2542</v>
      </c>
      <c r="H127" s="33"/>
    </row>
    <row r="128" spans="1:8" ht="19.5" customHeight="1" outlineLevel="1">
      <c r="A128" s="229" t="e">
        <f t="shared" ref="A128:C128" si="67">#REF!</f>
        <v>#REF!</v>
      </c>
      <c r="B128" s="34" t="e">
        <f t="shared" si="67"/>
        <v>#REF!</v>
      </c>
      <c r="C128" s="34" t="e">
        <f t="shared" si="67"/>
        <v>#REF!</v>
      </c>
      <c r="D128" s="50">
        <v>1.8333333333333333</v>
      </c>
      <c r="E128" s="34"/>
      <c r="F128" s="34" t="s">
        <v>522</v>
      </c>
      <c r="G128" s="34" t="s">
        <v>1588</v>
      </c>
      <c r="H128" s="33"/>
    </row>
    <row r="129" spans="1:8" ht="19.5" customHeight="1" outlineLevel="1">
      <c r="A129" s="229" t="e">
        <f t="shared" ref="A129:C129" si="68">#REF!</f>
        <v>#REF!</v>
      </c>
      <c r="B129" s="34" t="e">
        <f t="shared" si="68"/>
        <v>#REF!</v>
      </c>
      <c r="C129" s="34" t="e">
        <f t="shared" si="68"/>
        <v>#REF!</v>
      </c>
      <c r="D129" s="50">
        <v>1.8333333333333333</v>
      </c>
      <c r="E129" s="34"/>
      <c r="F129" s="34" t="s">
        <v>2764</v>
      </c>
      <c r="G129" s="34" t="s">
        <v>1588</v>
      </c>
      <c r="H129" s="33"/>
    </row>
    <row r="130" spans="1:8" ht="19.5" customHeight="1" outlineLevel="1">
      <c r="A130" s="229" t="e">
        <f t="shared" ref="A130:C130" si="69">#REF!</f>
        <v>#REF!</v>
      </c>
      <c r="B130" s="34" t="e">
        <f t="shared" si="69"/>
        <v>#REF!</v>
      </c>
      <c r="C130" s="34" t="e">
        <f t="shared" si="69"/>
        <v>#REF!</v>
      </c>
      <c r="D130" s="50">
        <v>1.8333333333333333</v>
      </c>
      <c r="E130" s="34"/>
      <c r="F130" s="34" t="s">
        <v>72</v>
      </c>
      <c r="G130" s="34" t="s">
        <v>1588</v>
      </c>
      <c r="H130" s="33"/>
    </row>
    <row r="131" spans="1:8" ht="19.5" customHeight="1" outlineLevel="1">
      <c r="A131" s="229" t="e">
        <f t="shared" ref="A131:C131" si="70">#REF!</f>
        <v>#REF!</v>
      </c>
      <c r="B131" s="34" t="e">
        <f t="shared" si="70"/>
        <v>#REF!</v>
      </c>
      <c r="C131" s="34" t="e">
        <f t="shared" si="70"/>
        <v>#REF!</v>
      </c>
      <c r="D131" s="50">
        <v>1.8333333333333333</v>
      </c>
      <c r="E131" s="34"/>
      <c r="F131" s="34" t="s">
        <v>3</v>
      </c>
      <c r="G131" s="34" t="s">
        <v>274</v>
      </c>
      <c r="H131" s="33"/>
    </row>
    <row r="132" spans="1:8" ht="19.5" customHeight="1" outlineLevel="1">
      <c r="A132" s="229" t="e">
        <f t="shared" ref="A132:C132" si="71">#REF!</f>
        <v>#REF!</v>
      </c>
      <c r="B132" s="34" t="e">
        <f t="shared" si="71"/>
        <v>#REF!</v>
      </c>
      <c r="C132" s="34" t="e">
        <f t="shared" si="71"/>
        <v>#REF!</v>
      </c>
      <c r="D132" s="50">
        <v>1.8333333333333333</v>
      </c>
      <c r="E132" s="34"/>
      <c r="F132" s="34" t="s">
        <v>72</v>
      </c>
      <c r="G132" s="34" t="s">
        <v>1588</v>
      </c>
      <c r="H132" s="33"/>
    </row>
    <row r="133" spans="1:8" ht="19.5" customHeight="1" outlineLevel="1">
      <c r="A133" s="229" t="e">
        <f t="shared" ref="A133:C133" si="72">#REF!</f>
        <v>#REF!</v>
      </c>
      <c r="B133" s="34" t="e">
        <f t="shared" si="72"/>
        <v>#REF!</v>
      </c>
      <c r="C133" s="34" t="e">
        <f t="shared" si="72"/>
        <v>#REF!</v>
      </c>
      <c r="D133" s="50">
        <v>1.8333333333333333</v>
      </c>
      <c r="E133" s="34"/>
      <c r="F133" s="34" t="s">
        <v>404</v>
      </c>
      <c r="G133" s="34" t="s">
        <v>1588</v>
      </c>
      <c r="H133" s="33"/>
    </row>
    <row r="134" spans="1:8" ht="19.5" customHeight="1" outlineLevel="1">
      <c r="A134" s="229" t="e">
        <f t="shared" ref="A134:C134" si="73">#REF!</f>
        <v>#REF!</v>
      </c>
      <c r="B134" s="34" t="e">
        <f t="shared" si="73"/>
        <v>#REF!</v>
      </c>
      <c r="C134" s="34" t="e">
        <f t="shared" si="73"/>
        <v>#REF!</v>
      </c>
      <c r="D134" s="50">
        <v>1.8333333333333333</v>
      </c>
      <c r="E134" s="34"/>
      <c r="F134" s="34" t="s">
        <v>72</v>
      </c>
      <c r="G134" s="34" t="s">
        <v>1588</v>
      </c>
      <c r="H134" s="33"/>
    </row>
    <row r="135" spans="1:8" ht="19.5" customHeight="1" outlineLevel="1">
      <c r="A135" s="229" t="e">
        <f t="shared" ref="A135:C135" si="74">#REF!</f>
        <v>#REF!</v>
      </c>
      <c r="B135" s="34" t="e">
        <f t="shared" si="74"/>
        <v>#REF!</v>
      </c>
      <c r="C135" s="34" t="e">
        <f t="shared" si="74"/>
        <v>#REF!</v>
      </c>
      <c r="D135" s="50">
        <v>1.8333333333333333</v>
      </c>
      <c r="E135" s="34"/>
      <c r="F135" s="34" t="s">
        <v>3</v>
      </c>
      <c r="G135" s="34" t="s">
        <v>1588</v>
      </c>
      <c r="H135" s="33"/>
    </row>
    <row r="136" spans="1:8" ht="19.5" customHeight="1" outlineLevel="1">
      <c r="A136" s="229" t="e">
        <f t="shared" ref="A136:C136" si="75">#REF!</f>
        <v>#REF!</v>
      </c>
      <c r="B136" s="34" t="e">
        <f t="shared" si="75"/>
        <v>#REF!</v>
      </c>
      <c r="C136" s="34" t="e">
        <f t="shared" si="75"/>
        <v>#REF!</v>
      </c>
      <c r="D136" s="50">
        <v>1.8333333333333333</v>
      </c>
      <c r="E136" s="34"/>
      <c r="F136" s="34" t="s">
        <v>3</v>
      </c>
      <c r="G136" s="34" t="s">
        <v>1588</v>
      </c>
      <c r="H136" s="33"/>
    </row>
    <row r="137" spans="1:8" ht="19.5" customHeight="1" outlineLevel="1">
      <c r="A137" s="229" t="e">
        <f>#REF!</f>
        <v>#REF!</v>
      </c>
      <c r="B137" s="34" t="e">
        <f>#REF!</f>
        <v>#REF!</v>
      </c>
      <c r="C137" s="256" t="e">
        <f>#REF!</f>
        <v>#REF!</v>
      </c>
      <c r="D137" s="50">
        <v>1.8333333333333333</v>
      </c>
      <c r="E137" s="34"/>
      <c r="F137" s="34" t="s">
        <v>3</v>
      </c>
      <c r="G137" s="34" t="s">
        <v>151</v>
      </c>
      <c r="H137" s="33"/>
    </row>
    <row r="138" spans="1:8" ht="19.5" customHeight="1" outlineLevel="1">
      <c r="A138" s="229" t="e">
        <f t="shared" ref="A138:C138" si="76">#REF!</f>
        <v>#REF!</v>
      </c>
      <c r="B138" s="34" t="e">
        <f t="shared" si="76"/>
        <v>#REF!</v>
      </c>
      <c r="C138" s="34" t="e">
        <f t="shared" si="76"/>
        <v>#REF!</v>
      </c>
      <c r="D138" s="50"/>
      <c r="E138" s="34"/>
      <c r="F138" s="34" t="s">
        <v>3</v>
      </c>
      <c r="G138" s="34" t="s">
        <v>1291</v>
      </c>
      <c r="H138" s="33"/>
    </row>
    <row r="139" spans="1:8" ht="19.5" customHeight="1" outlineLevel="1">
      <c r="A139" s="229" t="e">
        <f t="shared" ref="A139:C139" si="77">#REF!</f>
        <v>#REF!</v>
      </c>
      <c r="B139" s="34" t="e">
        <f t="shared" si="77"/>
        <v>#REF!</v>
      </c>
      <c r="C139" s="34" t="e">
        <f t="shared" si="77"/>
        <v>#REF!</v>
      </c>
      <c r="D139" s="50"/>
      <c r="E139" s="34"/>
      <c r="F139" s="34" t="s">
        <v>3</v>
      </c>
      <c r="G139" s="34" t="s">
        <v>1588</v>
      </c>
      <c r="H139" s="33"/>
    </row>
    <row r="140" spans="1:8" ht="19.5" customHeight="1" outlineLevel="1">
      <c r="A140" s="229" t="e">
        <f t="shared" ref="A140:C140" si="78">#REF!</f>
        <v>#REF!</v>
      </c>
      <c r="B140" s="34" t="e">
        <f t="shared" si="78"/>
        <v>#REF!</v>
      </c>
      <c r="C140" s="34" t="e">
        <f t="shared" si="78"/>
        <v>#REF!</v>
      </c>
      <c r="D140" s="50">
        <v>1.8333333333333333</v>
      </c>
      <c r="E140" s="34"/>
      <c r="F140" s="34" t="s">
        <v>3</v>
      </c>
      <c r="G140" s="34" t="s">
        <v>1588</v>
      </c>
      <c r="H140" s="33"/>
    </row>
    <row r="141" spans="1:8" ht="19.5" customHeight="1" outlineLevel="1">
      <c r="A141" s="229" t="e">
        <f>#REF!</f>
        <v>#REF!</v>
      </c>
      <c r="B141" s="34" t="e">
        <f>#REF!</f>
        <v>#REF!</v>
      </c>
      <c r="C141" s="34" t="e">
        <f>#REF!</f>
        <v>#REF!</v>
      </c>
      <c r="D141" s="50">
        <v>1.8333333333333333</v>
      </c>
      <c r="E141" s="34"/>
      <c r="F141" s="34" t="s">
        <v>3</v>
      </c>
      <c r="G141" s="34" t="s">
        <v>1588</v>
      </c>
      <c r="H141" s="33"/>
    </row>
    <row r="142" spans="1:8" ht="19.5" customHeight="1" outlineLevel="1">
      <c r="A142" s="229" t="e">
        <f t="shared" ref="A142:C142" si="79">#REF!</f>
        <v>#REF!</v>
      </c>
      <c r="B142" s="34" t="e">
        <f t="shared" si="79"/>
        <v>#REF!</v>
      </c>
      <c r="C142" s="34" t="e">
        <f t="shared" si="79"/>
        <v>#REF!</v>
      </c>
      <c r="D142" s="50">
        <v>1.8333333333333333</v>
      </c>
      <c r="E142" s="34"/>
      <c r="F142" s="34" t="s">
        <v>529</v>
      </c>
      <c r="G142" s="34" t="s">
        <v>274</v>
      </c>
      <c r="H142" s="33"/>
    </row>
    <row r="143" spans="1:8" ht="19.5" customHeight="1" outlineLevel="1">
      <c r="A143" s="229" t="e">
        <f t="shared" ref="A143:C143" si="80">#REF!</f>
        <v>#REF!</v>
      </c>
      <c r="B143" s="34" t="e">
        <f t="shared" si="80"/>
        <v>#REF!</v>
      </c>
      <c r="C143" s="34" t="e">
        <f t="shared" si="80"/>
        <v>#REF!</v>
      </c>
      <c r="D143" s="50">
        <v>1.8333333333333333</v>
      </c>
      <c r="E143" s="34"/>
      <c r="F143" s="34" t="s">
        <v>72</v>
      </c>
      <c r="G143" s="34" t="s">
        <v>1588</v>
      </c>
      <c r="H143" s="33"/>
    </row>
    <row r="144" spans="1:8" ht="19.5" customHeight="1" outlineLevel="1">
      <c r="A144" s="229" t="e">
        <f t="shared" ref="A144:C144" si="81">#REF!</f>
        <v>#REF!</v>
      </c>
      <c r="B144" s="34" t="e">
        <f t="shared" si="81"/>
        <v>#REF!</v>
      </c>
      <c r="C144" s="34" t="e">
        <f t="shared" si="81"/>
        <v>#REF!</v>
      </c>
      <c r="D144" s="50">
        <v>1.8333333333333333</v>
      </c>
      <c r="E144" s="34"/>
      <c r="F144" s="34" t="s">
        <v>72</v>
      </c>
      <c r="G144" s="34" t="s">
        <v>1588</v>
      </c>
      <c r="H144" s="33"/>
    </row>
    <row r="145" spans="1:8" ht="19.5" customHeight="1" outlineLevel="1">
      <c r="A145" s="229" t="e">
        <f t="shared" ref="A145:C145" si="82">#REF!</f>
        <v>#REF!</v>
      </c>
      <c r="B145" s="34" t="e">
        <f t="shared" si="82"/>
        <v>#REF!</v>
      </c>
      <c r="C145" s="34" t="e">
        <f t="shared" si="82"/>
        <v>#REF!</v>
      </c>
      <c r="D145" s="50">
        <v>1.8333333333333333</v>
      </c>
      <c r="E145" s="34"/>
      <c r="F145" s="34" t="s">
        <v>72</v>
      </c>
      <c r="G145" s="34" t="s">
        <v>1588</v>
      </c>
      <c r="H145" s="33"/>
    </row>
    <row r="146" spans="1:8" ht="19.5" customHeight="1" outlineLevel="1">
      <c r="A146" s="229" t="e">
        <f t="shared" ref="A146:C146" si="83">#REF!</f>
        <v>#REF!</v>
      </c>
      <c r="B146" s="34" t="e">
        <f t="shared" si="83"/>
        <v>#REF!</v>
      </c>
      <c r="C146" s="34" t="e">
        <f t="shared" si="83"/>
        <v>#REF!</v>
      </c>
      <c r="D146" s="50">
        <v>1.8333333333333333</v>
      </c>
      <c r="E146" s="34"/>
      <c r="F146" s="34" t="s">
        <v>404</v>
      </c>
      <c r="G146" s="34" t="s">
        <v>1588</v>
      </c>
      <c r="H146" s="33"/>
    </row>
    <row r="147" spans="1:8" ht="19.5" customHeight="1" outlineLevel="1">
      <c r="A147" s="229" t="e">
        <f t="shared" ref="A147:C147" si="84">#REF!</f>
        <v>#REF!</v>
      </c>
      <c r="B147" s="34" t="e">
        <f t="shared" si="84"/>
        <v>#REF!</v>
      </c>
      <c r="C147" s="34" t="e">
        <f t="shared" si="84"/>
        <v>#REF!</v>
      </c>
      <c r="D147" s="50">
        <v>1.8333333333333333</v>
      </c>
      <c r="E147" s="34"/>
      <c r="F147" s="34" t="s">
        <v>3</v>
      </c>
      <c r="G147" s="34" t="s">
        <v>1588</v>
      </c>
      <c r="H147" s="33"/>
    </row>
    <row r="148" spans="1:8" ht="19.5" customHeight="1" outlineLevel="1">
      <c r="A148" s="229" t="e">
        <f t="shared" ref="A148:C148" si="85">#REF!</f>
        <v>#REF!</v>
      </c>
      <c r="B148" s="34" t="e">
        <f t="shared" si="85"/>
        <v>#REF!</v>
      </c>
      <c r="C148" s="34" t="e">
        <f t="shared" si="85"/>
        <v>#REF!</v>
      </c>
      <c r="D148" s="50">
        <v>1.8333333333333333</v>
      </c>
      <c r="E148" s="34"/>
      <c r="F148" s="34" t="s">
        <v>3</v>
      </c>
      <c r="G148" s="34" t="s">
        <v>1588</v>
      </c>
      <c r="H148" s="33"/>
    </row>
    <row r="149" spans="1:8" ht="19.5" customHeight="1" outlineLevel="1">
      <c r="A149" s="229" t="e">
        <f t="shared" ref="A149:C149" si="86">#REF!</f>
        <v>#REF!</v>
      </c>
      <c r="B149" s="34" t="e">
        <f t="shared" si="86"/>
        <v>#REF!</v>
      </c>
      <c r="C149" s="34" t="e">
        <f t="shared" si="86"/>
        <v>#REF!</v>
      </c>
      <c r="D149" s="36" t="s">
        <v>366</v>
      </c>
      <c r="E149" s="34"/>
      <c r="F149" s="34" t="s">
        <v>404</v>
      </c>
      <c r="G149" s="34" t="s">
        <v>2542</v>
      </c>
      <c r="H149" s="33"/>
    </row>
    <row r="150" spans="1:8" ht="19.5" customHeight="1" outlineLevel="1">
      <c r="A150" s="229" t="e">
        <f t="shared" ref="A150:C150" si="87">#REF!</f>
        <v>#REF!</v>
      </c>
      <c r="B150" s="34" t="e">
        <f t="shared" si="87"/>
        <v>#REF!</v>
      </c>
      <c r="C150" s="34" t="e">
        <f t="shared" si="87"/>
        <v>#REF!</v>
      </c>
      <c r="D150" s="50">
        <v>1.8333333333333333</v>
      </c>
      <c r="E150" s="34"/>
      <c r="F150" s="34" t="s">
        <v>72</v>
      </c>
      <c r="G150" s="34" t="s">
        <v>1588</v>
      </c>
      <c r="H150" s="33"/>
    </row>
    <row r="151" spans="1:8" ht="19.5" customHeight="1" outlineLevel="1">
      <c r="A151" s="229" t="e">
        <f>#REF!</f>
        <v>#REF!</v>
      </c>
      <c r="B151" s="34" t="e">
        <f>#REF!</f>
        <v>#REF!</v>
      </c>
      <c r="C151" s="256" t="e">
        <f>#REF!</f>
        <v>#REF!</v>
      </c>
      <c r="D151" s="50">
        <v>1.8333333333333333</v>
      </c>
      <c r="E151" s="34"/>
      <c r="F151" s="34" t="s">
        <v>3</v>
      </c>
      <c r="G151" s="34" t="s">
        <v>274</v>
      </c>
      <c r="H151" s="33"/>
    </row>
    <row r="152" spans="1:8" ht="19.5" customHeight="1" outlineLevel="1">
      <c r="A152" s="229" t="e">
        <f t="shared" ref="A152:C152" si="88">#REF!</f>
        <v>#REF!</v>
      </c>
      <c r="B152" s="34" t="e">
        <f t="shared" si="88"/>
        <v>#REF!</v>
      </c>
      <c r="C152" s="34" t="e">
        <f t="shared" si="88"/>
        <v>#REF!</v>
      </c>
      <c r="D152" s="36" t="s">
        <v>216</v>
      </c>
      <c r="E152" s="34"/>
      <c r="F152" s="34" t="s">
        <v>3</v>
      </c>
      <c r="G152" s="34" t="s">
        <v>2542</v>
      </c>
      <c r="H152" s="33"/>
    </row>
    <row r="153" spans="1:8" ht="19.5" customHeight="1" outlineLevel="1">
      <c r="A153" s="229" t="e">
        <f t="shared" ref="A153:C153" si="89">#REF!</f>
        <v>#REF!</v>
      </c>
      <c r="B153" s="34" t="e">
        <f t="shared" si="89"/>
        <v>#REF!</v>
      </c>
      <c r="C153" s="34" t="e">
        <f t="shared" si="89"/>
        <v>#REF!</v>
      </c>
      <c r="D153" s="50"/>
      <c r="E153" s="34"/>
      <c r="F153" s="34" t="s">
        <v>72</v>
      </c>
      <c r="G153" s="34" t="s">
        <v>1588</v>
      </c>
      <c r="H153" s="33"/>
    </row>
    <row r="154" spans="1:8" ht="19.5" customHeight="1" outlineLevel="1">
      <c r="A154" s="229" t="e">
        <f t="shared" ref="A154:C154" si="90">#REF!</f>
        <v>#REF!</v>
      </c>
      <c r="B154" s="34" t="e">
        <f t="shared" si="90"/>
        <v>#REF!</v>
      </c>
      <c r="C154" s="34" t="e">
        <f t="shared" si="90"/>
        <v>#REF!</v>
      </c>
      <c r="D154" s="36" t="s">
        <v>366</v>
      </c>
      <c r="E154" s="34"/>
      <c r="F154" s="34" t="s">
        <v>3</v>
      </c>
      <c r="G154" s="34" t="s">
        <v>1588</v>
      </c>
      <c r="H154" s="33"/>
    </row>
    <row r="155" spans="1:8" ht="19.5" customHeight="1" outlineLevel="1">
      <c r="A155" s="229" t="e">
        <f t="shared" ref="A155:C155" si="91">#REF!</f>
        <v>#REF!</v>
      </c>
      <c r="B155" s="34" t="e">
        <f t="shared" si="91"/>
        <v>#REF!</v>
      </c>
      <c r="C155" s="34" t="e">
        <f t="shared" si="91"/>
        <v>#REF!</v>
      </c>
      <c r="D155" s="50"/>
      <c r="E155" s="34"/>
      <c r="F155" s="34" t="s">
        <v>3</v>
      </c>
      <c r="G155" s="34" t="s">
        <v>2766</v>
      </c>
      <c r="H155" s="33"/>
    </row>
    <row r="156" spans="1:8" ht="19.5" customHeight="1" outlineLevel="1">
      <c r="A156" s="229" t="e">
        <f t="shared" ref="A156:C156" si="92">#REF!</f>
        <v>#REF!</v>
      </c>
      <c r="B156" s="34" t="e">
        <f t="shared" si="92"/>
        <v>#REF!</v>
      </c>
      <c r="C156" s="34" t="e">
        <f t="shared" si="92"/>
        <v>#REF!</v>
      </c>
      <c r="D156" s="50">
        <v>0</v>
      </c>
      <c r="E156" s="34"/>
      <c r="F156" s="34" t="s">
        <v>3</v>
      </c>
      <c r="G156" s="34" t="s">
        <v>151</v>
      </c>
      <c r="H156" s="33"/>
    </row>
    <row r="157" spans="1:8" ht="19.5" customHeight="1" outlineLevel="1">
      <c r="A157" s="229" t="e">
        <f t="shared" ref="A157:C157" si="93">#REF!</f>
        <v>#REF!</v>
      </c>
      <c r="B157" s="34" t="e">
        <f t="shared" si="93"/>
        <v>#REF!</v>
      </c>
      <c r="C157" s="34" t="e">
        <f t="shared" si="93"/>
        <v>#REF!</v>
      </c>
      <c r="D157" s="50">
        <v>1.8333333333333333</v>
      </c>
      <c r="E157" s="34"/>
      <c r="F157" s="34" t="s">
        <v>3</v>
      </c>
      <c r="G157" s="34" t="s">
        <v>1588</v>
      </c>
      <c r="H157" s="33"/>
    </row>
    <row r="158" spans="1:8" ht="19.5" customHeight="1" outlineLevel="1">
      <c r="A158" s="229" t="e">
        <f t="shared" ref="A158:C158" si="94">#REF!</f>
        <v>#REF!</v>
      </c>
      <c r="B158" s="34" t="e">
        <f t="shared" si="94"/>
        <v>#REF!</v>
      </c>
      <c r="C158" s="34" t="e">
        <f t="shared" si="94"/>
        <v>#REF!</v>
      </c>
      <c r="D158" s="50">
        <v>1.8333333333333333</v>
      </c>
      <c r="E158" s="34"/>
      <c r="F158" s="34" t="s">
        <v>72</v>
      </c>
      <c r="G158" s="34" t="s">
        <v>1588</v>
      </c>
      <c r="H158" s="33"/>
    </row>
    <row r="159" spans="1:8" ht="19.5" customHeight="1" outlineLevel="1">
      <c r="A159" s="229" t="e">
        <f t="shared" ref="A159:C159" si="95">#REF!</f>
        <v>#REF!</v>
      </c>
      <c r="B159" s="34" t="e">
        <f t="shared" si="95"/>
        <v>#REF!</v>
      </c>
      <c r="C159" s="34" t="e">
        <f t="shared" si="95"/>
        <v>#REF!</v>
      </c>
      <c r="D159" s="50">
        <v>1.8333333333333333</v>
      </c>
      <c r="E159" s="34"/>
      <c r="F159" s="34" t="s">
        <v>72</v>
      </c>
      <c r="G159" s="34" t="s">
        <v>1588</v>
      </c>
      <c r="H159" s="33"/>
    </row>
    <row r="160" spans="1:8" ht="19.5" customHeight="1" outlineLevel="1">
      <c r="A160" s="229" t="e">
        <f t="shared" ref="A160:C160" si="96">#REF!</f>
        <v>#REF!</v>
      </c>
      <c r="B160" s="34" t="e">
        <f t="shared" si="96"/>
        <v>#REF!</v>
      </c>
      <c r="C160" s="34" t="e">
        <f t="shared" si="96"/>
        <v>#REF!</v>
      </c>
      <c r="D160" s="50"/>
      <c r="E160" s="34"/>
      <c r="F160" s="34" t="s">
        <v>3</v>
      </c>
      <c r="G160" s="34" t="s">
        <v>1588</v>
      </c>
      <c r="H160" s="33"/>
    </row>
    <row r="161" spans="1:8" ht="19.5" customHeight="1" outlineLevel="1">
      <c r="A161" s="229" t="e">
        <f t="shared" ref="A161:C161" si="97">#REF!</f>
        <v>#REF!</v>
      </c>
      <c r="B161" s="34" t="e">
        <f t="shared" si="97"/>
        <v>#REF!</v>
      </c>
      <c r="C161" s="34" t="e">
        <f t="shared" si="97"/>
        <v>#REF!</v>
      </c>
      <c r="D161" s="50">
        <v>1.8333333333333333</v>
      </c>
      <c r="E161" s="34"/>
      <c r="F161" s="34" t="s">
        <v>3</v>
      </c>
      <c r="G161" s="34" t="s">
        <v>1291</v>
      </c>
      <c r="H161" s="33"/>
    </row>
    <row r="162" spans="1:8" ht="19.5" customHeight="1" outlineLevel="1">
      <c r="A162" s="229" t="e">
        <f t="shared" ref="A162:C162" si="98">#REF!</f>
        <v>#REF!</v>
      </c>
      <c r="B162" s="34" t="e">
        <f t="shared" si="98"/>
        <v>#REF!</v>
      </c>
      <c r="C162" s="34" t="e">
        <f t="shared" si="98"/>
        <v>#REF!</v>
      </c>
      <c r="D162" s="50">
        <v>0</v>
      </c>
      <c r="E162" s="34"/>
      <c r="F162" s="34" t="s">
        <v>3</v>
      </c>
      <c r="G162" s="34" t="s">
        <v>2766</v>
      </c>
      <c r="H162" s="33"/>
    </row>
    <row r="163" spans="1:8" ht="19.5" customHeight="1" outlineLevel="1">
      <c r="A163" s="229" t="e">
        <f t="shared" ref="A163:C163" si="99">#REF!</f>
        <v>#REF!</v>
      </c>
      <c r="B163" s="34" t="e">
        <f t="shared" si="99"/>
        <v>#REF!</v>
      </c>
      <c r="C163" s="34" t="e">
        <f t="shared" si="99"/>
        <v>#REF!</v>
      </c>
      <c r="D163" s="50">
        <v>1.8333333333333333</v>
      </c>
      <c r="E163" s="34"/>
      <c r="F163" s="34" t="s">
        <v>3</v>
      </c>
      <c r="G163" s="34" t="s">
        <v>1588</v>
      </c>
      <c r="H163" s="33"/>
    </row>
    <row r="164" spans="1:8" ht="19.5" customHeight="1" outlineLevel="1">
      <c r="A164" s="229" t="e">
        <f>#REF!</f>
        <v>#REF!</v>
      </c>
      <c r="B164" s="34" t="e">
        <f>#REF!</f>
        <v>#REF!</v>
      </c>
      <c r="C164" s="256" t="e">
        <f>#REF!</f>
        <v>#REF!</v>
      </c>
      <c r="D164" s="36" t="s">
        <v>2759</v>
      </c>
      <c r="E164" s="34"/>
      <c r="F164" s="34" t="s">
        <v>3</v>
      </c>
      <c r="G164" s="34" t="s">
        <v>151</v>
      </c>
      <c r="H164" s="33"/>
    </row>
    <row r="165" spans="1:8" ht="19.5" customHeight="1" outlineLevel="1">
      <c r="A165" s="229" t="e">
        <f>#REF!</f>
        <v>#REF!</v>
      </c>
      <c r="B165" s="34" t="e">
        <f>#REF!</f>
        <v>#REF!</v>
      </c>
      <c r="C165" s="256" t="e">
        <f>#REF!</f>
        <v>#REF!</v>
      </c>
      <c r="D165" s="36" t="s">
        <v>2759</v>
      </c>
      <c r="E165" s="34"/>
      <c r="F165" s="34" t="s">
        <v>3</v>
      </c>
      <c r="G165" s="34" t="s">
        <v>1588</v>
      </c>
      <c r="H165" s="33"/>
    </row>
    <row r="166" spans="1:8" ht="19.5" customHeight="1" outlineLevel="1">
      <c r="A166" s="229" t="e">
        <f t="shared" ref="A166:C166" si="100">#REF!</f>
        <v>#REF!</v>
      </c>
      <c r="B166" s="34" t="e">
        <f t="shared" si="100"/>
        <v>#REF!</v>
      </c>
      <c r="C166" s="34" t="e">
        <f t="shared" si="100"/>
        <v>#REF!</v>
      </c>
      <c r="D166" s="50">
        <v>0</v>
      </c>
      <c r="E166" s="34"/>
      <c r="F166" s="34" t="s">
        <v>72</v>
      </c>
      <c r="G166" s="34" t="s">
        <v>1588</v>
      </c>
      <c r="H166" s="33"/>
    </row>
    <row r="167" spans="1:8" ht="19.5" customHeight="1" outlineLevel="1">
      <c r="A167" s="229" t="e">
        <f t="shared" ref="A167:C167" si="101">#REF!</f>
        <v>#REF!</v>
      </c>
      <c r="B167" s="34" t="e">
        <f t="shared" si="101"/>
        <v>#REF!</v>
      </c>
      <c r="C167" s="34" t="e">
        <f t="shared" si="101"/>
        <v>#REF!</v>
      </c>
      <c r="D167" s="50">
        <v>1.8333333333333333</v>
      </c>
      <c r="E167" s="34"/>
      <c r="F167" s="34" t="s">
        <v>3</v>
      </c>
      <c r="G167" s="34" t="s">
        <v>1588</v>
      </c>
      <c r="H167" s="33"/>
    </row>
    <row r="168" spans="1:8" ht="19.5" customHeight="1" outlineLevel="1">
      <c r="A168" s="229" t="e">
        <f t="shared" ref="A168:C168" si="102">#REF!</f>
        <v>#REF!</v>
      </c>
      <c r="B168" s="34" t="e">
        <f t="shared" si="102"/>
        <v>#REF!</v>
      </c>
      <c r="C168" s="34" t="e">
        <f t="shared" si="102"/>
        <v>#REF!</v>
      </c>
      <c r="D168" s="50">
        <v>1.8333333333333333</v>
      </c>
      <c r="E168" s="34"/>
      <c r="F168" s="34" t="s">
        <v>3</v>
      </c>
      <c r="G168" s="34" t="s">
        <v>1588</v>
      </c>
      <c r="H168" s="33"/>
    </row>
    <row r="169" spans="1:8" ht="19.5" customHeight="1" outlineLevel="1">
      <c r="A169" s="229" t="e">
        <f t="shared" ref="A169:C169" si="103">#REF!</f>
        <v>#REF!</v>
      </c>
      <c r="B169" s="34" t="e">
        <f t="shared" si="103"/>
        <v>#REF!</v>
      </c>
      <c r="C169" s="34" t="e">
        <f t="shared" si="103"/>
        <v>#REF!</v>
      </c>
      <c r="D169" s="50">
        <v>1.8333333333333333</v>
      </c>
      <c r="E169" s="34"/>
      <c r="F169" s="34" t="s">
        <v>72</v>
      </c>
      <c r="G169" s="34" t="s">
        <v>1588</v>
      </c>
      <c r="H169" s="33"/>
    </row>
    <row r="170" spans="1:8" ht="19.5" customHeight="1" outlineLevel="1">
      <c r="A170" s="229" t="e">
        <f t="shared" ref="A170:C170" si="104">#REF!</f>
        <v>#REF!</v>
      </c>
      <c r="B170" s="34" t="e">
        <f t="shared" si="104"/>
        <v>#REF!</v>
      </c>
      <c r="C170" s="34" t="e">
        <f t="shared" si="104"/>
        <v>#REF!</v>
      </c>
      <c r="D170" s="36" t="s">
        <v>216</v>
      </c>
      <c r="E170" s="34"/>
      <c r="F170" s="34" t="s">
        <v>3</v>
      </c>
      <c r="G170" s="34" t="s">
        <v>254</v>
      </c>
      <c r="H170" s="33"/>
    </row>
    <row r="171" spans="1:8" ht="19.5" customHeight="1" outlineLevel="1">
      <c r="A171" s="229" t="e">
        <f>#REF!</f>
        <v>#REF!</v>
      </c>
      <c r="B171" s="34" t="e">
        <f>#REF!</f>
        <v>#REF!</v>
      </c>
      <c r="C171" s="256" t="e">
        <f>#REF!</f>
        <v>#REF!</v>
      </c>
      <c r="D171" s="50">
        <v>1.8333333333333333</v>
      </c>
      <c r="E171" s="34"/>
      <c r="F171" s="34" t="s">
        <v>3</v>
      </c>
      <c r="G171" s="34" t="s">
        <v>1588</v>
      </c>
      <c r="H171" s="33"/>
    </row>
    <row r="172" spans="1:8" ht="19.5" customHeight="1" outlineLevel="1">
      <c r="A172" s="229" t="e">
        <f>#REF!</f>
        <v>#REF!</v>
      </c>
      <c r="B172" s="34" t="e">
        <f>#REF!</f>
        <v>#REF!</v>
      </c>
      <c r="C172" s="256" t="e">
        <f>#REF!</f>
        <v>#REF!</v>
      </c>
      <c r="D172" s="50">
        <v>1.8333333333333333</v>
      </c>
      <c r="E172" s="34"/>
      <c r="F172" s="34" t="s">
        <v>3</v>
      </c>
      <c r="G172" s="34" t="s">
        <v>1588</v>
      </c>
      <c r="H172" s="33"/>
    </row>
    <row r="173" spans="1:8" ht="19.5" customHeight="1" outlineLevel="1">
      <c r="A173" s="229" t="e">
        <f t="shared" ref="A173:C173" si="105">#REF!</f>
        <v>#REF!</v>
      </c>
      <c r="B173" s="34" t="e">
        <f t="shared" si="105"/>
        <v>#REF!</v>
      </c>
      <c r="C173" s="34" t="e">
        <f t="shared" si="105"/>
        <v>#REF!</v>
      </c>
      <c r="D173" s="50">
        <v>1.8333333333333333</v>
      </c>
      <c r="E173" s="34"/>
      <c r="F173" s="34" t="s">
        <v>3</v>
      </c>
      <c r="G173" s="34" t="s">
        <v>1588</v>
      </c>
      <c r="H173" s="33"/>
    </row>
    <row r="174" spans="1:8" ht="19.5" customHeight="1" outlineLevel="1">
      <c r="A174" s="229" t="e">
        <f t="shared" ref="A174:C174" si="106">#REF!</f>
        <v>#REF!</v>
      </c>
      <c r="B174" s="34" t="e">
        <f t="shared" si="106"/>
        <v>#REF!</v>
      </c>
      <c r="C174" s="34" t="e">
        <f t="shared" si="106"/>
        <v>#REF!</v>
      </c>
      <c r="D174" s="50">
        <v>1.8333333333333333</v>
      </c>
      <c r="E174" s="34"/>
      <c r="F174" s="34" t="s">
        <v>72</v>
      </c>
      <c r="G174" s="34" t="s">
        <v>1588</v>
      </c>
      <c r="H174" s="33"/>
    </row>
    <row r="175" spans="1:8" ht="19.5" customHeight="1" outlineLevel="1">
      <c r="A175" s="229" t="e">
        <f>#REF!</f>
        <v>#REF!</v>
      </c>
      <c r="B175" s="34" t="e">
        <f>#REF!</f>
        <v>#REF!</v>
      </c>
      <c r="C175" s="34" t="e">
        <f>#REF!</f>
        <v>#REF!</v>
      </c>
      <c r="D175" s="50">
        <v>1.8333333333333333</v>
      </c>
      <c r="E175" s="34"/>
      <c r="F175" s="34" t="s">
        <v>72</v>
      </c>
      <c r="G175" s="34" t="s">
        <v>396</v>
      </c>
      <c r="H175" s="33"/>
    </row>
    <row r="176" spans="1:8" ht="19.5" customHeight="1" outlineLevel="1">
      <c r="A176" s="229" t="e">
        <f t="shared" ref="A176:C176" si="107">#REF!</f>
        <v>#REF!</v>
      </c>
      <c r="B176" s="34" t="e">
        <f t="shared" si="107"/>
        <v>#REF!</v>
      </c>
      <c r="C176" s="34" t="e">
        <f t="shared" si="107"/>
        <v>#REF!</v>
      </c>
      <c r="D176" s="36" t="s">
        <v>366</v>
      </c>
      <c r="E176" s="34"/>
      <c r="F176" s="34" t="s">
        <v>3</v>
      </c>
      <c r="G176" s="34" t="s">
        <v>2542</v>
      </c>
      <c r="H176" s="33"/>
    </row>
    <row r="177" spans="1:8" ht="19.5" customHeight="1" outlineLevel="1">
      <c r="A177" s="229" t="e">
        <f t="shared" ref="A177:C177" si="108">#REF!</f>
        <v>#REF!</v>
      </c>
      <c r="B177" s="34" t="e">
        <f t="shared" si="108"/>
        <v>#REF!</v>
      </c>
      <c r="C177" s="34" t="e">
        <f t="shared" si="108"/>
        <v>#REF!</v>
      </c>
      <c r="D177" s="50"/>
      <c r="E177" s="34"/>
      <c r="F177" s="34"/>
      <c r="G177" s="34"/>
      <c r="H177" s="33"/>
    </row>
    <row r="178" spans="1:8" ht="19.5" customHeight="1" outlineLevel="1">
      <c r="A178" s="229" t="e">
        <f t="shared" ref="A178:C178" si="109">#REF!</f>
        <v>#REF!</v>
      </c>
      <c r="B178" s="34" t="e">
        <f t="shared" si="109"/>
        <v>#REF!</v>
      </c>
      <c r="C178" s="34" t="e">
        <f t="shared" si="109"/>
        <v>#REF!</v>
      </c>
      <c r="D178" s="50"/>
      <c r="E178" s="34"/>
      <c r="F178" s="34"/>
      <c r="G178" s="34"/>
      <c r="H178" s="33"/>
    </row>
    <row r="179" spans="1:8" ht="19.5" customHeight="1" outlineLevel="1">
      <c r="A179" s="229" t="e">
        <f t="shared" ref="A179:C179" si="110">#REF!</f>
        <v>#REF!</v>
      </c>
      <c r="B179" s="34" t="e">
        <f t="shared" si="110"/>
        <v>#REF!</v>
      </c>
      <c r="C179" s="34" t="e">
        <f t="shared" si="110"/>
        <v>#REF!</v>
      </c>
      <c r="D179" s="50"/>
      <c r="E179" s="34"/>
      <c r="F179" s="34"/>
      <c r="G179" s="34"/>
      <c r="H179" s="33"/>
    </row>
    <row r="180" spans="1:8" ht="19.5" customHeight="1" outlineLevel="1">
      <c r="A180" s="229" t="e">
        <f>#REF!</f>
        <v>#REF!</v>
      </c>
      <c r="B180" s="34" t="e">
        <f>#REF!</f>
        <v>#REF!</v>
      </c>
      <c r="C180" s="34" t="e">
        <f>#REF!</f>
        <v>#REF!</v>
      </c>
      <c r="D180" s="36" t="s">
        <v>204</v>
      </c>
      <c r="E180" s="34"/>
      <c r="F180" s="34" t="s">
        <v>72</v>
      </c>
      <c r="G180" s="34" t="s">
        <v>2542</v>
      </c>
      <c r="H180" s="33"/>
    </row>
    <row r="181" spans="1:8" ht="19.5" customHeight="1" outlineLevel="1">
      <c r="A181" s="229"/>
      <c r="B181" s="34"/>
      <c r="C181" s="34"/>
      <c r="D181" s="50"/>
      <c r="E181" s="34"/>
      <c r="F181" s="34"/>
      <c r="G181" s="34"/>
      <c r="H181" s="33"/>
    </row>
    <row r="182" spans="1:8" ht="19.5" customHeight="1" outlineLevel="1">
      <c r="A182" s="229"/>
      <c r="B182" s="34"/>
      <c r="C182" s="34"/>
      <c r="D182" s="50"/>
      <c r="E182" s="34"/>
      <c r="F182" s="34"/>
      <c r="G182" s="34"/>
      <c r="H182" s="33"/>
    </row>
    <row r="183" spans="1:8" ht="19.5" customHeight="1" outlineLevel="1">
      <c r="A183" s="229"/>
      <c r="B183" s="34"/>
      <c r="C183" s="34"/>
      <c r="D183" s="50"/>
      <c r="E183" s="34"/>
      <c r="F183" s="34"/>
      <c r="G183" s="34"/>
      <c r="H183" s="33"/>
    </row>
    <row r="184" spans="1:8" ht="19.5" customHeight="1" outlineLevel="1">
      <c r="A184" s="270"/>
      <c r="B184" s="271"/>
      <c r="C184" s="271"/>
      <c r="D184" s="64"/>
      <c r="E184" s="271"/>
      <c r="F184" s="271"/>
      <c r="G184" s="271"/>
      <c r="H184" s="33"/>
    </row>
  </sheetData>
  <autoFilter ref="A56:H180" xr:uid="{00000000-0009-0000-0000-000013000000}"/>
  <dataValidations count="1">
    <dataValidation type="list" allowBlank="1" sqref="C1 E1:F1 C4:C25 E4:F25 C27:C42 E27:F42 C44:C55 E44:F55 C181:C184 E57:F184" xr:uid="{00000000-0002-0000-1300-000000000000}">
      <formula1>"Gestão,Outros,Jardineiro,Manutenção,Limpador,Portaria"</formula1>
    </dataValidation>
  </dataValidation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L914"/>
  <sheetViews>
    <sheetView topLeftCell="C1" workbookViewId="0"/>
  </sheetViews>
  <sheetFormatPr defaultColWidth="12.5703125" defaultRowHeight="15" customHeight="1"/>
  <cols>
    <col min="1" max="1" width="6.7109375" hidden="1" customWidth="1"/>
    <col min="2" max="2" width="13.42578125" hidden="1" customWidth="1"/>
    <col min="3" max="3" width="22.42578125" customWidth="1"/>
    <col min="4" max="4" width="13.5703125" customWidth="1"/>
    <col min="5" max="5" width="71.5703125" customWidth="1"/>
    <col min="6" max="34" width="4.5703125" customWidth="1"/>
    <col min="35" max="36" width="4.5703125" hidden="1" customWidth="1"/>
    <col min="37" max="38" width="4" hidden="1" customWidth="1"/>
  </cols>
  <sheetData>
    <row r="1" spans="1:38" ht="22.5" customHeight="1">
      <c r="A1" s="497">
        <v>45323</v>
      </c>
      <c r="B1" s="498"/>
      <c r="C1" s="498"/>
      <c r="D1" s="498"/>
      <c r="E1" s="499"/>
      <c r="F1" s="258">
        <f t="shared" ref="F1:AJ1" si="0">F2</f>
        <v>45323</v>
      </c>
      <c r="G1" s="259">
        <f t="shared" si="0"/>
        <v>45324</v>
      </c>
      <c r="H1" s="259">
        <f t="shared" si="0"/>
        <v>45325</v>
      </c>
      <c r="I1" s="259">
        <f t="shared" si="0"/>
        <v>45326</v>
      </c>
      <c r="J1" s="258">
        <f t="shared" si="0"/>
        <v>45327</v>
      </c>
      <c r="K1" s="259">
        <f t="shared" si="0"/>
        <v>45328</v>
      </c>
      <c r="L1" s="259">
        <f t="shared" si="0"/>
        <v>45329</v>
      </c>
      <c r="M1" s="259">
        <f t="shared" si="0"/>
        <v>45330</v>
      </c>
      <c r="N1" s="259">
        <f t="shared" si="0"/>
        <v>45331</v>
      </c>
      <c r="O1" s="259">
        <f t="shared" si="0"/>
        <v>45332</v>
      </c>
      <c r="P1" s="259">
        <f t="shared" si="0"/>
        <v>45333</v>
      </c>
      <c r="Q1" s="259">
        <f t="shared" si="0"/>
        <v>45334</v>
      </c>
      <c r="R1" s="260">
        <f t="shared" si="0"/>
        <v>45335</v>
      </c>
      <c r="S1" s="259">
        <f t="shared" si="0"/>
        <v>45336</v>
      </c>
      <c r="T1" s="259">
        <f t="shared" si="0"/>
        <v>45337</v>
      </c>
      <c r="U1" s="259">
        <f t="shared" si="0"/>
        <v>45338</v>
      </c>
      <c r="V1" s="259">
        <f t="shared" si="0"/>
        <v>45339</v>
      </c>
      <c r="W1" s="259">
        <f t="shared" si="0"/>
        <v>45340</v>
      </c>
      <c r="X1" s="259">
        <f t="shared" si="0"/>
        <v>45341</v>
      </c>
      <c r="Y1" s="259">
        <f t="shared" si="0"/>
        <v>45342</v>
      </c>
      <c r="Z1" s="259">
        <f t="shared" si="0"/>
        <v>45343</v>
      </c>
      <c r="AA1" s="259">
        <f t="shared" si="0"/>
        <v>45344</v>
      </c>
      <c r="AB1" s="259">
        <f t="shared" si="0"/>
        <v>45345</v>
      </c>
      <c r="AC1" s="259">
        <f t="shared" si="0"/>
        <v>45346</v>
      </c>
      <c r="AD1" s="259">
        <f t="shared" si="0"/>
        <v>45347</v>
      </c>
      <c r="AE1" s="259">
        <f t="shared" si="0"/>
        <v>45348</v>
      </c>
      <c r="AF1" s="259">
        <f t="shared" si="0"/>
        <v>45349</v>
      </c>
      <c r="AG1" s="259">
        <f t="shared" si="0"/>
        <v>45350</v>
      </c>
      <c r="AH1" s="259">
        <f t="shared" si="0"/>
        <v>45351</v>
      </c>
      <c r="AI1" s="259">
        <f t="shared" si="0"/>
        <v>45352</v>
      </c>
      <c r="AJ1" s="259">
        <f t="shared" si="0"/>
        <v>45353</v>
      </c>
      <c r="AK1" s="261"/>
      <c r="AL1" s="261"/>
    </row>
    <row r="2" spans="1:38" ht="25.5" customHeight="1">
      <c r="A2" s="500"/>
      <c r="B2" s="501"/>
      <c r="C2" s="501"/>
      <c r="D2" s="501"/>
      <c r="E2" s="496"/>
      <c r="F2" s="262">
        <f>A1</f>
        <v>45323</v>
      </c>
      <c r="G2" s="262">
        <f t="shared" ref="G2:AJ2" si="1">F2+1</f>
        <v>45324</v>
      </c>
      <c r="H2" s="262">
        <f t="shared" si="1"/>
        <v>45325</v>
      </c>
      <c r="I2" s="262">
        <f t="shared" si="1"/>
        <v>45326</v>
      </c>
      <c r="J2" s="262">
        <f t="shared" si="1"/>
        <v>45327</v>
      </c>
      <c r="K2" s="262">
        <f t="shared" si="1"/>
        <v>45328</v>
      </c>
      <c r="L2" s="262">
        <f t="shared" si="1"/>
        <v>45329</v>
      </c>
      <c r="M2" s="262">
        <f t="shared" si="1"/>
        <v>45330</v>
      </c>
      <c r="N2" s="262">
        <f t="shared" si="1"/>
        <v>45331</v>
      </c>
      <c r="O2" s="262">
        <f t="shared" si="1"/>
        <v>45332</v>
      </c>
      <c r="P2" s="262">
        <f t="shared" si="1"/>
        <v>45333</v>
      </c>
      <c r="Q2" s="262">
        <f t="shared" si="1"/>
        <v>45334</v>
      </c>
      <c r="R2" s="263">
        <f t="shared" si="1"/>
        <v>45335</v>
      </c>
      <c r="S2" s="262">
        <f t="shared" si="1"/>
        <v>45336</v>
      </c>
      <c r="T2" s="262">
        <f t="shared" si="1"/>
        <v>45337</v>
      </c>
      <c r="U2" s="262">
        <f t="shared" si="1"/>
        <v>45338</v>
      </c>
      <c r="V2" s="262">
        <f t="shared" si="1"/>
        <v>45339</v>
      </c>
      <c r="W2" s="262">
        <f t="shared" si="1"/>
        <v>45340</v>
      </c>
      <c r="X2" s="262">
        <f t="shared" si="1"/>
        <v>45341</v>
      </c>
      <c r="Y2" s="262">
        <f t="shared" si="1"/>
        <v>45342</v>
      </c>
      <c r="Z2" s="262">
        <f t="shared" si="1"/>
        <v>45343</v>
      </c>
      <c r="AA2" s="262">
        <f t="shared" si="1"/>
        <v>45344</v>
      </c>
      <c r="AB2" s="262">
        <f t="shared" si="1"/>
        <v>45345</v>
      </c>
      <c r="AC2" s="262">
        <f t="shared" si="1"/>
        <v>45346</v>
      </c>
      <c r="AD2" s="262">
        <f t="shared" si="1"/>
        <v>45347</v>
      </c>
      <c r="AE2" s="262">
        <f t="shared" si="1"/>
        <v>45348</v>
      </c>
      <c r="AF2" s="262">
        <f t="shared" si="1"/>
        <v>45349</v>
      </c>
      <c r="AG2" s="262">
        <f t="shared" si="1"/>
        <v>45350</v>
      </c>
      <c r="AH2" s="262">
        <f t="shared" si="1"/>
        <v>45351</v>
      </c>
      <c r="AI2" s="262">
        <f t="shared" si="1"/>
        <v>45352</v>
      </c>
      <c r="AJ2" s="262">
        <f t="shared" si="1"/>
        <v>45353</v>
      </c>
      <c r="AK2" s="261"/>
      <c r="AL2" s="261"/>
    </row>
    <row r="3" spans="1:38" ht="18.75" customHeight="1">
      <c r="A3" s="200" t="s">
        <v>2765</v>
      </c>
      <c r="B3" s="200" t="s">
        <v>119</v>
      </c>
      <c r="C3" s="493" t="e">
        <f>VLOOKUP(B3,#REF!,2, FALSE())</f>
        <v>#REF!</v>
      </c>
      <c r="D3" s="264" t="s">
        <v>1411</v>
      </c>
      <c r="E3" s="265" t="e">
        <f>VLOOKUP(D3,#REF!,24, FALSE())</f>
        <v>#REF!</v>
      </c>
      <c r="F3" s="489" t="e">
        <f>VLOOKUP($D3,[1]velho!$A$15:$BG$207,28, FALSE())</f>
        <v>#N/A</v>
      </c>
      <c r="G3" s="490" t="e">
        <f>VLOOKUP($D3,[1]velho!$A$2:$BG$207,29, FALSE())</f>
        <v>#N/A</v>
      </c>
      <c r="H3" s="489" t="e">
        <f>VLOOKUP($D3,[1]velho!$A$2:$BG$207,30, FALSE())</f>
        <v>#N/A</v>
      </c>
      <c r="I3" s="490" t="e">
        <f>VLOOKUP($D3,[1]velho!$A$2:$BG$207,31, FALSE())</f>
        <v>#N/A</v>
      </c>
      <c r="J3" s="489" t="e">
        <f>VLOOKUP($D3,[1]velho!$A$2:$BG$207,32, FALSE())</f>
        <v>#N/A</v>
      </c>
      <c r="K3" s="490" t="e">
        <f>VLOOKUP($D3,[1]velho!$A$2:$BG$207,33, FALSE())</f>
        <v>#N/A</v>
      </c>
      <c r="L3" s="489" t="e">
        <f>VLOOKUP($D3,[1]velho!$A$2:$BG$207,34, FALSE())</f>
        <v>#N/A</v>
      </c>
      <c r="M3" s="490" t="e">
        <f>VLOOKUP($D3,[1]velho!$A$2:$BG$207,35, FALSE())</f>
        <v>#N/A</v>
      </c>
      <c r="N3" s="489" t="e">
        <f>VLOOKUP($D3,[1]velho!$A$2:$BG$207,36, FALSE())</f>
        <v>#N/A</v>
      </c>
      <c r="O3" s="490" t="e">
        <f>VLOOKUP($D3,[1]velho!$A$2:$BG$207,37, FALSE())</f>
        <v>#N/A</v>
      </c>
      <c r="P3" s="489" t="e">
        <f>VLOOKUP($D3,[1]velho!$A$2:$BG$207,38, FALSE())</f>
        <v>#N/A</v>
      </c>
      <c r="Q3" s="490" t="e">
        <f>VLOOKUP($D3,[1]velho!$A$2:$BG$207,39, FALSE())</f>
        <v>#N/A</v>
      </c>
      <c r="R3" s="491" t="e">
        <f>VLOOKUP($D3,[1]velho!$A$2:$BG$207,40, FALSE())</f>
        <v>#N/A</v>
      </c>
      <c r="S3" s="490" t="e">
        <f>VLOOKUP($D3,[1]velho!$A$2:$BG$207,41, FALSE())</f>
        <v>#N/A</v>
      </c>
      <c r="T3" s="489" t="e">
        <f>VLOOKUP($D3,[1]velho!$A$2:$BG$207,42, FALSE())</f>
        <v>#N/A</v>
      </c>
      <c r="U3" s="490" t="e">
        <f>VLOOKUP($D3,[1]velho!$A$2:$BG$207,43, FALSE())</f>
        <v>#N/A</v>
      </c>
      <c r="V3" s="489" t="e">
        <f>VLOOKUP($D3,[1]velho!$A$2:$BG$207,44, FALSE())</f>
        <v>#N/A</v>
      </c>
      <c r="W3" s="490" t="e">
        <f>VLOOKUP($D3,[1]velho!$A$2:$BG$207,45, FALSE())</f>
        <v>#N/A</v>
      </c>
      <c r="X3" s="489" t="e">
        <f>VLOOKUP($D3,[1]velho!$A$2:$BG$207,46, FALSE())</f>
        <v>#N/A</v>
      </c>
      <c r="Y3" s="490" t="e">
        <f>VLOOKUP($D3,[1]velho!$A$2:$BG$207,47, FALSE())</f>
        <v>#N/A</v>
      </c>
      <c r="Z3" s="489" t="e">
        <f>VLOOKUP($D3,[1]velho!$A$2:$BG$207,48, FALSE())</f>
        <v>#N/A</v>
      </c>
      <c r="AA3" s="490" t="e">
        <f>VLOOKUP($D3,[1]velho!$A$2:$BG$207,49, FALSE())</f>
        <v>#N/A</v>
      </c>
      <c r="AB3" s="489" t="e">
        <f>VLOOKUP($D3,[1]velho!$A$2:$BG$207,50, FALSE())</f>
        <v>#N/A</v>
      </c>
      <c r="AC3" s="492" t="e">
        <f>VLOOKUP($D3,[1]velho!$A$2:$BG$207,51, FALSE())</f>
        <v>#N/A</v>
      </c>
      <c r="AD3" s="489" t="e">
        <f>VLOOKUP($D3,[1]velho!$A$2:$BG$207,52, FALSE())</f>
        <v>#N/A</v>
      </c>
      <c r="AE3" s="490" t="e">
        <f>VLOOKUP($D3,[1]velho!$A$2:$BG$207,53, FALSE())</f>
        <v>#N/A</v>
      </c>
      <c r="AF3" s="489" t="e">
        <f>VLOOKUP($D3,[1]velho!$A$2:$BG$207,54, FALSE())</f>
        <v>#N/A</v>
      </c>
      <c r="AG3" s="490" t="e">
        <f>VLOOKUP($D3,[1]velho!$A$2:$BG$207,55, FALSE())</f>
        <v>#N/A</v>
      </c>
      <c r="AH3" s="489" t="e">
        <f>VLOOKUP($D3,[1]velho!$A$2:$BG$207,56, FALSE())</f>
        <v>#N/A</v>
      </c>
      <c r="AI3" s="490" t="e">
        <f>VLOOKUP($D3,[1]velho!$A$2:$BG$207,57, FALSE())</f>
        <v>#N/A</v>
      </c>
      <c r="AJ3" s="489" t="e">
        <f>VLOOKUP($D3,[1]velho!$A$2:$BG$207,58, FALSE())</f>
        <v>#N/A</v>
      </c>
      <c r="AK3" s="267"/>
      <c r="AL3" s="267"/>
    </row>
    <row r="4" spans="1:38" ht="18.75" customHeight="1">
      <c r="A4" s="502" t="e">
        <f>VLOOKUP(D3,[1]velho!$A$28:$X$207,21, FALSE())</f>
        <v>#N/A</v>
      </c>
      <c r="B4" s="478"/>
      <c r="C4" s="481"/>
      <c r="D4" s="495" t="e">
        <f>VLOOKUP(D3,[1]velho!$A$4:$Y$207,25, FALSE())</f>
        <v>#N/A</v>
      </c>
      <c r="E4" s="496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  <c r="AA4" s="481"/>
      <c r="AB4" s="481"/>
      <c r="AC4" s="481"/>
      <c r="AD4" s="481"/>
      <c r="AE4" s="481"/>
      <c r="AF4" s="481"/>
      <c r="AG4" s="481"/>
      <c r="AH4" s="481"/>
      <c r="AI4" s="481"/>
      <c r="AJ4" s="481"/>
      <c r="AK4" s="267"/>
      <c r="AL4" s="267"/>
    </row>
    <row r="5" spans="1:38" ht="3.75" customHeight="1">
      <c r="A5" s="6"/>
      <c r="B5" s="6"/>
      <c r="C5" s="1"/>
      <c r="D5" s="6"/>
      <c r="E5" s="6"/>
      <c r="F5" s="268"/>
      <c r="G5" s="269"/>
      <c r="H5" s="269"/>
      <c r="I5" s="269"/>
      <c r="J5" s="268"/>
      <c r="K5" s="269"/>
      <c r="L5" s="269"/>
      <c r="M5" s="269"/>
      <c r="N5" s="269"/>
      <c r="O5" s="269"/>
      <c r="P5" s="269"/>
      <c r="Q5" s="269"/>
      <c r="R5" s="272"/>
      <c r="S5" s="269"/>
      <c r="T5" s="269"/>
      <c r="U5" s="269"/>
      <c r="V5" s="269"/>
      <c r="W5" s="269"/>
      <c r="X5" s="269"/>
      <c r="Y5" s="269"/>
      <c r="Z5" s="269"/>
      <c r="AA5" s="269"/>
      <c r="AB5" s="269"/>
      <c r="AC5" s="272"/>
      <c r="AD5" s="269"/>
      <c r="AE5" s="269"/>
      <c r="AF5" s="269"/>
      <c r="AG5" s="269"/>
      <c r="AH5" s="269"/>
      <c r="AI5" s="269"/>
      <c r="AJ5" s="269"/>
      <c r="AK5" s="269"/>
      <c r="AL5" s="269"/>
    </row>
    <row r="6" spans="1:38" ht="18.75" customHeight="1">
      <c r="A6" s="200" t="s">
        <v>2765</v>
      </c>
      <c r="B6" s="200" t="s">
        <v>2558</v>
      </c>
      <c r="C6" s="493" t="e">
        <f>VLOOKUP(B6,#REF!,2, FALSE())</f>
        <v>#REF!</v>
      </c>
      <c r="D6" s="264" t="s">
        <v>2454</v>
      </c>
      <c r="E6" s="265" t="e">
        <f>VLOOKUP(D6,#REF!,24, FALSE())</f>
        <v>#REF!</v>
      </c>
      <c r="F6" s="489" t="e">
        <f>VLOOKUP($D6,[1]velho!$A$15:$BG$207,28, FALSE())</f>
        <v>#N/A</v>
      </c>
      <c r="G6" s="490" t="e">
        <f>VLOOKUP($D6,[1]velho!$A$2:$BG$207,29, FALSE())</f>
        <v>#N/A</v>
      </c>
      <c r="H6" s="489" t="e">
        <f>VLOOKUP($D6,[1]velho!$A$2:$BG$207,30, FALSE())</f>
        <v>#N/A</v>
      </c>
      <c r="I6" s="490" t="e">
        <f>VLOOKUP($D6,[1]velho!$A$2:$BG$207,31, FALSE())</f>
        <v>#N/A</v>
      </c>
      <c r="J6" s="489" t="e">
        <f>VLOOKUP($D6,[1]velho!$A$2:$BG$207,32, FALSE())</f>
        <v>#N/A</v>
      </c>
      <c r="K6" s="490" t="e">
        <f>VLOOKUP($D6,[1]velho!$A$2:$BG$207,33, FALSE())</f>
        <v>#N/A</v>
      </c>
      <c r="L6" s="489" t="e">
        <f>VLOOKUP($D6,[1]velho!$A$2:$BG$207,34, FALSE())</f>
        <v>#N/A</v>
      </c>
      <c r="M6" s="490" t="e">
        <f>VLOOKUP($D6,[1]velho!$A$2:$BG$207,35, FALSE())</f>
        <v>#N/A</v>
      </c>
      <c r="N6" s="489" t="e">
        <f>VLOOKUP($D6,[1]velho!$A$2:$BG$207,36, FALSE())</f>
        <v>#N/A</v>
      </c>
      <c r="O6" s="490" t="e">
        <f>VLOOKUP($D6,[1]velho!$A$2:$BG$207,37, FALSE())</f>
        <v>#N/A</v>
      </c>
      <c r="P6" s="489" t="e">
        <f>VLOOKUP($D6,[1]velho!$A$2:$BG$207,38, FALSE())</f>
        <v>#N/A</v>
      </c>
      <c r="Q6" s="490" t="e">
        <f>VLOOKUP($D6,[1]velho!$A$2:$BG$207,39, FALSE())</f>
        <v>#N/A</v>
      </c>
      <c r="R6" s="491" t="e">
        <f>VLOOKUP($D6,[1]velho!$A$2:$BG$207,40, FALSE())</f>
        <v>#N/A</v>
      </c>
      <c r="S6" s="490" t="e">
        <f>VLOOKUP($D6,[1]velho!$A$2:$BG$207,41, FALSE())</f>
        <v>#N/A</v>
      </c>
      <c r="T6" s="489" t="e">
        <f>VLOOKUP($D6,[1]velho!$A$2:$BG$207,42, FALSE())</f>
        <v>#N/A</v>
      </c>
      <c r="U6" s="490" t="e">
        <f>VLOOKUP($D6,[1]velho!$A$2:$BG$207,43, FALSE())</f>
        <v>#N/A</v>
      </c>
      <c r="V6" s="489" t="e">
        <f>VLOOKUP($D6,[1]velho!$A$2:$BG$207,44, FALSE())</f>
        <v>#N/A</v>
      </c>
      <c r="W6" s="490" t="e">
        <f>VLOOKUP($D6,[1]velho!$A$2:$BG$207,45, FALSE())</f>
        <v>#N/A</v>
      </c>
      <c r="X6" s="489" t="e">
        <f>VLOOKUP($D6,[1]velho!$A$2:$BG$207,46, FALSE())</f>
        <v>#N/A</v>
      </c>
      <c r="Y6" s="490" t="e">
        <f>VLOOKUP($D6,[1]velho!$A$2:$BG$207,47, FALSE())</f>
        <v>#N/A</v>
      </c>
      <c r="Z6" s="489" t="e">
        <f>VLOOKUP($D6,[1]velho!$A$2:$BG$207,48, FALSE())</f>
        <v>#N/A</v>
      </c>
      <c r="AA6" s="490" t="e">
        <f>VLOOKUP($D6,[1]velho!$A$2:$BG$207,49, FALSE())</f>
        <v>#N/A</v>
      </c>
      <c r="AB6" s="489" t="e">
        <f>VLOOKUP($D6,[1]velho!$A$2:$BG$207,50, FALSE())</f>
        <v>#N/A</v>
      </c>
      <c r="AC6" s="492" t="e">
        <f>VLOOKUP($D6,[1]velho!$A$2:$BG$207,51, FALSE())</f>
        <v>#N/A</v>
      </c>
      <c r="AD6" s="489" t="e">
        <f>VLOOKUP($D6,[1]velho!$A$2:$BG$207,52, FALSE())</f>
        <v>#N/A</v>
      </c>
      <c r="AE6" s="490" t="e">
        <f>VLOOKUP($D6,[1]velho!$A$2:$BG$207,53, FALSE())</f>
        <v>#N/A</v>
      </c>
      <c r="AF6" s="489" t="e">
        <f>VLOOKUP($D6,[1]velho!$A$2:$BG$207,54, FALSE())</f>
        <v>#N/A</v>
      </c>
      <c r="AG6" s="490" t="e">
        <f>VLOOKUP($D6,[1]velho!$A$2:$BG$207,55, FALSE())</f>
        <v>#N/A</v>
      </c>
      <c r="AH6" s="489" t="e">
        <f>VLOOKUP($D6,[1]velho!$A$2:$BG$207,56, FALSE())</f>
        <v>#N/A</v>
      </c>
      <c r="AI6" s="490" t="e">
        <f>VLOOKUP($D6,[1]velho!$A$2:$BG$207,57, FALSE())</f>
        <v>#N/A</v>
      </c>
      <c r="AJ6" s="489" t="e">
        <f>VLOOKUP($D6,[1]velho!$A$2:$BG$207,58, FALSE())</f>
        <v>#N/A</v>
      </c>
      <c r="AK6" s="267"/>
      <c r="AL6" s="267"/>
    </row>
    <row r="7" spans="1:38" ht="18.75" customHeight="1">
      <c r="A7" s="494" t="e">
        <f>VLOOKUP(D6,[1]velho!$A$28:$X$207,21, FALSE())</f>
        <v>#N/A</v>
      </c>
      <c r="B7" s="478"/>
      <c r="C7" s="481"/>
      <c r="D7" s="495" t="e">
        <f>VLOOKUP(D6,[1]velho!$A$2:$Y$207,25, FALSE())</f>
        <v>#N/A</v>
      </c>
      <c r="E7" s="496"/>
      <c r="F7" s="481"/>
      <c r="G7" s="481"/>
      <c r="H7" s="481"/>
      <c r="I7" s="481"/>
      <c r="J7" s="481"/>
      <c r="K7" s="481"/>
      <c r="L7" s="481"/>
      <c r="M7" s="481"/>
      <c r="N7" s="481"/>
      <c r="O7" s="481"/>
      <c r="P7" s="481"/>
      <c r="Q7" s="481"/>
      <c r="R7" s="481"/>
      <c r="S7" s="481"/>
      <c r="T7" s="481"/>
      <c r="U7" s="481"/>
      <c r="V7" s="481"/>
      <c r="W7" s="481"/>
      <c r="X7" s="481"/>
      <c r="Y7" s="481"/>
      <c r="Z7" s="481"/>
      <c r="AA7" s="481"/>
      <c r="AB7" s="481"/>
      <c r="AC7" s="481"/>
      <c r="AD7" s="481"/>
      <c r="AE7" s="481"/>
      <c r="AF7" s="481"/>
      <c r="AG7" s="481"/>
      <c r="AH7" s="481"/>
      <c r="AI7" s="481"/>
      <c r="AJ7" s="481"/>
      <c r="AK7" s="267"/>
      <c r="AL7" s="267"/>
    </row>
    <row r="8" spans="1:38" ht="3.75" customHeight="1">
      <c r="A8" s="6"/>
      <c r="B8" s="6"/>
      <c r="C8" s="1"/>
      <c r="D8" s="6"/>
      <c r="E8" s="6"/>
      <c r="F8" s="268"/>
      <c r="G8" s="269"/>
      <c r="H8" s="269"/>
      <c r="I8" s="269"/>
      <c r="J8" s="268"/>
      <c r="K8" s="269"/>
      <c r="L8" s="269"/>
      <c r="M8" s="269"/>
      <c r="N8" s="269"/>
      <c r="O8" s="269"/>
      <c r="P8" s="269"/>
      <c r="Q8" s="269"/>
      <c r="R8" s="272"/>
      <c r="S8" s="269"/>
      <c r="T8" s="269"/>
      <c r="U8" s="269"/>
      <c r="V8" s="269"/>
      <c r="W8" s="269"/>
      <c r="X8" s="269"/>
      <c r="Y8" s="269"/>
      <c r="Z8" s="269"/>
      <c r="AA8" s="269"/>
      <c r="AB8" s="269"/>
      <c r="AC8" s="272"/>
      <c r="AD8" s="269"/>
      <c r="AE8" s="269"/>
      <c r="AF8" s="269"/>
      <c r="AG8" s="269"/>
      <c r="AH8" s="269"/>
      <c r="AI8" s="269"/>
      <c r="AJ8" s="269"/>
      <c r="AK8" s="269"/>
      <c r="AL8" s="269"/>
    </row>
    <row r="9" spans="1:38" ht="18.75" customHeight="1">
      <c r="A9" s="200" t="s">
        <v>2765</v>
      </c>
      <c r="B9" s="200" t="s">
        <v>2769</v>
      </c>
      <c r="C9" s="493" t="e">
        <f>VLOOKUP(B9,#REF!,2, FALSE())</f>
        <v>#REF!</v>
      </c>
      <c r="D9" s="264" t="s">
        <v>2301</v>
      </c>
      <c r="E9" s="265" t="e">
        <f>VLOOKUP(D9,#REF!,24, FALSE())</f>
        <v>#REF!</v>
      </c>
      <c r="F9" s="489" t="e">
        <f>VLOOKUP($D9,[1]velho!$A$15:$BG$207,28, FALSE())</f>
        <v>#N/A</v>
      </c>
      <c r="G9" s="490" t="e">
        <f>VLOOKUP($D9,[1]velho!$A$2:$BG$207,29, FALSE())</f>
        <v>#N/A</v>
      </c>
      <c r="H9" s="489" t="e">
        <f>VLOOKUP($D9,[1]velho!$A$2:$BG$207,30, FALSE())</f>
        <v>#N/A</v>
      </c>
      <c r="I9" s="490" t="e">
        <f>VLOOKUP($D9,[1]velho!$A$2:$BG$207,31, FALSE())</f>
        <v>#N/A</v>
      </c>
      <c r="J9" s="489" t="e">
        <f>VLOOKUP($D9,[1]velho!$A$2:$BG$207,32, FALSE())</f>
        <v>#N/A</v>
      </c>
      <c r="K9" s="490" t="e">
        <f>VLOOKUP($D9,[1]velho!$A$2:$BG$207,33, FALSE())</f>
        <v>#N/A</v>
      </c>
      <c r="L9" s="489" t="e">
        <f>VLOOKUP($D9,[1]velho!$A$2:$BG$207,34, FALSE())</f>
        <v>#N/A</v>
      </c>
      <c r="M9" s="490" t="e">
        <f>VLOOKUP($D9,[1]velho!$A$2:$BG$207,35, FALSE())</f>
        <v>#N/A</v>
      </c>
      <c r="N9" s="489" t="e">
        <f>VLOOKUP($D9,[1]velho!$A$2:$BG$207,36, FALSE())</f>
        <v>#N/A</v>
      </c>
      <c r="O9" s="490" t="e">
        <f>VLOOKUP($D9,[1]velho!$A$2:$BG$207,37, FALSE())</f>
        <v>#N/A</v>
      </c>
      <c r="P9" s="489" t="e">
        <f>VLOOKUP($D9,[1]velho!$A$2:$BG$207,38, FALSE())</f>
        <v>#N/A</v>
      </c>
      <c r="Q9" s="490" t="e">
        <f>VLOOKUP($D9,[1]velho!$A$2:$BG$207,39, FALSE())</f>
        <v>#N/A</v>
      </c>
      <c r="R9" s="491" t="e">
        <f>VLOOKUP($D9,[1]velho!$A$2:$BG$207,40, FALSE())</f>
        <v>#N/A</v>
      </c>
      <c r="S9" s="490" t="e">
        <f>VLOOKUP($D9,[1]velho!$A$2:$BG$207,41, FALSE())</f>
        <v>#N/A</v>
      </c>
      <c r="T9" s="489" t="e">
        <f>VLOOKUP($D9,[1]velho!$A$2:$BG$207,42, FALSE())</f>
        <v>#N/A</v>
      </c>
      <c r="U9" s="490" t="e">
        <f>VLOOKUP($D9,[1]velho!$A$2:$BG$207,43, FALSE())</f>
        <v>#N/A</v>
      </c>
      <c r="V9" s="489" t="e">
        <f>VLOOKUP($D9,[1]velho!$A$2:$BG$207,44, FALSE())</f>
        <v>#N/A</v>
      </c>
      <c r="W9" s="490" t="e">
        <f>VLOOKUP($D9,[1]velho!$A$2:$BG$207,45, FALSE())</f>
        <v>#N/A</v>
      </c>
      <c r="X9" s="489" t="e">
        <f>VLOOKUP($D9,[1]velho!$A$2:$BG$207,46, FALSE())</f>
        <v>#N/A</v>
      </c>
      <c r="Y9" s="490" t="e">
        <f>VLOOKUP($D9,[1]velho!$A$2:$BG$207,47, FALSE())</f>
        <v>#N/A</v>
      </c>
      <c r="Z9" s="489" t="e">
        <f>VLOOKUP($D9,[1]velho!$A$2:$BG$207,48, FALSE())</f>
        <v>#N/A</v>
      </c>
      <c r="AA9" s="490" t="e">
        <f>VLOOKUP($D9,[1]velho!$A$2:$BG$207,49, FALSE())</f>
        <v>#N/A</v>
      </c>
      <c r="AB9" s="489" t="e">
        <f>VLOOKUP($D9,[1]velho!$A$2:$BG$207,50, FALSE())</f>
        <v>#N/A</v>
      </c>
      <c r="AC9" s="492" t="e">
        <f>VLOOKUP($D9,[1]velho!$A$2:$BG$207,51, FALSE())</f>
        <v>#N/A</v>
      </c>
      <c r="AD9" s="489" t="e">
        <f>VLOOKUP($D9,[1]velho!$A$2:$BG$207,52, FALSE())</f>
        <v>#N/A</v>
      </c>
      <c r="AE9" s="490" t="e">
        <f>VLOOKUP($D9,[1]velho!$A$2:$BG$207,53, FALSE())</f>
        <v>#N/A</v>
      </c>
      <c r="AF9" s="489" t="e">
        <f>VLOOKUP($D9,[1]velho!$A$2:$BG$207,54, FALSE())</f>
        <v>#N/A</v>
      </c>
      <c r="AG9" s="490" t="e">
        <f>VLOOKUP($D9,[1]velho!$A$2:$BG$207,55, FALSE())</f>
        <v>#N/A</v>
      </c>
      <c r="AH9" s="489" t="e">
        <f>VLOOKUP($D9,[1]velho!$A$2:$BG$207,56, FALSE())</f>
        <v>#N/A</v>
      </c>
      <c r="AI9" s="490" t="e">
        <f>VLOOKUP($D9,[1]velho!$A$2:$BG$207,57, FALSE())</f>
        <v>#N/A</v>
      </c>
      <c r="AJ9" s="489" t="e">
        <f>VLOOKUP($D9,[1]velho!$A$2:$BG$207,58, FALSE())</f>
        <v>#N/A</v>
      </c>
      <c r="AK9" s="267"/>
      <c r="AL9" s="267"/>
    </row>
    <row r="10" spans="1:38" ht="18.75" customHeight="1">
      <c r="A10" s="494" t="e">
        <f>VLOOKUP(D9,[1]velho!$A$28:$X$207,21, FALSE())</f>
        <v>#N/A</v>
      </c>
      <c r="B10" s="478"/>
      <c r="C10" s="481"/>
      <c r="D10" s="495" t="e">
        <f>VLOOKUP(D9,[1]velho!$A$2:$Y$207,25, FALSE())</f>
        <v>#N/A</v>
      </c>
      <c r="E10" s="496"/>
      <c r="F10" s="481"/>
      <c r="G10" s="481"/>
      <c r="H10" s="481"/>
      <c r="I10" s="481"/>
      <c r="J10" s="481"/>
      <c r="K10" s="481"/>
      <c r="L10" s="481"/>
      <c r="M10" s="481"/>
      <c r="N10" s="481"/>
      <c r="O10" s="481"/>
      <c r="P10" s="481"/>
      <c r="Q10" s="481"/>
      <c r="R10" s="481"/>
      <c r="S10" s="481"/>
      <c r="T10" s="481"/>
      <c r="U10" s="481"/>
      <c r="V10" s="481"/>
      <c r="W10" s="481"/>
      <c r="X10" s="481"/>
      <c r="Y10" s="481"/>
      <c r="Z10" s="481"/>
      <c r="AA10" s="481"/>
      <c r="AB10" s="481"/>
      <c r="AC10" s="481"/>
      <c r="AD10" s="481"/>
      <c r="AE10" s="481"/>
      <c r="AF10" s="481"/>
      <c r="AG10" s="481"/>
      <c r="AH10" s="481"/>
      <c r="AI10" s="481"/>
      <c r="AJ10" s="481"/>
      <c r="AK10" s="267"/>
      <c r="AL10" s="267"/>
    </row>
    <row r="11" spans="1:38" ht="3.75" customHeight="1">
      <c r="A11" s="6"/>
      <c r="B11" s="6"/>
      <c r="C11" s="1"/>
      <c r="D11" s="6"/>
      <c r="E11" s="6"/>
      <c r="F11" s="268"/>
      <c r="G11" s="269"/>
      <c r="H11" s="269"/>
      <c r="I11" s="269"/>
      <c r="J11" s="268"/>
      <c r="K11" s="269"/>
      <c r="L11" s="269"/>
      <c r="M11" s="269"/>
      <c r="N11" s="269"/>
      <c r="O11" s="269"/>
      <c r="P11" s="269"/>
      <c r="Q11" s="269"/>
      <c r="R11" s="272"/>
      <c r="S11" s="269"/>
      <c r="T11" s="269"/>
      <c r="U11" s="269"/>
      <c r="V11" s="269"/>
      <c r="W11" s="269"/>
      <c r="X11" s="269"/>
      <c r="Y11" s="269"/>
      <c r="Z11" s="269"/>
      <c r="AA11" s="269"/>
      <c r="AB11" s="269"/>
      <c r="AC11" s="272"/>
      <c r="AD11" s="269"/>
      <c r="AE11" s="269"/>
      <c r="AF11" s="269"/>
      <c r="AG11" s="269"/>
      <c r="AH11" s="269"/>
      <c r="AI11" s="269"/>
      <c r="AJ11" s="269"/>
      <c r="AK11" s="269"/>
      <c r="AL11" s="269"/>
    </row>
    <row r="12" spans="1:38" ht="18.75" customHeight="1">
      <c r="A12" s="200" t="s">
        <v>2765</v>
      </c>
      <c r="B12" s="200" t="s">
        <v>2580</v>
      </c>
      <c r="C12" s="493" t="e">
        <f>VLOOKUP(B12,#REF!,2, FALSE())</f>
        <v>#REF!</v>
      </c>
      <c r="D12" s="264" t="s">
        <v>1473</v>
      </c>
      <c r="E12" s="265" t="e">
        <f>VLOOKUP(D12,#REF!,24, FALSE())</f>
        <v>#REF!</v>
      </c>
      <c r="F12" s="489" t="e">
        <f>VLOOKUP($D12,[1]velho!$A$15:$BG$207,28, FALSE())</f>
        <v>#N/A</v>
      </c>
      <c r="G12" s="490" t="e">
        <f>VLOOKUP($D12,[1]velho!$A$2:$BG$207,29, FALSE())</f>
        <v>#N/A</v>
      </c>
      <c r="H12" s="489" t="e">
        <f>VLOOKUP($D12,[1]velho!$A$2:$BG$207,30, FALSE())</f>
        <v>#N/A</v>
      </c>
      <c r="I12" s="490" t="e">
        <f>VLOOKUP($D12,[1]velho!$A$2:$BG$207,31, FALSE())</f>
        <v>#N/A</v>
      </c>
      <c r="J12" s="489" t="e">
        <f>VLOOKUP($D12,[1]velho!$A$2:$BG$207,32, FALSE())</f>
        <v>#N/A</v>
      </c>
      <c r="K12" s="490" t="e">
        <f>VLOOKUP($D12,[1]velho!$A$2:$BG$207,33, FALSE())</f>
        <v>#N/A</v>
      </c>
      <c r="L12" s="489" t="e">
        <f>VLOOKUP($D12,[1]velho!$A$2:$BG$207,34, FALSE())</f>
        <v>#N/A</v>
      </c>
      <c r="M12" s="490" t="e">
        <f>VLOOKUP($D12,[1]velho!$A$2:$BG$207,35, FALSE())</f>
        <v>#N/A</v>
      </c>
      <c r="N12" s="489" t="e">
        <f>VLOOKUP($D12,[1]velho!$A$2:$BG$207,36, FALSE())</f>
        <v>#N/A</v>
      </c>
      <c r="O12" s="490" t="e">
        <f>VLOOKUP($D12,[1]velho!$A$2:$BG$207,37, FALSE())</f>
        <v>#N/A</v>
      </c>
      <c r="P12" s="489" t="e">
        <f>VLOOKUP($D12,[1]velho!$A$2:$BG$207,38, FALSE())</f>
        <v>#N/A</v>
      </c>
      <c r="Q12" s="490" t="e">
        <f>VLOOKUP($D12,[1]velho!$A$2:$BG$207,39, FALSE())</f>
        <v>#N/A</v>
      </c>
      <c r="R12" s="491" t="e">
        <f>VLOOKUP($D12,[1]velho!$A$2:$BG$207,40, FALSE())</f>
        <v>#N/A</v>
      </c>
      <c r="S12" s="490" t="e">
        <f>VLOOKUP($D12,[1]velho!$A$2:$BG$207,41, FALSE())</f>
        <v>#N/A</v>
      </c>
      <c r="T12" s="489" t="e">
        <f>VLOOKUP($D12,[1]velho!$A$2:$BG$207,42, FALSE())</f>
        <v>#N/A</v>
      </c>
      <c r="U12" s="490" t="e">
        <f>VLOOKUP($D12,[1]velho!$A$2:$BG$207,43, FALSE())</f>
        <v>#N/A</v>
      </c>
      <c r="V12" s="489" t="e">
        <f>VLOOKUP($D12,[1]velho!$A$2:$BG$207,44, FALSE())</f>
        <v>#N/A</v>
      </c>
      <c r="W12" s="490" t="e">
        <f>VLOOKUP($D12,[1]velho!$A$2:$BG$207,45, FALSE())</f>
        <v>#N/A</v>
      </c>
      <c r="X12" s="489" t="e">
        <f>VLOOKUP($D12,[1]velho!$A$2:$BG$207,46, FALSE())</f>
        <v>#N/A</v>
      </c>
      <c r="Y12" s="490" t="e">
        <f>VLOOKUP($D12,[1]velho!$A$2:$BG$207,47, FALSE())</f>
        <v>#N/A</v>
      </c>
      <c r="Z12" s="489" t="e">
        <f>VLOOKUP($D12,[1]velho!$A$2:$BG$207,48, FALSE())</f>
        <v>#N/A</v>
      </c>
      <c r="AA12" s="490" t="e">
        <f>VLOOKUP($D12,[1]velho!$A$2:$BG$207,49, FALSE())</f>
        <v>#N/A</v>
      </c>
      <c r="AB12" s="489" t="e">
        <f>VLOOKUP($D12,[1]velho!$A$2:$BG$207,50, FALSE())</f>
        <v>#N/A</v>
      </c>
      <c r="AC12" s="492" t="e">
        <f>VLOOKUP($D12,[1]velho!$A$2:$BG$207,51, FALSE())</f>
        <v>#N/A</v>
      </c>
      <c r="AD12" s="489" t="e">
        <f>VLOOKUP($D12,[1]velho!$A$2:$BG$207,52, FALSE())</f>
        <v>#N/A</v>
      </c>
      <c r="AE12" s="490" t="e">
        <f>VLOOKUP($D12,[1]velho!$A$2:$BG$207,53, FALSE())</f>
        <v>#N/A</v>
      </c>
      <c r="AF12" s="489" t="e">
        <f>VLOOKUP($D12,[1]velho!$A$2:$BG$207,54, FALSE())</f>
        <v>#N/A</v>
      </c>
      <c r="AG12" s="490" t="e">
        <f>VLOOKUP($D12,[1]velho!$A$2:$BG$207,55, FALSE())</f>
        <v>#N/A</v>
      </c>
      <c r="AH12" s="489" t="e">
        <f>VLOOKUP($D12,[1]velho!$A$2:$BG$207,56, FALSE())</f>
        <v>#N/A</v>
      </c>
      <c r="AI12" s="490" t="e">
        <f>VLOOKUP($D12,[1]velho!$A$2:$BG$207,57, FALSE())</f>
        <v>#N/A</v>
      </c>
      <c r="AJ12" s="489" t="e">
        <f>VLOOKUP($D12,[1]velho!$A$2:$BG$207,58, FALSE())</f>
        <v>#N/A</v>
      </c>
      <c r="AK12" s="267"/>
      <c r="AL12" s="267"/>
    </row>
    <row r="13" spans="1:38" ht="18.75" customHeight="1">
      <c r="A13" s="494" t="e">
        <f>VLOOKUP(D12,[1]velho!$A$28:$X$207,21, FALSE())</f>
        <v>#N/A</v>
      </c>
      <c r="B13" s="478"/>
      <c r="C13" s="481"/>
      <c r="D13" s="495" t="e">
        <f>VLOOKUP(D12,[1]velho!$A$2:$Y$207,25, FALSE())</f>
        <v>#N/A</v>
      </c>
      <c r="E13" s="496"/>
      <c r="F13" s="481"/>
      <c r="G13" s="481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1"/>
      <c r="AA13" s="481"/>
      <c r="AB13" s="481"/>
      <c r="AC13" s="481"/>
      <c r="AD13" s="481"/>
      <c r="AE13" s="481"/>
      <c r="AF13" s="481"/>
      <c r="AG13" s="481"/>
      <c r="AH13" s="481"/>
      <c r="AI13" s="481"/>
      <c r="AJ13" s="481"/>
      <c r="AK13" s="267"/>
      <c r="AL13" s="267"/>
    </row>
    <row r="14" spans="1:38" ht="3.75" customHeight="1">
      <c r="A14" s="6"/>
      <c r="B14" s="6"/>
      <c r="C14" s="1"/>
      <c r="D14" s="6"/>
      <c r="E14" s="6"/>
      <c r="F14" s="268"/>
      <c r="G14" s="269"/>
      <c r="H14" s="269"/>
      <c r="I14" s="269"/>
      <c r="J14" s="268"/>
      <c r="K14" s="269"/>
      <c r="L14" s="269"/>
      <c r="M14" s="269"/>
      <c r="N14" s="269"/>
      <c r="O14" s="269"/>
      <c r="P14" s="269"/>
      <c r="Q14" s="269"/>
      <c r="R14" s="272"/>
      <c r="S14" s="269"/>
      <c r="T14" s="269"/>
      <c r="U14" s="269"/>
      <c r="V14" s="269"/>
      <c r="W14" s="269"/>
      <c r="X14" s="269"/>
      <c r="Y14" s="269"/>
      <c r="Z14" s="269"/>
      <c r="AA14" s="269"/>
      <c r="AB14" s="269"/>
      <c r="AC14" s="272"/>
      <c r="AD14" s="269"/>
      <c r="AE14" s="269"/>
      <c r="AF14" s="269"/>
      <c r="AG14" s="269"/>
      <c r="AH14" s="269"/>
      <c r="AI14" s="269"/>
      <c r="AJ14" s="269"/>
      <c r="AK14" s="269"/>
      <c r="AL14" s="269"/>
    </row>
    <row r="15" spans="1:38" ht="18.75" customHeight="1">
      <c r="A15" s="200" t="s">
        <v>2765</v>
      </c>
      <c r="B15" s="200" t="s">
        <v>2577</v>
      </c>
      <c r="C15" s="493" t="e">
        <f>VLOOKUP(B15,#REF!,2, FALSE())</f>
        <v>#REF!</v>
      </c>
      <c r="D15" s="264" t="s">
        <v>2554</v>
      </c>
      <c r="E15" s="265" t="e">
        <f>VLOOKUP(D15,#REF!,24, FALSE())</f>
        <v>#REF!</v>
      </c>
      <c r="F15" s="489" t="e">
        <f>VLOOKUP($D15,[1]velho!$A$15:$BG$207,28, FALSE())</f>
        <v>#N/A</v>
      </c>
      <c r="G15" s="490" t="e">
        <f>VLOOKUP($D15,[1]velho!$A$2:$BG$207,29, FALSE())</f>
        <v>#N/A</v>
      </c>
      <c r="H15" s="489" t="e">
        <f>VLOOKUP($D15,[1]velho!$A$2:$BG$207,30, FALSE())</f>
        <v>#N/A</v>
      </c>
      <c r="I15" s="490" t="e">
        <f>VLOOKUP($D15,[1]velho!$A$2:$BG$207,31, FALSE())</f>
        <v>#N/A</v>
      </c>
      <c r="J15" s="489" t="e">
        <f>VLOOKUP($D15,[1]velho!$A$2:$BG$207,32, FALSE())</f>
        <v>#N/A</v>
      </c>
      <c r="K15" s="490" t="e">
        <f>VLOOKUP($D15,[1]velho!$A$2:$BG$207,33, FALSE())</f>
        <v>#N/A</v>
      </c>
      <c r="L15" s="489" t="e">
        <f>VLOOKUP($D15,[1]velho!$A$2:$BG$207,34, FALSE())</f>
        <v>#N/A</v>
      </c>
      <c r="M15" s="490" t="e">
        <f>VLOOKUP($D15,[1]velho!$A$2:$BG$207,35, FALSE())</f>
        <v>#N/A</v>
      </c>
      <c r="N15" s="489" t="e">
        <f>VLOOKUP($D15,[1]velho!$A$2:$BG$207,36, FALSE())</f>
        <v>#N/A</v>
      </c>
      <c r="O15" s="490" t="e">
        <f>VLOOKUP($D15,[1]velho!$A$2:$BG$207,37, FALSE())</f>
        <v>#N/A</v>
      </c>
      <c r="P15" s="489" t="e">
        <f>VLOOKUP($D15,[1]velho!$A$2:$BG$207,38, FALSE())</f>
        <v>#N/A</v>
      </c>
      <c r="Q15" s="490" t="e">
        <f>VLOOKUP($D15,[1]velho!$A$2:$BG$207,39, FALSE())</f>
        <v>#N/A</v>
      </c>
      <c r="R15" s="491" t="e">
        <f>VLOOKUP($D15,[1]velho!$A$2:$BG$207,40, FALSE())</f>
        <v>#N/A</v>
      </c>
      <c r="S15" s="490" t="e">
        <f>VLOOKUP($D15,[1]velho!$A$2:$BG$207,41, FALSE())</f>
        <v>#N/A</v>
      </c>
      <c r="T15" s="489" t="e">
        <f>VLOOKUP($D15,[1]velho!$A$2:$BG$207,42, FALSE())</f>
        <v>#N/A</v>
      </c>
      <c r="U15" s="490" t="e">
        <f>VLOOKUP($D15,[1]velho!$A$2:$BG$207,43, FALSE())</f>
        <v>#N/A</v>
      </c>
      <c r="V15" s="489" t="e">
        <f>VLOOKUP($D15,[1]velho!$A$2:$BG$207,44, FALSE())</f>
        <v>#N/A</v>
      </c>
      <c r="W15" s="490" t="e">
        <f>VLOOKUP($D15,[1]velho!$A$2:$BG$207,45, FALSE())</f>
        <v>#N/A</v>
      </c>
      <c r="X15" s="489" t="e">
        <f>VLOOKUP($D15,[1]velho!$A$2:$BG$207,46, FALSE())</f>
        <v>#N/A</v>
      </c>
      <c r="Y15" s="490" t="e">
        <f>VLOOKUP($D15,[1]velho!$A$2:$BG$207,47, FALSE())</f>
        <v>#N/A</v>
      </c>
      <c r="Z15" s="489" t="e">
        <f>VLOOKUP($D15,[1]velho!$A$2:$BG$207,48, FALSE())</f>
        <v>#N/A</v>
      </c>
      <c r="AA15" s="490" t="e">
        <f>VLOOKUP($D15,[1]velho!$A$2:$BG$207,49, FALSE())</f>
        <v>#N/A</v>
      </c>
      <c r="AB15" s="489" t="e">
        <f>VLOOKUP($D15,[1]velho!$A$2:$BG$207,50, FALSE())</f>
        <v>#N/A</v>
      </c>
      <c r="AC15" s="492" t="e">
        <f>VLOOKUP($D15,[1]velho!$A$2:$BG$207,51, FALSE())</f>
        <v>#N/A</v>
      </c>
      <c r="AD15" s="489" t="e">
        <f>VLOOKUP($D15,[1]velho!$A$2:$BG$207,52, FALSE())</f>
        <v>#N/A</v>
      </c>
      <c r="AE15" s="490" t="e">
        <f>VLOOKUP($D15,[1]velho!$A$2:$BG$207,53, FALSE())</f>
        <v>#N/A</v>
      </c>
      <c r="AF15" s="489" t="e">
        <f>VLOOKUP($D15,[1]velho!$A$2:$BG$207,54, FALSE())</f>
        <v>#N/A</v>
      </c>
      <c r="AG15" s="490" t="e">
        <f>VLOOKUP($D15,[1]velho!$A$2:$BG$207,55, FALSE())</f>
        <v>#N/A</v>
      </c>
      <c r="AH15" s="489" t="e">
        <f>VLOOKUP($D15,[1]velho!$A$2:$BG$207,56, FALSE())</f>
        <v>#N/A</v>
      </c>
      <c r="AI15" s="490" t="e">
        <f>VLOOKUP($D15,[1]velho!$A$2:$BG$207,57, FALSE())</f>
        <v>#N/A</v>
      </c>
      <c r="AJ15" s="489" t="e">
        <f>VLOOKUP($D15,[1]velho!$A$2:$BG$207,58, FALSE())</f>
        <v>#N/A</v>
      </c>
      <c r="AK15" s="267"/>
      <c r="AL15" s="267"/>
    </row>
    <row r="16" spans="1:38" ht="18.75" customHeight="1">
      <c r="A16" s="494" t="e">
        <f>VLOOKUP(D15,[1]velho!$A$28:$X$207,21, FALSE())</f>
        <v>#N/A</v>
      </c>
      <c r="B16" s="478"/>
      <c r="C16" s="481"/>
      <c r="D16" s="495" t="e">
        <f>VLOOKUP(D15,[1]velho!$A$2:$Y$207,25, FALSE())</f>
        <v>#N/A</v>
      </c>
      <c r="E16" s="496"/>
      <c r="F16" s="481"/>
      <c r="G16" s="481"/>
      <c r="H16" s="481"/>
      <c r="I16" s="481"/>
      <c r="J16" s="481"/>
      <c r="K16" s="481"/>
      <c r="L16" s="481"/>
      <c r="M16" s="481"/>
      <c r="N16" s="481"/>
      <c r="O16" s="481"/>
      <c r="P16" s="481"/>
      <c r="Q16" s="481"/>
      <c r="R16" s="481"/>
      <c r="S16" s="481"/>
      <c r="T16" s="481"/>
      <c r="U16" s="481"/>
      <c r="V16" s="481"/>
      <c r="W16" s="481"/>
      <c r="X16" s="481"/>
      <c r="Y16" s="481"/>
      <c r="Z16" s="481"/>
      <c r="AA16" s="481"/>
      <c r="AB16" s="481"/>
      <c r="AC16" s="481"/>
      <c r="AD16" s="481"/>
      <c r="AE16" s="481"/>
      <c r="AF16" s="481"/>
      <c r="AG16" s="481"/>
      <c r="AH16" s="481"/>
      <c r="AI16" s="481"/>
      <c r="AJ16" s="481"/>
      <c r="AK16" s="267"/>
      <c r="AL16" s="267"/>
    </row>
    <row r="17" spans="1:38" ht="3.75" customHeight="1">
      <c r="A17" s="6"/>
      <c r="B17" s="6"/>
      <c r="C17" s="1"/>
      <c r="D17" s="6"/>
      <c r="E17" s="6"/>
      <c r="F17" s="268"/>
      <c r="G17" s="269"/>
      <c r="H17" s="269"/>
      <c r="I17" s="269"/>
      <c r="J17" s="268"/>
      <c r="K17" s="269"/>
      <c r="L17" s="269"/>
      <c r="M17" s="269"/>
      <c r="N17" s="269"/>
      <c r="O17" s="269"/>
      <c r="P17" s="268"/>
      <c r="Q17" s="269"/>
      <c r="R17" s="272"/>
      <c r="S17" s="269"/>
      <c r="T17" s="269"/>
      <c r="U17" s="269"/>
      <c r="V17" s="269"/>
      <c r="W17" s="269"/>
      <c r="X17" s="269"/>
      <c r="Y17" s="269"/>
      <c r="Z17" s="269"/>
      <c r="AA17" s="269"/>
      <c r="AB17" s="269"/>
      <c r="AC17" s="272"/>
      <c r="AD17" s="269"/>
      <c r="AE17" s="269"/>
      <c r="AF17" s="269"/>
      <c r="AG17" s="269"/>
      <c r="AH17" s="269"/>
      <c r="AI17" s="269"/>
      <c r="AJ17" s="269"/>
      <c r="AK17" s="269"/>
      <c r="AL17" s="269"/>
    </row>
    <row r="18" spans="1:38" ht="18.75" customHeight="1">
      <c r="A18" s="200" t="s">
        <v>2765</v>
      </c>
      <c r="B18" s="200" t="s">
        <v>2675</v>
      </c>
      <c r="C18" s="493" t="e">
        <f>VLOOKUP(B18,#REF!,2, FALSE())</f>
        <v>#REF!</v>
      </c>
      <c r="D18" s="264" t="s">
        <v>1494</v>
      </c>
      <c r="E18" s="265" t="e">
        <f>VLOOKUP(D18,#REF!,24, FALSE())</f>
        <v>#REF!</v>
      </c>
      <c r="F18" s="489" t="e">
        <f>VLOOKUP($D18,[1]velho!$A$15:$BG$207,28, FALSE())</f>
        <v>#N/A</v>
      </c>
      <c r="G18" s="490" t="e">
        <f>VLOOKUP($D18,[1]velho!$A$2:$BG$207,29, FALSE())</f>
        <v>#N/A</v>
      </c>
      <c r="H18" s="489" t="e">
        <f>VLOOKUP($D18,[1]velho!$A$2:$BG$207,30, FALSE())</f>
        <v>#N/A</v>
      </c>
      <c r="I18" s="490" t="e">
        <f>VLOOKUP($D18,[1]velho!$A$2:$BG$207,31, FALSE())</f>
        <v>#N/A</v>
      </c>
      <c r="J18" s="489" t="e">
        <f>VLOOKUP($D18,[1]velho!$A$2:$BG$207,32, FALSE())</f>
        <v>#N/A</v>
      </c>
      <c r="K18" s="490" t="e">
        <f>VLOOKUP($D18,[1]velho!$A$2:$BG$207,33, FALSE())</f>
        <v>#N/A</v>
      </c>
      <c r="L18" s="489" t="e">
        <f>VLOOKUP($D18,[1]velho!$A$2:$BG$207,34, FALSE())</f>
        <v>#N/A</v>
      </c>
      <c r="M18" s="490" t="e">
        <f>VLOOKUP($D18,[1]velho!$A$2:$BG$207,35, FALSE())</f>
        <v>#N/A</v>
      </c>
      <c r="N18" s="489" t="e">
        <f>VLOOKUP($D18,[1]velho!$A$2:$BG$207,36, FALSE())</f>
        <v>#N/A</v>
      </c>
      <c r="O18" s="490" t="e">
        <f>VLOOKUP($D18,[1]velho!$A$2:$BG$207,37, FALSE())</f>
        <v>#N/A</v>
      </c>
      <c r="P18" s="489" t="e">
        <f>VLOOKUP($D18,[1]velho!$A$2:$BG$207,38, FALSE())</f>
        <v>#N/A</v>
      </c>
      <c r="Q18" s="490" t="e">
        <f>VLOOKUP($D18,[1]velho!$A$2:$BG$207,39, FALSE())</f>
        <v>#N/A</v>
      </c>
      <c r="R18" s="491" t="e">
        <f>VLOOKUP($D18,[1]velho!$A$2:$BG$207,40, FALSE())</f>
        <v>#N/A</v>
      </c>
      <c r="S18" s="490" t="e">
        <f>VLOOKUP($D18,[1]velho!$A$2:$BG$207,41, FALSE())</f>
        <v>#N/A</v>
      </c>
      <c r="T18" s="489" t="e">
        <f>VLOOKUP($D18,[1]velho!$A$2:$BG$207,42, FALSE())</f>
        <v>#N/A</v>
      </c>
      <c r="U18" s="490" t="e">
        <f>VLOOKUP($D18,[1]velho!$A$2:$BG$207,43, FALSE())</f>
        <v>#N/A</v>
      </c>
      <c r="V18" s="489" t="e">
        <f>VLOOKUP($D18,[1]velho!$A$2:$BG$207,44, FALSE())</f>
        <v>#N/A</v>
      </c>
      <c r="W18" s="490" t="e">
        <f>VLOOKUP($D18,[1]velho!$A$2:$BG$207,45, FALSE())</f>
        <v>#N/A</v>
      </c>
      <c r="X18" s="489" t="e">
        <f>VLOOKUP($D18,[1]velho!$A$2:$BG$207,46, FALSE())</f>
        <v>#N/A</v>
      </c>
      <c r="Y18" s="490" t="e">
        <f>VLOOKUP($D18,[1]velho!$A$2:$BG$207,47, FALSE())</f>
        <v>#N/A</v>
      </c>
      <c r="Z18" s="489" t="e">
        <f>VLOOKUP($D18,[1]velho!$A$2:$BG$207,48, FALSE())</f>
        <v>#N/A</v>
      </c>
      <c r="AA18" s="490" t="e">
        <f>VLOOKUP($D18,[1]velho!$A$2:$BG$207,49, FALSE())</f>
        <v>#N/A</v>
      </c>
      <c r="AB18" s="489" t="e">
        <f>VLOOKUP($D18,[1]velho!$A$2:$BG$207,50, FALSE())</f>
        <v>#N/A</v>
      </c>
      <c r="AC18" s="492" t="e">
        <f>VLOOKUP($D18,[1]velho!$A$2:$BG$207,51, FALSE())</f>
        <v>#N/A</v>
      </c>
      <c r="AD18" s="489" t="e">
        <f>VLOOKUP($D18,[1]velho!$A$2:$BG$207,52, FALSE())</f>
        <v>#N/A</v>
      </c>
      <c r="AE18" s="490" t="e">
        <f>VLOOKUP($D18,[1]velho!$A$2:$BG$207,53, FALSE())</f>
        <v>#N/A</v>
      </c>
      <c r="AF18" s="489" t="e">
        <f>VLOOKUP($D18,[1]velho!$A$2:$BG$207,54, FALSE())</f>
        <v>#N/A</v>
      </c>
      <c r="AG18" s="490" t="e">
        <f>VLOOKUP($D18,[1]velho!$A$2:$BG$207,55, FALSE())</f>
        <v>#N/A</v>
      </c>
      <c r="AH18" s="489" t="e">
        <f>VLOOKUP($D18,[1]velho!$A$2:$BG$207,56, FALSE())</f>
        <v>#N/A</v>
      </c>
      <c r="AI18" s="490" t="e">
        <f>VLOOKUP($D18,[1]velho!$A$2:$BG$207,57, FALSE())</f>
        <v>#N/A</v>
      </c>
      <c r="AJ18" s="489" t="e">
        <f>VLOOKUP($D18,[1]velho!$A$2:$BG$207,58, FALSE())</f>
        <v>#N/A</v>
      </c>
      <c r="AK18" s="267"/>
      <c r="AL18" s="267"/>
    </row>
    <row r="19" spans="1:38" ht="18.75" customHeight="1">
      <c r="A19" s="494" t="e">
        <f>VLOOKUP(D18,[1]velho!$A$28:$X$207,21, FALSE())</f>
        <v>#N/A</v>
      </c>
      <c r="B19" s="478"/>
      <c r="C19" s="481"/>
      <c r="D19" s="495" t="e">
        <f>VLOOKUP(D18,[1]velho!$A$2:$Y$207,25, FALSE())</f>
        <v>#N/A</v>
      </c>
      <c r="E19" s="496"/>
      <c r="F19" s="481"/>
      <c r="G19" s="481"/>
      <c r="H19" s="481"/>
      <c r="I19" s="481"/>
      <c r="J19" s="481"/>
      <c r="K19" s="481"/>
      <c r="L19" s="481"/>
      <c r="M19" s="481"/>
      <c r="N19" s="481"/>
      <c r="O19" s="481"/>
      <c r="P19" s="481"/>
      <c r="Q19" s="481"/>
      <c r="R19" s="481"/>
      <c r="S19" s="481"/>
      <c r="T19" s="481"/>
      <c r="U19" s="481"/>
      <c r="V19" s="481"/>
      <c r="W19" s="481"/>
      <c r="X19" s="481"/>
      <c r="Y19" s="481"/>
      <c r="Z19" s="481"/>
      <c r="AA19" s="481"/>
      <c r="AB19" s="481"/>
      <c r="AC19" s="481"/>
      <c r="AD19" s="481"/>
      <c r="AE19" s="481"/>
      <c r="AF19" s="481"/>
      <c r="AG19" s="481"/>
      <c r="AH19" s="481"/>
      <c r="AI19" s="481"/>
      <c r="AJ19" s="481"/>
      <c r="AK19" s="267"/>
      <c r="AL19" s="267"/>
    </row>
    <row r="20" spans="1:38" ht="3.75" customHeight="1">
      <c r="A20" s="6"/>
      <c r="B20" s="6"/>
      <c r="C20" s="1"/>
      <c r="D20" s="6"/>
      <c r="E20" s="6"/>
      <c r="F20" s="268"/>
      <c r="G20" s="269"/>
      <c r="H20" s="269"/>
      <c r="I20" s="269"/>
      <c r="J20" s="268"/>
      <c r="K20" s="269"/>
      <c r="L20" s="269"/>
      <c r="M20" s="269"/>
      <c r="N20" s="269"/>
      <c r="O20" s="269"/>
      <c r="P20" s="268"/>
      <c r="Q20" s="269"/>
      <c r="R20" s="272"/>
      <c r="S20" s="269"/>
      <c r="T20" s="269"/>
      <c r="U20" s="269"/>
      <c r="V20" s="269"/>
      <c r="W20" s="269"/>
      <c r="X20" s="269"/>
      <c r="Y20" s="269"/>
      <c r="Z20" s="269"/>
      <c r="AA20" s="269"/>
      <c r="AB20" s="269"/>
      <c r="AC20" s="272"/>
      <c r="AD20" s="269"/>
      <c r="AE20" s="269"/>
      <c r="AF20" s="269"/>
      <c r="AG20" s="269"/>
      <c r="AH20" s="269"/>
      <c r="AI20" s="269"/>
      <c r="AJ20" s="269"/>
      <c r="AK20" s="269"/>
      <c r="AL20" s="269"/>
    </row>
    <row r="21" spans="1:38" ht="18.75" customHeight="1">
      <c r="A21" s="200" t="s">
        <v>2765</v>
      </c>
      <c r="B21" s="200" t="s">
        <v>2432</v>
      </c>
      <c r="C21" s="493" t="e">
        <f>VLOOKUP(B21,#REF!,2, FALSE())</f>
        <v>#REF!</v>
      </c>
      <c r="D21" s="264" t="s">
        <v>2469</v>
      </c>
      <c r="E21" s="265" t="e">
        <f>VLOOKUP(D21,#REF!,24, FALSE())</f>
        <v>#REF!</v>
      </c>
      <c r="F21" s="489" t="e">
        <f>VLOOKUP($D21,[1]velho!$A$15:$BG$207,28, FALSE())</f>
        <v>#N/A</v>
      </c>
      <c r="G21" s="490" t="e">
        <f>VLOOKUP($D21,[1]velho!$A$2:$BG$207,29, FALSE())</f>
        <v>#N/A</v>
      </c>
      <c r="H21" s="489" t="e">
        <f>VLOOKUP($D21,[1]velho!$A$2:$BG$207,30, FALSE())</f>
        <v>#N/A</v>
      </c>
      <c r="I21" s="490" t="e">
        <f>VLOOKUP($D21,[1]velho!$A$2:$BG$207,31, FALSE())</f>
        <v>#N/A</v>
      </c>
      <c r="J21" s="489" t="e">
        <f>VLOOKUP($D21,[1]velho!$A$2:$BG$207,32, FALSE())</f>
        <v>#N/A</v>
      </c>
      <c r="K21" s="490" t="e">
        <f>VLOOKUP($D21,[1]velho!$A$2:$BG$207,33, FALSE())</f>
        <v>#N/A</v>
      </c>
      <c r="L21" s="489" t="e">
        <f>VLOOKUP($D21,[1]velho!$A$2:$BG$207,34, FALSE())</f>
        <v>#N/A</v>
      </c>
      <c r="M21" s="490" t="e">
        <f>VLOOKUP($D21,[1]velho!$A$2:$BG$207,35, FALSE())</f>
        <v>#N/A</v>
      </c>
      <c r="N21" s="489" t="e">
        <f>VLOOKUP($D21,[1]velho!$A$2:$BG$207,36, FALSE())</f>
        <v>#N/A</v>
      </c>
      <c r="O21" s="490" t="e">
        <f>VLOOKUP($D21,[1]velho!$A$2:$BG$207,37, FALSE())</f>
        <v>#N/A</v>
      </c>
      <c r="P21" s="489" t="e">
        <f>VLOOKUP($D21,[1]velho!$A$2:$BG$207,38, FALSE())</f>
        <v>#N/A</v>
      </c>
      <c r="Q21" s="490" t="e">
        <f>VLOOKUP($D21,[1]velho!$A$2:$BG$207,39, FALSE())</f>
        <v>#N/A</v>
      </c>
      <c r="R21" s="491" t="e">
        <f>VLOOKUP($D21,[1]velho!$A$2:$BG$207,40, FALSE())</f>
        <v>#N/A</v>
      </c>
      <c r="S21" s="490" t="e">
        <f>VLOOKUP($D21,[1]velho!$A$2:$BG$207,41, FALSE())</f>
        <v>#N/A</v>
      </c>
      <c r="T21" s="489" t="e">
        <f>VLOOKUP($D21,[1]velho!$A$2:$BG$207,42, FALSE())</f>
        <v>#N/A</v>
      </c>
      <c r="U21" s="490" t="e">
        <f>VLOOKUP($D21,[1]velho!$A$2:$BG$207,43, FALSE())</f>
        <v>#N/A</v>
      </c>
      <c r="V21" s="489" t="e">
        <f>VLOOKUP($D21,[1]velho!$A$2:$BG$207,44, FALSE())</f>
        <v>#N/A</v>
      </c>
      <c r="W21" s="490" t="e">
        <f>VLOOKUP($D21,[1]velho!$A$2:$BG$207,45, FALSE())</f>
        <v>#N/A</v>
      </c>
      <c r="X21" s="489" t="e">
        <f>VLOOKUP($D21,[1]velho!$A$2:$BG$207,46, FALSE())</f>
        <v>#N/A</v>
      </c>
      <c r="Y21" s="490" t="e">
        <f>VLOOKUP($D21,[1]velho!$A$2:$BG$207,47, FALSE())</f>
        <v>#N/A</v>
      </c>
      <c r="Z21" s="489" t="e">
        <f>VLOOKUP($D21,[1]velho!$A$2:$BG$207,48, FALSE())</f>
        <v>#N/A</v>
      </c>
      <c r="AA21" s="490" t="e">
        <f>VLOOKUP($D21,[1]velho!$A$2:$BG$207,49, FALSE())</f>
        <v>#N/A</v>
      </c>
      <c r="AB21" s="489" t="e">
        <f>VLOOKUP($D21,[1]velho!$A$2:$BG$207,50, FALSE())</f>
        <v>#N/A</v>
      </c>
      <c r="AC21" s="492" t="e">
        <f>VLOOKUP($D21,[1]velho!$A$2:$BG$207,51, FALSE())</f>
        <v>#N/A</v>
      </c>
      <c r="AD21" s="489" t="e">
        <f>VLOOKUP($D21,[1]velho!$A$2:$BG$207,52, FALSE())</f>
        <v>#N/A</v>
      </c>
      <c r="AE21" s="490" t="e">
        <f>VLOOKUP($D21,[1]velho!$A$2:$BG$207,53, FALSE())</f>
        <v>#N/A</v>
      </c>
      <c r="AF21" s="489" t="e">
        <f>VLOOKUP($D21,[1]velho!$A$2:$BG$207,54, FALSE())</f>
        <v>#N/A</v>
      </c>
      <c r="AG21" s="490" t="e">
        <f>VLOOKUP($D21,[1]velho!$A$2:$BG$207,55, FALSE())</f>
        <v>#N/A</v>
      </c>
      <c r="AH21" s="489" t="e">
        <f>VLOOKUP($D21,[1]velho!$A$2:$BG$207,56, FALSE())</f>
        <v>#N/A</v>
      </c>
      <c r="AI21" s="490" t="e">
        <f>VLOOKUP($D21,[1]velho!$A$2:$BG$207,57, FALSE())</f>
        <v>#N/A</v>
      </c>
      <c r="AJ21" s="489" t="e">
        <f>VLOOKUP($D21,[1]velho!$A$2:$BG$207,58, FALSE())</f>
        <v>#N/A</v>
      </c>
      <c r="AK21" s="267"/>
      <c r="AL21" s="267"/>
    </row>
    <row r="22" spans="1:38" ht="18.75" customHeight="1">
      <c r="A22" s="494" t="e">
        <f>VLOOKUP(D21,[1]velho!$A$28:$X$207,21, FALSE())</f>
        <v>#N/A</v>
      </c>
      <c r="B22" s="478"/>
      <c r="C22" s="481"/>
      <c r="D22" s="495" t="e">
        <f>VLOOKUP(D21,[1]velho!$A$2:$Y$207,25, FALSE())</f>
        <v>#N/A</v>
      </c>
      <c r="E22" s="496"/>
      <c r="F22" s="481"/>
      <c r="G22" s="481"/>
      <c r="H22" s="481"/>
      <c r="I22" s="481"/>
      <c r="J22" s="481"/>
      <c r="K22" s="481"/>
      <c r="L22" s="481"/>
      <c r="M22" s="481"/>
      <c r="N22" s="481"/>
      <c r="O22" s="481"/>
      <c r="P22" s="481"/>
      <c r="Q22" s="481"/>
      <c r="R22" s="481"/>
      <c r="S22" s="481"/>
      <c r="T22" s="481"/>
      <c r="U22" s="481"/>
      <c r="V22" s="481"/>
      <c r="W22" s="481"/>
      <c r="X22" s="481"/>
      <c r="Y22" s="481"/>
      <c r="Z22" s="481"/>
      <c r="AA22" s="481"/>
      <c r="AB22" s="481"/>
      <c r="AC22" s="481"/>
      <c r="AD22" s="481"/>
      <c r="AE22" s="481"/>
      <c r="AF22" s="481"/>
      <c r="AG22" s="481"/>
      <c r="AH22" s="481"/>
      <c r="AI22" s="481"/>
      <c r="AJ22" s="481"/>
      <c r="AK22" s="267"/>
      <c r="AL22" s="267"/>
    </row>
    <row r="23" spans="1:38" ht="3.75" customHeight="1">
      <c r="A23" s="6"/>
      <c r="B23" s="6"/>
      <c r="C23" s="1"/>
      <c r="D23" s="6"/>
      <c r="E23" s="6"/>
      <c r="F23" s="268"/>
      <c r="G23" s="269"/>
      <c r="H23" s="269"/>
      <c r="I23" s="269"/>
      <c r="J23" s="268"/>
      <c r="K23" s="269"/>
      <c r="L23" s="269"/>
      <c r="M23" s="269"/>
      <c r="N23" s="269"/>
      <c r="O23" s="269"/>
      <c r="P23" s="268"/>
      <c r="Q23" s="269"/>
      <c r="R23" s="272"/>
      <c r="S23" s="269"/>
      <c r="T23" s="269"/>
      <c r="U23" s="269"/>
      <c r="V23" s="269"/>
      <c r="W23" s="269"/>
      <c r="X23" s="269"/>
      <c r="Y23" s="269"/>
      <c r="Z23" s="269"/>
      <c r="AA23" s="269"/>
      <c r="AB23" s="269"/>
      <c r="AC23" s="272"/>
      <c r="AD23" s="269"/>
      <c r="AE23" s="269"/>
      <c r="AF23" s="269"/>
      <c r="AG23" s="269"/>
      <c r="AH23" s="269"/>
      <c r="AI23" s="269"/>
      <c r="AJ23" s="269"/>
      <c r="AK23" s="269"/>
      <c r="AL23" s="269"/>
    </row>
    <row r="24" spans="1:38" ht="18.75" customHeight="1">
      <c r="A24" s="200" t="s">
        <v>2765</v>
      </c>
      <c r="B24" s="200" t="s">
        <v>2432</v>
      </c>
      <c r="C24" s="493" t="e">
        <f>VLOOKUP(B24,#REF!,2, FALSE())</f>
        <v>#REF!</v>
      </c>
      <c r="D24" s="264" t="s">
        <v>1466</v>
      </c>
      <c r="E24" s="265" t="e">
        <f>VLOOKUP(D24,#REF!,24, FALSE())</f>
        <v>#REF!</v>
      </c>
      <c r="F24" s="489" t="e">
        <f>VLOOKUP($D24,[1]velho!$A$15:$BG$207,28, FALSE())</f>
        <v>#N/A</v>
      </c>
      <c r="G24" s="490" t="e">
        <f>VLOOKUP($D24,[1]velho!$A$2:$BG$207,29, FALSE())</f>
        <v>#N/A</v>
      </c>
      <c r="H24" s="489" t="e">
        <f>VLOOKUP($D24,[1]velho!$A$2:$BG$207,30, FALSE())</f>
        <v>#N/A</v>
      </c>
      <c r="I24" s="490" t="e">
        <f>VLOOKUP($D24,[1]velho!$A$2:$BG$207,31, FALSE())</f>
        <v>#N/A</v>
      </c>
      <c r="J24" s="489" t="e">
        <f>VLOOKUP($D24,[1]velho!$A$2:$BG$207,32, FALSE())</f>
        <v>#N/A</v>
      </c>
      <c r="K24" s="490" t="e">
        <f>VLOOKUP($D24,[1]velho!$A$2:$BG$207,33, FALSE())</f>
        <v>#N/A</v>
      </c>
      <c r="L24" s="489" t="e">
        <f>VLOOKUP($D24,[1]velho!$A$2:$BG$207,34, FALSE())</f>
        <v>#N/A</v>
      </c>
      <c r="M24" s="490" t="e">
        <f>VLOOKUP($D24,[1]velho!$A$2:$BG$207,35, FALSE())</f>
        <v>#N/A</v>
      </c>
      <c r="N24" s="489" t="e">
        <f>VLOOKUP($D24,[1]velho!$A$2:$BG$207,36, FALSE())</f>
        <v>#N/A</v>
      </c>
      <c r="O24" s="490" t="e">
        <f>VLOOKUP($D24,[1]velho!$A$2:$BG$207,37, FALSE())</f>
        <v>#N/A</v>
      </c>
      <c r="P24" s="489" t="e">
        <f>VLOOKUP($D24,[1]velho!$A$2:$BG$207,38, FALSE())</f>
        <v>#N/A</v>
      </c>
      <c r="Q24" s="490" t="e">
        <f>VLOOKUP($D24,[1]velho!$A$2:$BG$207,39, FALSE())</f>
        <v>#N/A</v>
      </c>
      <c r="R24" s="491" t="e">
        <f>VLOOKUP($D24,[1]velho!$A$2:$BG$207,40, FALSE())</f>
        <v>#N/A</v>
      </c>
      <c r="S24" s="490" t="e">
        <f>VLOOKUP($D24,[1]velho!$A$2:$BG$207,41, FALSE())</f>
        <v>#N/A</v>
      </c>
      <c r="T24" s="489" t="e">
        <f>VLOOKUP($D24,[1]velho!$A$2:$BG$207,42, FALSE())</f>
        <v>#N/A</v>
      </c>
      <c r="U24" s="490" t="e">
        <f>VLOOKUP($D24,[1]velho!$A$2:$BG$207,43, FALSE())</f>
        <v>#N/A</v>
      </c>
      <c r="V24" s="489" t="e">
        <f>VLOOKUP($D24,[1]velho!$A$2:$BG$207,44, FALSE())</f>
        <v>#N/A</v>
      </c>
      <c r="W24" s="490" t="e">
        <f>VLOOKUP($D24,[1]velho!$A$2:$BG$207,45, FALSE())</f>
        <v>#N/A</v>
      </c>
      <c r="X24" s="489" t="e">
        <f>VLOOKUP($D24,[1]velho!$A$2:$BG$207,46, FALSE())</f>
        <v>#N/A</v>
      </c>
      <c r="Y24" s="490" t="e">
        <f>VLOOKUP($D24,[1]velho!$A$2:$BG$207,47, FALSE())</f>
        <v>#N/A</v>
      </c>
      <c r="Z24" s="489" t="e">
        <f>VLOOKUP($D24,[1]velho!$A$2:$BG$207,48, FALSE())</f>
        <v>#N/A</v>
      </c>
      <c r="AA24" s="490" t="e">
        <f>VLOOKUP($D24,[1]velho!$A$2:$BG$207,49, FALSE())</f>
        <v>#N/A</v>
      </c>
      <c r="AB24" s="489" t="e">
        <f>VLOOKUP($D24,[1]velho!$A$2:$BG$207,50, FALSE())</f>
        <v>#N/A</v>
      </c>
      <c r="AC24" s="492" t="e">
        <f>VLOOKUP($D24,[1]velho!$A$2:$BG$207,51, FALSE())</f>
        <v>#N/A</v>
      </c>
      <c r="AD24" s="489" t="e">
        <f>VLOOKUP($D24,[1]velho!$A$2:$BG$207,52, FALSE())</f>
        <v>#N/A</v>
      </c>
      <c r="AE24" s="490" t="e">
        <f>VLOOKUP($D24,[1]velho!$A$2:$BG$207,53, FALSE())</f>
        <v>#N/A</v>
      </c>
      <c r="AF24" s="489" t="e">
        <f>VLOOKUP($D24,[1]velho!$A$2:$BG$207,54, FALSE())</f>
        <v>#N/A</v>
      </c>
      <c r="AG24" s="490" t="e">
        <f>VLOOKUP($D24,[1]velho!$A$2:$BG$207,55, FALSE())</f>
        <v>#N/A</v>
      </c>
      <c r="AH24" s="489" t="e">
        <f>VLOOKUP($D24,[1]velho!$A$2:$BG$207,56, FALSE())</f>
        <v>#N/A</v>
      </c>
      <c r="AI24" s="490" t="e">
        <f>VLOOKUP($D24,[1]velho!$A$2:$BG$207,57, FALSE())</f>
        <v>#N/A</v>
      </c>
      <c r="AJ24" s="489" t="e">
        <f>VLOOKUP($D24,[1]velho!$A$2:$BG$207,58, FALSE())</f>
        <v>#N/A</v>
      </c>
      <c r="AK24" s="267"/>
      <c r="AL24" s="267"/>
    </row>
    <row r="25" spans="1:38" ht="18.75" customHeight="1">
      <c r="A25" s="494" t="e">
        <f>VLOOKUP(D24,[1]velho!$A$28:$X$207,21, FALSE())</f>
        <v>#N/A</v>
      </c>
      <c r="B25" s="478"/>
      <c r="C25" s="481"/>
      <c r="D25" s="495" t="e">
        <f>VLOOKUP(D24,[1]velho!$A$2:$Y$207,25, FALSE())</f>
        <v>#N/A</v>
      </c>
      <c r="E25" s="496"/>
      <c r="F25" s="481"/>
      <c r="G25" s="481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481"/>
      <c r="AC25" s="481"/>
      <c r="AD25" s="481"/>
      <c r="AE25" s="481"/>
      <c r="AF25" s="481"/>
      <c r="AG25" s="481"/>
      <c r="AH25" s="481"/>
      <c r="AI25" s="481"/>
      <c r="AJ25" s="481"/>
      <c r="AK25" s="267"/>
      <c r="AL25" s="267"/>
    </row>
    <row r="26" spans="1:38" ht="3.75" customHeight="1">
      <c r="A26" s="6"/>
      <c r="B26" s="6"/>
      <c r="C26" s="1"/>
      <c r="D26" s="6"/>
      <c r="E26" s="6"/>
      <c r="F26" s="268"/>
      <c r="G26" s="269"/>
      <c r="H26" s="269"/>
      <c r="I26" s="269"/>
      <c r="J26" s="268"/>
      <c r="K26" s="269"/>
      <c r="L26" s="269"/>
      <c r="M26" s="269"/>
      <c r="N26" s="269"/>
      <c r="O26" s="269"/>
      <c r="P26" s="268"/>
      <c r="Q26" s="269"/>
      <c r="R26" s="272"/>
      <c r="S26" s="269"/>
      <c r="T26" s="269"/>
      <c r="U26" s="269"/>
      <c r="V26" s="269"/>
      <c r="W26" s="269"/>
      <c r="X26" s="269"/>
      <c r="Y26" s="269"/>
      <c r="Z26" s="269"/>
      <c r="AA26" s="269"/>
      <c r="AB26" s="269"/>
      <c r="AC26" s="272"/>
      <c r="AD26" s="269"/>
      <c r="AE26" s="269"/>
      <c r="AF26" s="269"/>
      <c r="AG26" s="269"/>
      <c r="AH26" s="269"/>
      <c r="AI26" s="269"/>
      <c r="AJ26" s="269"/>
      <c r="AK26" s="269"/>
      <c r="AL26" s="269"/>
    </row>
    <row r="27" spans="1:38" ht="18.75" customHeight="1">
      <c r="A27" s="200" t="s">
        <v>2765</v>
      </c>
      <c r="B27" s="200" t="s">
        <v>2432</v>
      </c>
      <c r="C27" s="493" t="e">
        <f>VLOOKUP(B27,#REF!,2, FALSE())</f>
        <v>#REF!</v>
      </c>
      <c r="D27" s="264" t="s">
        <v>2450</v>
      </c>
      <c r="E27" s="265" t="e">
        <f>VLOOKUP(D27,#REF!,24, FALSE())</f>
        <v>#REF!</v>
      </c>
      <c r="F27" s="489" t="e">
        <f>VLOOKUP($D27,[1]velho!$A$15:$BG$207,28, FALSE())</f>
        <v>#N/A</v>
      </c>
      <c r="G27" s="490" t="e">
        <f>VLOOKUP($D27,[1]velho!$A$2:$BG$207,29, FALSE())</f>
        <v>#N/A</v>
      </c>
      <c r="H27" s="489" t="e">
        <f>VLOOKUP($D27,[1]velho!$A$2:$BG$207,30, FALSE())</f>
        <v>#N/A</v>
      </c>
      <c r="I27" s="490" t="e">
        <f>VLOOKUP($D27,[1]velho!$A$2:$BG$207,31, FALSE())</f>
        <v>#N/A</v>
      </c>
      <c r="J27" s="489" t="e">
        <f>VLOOKUP($D27,[1]velho!$A$2:$BG$207,32, FALSE())</f>
        <v>#N/A</v>
      </c>
      <c r="K27" s="490" t="e">
        <f>VLOOKUP($D27,[1]velho!$A$2:$BG$207,33, FALSE())</f>
        <v>#N/A</v>
      </c>
      <c r="L27" s="489" t="e">
        <f>VLOOKUP($D27,[1]velho!$A$2:$BG$207,34, FALSE())</f>
        <v>#N/A</v>
      </c>
      <c r="M27" s="490" t="e">
        <f>VLOOKUP($D27,[1]velho!$A$2:$BG$207,35, FALSE())</f>
        <v>#N/A</v>
      </c>
      <c r="N27" s="489" t="e">
        <f>VLOOKUP($D27,[1]velho!$A$2:$BG$207,36, FALSE())</f>
        <v>#N/A</v>
      </c>
      <c r="O27" s="490" t="e">
        <f>VLOOKUP($D27,[1]velho!$A$2:$BG$207,37, FALSE())</f>
        <v>#N/A</v>
      </c>
      <c r="P27" s="489" t="e">
        <f>VLOOKUP($D27,[1]velho!$A$2:$BG$207,38, FALSE())</f>
        <v>#N/A</v>
      </c>
      <c r="Q27" s="490" t="e">
        <f>VLOOKUP($D27,[1]velho!$A$2:$BG$207,39, FALSE())</f>
        <v>#N/A</v>
      </c>
      <c r="R27" s="491" t="e">
        <f>VLOOKUP($D27,[1]velho!$A$2:$BG$207,40, FALSE())</f>
        <v>#N/A</v>
      </c>
      <c r="S27" s="490" t="e">
        <f>VLOOKUP($D27,[1]velho!$A$2:$BG$207,41, FALSE())</f>
        <v>#N/A</v>
      </c>
      <c r="T27" s="489" t="e">
        <f>VLOOKUP($D27,[1]velho!$A$2:$BG$207,42, FALSE())</f>
        <v>#N/A</v>
      </c>
      <c r="U27" s="490" t="e">
        <f>VLOOKUP($D27,[1]velho!$A$2:$BG$207,43, FALSE())</f>
        <v>#N/A</v>
      </c>
      <c r="V27" s="489" t="e">
        <f>VLOOKUP($D27,[1]velho!$A$2:$BG$207,44, FALSE())</f>
        <v>#N/A</v>
      </c>
      <c r="W27" s="490" t="e">
        <f>VLOOKUP($D27,[1]velho!$A$2:$BG$207,45, FALSE())</f>
        <v>#N/A</v>
      </c>
      <c r="X27" s="489" t="e">
        <f>VLOOKUP($D27,[1]velho!$A$2:$BG$207,46, FALSE())</f>
        <v>#N/A</v>
      </c>
      <c r="Y27" s="490" t="e">
        <f>VLOOKUP($D27,[1]velho!$A$2:$BG$207,47, FALSE())</f>
        <v>#N/A</v>
      </c>
      <c r="Z27" s="489" t="e">
        <f>VLOOKUP($D27,[1]velho!$A$2:$BG$207,48, FALSE())</f>
        <v>#N/A</v>
      </c>
      <c r="AA27" s="490" t="e">
        <f>VLOOKUP($D27,[1]velho!$A$2:$BG$207,49, FALSE())</f>
        <v>#N/A</v>
      </c>
      <c r="AB27" s="489" t="e">
        <f>VLOOKUP($D27,[1]velho!$A$2:$BG$207,50, FALSE())</f>
        <v>#N/A</v>
      </c>
      <c r="AC27" s="492" t="e">
        <f>VLOOKUP($D27,[1]velho!$A$2:$BG$207,51, FALSE())</f>
        <v>#N/A</v>
      </c>
      <c r="AD27" s="489" t="e">
        <f>VLOOKUP($D27,[1]velho!$A$2:$BG$207,52, FALSE())</f>
        <v>#N/A</v>
      </c>
      <c r="AE27" s="490" t="e">
        <f>VLOOKUP($D27,[1]velho!$A$2:$BG$207,53, FALSE())</f>
        <v>#N/A</v>
      </c>
      <c r="AF27" s="489" t="e">
        <f>VLOOKUP($D27,[1]velho!$A$2:$BG$207,54, FALSE())</f>
        <v>#N/A</v>
      </c>
      <c r="AG27" s="490" t="e">
        <f>VLOOKUP($D27,[1]velho!$A$2:$BG$207,55, FALSE())</f>
        <v>#N/A</v>
      </c>
      <c r="AH27" s="489" t="e">
        <f>VLOOKUP($D27,[1]velho!$A$2:$BG$207,56, FALSE())</f>
        <v>#N/A</v>
      </c>
      <c r="AI27" s="490" t="e">
        <f>VLOOKUP($D27,[1]velho!$A$2:$BG$207,57, FALSE())</f>
        <v>#N/A</v>
      </c>
      <c r="AJ27" s="489" t="e">
        <f>VLOOKUP($D27,[1]velho!$A$2:$BG$207,58, FALSE())</f>
        <v>#N/A</v>
      </c>
      <c r="AK27" s="267"/>
      <c r="AL27" s="267"/>
    </row>
    <row r="28" spans="1:38" ht="18.75" customHeight="1">
      <c r="A28" s="494" t="e">
        <f>VLOOKUP(D27,[1]velho!$A$28:$X$207,21, FALSE())</f>
        <v>#N/A</v>
      </c>
      <c r="B28" s="478"/>
      <c r="C28" s="481"/>
      <c r="D28" s="495" t="e">
        <f>VLOOKUP(D27,[1]velho!$A$2:$Y$207,25, FALSE())</f>
        <v>#N/A</v>
      </c>
      <c r="E28" s="496"/>
      <c r="F28" s="481"/>
      <c r="G28" s="481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1"/>
      <c r="AA28" s="481"/>
      <c r="AB28" s="481"/>
      <c r="AC28" s="481"/>
      <c r="AD28" s="481"/>
      <c r="AE28" s="481"/>
      <c r="AF28" s="481"/>
      <c r="AG28" s="481"/>
      <c r="AH28" s="481"/>
      <c r="AI28" s="481"/>
      <c r="AJ28" s="481"/>
      <c r="AK28" s="267"/>
      <c r="AL28" s="267"/>
    </row>
    <row r="29" spans="1:38" ht="3.75" customHeight="1">
      <c r="A29" s="6"/>
      <c r="B29" s="6"/>
      <c r="C29" s="1"/>
      <c r="D29" s="6"/>
      <c r="E29" s="6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72"/>
      <c r="S29" s="269"/>
      <c r="T29" s="269"/>
      <c r="U29" s="269"/>
      <c r="V29" s="269"/>
      <c r="W29" s="269"/>
      <c r="X29" s="269"/>
      <c r="Y29" s="269"/>
      <c r="Z29" s="269"/>
      <c r="AA29" s="269"/>
      <c r="AB29" s="269"/>
      <c r="AC29" s="269"/>
      <c r="AD29" s="269"/>
      <c r="AE29" s="269"/>
      <c r="AF29" s="269"/>
      <c r="AG29" s="269"/>
      <c r="AH29" s="269"/>
      <c r="AI29" s="269"/>
      <c r="AJ29" s="269"/>
      <c r="AK29" s="269"/>
      <c r="AL29" s="269"/>
    </row>
    <row r="30" spans="1:38" ht="18.75" customHeight="1">
      <c r="A30" s="200" t="s">
        <v>2765</v>
      </c>
      <c r="B30" s="200" t="s">
        <v>92</v>
      </c>
      <c r="C30" s="493" t="e">
        <f>VLOOKUP(B30,#REF!,2, FALSE())</f>
        <v>#REF!</v>
      </c>
      <c r="D30" s="264" t="s">
        <v>1460</v>
      </c>
      <c r="E30" s="265" t="e">
        <f>VLOOKUP(D30,#REF!,2, FALSE())</f>
        <v>#REF!</v>
      </c>
      <c r="F30" s="489" t="e">
        <f>VLOOKUP($D30,[1]velho!$A$15:$BG$207,28, FALSE())</f>
        <v>#N/A</v>
      </c>
      <c r="G30" s="490" t="e">
        <f>VLOOKUP($D30,[1]velho!$A$2:$BG$207,29, FALSE())</f>
        <v>#N/A</v>
      </c>
      <c r="H30" s="489" t="e">
        <f>VLOOKUP($D30,[1]velho!$A$2:$BG$207,30, FALSE())</f>
        <v>#N/A</v>
      </c>
      <c r="I30" s="490" t="e">
        <f>VLOOKUP($D30,[1]velho!$A$2:$BG$207,31, FALSE())</f>
        <v>#N/A</v>
      </c>
      <c r="J30" s="489" t="e">
        <f>VLOOKUP($D30,[1]velho!$A$2:$BG$207,32, FALSE())</f>
        <v>#N/A</v>
      </c>
      <c r="K30" s="490" t="e">
        <f>VLOOKUP($D30,[1]velho!$A$2:$BG$207,33, FALSE())</f>
        <v>#N/A</v>
      </c>
      <c r="L30" s="489" t="e">
        <f>VLOOKUP($D30,[1]velho!$A$2:$BG$207,34, FALSE())</f>
        <v>#N/A</v>
      </c>
      <c r="M30" s="490" t="e">
        <f>VLOOKUP($D30,[1]velho!$A$2:$BG$207,35, FALSE())</f>
        <v>#N/A</v>
      </c>
      <c r="N30" s="489" t="e">
        <f>VLOOKUP($D30,[1]velho!$A$2:$BG$207,36, FALSE())</f>
        <v>#N/A</v>
      </c>
      <c r="O30" s="490" t="e">
        <f>VLOOKUP($D30,[1]velho!$A$2:$BG$207,37, FALSE())</f>
        <v>#N/A</v>
      </c>
      <c r="P30" s="489" t="e">
        <f>VLOOKUP($D30,[1]velho!$A$2:$BG$207,38, FALSE())</f>
        <v>#N/A</v>
      </c>
      <c r="Q30" s="490" t="e">
        <f>VLOOKUP($D30,[1]velho!$A$2:$BG$207,39, FALSE())</f>
        <v>#N/A</v>
      </c>
      <c r="R30" s="491" t="e">
        <f>VLOOKUP($D30,[1]velho!$A$2:$BG$207,40, FALSE())</f>
        <v>#N/A</v>
      </c>
      <c r="S30" s="490" t="e">
        <f>VLOOKUP($D30,[1]velho!$A$2:$BG$207,41, FALSE())</f>
        <v>#N/A</v>
      </c>
      <c r="T30" s="489" t="e">
        <f>VLOOKUP($D30,[1]velho!$A$2:$BG$207,42, FALSE())</f>
        <v>#N/A</v>
      </c>
      <c r="U30" s="490" t="e">
        <f>VLOOKUP($D30,[1]velho!$A$2:$BG$207,43, FALSE())</f>
        <v>#N/A</v>
      </c>
      <c r="V30" s="489" t="e">
        <f>VLOOKUP($D30,[1]velho!$A$2:$BG$207,44, FALSE())</f>
        <v>#N/A</v>
      </c>
      <c r="W30" s="490" t="e">
        <f>VLOOKUP($D30,[1]velho!$A$2:$BG$207,45, FALSE())</f>
        <v>#N/A</v>
      </c>
      <c r="X30" s="489" t="e">
        <f>VLOOKUP($D30,[1]velho!$A$2:$BG$207,46, FALSE())</f>
        <v>#N/A</v>
      </c>
      <c r="Y30" s="490" t="e">
        <f>VLOOKUP($D30,[1]velho!$A$2:$BG$207,47, FALSE())</f>
        <v>#N/A</v>
      </c>
      <c r="Z30" s="489" t="e">
        <f>VLOOKUP($D30,[1]velho!$A$2:$BG$207,48, FALSE())</f>
        <v>#N/A</v>
      </c>
      <c r="AA30" s="490" t="e">
        <f>VLOOKUP($D30,[1]velho!$A$2:$BG$207,49, FALSE())</f>
        <v>#N/A</v>
      </c>
      <c r="AB30" s="489" t="e">
        <f>VLOOKUP($D30,[1]velho!$A$2:$BG$207,50, FALSE())</f>
        <v>#N/A</v>
      </c>
      <c r="AC30" s="492" t="e">
        <f>VLOOKUP($D30,[1]velho!$A$2:$BG$207,51, FALSE())</f>
        <v>#N/A</v>
      </c>
      <c r="AD30" s="489" t="e">
        <f>VLOOKUP($D30,[1]velho!$A$2:$BG$207,52, FALSE())</f>
        <v>#N/A</v>
      </c>
      <c r="AE30" s="490" t="e">
        <f>VLOOKUP($D30,[1]velho!$A$2:$BG$207,53, FALSE())</f>
        <v>#N/A</v>
      </c>
      <c r="AF30" s="489" t="e">
        <f>VLOOKUP($D30,[1]velho!$A$2:$BG$207,54, FALSE())</f>
        <v>#N/A</v>
      </c>
      <c r="AG30" s="490" t="e">
        <f>VLOOKUP($D30,[1]velho!$A$2:$BG$207,55, FALSE())</f>
        <v>#N/A</v>
      </c>
      <c r="AH30" s="489" t="e">
        <f>VLOOKUP($D30,[1]velho!$A$2:$BG$207,56, FALSE())</f>
        <v>#N/A</v>
      </c>
      <c r="AI30" s="490" t="e">
        <f>VLOOKUP($D30,[1]velho!$A$2:$BG$207,57, FALSE())</f>
        <v>#N/A</v>
      </c>
      <c r="AJ30" s="489" t="e">
        <f>VLOOKUP($D30,[1]velho!$A$2:$BG$207,58, FALSE())</f>
        <v>#N/A</v>
      </c>
      <c r="AK30" s="267"/>
      <c r="AL30" s="267"/>
    </row>
    <row r="31" spans="1:38" ht="18.75" customHeight="1">
      <c r="A31" s="494" t="e">
        <f>VLOOKUP(D30,[1]velho!$A$28:$X$207,21, FALSE())</f>
        <v>#N/A</v>
      </c>
      <c r="B31" s="478"/>
      <c r="C31" s="481"/>
      <c r="D31" s="495" t="e">
        <f>VLOOKUP(D30,[1]velho!$A$2:$Y$207,25, FALSE())</f>
        <v>#N/A</v>
      </c>
      <c r="E31" s="496"/>
      <c r="F31" s="481"/>
      <c r="G31" s="481"/>
      <c r="H31" s="481"/>
      <c r="I31" s="481"/>
      <c r="J31" s="481"/>
      <c r="K31" s="481"/>
      <c r="L31" s="481"/>
      <c r="M31" s="481"/>
      <c r="N31" s="481"/>
      <c r="O31" s="481"/>
      <c r="P31" s="481"/>
      <c r="Q31" s="481"/>
      <c r="R31" s="481"/>
      <c r="S31" s="481"/>
      <c r="T31" s="481"/>
      <c r="U31" s="481"/>
      <c r="V31" s="481"/>
      <c r="W31" s="481"/>
      <c r="X31" s="481"/>
      <c r="Y31" s="481"/>
      <c r="Z31" s="481"/>
      <c r="AA31" s="481"/>
      <c r="AB31" s="481"/>
      <c r="AC31" s="481"/>
      <c r="AD31" s="481"/>
      <c r="AE31" s="481"/>
      <c r="AF31" s="481"/>
      <c r="AG31" s="481"/>
      <c r="AH31" s="481"/>
      <c r="AI31" s="481"/>
      <c r="AJ31" s="481"/>
      <c r="AK31" s="267"/>
      <c r="AL31" s="267"/>
    </row>
    <row r="32" spans="1:38" ht="3.75" customHeight="1">
      <c r="A32" s="6"/>
      <c r="B32" s="6"/>
      <c r="C32" s="1"/>
      <c r="D32" s="6"/>
      <c r="E32" s="6"/>
      <c r="F32" s="268"/>
      <c r="G32" s="269"/>
      <c r="H32" s="269"/>
      <c r="I32" s="269"/>
      <c r="J32" s="268"/>
      <c r="K32" s="269"/>
      <c r="L32" s="269"/>
      <c r="M32" s="269"/>
      <c r="N32" s="269"/>
      <c r="O32" s="269"/>
      <c r="P32" s="268"/>
      <c r="Q32" s="269"/>
      <c r="R32" s="272"/>
      <c r="S32" s="269"/>
      <c r="T32" s="269"/>
      <c r="U32" s="269"/>
      <c r="V32" s="269"/>
      <c r="W32" s="269"/>
      <c r="X32" s="269"/>
      <c r="Y32" s="269"/>
      <c r="Z32" s="269"/>
      <c r="AA32" s="269"/>
      <c r="AB32" s="269"/>
      <c r="AC32" s="272"/>
      <c r="AD32" s="269"/>
      <c r="AE32" s="269"/>
      <c r="AF32" s="269"/>
      <c r="AG32" s="269"/>
      <c r="AH32" s="269"/>
      <c r="AI32" s="269"/>
      <c r="AJ32" s="269"/>
      <c r="AK32" s="269"/>
      <c r="AL32" s="269"/>
    </row>
    <row r="33" spans="1:38" ht="18.75" customHeight="1">
      <c r="A33" s="200" t="s">
        <v>2765</v>
      </c>
      <c r="B33" s="200" t="s">
        <v>606</v>
      </c>
      <c r="C33" s="493" t="e">
        <f>VLOOKUP(B33,#REF!,2, FALSE())</f>
        <v>#REF!</v>
      </c>
      <c r="D33" s="264" t="s">
        <v>1427</v>
      </c>
      <c r="E33" s="265" t="e">
        <f>VLOOKUP(D33,#REF!,2, FALSE())</f>
        <v>#REF!</v>
      </c>
      <c r="F33" s="489" t="e">
        <f>VLOOKUP($D33,[1]velho!$A$15:$BG$207,28, FALSE())</f>
        <v>#N/A</v>
      </c>
      <c r="G33" s="490" t="e">
        <f>VLOOKUP($D33,[1]velho!$A$2:$BG$207,29, FALSE())</f>
        <v>#N/A</v>
      </c>
      <c r="H33" s="489" t="e">
        <f>VLOOKUP($D33,[1]velho!$A$2:$BG$207,30, FALSE())</f>
        <v>#N/A</v>
      </c>
      <c r="I33" s="490" t="e">
        <f>VLOOKUP($D33,[1]velho!$A$2:$BG$207,31, FALSE())</f>
        <v>#N/A</v>
      </c>
      <c r="J33" s="489" t="e">
        <f>VLOOKUP($D33,[1]velho!$A$2:$BG$207,32, FALSE())</f>
        <v>#N/A</v>
      </c>
      <c r="K33" s="490" t="e">
        <f>VLOOKUP($D33,[1]velho!$A$2:$BG$207,33, FALSE())</f>
        <v>#N/A</v>
      </c>
      <c r="L33" s="489" t="e">
        <f>VLOOKUP($D33,[1]velho!$A$2:$BG$207,34, FALSE())</f>
        <v>#N/A</v>
      </c>
      <c r="M33" s="490" t="e">
        <f>VLOOKUP($D33,[1]velho!$A$2:$BG$207,35, FALSE())</f>
        <v>#N/A</v>
      </c>
      <c r="N33" s="489" t="e">
        <f>VLOOKUP($D33,[1]velho!$A$2:$BG$207,36, FALSE())</f>
        <v>#N/A</v>
      </c>
      <c r="O33" s="490" t="e">
        <f>VLOOKUP($D33,[1]velho!$A$2:$BG$207,37, FALSE())</f>
        <v>#N/A</v>
      </c>
      <c r="P33" s="489" t="e">
        <f>VLOOKUP($D33,[1]velho!$A$2:$BG$207,38, FALSE())</f>
        <v>#N/A</v>
      </c>
      <c r="Q33" s="490" t="e">
        <f>VLOOKUP($D33,[1]velho!$A$2:$BG$207,39, FALSE())</f>
        <v>#N/A</v>
      </c>
      <c r="R33" s="491" t="e">
        <f>VLOOKUP($D33,[1]velho!$A$2:$BG$207,40, FALSE())</f>
        <v>#N/A</v>
      </c>
      <c r="S33" s="490" t="e">
        <f>VLOOKUP($D33,[1]velho!$A$2:$BG$207,41, FALSE())</f>
        <v>#N/A</v>
      </c>
      <c r="T33" s="489" t="e">
        <f>VLOOKUP($D33,[1]velho!$A$2:$BG$207,42, FALSE())</f>
        <v>#N/A</v>
      </c>
      <c r="U33" s="490" t="e">
        <f>VLOOKUP($D33,[1]velho!$A$2:$BG$207,43, FALSE())</f>
        <v>#N/A</v>
      </c>
      <c r="V33" s="489" t="e">
        <f>VLOOKUP($D33,[1]velho!$A$2:$BG$207,44, FALSE())</f>
        <v>#N/A</v>
      </c>
      <c r="W33" s="490" t="e">
        <f>VLOOKUP($D33,[1]velho!$A$2:$BG$207,45, FALSE())</f>
        <v>#N/A</v>
      </c>
      <c r="X33" s="489" t="e">
        <f>VLOOKUP($D33,[1]velho!$A$2:$BG$207,46, FALSE())</f>
        <v>#N/A</v>
      </c>
      <c r="Y33" s="490" t="e">
        <f>VLOOKUP($D33,[1]velho!$A$2:$BG$207,47, FALSE())</f>
        <v>#N/A</v>
      </c>
      <c r="Z33" s="489" t="e">
        <f>VLOOKUP($D33,[1]velho!$A$2:$BG$207,48, FALSE())</f>
        <v>#N/A</v>
      </c>
      <c r="AA33" s="490" t="e">
        <f>VLOOKUP($D33,[1]velho!$A$2:$BG$207,49, FALSE())</f>
        <v>#N/A</v>
      </c>
      <c r="AB33" s="489" t="e">
        <f>VLOOKUP($D33,[1]velho!$A$2:$BG$207,50, FALSE())</f>
        <v>#N/A</v>
      </c>
      <c r="AC33" s="492" t="e">
        <f>VLOOKUP($D33,[1]velho!$A$2:$BG$207,51, FALSE())</f>
        <v>#N/A</v>
      </c>
      <c r="AD33" s="489" t="e">
        <f>VLOOKUP($D33,[1]velho!$A$2:$BG$207,52, FALSE())</f>
        <v>#N/A</v>
      </c>
      <c r="AE33" s="490" t="e">
        <f>VLOOKUP($D33,[1]velho!$A$2:$BG$207,53, FALSE())</f>
        <v>#N/A</v>
      </c>
      <c r="AF33" s="489" t="e">
        <f>VLOOKUP($D33,[1]velho!$A$2:$BG$207,54, FALSE())</f>
        <v>#N/A</v>
      </c>
      <c r="AG33" s="490" t="e">
        <f>VLOOKUP($D33,[1]velho!$A$2:$BG$207,55, FALSE())</f>
        <v>#N/A</v>
      </c>
      <c r="AH33" s="489" t="e">
        <f>VLOOKUP($D33,[1]velho!$A$2:$BG$207,56, FALSE())</f>
        <v>#N/A</v>
      </c>
      <c r="AI33" s="490" t="e">
        <f>VLOOKUP($D33,[1]velho!$A$2:$BG$207,57, FALSE())</f>
        <v>#N/A</v>
      </c>
      <c r="AJ33" s="489" t="e">
        <f>VLOOKUP($D33,[1]velho!$A$2:$BG$207,58, FALSE())</f>
        <v>#N/A</v>
      </c>
      <c r="AK33" s="267"/>
      <c r="AL33" s="267"/>
    </row>
    <row r="34" spans="1:38" ht="18.75" customHeight="1">
      <c r="A34" s="494" t="e">
        <f>VLOOKUP(D33,[1]velho!$A$28:$X$207,21, FALSE())</f>
        <v>#N/A</v>
      </c>
      <c r="B34" s="478"/>
      <c r="C34" s="481"/>
      <c r="D34" s="495" t="e">
        <f>VLOOKUP(D33,[1]velho!$A$2:$Y$207,25, FALSE())</f>
        <v>#N/A</v>
      </c>
      <c r="E34" s="496"/>
      <c r="F34" s="481"/>
      <c r="G34" s="481"/>
      <c r="H34" s="481"/>
      <c r="I34" s="481"/>
      <c r="J34" s="481"/>
      <c r="K34" s="481"/>
      <c r="L34" s="481"/>
      <c r="M34" s="481"/>
      <c r="N34" s="481"/>
      <c r="O34" s="481"/>
      <c r="P34" s="481"/>
      <c r="Q34" s="481"/>
      <c r="R34" s="481"/>
      <c r="S34" s="481"/>
      <c r="T34" s="481"/>
      <c r="U34" s="481"/>
      <c r="V34" s="481"/>
      <c r="W34" s="481"/>
      <c r="X34" s="481"/>
      <c r="Y34" s="481"/>
      <c r="Z34" s="481"/>
      <c r="AA34" s="481"/>
      <c r="AB34" s="481"/>
      <c r="AC34" s="481"/>
      <c r="AD34" s="481"/>
      <c r="AE34" s="481"/>
      <c r="AF34" s="481"/>
      <c r="AG34" s="481"/>
      <c r="AH34" s="481"/>
      <c r="AI34" s="481"/>
      <c r="AJ34" s="481"/>
      <c r="AK34" s="267"/>
      <c r="AL34" s="267"/>
    </row>
    <row r="35" spans="1:38" ht="3.75" customHeight="1">
      <c r="A35" s="6"/>
      <c r="B35" s="6"/>
      <c r="C35" s="1"/>
      <c r="D35" s="6"/>
      <c r="E35" s="6"/>
      <c r="F35" s="268"/>
      <c r="G35" s="269"/>
      <c r="H35" s="269"/>
      <c r="I35" s="269"/>
      <c r="J35" s="268"/>
      <c r="K35" s="269"/>
      <c r="L35" s="269"/>
      <c r="M35" s="269"/>
      <c r="N35" s="269"/>
      <c r="O35" s="269"/>
      <c r="P35" s="268"/>
      <c r="Q35" s="269"/>
      <c r="R35" s="272"/>
      <c r="S35" s="269"/>
      <c r="T35" s="269"/>
      <c r="U35" s="269"/>
      <c r="V35" s="269"/>
      <c r="W35" s="269"/>
      <c r="X35" s="269"/>
      <c r="Y35" s="269"/>
      <c r="Z35" s="269"/>
      <c r="AA35" s="269"/>
      <c r="AB35" s="269"/>
      <c r="AC35" s="272"/>
      <c r="AD35" s="269"/>
      <c r="AE35" s="269"/>
      <c r="AF35" s="269"/>
      <c r="AG35" s="269"/>
      <c r="AH35" s="269"/>
      <c r="AI35" s="269"/>
      <c r="AJ35" s="269"/>
      <c r="AK35" s="269"/>
      <c r="AL35" s="269"/>
    </row>
    <row r="36" spans="1:38" ht="18.75" customHeight="1">
      <c r="A36" s="200" t="s">
        <v>2765</v>
      </c>
      <c r="B36" s="200" t="s">
        <v>2458</v>
      </c>
      <c r="C36" s="493" t="e">
        <f>VLOOKUP(B36,#REF!,2, FALSE())</f>
        <v>#REF!</v>
      </c>
      <c r="D36" s="264" t="s">
        <v>2578</v>
      </c>
      <c r="E36" s="265" t="e">
        <f>VLOOKUP(D36,#REF!,2, FALSE())</f>
        <v>#REF!</v>
      </c>
      <c r="F36" s="489" t="e">
        <f>VLOOKUP($D36,[1]velho!$A$15:$BG$207,28, FALSE())</f>
        <v>#N/A</v>
      </c>
      <c r="G36" s="490" t="e">
        <f>VLOOKUP($D36,[1]velho!$A$2:$BG$207,29, FALSE())</f>
        <v>#N/A</v>
      </c>
      <c r="H36" s="489" t="e">
        <f>VLOOKUP($D36,[1]velho!$A$2:$BG$207,30, FALSE())</f>
        <v>#N/A</v>
      </c>
      <c r="I36" s="490" t="e">
        <f>VLOOKUP($D36,[1]velho!$A$2:$BG$207,31, FALSE())</f>
        <v>#N/A</v>
      </c>
      <c r="J36" s="489" t="e">
        <f>VLOOKUP($D36,[1]velho!$A$2:$BG$207,32, FALSE())</f>
        <v>#N/A</v>
      </c>
      <c r="K36" s="490" t="e">
        <f>VLOOKUP($D36,[1]velho!$A$2:$BG$207,33, FALSE())</f>
        <v>#N/A</v>
      </c>
      <c r="L36" s="489" t="e">
        <f>VLOOKUP($D36,[1]velho!$A$2:$BG$207,34, FALSE())</f>
        <v>#N/A</v>
      </c>
      <c r="M36" s="490" t="e">
        <f>VLOOKUP($D36,[1]velho!$A$2:$BG$207,35, FALSE())</f>
        <v>#N/A</v>
      </c>
      <c r="N36" s="489" t="e">
        <f>VLOOKUP($D36,[1]velho!$A$2:$BG$207,36, FALSE())</f>
        <v>#N/A</v>
      </c>
      <c r="O36" s="490" t="e">
        <f>VLOOKUP($D36,[1]velho!$A$2:$BG$207,37, FALSE())</f>
        <v>#N/A</v>
      </c>
      <c r="P36" s="489" t="e">
        <f>VLOOKUP($D36,[1]velho!$A$2:$BG$207,38, FALSE())</f>
        <v>#N/A</v>
      </c>
      <c r="Q36" s="490" t="e">
        <f>VLOOKUP($D36,[1]velho!$A$2:$BG$207,39, FALSE())</f>
        <v>#N/A</v>
      </c>
      <c r="R36" s="491" t="e">
        <f>VLOOKUP($D36,[1]velho!$A$2:$BG$207,40, FALSE())</f>
        <v>#N/A</v>
      </c>
      <c r="S36" s="490" t="e">
        <f>VLOOKUP($D36,[1]velho!$A$2:$BG$207,41, FALSE())</f>
        <v>#N/A</v>
      </c>
      <c r="T36" s="489" t="e">
        <f>VLOOKUP($D36,[1]velho!$A$2:$BG$207,42, FALSE())</f>
        <v>#N/A</v>
      </c>
      <c r="U36" s="490" t="e">
        <f>VLOOKUP($D36,[1]velho!$A$2:$BG$207,43, FALSE())</f>
        <v>#N/A</v>
      </c>
      <c r="V36" s="489" t="e">
        <f>VLOOKUP($D36,[1]velho!$A$2:$BG$207,44, FALSE())</f>
        <v>#N/A</v>
      </c>
      <c r="W36" s="490" t="e">
        <f>VLOOKUP($D36,[1]velho!$A$2:$BG$207,45, FALSE())</f>
        <v>#N/A</v>
      </c>
      <c r="X36" s="489" t="e">
        <f>VLOOKUP($D36,[1]velho!$A$2:$BG$207,46, FALSE())</f>
        <v>#N/A</v>
      </c>
      <c r="Y36" s="490" t="e">
        <f>VLOOKUP($D36,[1]velho!$A$2:$BG$207,47, FALSE())</f>
        <v>#N/A</v>
      </c>
      <c r="Z36" s="489" t="e">
        <f>VLOOKUP($D36,[1]velho!$A$2:$BG$207,48, FALSE())</f>
        <v>#N/A</v>
      </c>
      <c r="AA36" s="490" t="e">
        <f>VLOOKUP($D36,[1]velho!$A$2:$BG$207,49, FALSE())</f>
        <v>#N/A</v>
      </c>
      <c r="AB36" s="489" t="e">
        <f>VLOOKUP($D36,[1]velho!$A$2:$BG$207,50, FALSE())</f>
        <v>#N/A</v>
      </c>
      <c r="AC36" s="492" t="e">
        <f>VLOOKUP($D36,[1]velho!$A$2:$BG$207,51, FALSE())</f>
        <v>#N/A</v>
      </c>
      <c r="AD36" s="489" t="e">
        <f>VLOOKUP($D36,[1]velho!$A$2:$BG$207,52, FALSE())</f>
        <v>#N/A</v>
      </c>
      <c r="AE36" s="490" t="e">
        <f>VLOOKUP($D36,[1]velho!$A$2:$BG$207,53, FALSE())</f>
        <v>#N/A</v>
      </c>
      <c r="AF36" s="489" t="e">
        <f>VLOOKUP($D36,[1]velho!$A$2:$BG$207,54, FALSE())</f>
        <v>#N/A</v>
      </c>
      <c r="AG36" s="490" t="e">
        <f>VLOOKUP($D36,[1]velho!$A$2:$BG$207,55, FALSE())</f>
        <v>#N/A</v>
      </c>
      <c r="AH36" s="489" t="e">
        <f>VLOOKUP($D36,[1]velho!$A$2:$BG$207,56, FALSE())</f>
        <v>#N/A</v>
      </c>
      <c r="AI36" s="490" t="e">
        <f>VLOOKUP($D36,[1]velho!$A$2:$BG$207,57, FALSE())</f>
        <v>#N/A</v>
      </c>
      <c r="AJ36" s="489" t="e">
        <f>VLOOKUP($D36,[1]velho!$A$2:$BG$207,58, FALSE())</f>
        <v>#N/A</v>
      </c>
      <c r="AK36" s="267"/>
      <c r="AL36" s="267"/>
    </row>
    <row r="37" spans="1:38" ht="18.75" customHeight="1">
      <c r="A37" s="505" t="e">
        <f>VLOOKUP(D36,[1]velho!$A$28:$X$207,21, FALSE())</f>
        <v>#N/A</v>
      </c>
      <c r="B37" s="478"/>
      <c r="C37" s="481"/>
      <c r="D37" s="495" t="e">
        <f>VLOOKUP(D36,[1]velho!$A$2:$Y$207,25, FALSE())</f>
        <v>#N/A</v>
      </c>
      <c r="E37" s="496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481"/>
      <c r="R37" s="481"/>
      <c r="S37" s="481"/>
      <c r="T37" s="481"/>
      <c r="U37" s="481"/>
      <c r="V37" s="481"/>
      <c r="W37" s="481"/>
      <c r="X37" s="481"/>
      <c r="Y37" s="481"/>
      <c r="Z37" s="481"/>
      <c r="AA37" s="481"/>
      <c r="AB37" s="481"/>
      <c r="AC37" s="481"/>
      <c r="AD37" s="481"/>
      <c r="AE37" s="481"/>
      <c r="AF37" s="481"/>
      <c r="AG37" s="481"/>
      <c r="AH37" s="481"/>
      <c r="AI37" s="481"/>
      <c r="AJ37" s="481"/>
      <c r="AK37" s="267"/>
      <c r="AL37" s="267"/>
    </row>
    <row r="38" spans="1:38" ht="22.5" customHeight="1">
      <c r="A38" s="497">
        <f>A1</f>
        <v>45323</v>
      </c>
      <c r="B38" s="498"/>
      <c r="C38" s="498"/>
      <c r="D38" s="498"/>
      <c r="E38" s="499"/>
      <c r="F38" s="258">
        <f t="shared" ref="F38:AJ38" si="2">F39</f>
        <v>45323</v>
      </c>
      <c r="G38" s="259">
        <f t="shared" si="2"/>
        <v>45324</v>
      </c>
      <c r="H38" s="259">
        <f t="shared" si="2"/>
        <v>45325</v>
      </c>
      <c r="I38" s="259">
        <f t="shared" si="2"/>
        <v>45326</v>
      </c>
      <c r="J38" s="258">
        <f t="shared" si="2"/>
        <v>45327</v>
      </c>
      <c r="K38" s="259">
        <f t="shared" si="2"/>
        <v>45328</v>
      </c>
      <c r="L38" s="259">
        <f t="shared" si="2"/>
        <v>45329</v>
      </c>
      <c r="M38" s="259">
        <f t="shared" si="2"/>
        <v>45330</v>
      </c>
      <c r="N38" s="259">
        <f t="shared" si="2"/>
        <v>45331</v>
      </c>
      <c r="O38" s="259">
        <f t="shared" si="2"/>
        <v>45332</v>
      </c>
      <c r="P38" s="259">
        <f t="shared" si="2"/>
        <v>45333</v>
      </c>
      <c r="Q38" s="259">
        <f t="shared" si="2"/>
        <v>45334</v>
      </c>
      <c r="R38" s="260">
        <f t="shared" si="2"/>
        <v>45335</v>
      </c>
      <c r="S38" s="259">
        <f t="shared" si="2"/>
        <v>45336</v>
      </c>
      <c r="T38" s="259">
        <f t="shared" si="2"/>
        <v>45337</v>
      </c>
      <c r="U38" s="259">
        <f t="shared" si="2"/>
        <v>45338</v>
      </c>
      <c r="V38" s="259">
        <f t="shared" si="2"/>
        <v>45339</v>
      </c>
      <c r="W38" s="259">
        <f t="shared" si="2"/>
        <v>45340</v>
      </c>
      <c r="X38" s="259">
        <f t="shared" si="2"/>
        <v>45341</v>
      </c>
      <c r="Y38" s="259">
        <f t="shared" si="2"/>
        <v>45342</v>
      </c>
      <c r="Z38" s="259">
        <f t="shared" si="2"/>
        <v>45343</v>
      </c>
      <c r="AA38" s="259">
        <f t="shared" si="2"/>
        <v>45344</v>
      </c>
      <c r="AB38" s="259">
        <f t="shared" si="2"/>
        <v>45345</v>
      </c>
      <c r="AC38" s="259">
        <f t="shared" si="2"/>
        <v>45346</v>
      </c>
      <c r="AD38" s="259">
        <f t="shared" si="2"/>
        <v>45347</v>
      </c>
      <c r="AE38" s="259">
        <f t="shared" si="2"/>
        <v>45348</v>
      </c>
      <c r="AF38" s="259">
        <f t="shared" si="2"/>
        <v>45349</v>
      </c>
      <c r="AG38" s="259">
        <f t="shared" si="2"/>
        <v>45350</v>
      </c>
      <c r="AH38" s="259">
        <f t="shared" si="2"/>
        <v>45351</v>
      </c>
      <c r="AI38" s="259">
        <f t="shared" si="2"/>
        <v>45352</v>
      </c>
      <c r="AJ38" s="259">
        <f t="shared" si="2"/>
        <v>45353</v>
      </c>
      <c r="AK38" s="261"/>
      <c r="AL38" s="261"/>
    </row>
    <row r="39" spans="1:38" ht="25.5" customHeight="1">
      <c r="A39" s="500"/>
      <c r="B39" s="501"/>
      <c r="C39" s="501"/>
      <c r="D39" s="501"/>
      <c r="E39" s="496"/>
      <c r="F39" s="262">
        <f>A38</f>
        <v>45323</v>
      </c>
      <c r="G39" s="262">
        <f t="shared" ref="G39:AJ39" si="3">F39+1</f>
        <v>45324</v>
      </c>
      <c r="H39" s="262">
        <f t="shared" si="3"/>
        <v>45325</v>
      </c>
      <c r="I39" s="262">
        <f t="shared" si="3"/>
        <v>45326</v>
      </c>
      <c r="J39" s="262">
        <f t="shared" si="3"/>
        <v>45327</v>
      </c>
      <c r="K39" s="262">
        <f t="shared" si="3"/>
        <v>45328</v>
      </c>
      <c r="L39" s="262">
        <f t="shared" si="3"/>
        <v>45329</v>
      </c>
      <c r="M39" s="262">
        <f t="shared" si="3"/>
        <v>45330</v>
      </c>
      <c r="N39" s="262">
        <f t="shared" si="3"/>
        <v>45331</v>
      </c>
      <c r="O39" s="262">
        <f t="shared" si="3"/>
        <v>45332</v>
      </c>
      <c r="P39" s="262">
        <f t="shared" si="3"/>
        <v>45333</v>
      </c>
      <c r="Q39" s="262">
        <f t="shared" si="3"/>
        <v>45334</v>
      </c>
      <c r="R39" s="263">
        <f t="shared" si="3"/>
        <v>45335</v>
      </c>
      <c r="S39" s="262">
        <f t="shared" si="3"/>
        <v>45336</v>
      </c>
      <c r="T39" s="262">
        <f t="shared" si="3"/>
        <v>45337</v>
      </c>
      <c r="U39" s="262">
        <f t="shared" si="3"/>
        <v>45338</v>
      </c>
      <c r="V39" s="262">
        <f t="shared" si="3"/>
        <v>45339</v>
      </c>
      <c r="W39" s="262">
        <f t="shared" si="3"/>
        <v>45340</v>
      </c>
      <c r="X39" s="262">
        <f t="shared" si="3"/>
        <v>45341</v>
      </c>
      <c r="Y39" s="262">
        <f t="shared" si="3"/>
        <v>45342</v>
      </c>
      <c r="Z39" s="262">
        <f t="shared" si="3"/>
        <v>45343</v>
      </c>
      <c r="AA39" s="262">
        <f t="shared" si="3"/>
        <v>45344</v>
      </c>
      <c r="AB39" s="262">
        <f t="shared" si="3"/>
        <v>45345</v>
      </c>
      <c r="AC39" s="262">
        <f t="shared" si="3"/>
        <v>45346</v>
      </c>
      <c r="AD39" s="262">
        <f t="shared" si="3"/>
        <v>45347</v>
      </c>
      <c r="AE39" s="262">
        <f t="shared" si="3"/>
        <v>45348</v>
      </c>
      <c r="AF39" s="262">
        <f t="shared" si="3"/>
        <v>45349</v>
      </c>
      <c r="AG39" s="262">
        <f t="shared" si="3"/>
        <v>45350</v>
      </c>
      <c r="AH39" s="262">
        <f t="shared" si="3"/>
        <v>45351</v>
      </c>
      <c r="AI39" s="262">
        <f t="shared" si="3"/>
        <v>45352</v>
      </c>
      <c r="AJ39" s="262">
        <f t="shared" si="3"/>
        <v>45353</v>
      </c>
      <c r="AK39" s="261"/>
      <c r="AL39" s="261"/>
    </row>
    <row r="40" spans="1:38" ht="18.75" customHeight="1">
      <c r="A40" s="200" t="s">
        <v>2765</v>
      </c>
      <c r="B40" s="200" t="s">
        <v>2451</v>
      </c>
      <c r="C40" s="493" t="e">
        <f>VLOOKUP(B40,#REF!,2, FALSE())</f>
        <v>#REF!</v>
      </c>
      <c r="D40" s="264" t="s">
        <v>1398</v>
      </c>
      <c r="E40" s="265" t="e">
        <f>VLOOKUP(D40,#REF!,2, FALSE())</f>
        <v>#REF!</v>
      </c>
      <c r="F40" s="489" t="e">
        <f>VLOOKUP($D40,[1]velho!$A$15:$BG$207,28, FALSE())</f>
        <v>#N/A</v>
      </c>
      <c r="G40" s="490" t="e">
        <f>VLOOKUP($D40,[1]velho!$A$2:$BG$207,29, FALSE())</f>
        <v>#N/A</v>
      </c>
      <c r="H40" s="489" t="e">
        <f>VLOOKUP($D40,[1]velho!$A$2:$BG$207,30, FALSE())</f>
        <v>#N/A</v>
      </c>
      <c r="I40" s="490" t="e">
        <f>VLOOKUP($D40,[1]velho!$A$2:$BG$207,31, FALSE())</f>
        <v>#N/A</v>
      </c>
      <c r="J40" s="489" t="e">
        <f>VLOOKUP($D40,[1]velho!$A$2:$BG$207,32, FALSE())</f>
        <v>#N/A</v>
      </c>
      <c r="K40" s="490" t="e">
        <f>VLOOKUP($D40,[1]velho!$A$2:$BG$207,33, FALSE())</f>
        <v>#N/A</v>
      </c>
      <c r="L40" s="489" t="e">
        <f>VLOOKUP($D40,[1]velho!$A$2:$BG$207,34, FALSE())</f>
        <v>#N/A</v>
      </c>
      <c r="M40" s="490" t="e">
        <f>VLOOKUP($D40,[1]velho!$A$2:$BG$207,35, FALSE())</f>
        <v>#N/A</v>
      </c>
      <c r="N40" s="489" t="e">
        <f>VLOOKUP($D40,[1]velho!$A$2:$BG$207,36, FALSE())</f>
        <v>#N/A</v>
      </c>
      <c r="O40" s="490" t="e">
        <f>VLOOKUP($D40,[1]velho!$A$2:$BG$207,37, FALSE())</f>
        <v>#N/A</v>
      </c>
      <c r="P40" s="489" t="e">
        <f>VLOOKUP($D40,[1]velho!$A$2:$BG$207,38, FALSE())</f>
        <v>#N/A</v>
      </c>
      <c r="Q40" s="490" t="e">
        <f>VLOOKUP($D40,[1]velho!$A$2:$BG$207,39, FALSE())</f>
        <v>#N/A</v>
      </c>
      <c r="R40" s="491" t="e">
        <f>VLOOKUP($D40,[1]velho!$A$2:$BG$207,40, FALSE())</f>
        <v>#N/A</v>
      </c>
      <c r="S40" s="490" t="e">
        <f>VLOOKUP($D40,[1]velho!$A$2:$BG$207,41, FALSE())</f>
        <v>#N/A</v>
      </c>
      <c r="T40" s="489" t="e">
        <f>VLOOKUP($D40,[1]velho!$A$2:$BG$207,42, FALSE())</f>
        <v>#N/A</v>
      </c>
      <c r="U40" s="490" t="e">
        <f>VLOOKUP($D40,[1]velho!$A$2:$BG$207,43, FALSE())</f>
        <v>#N/A</v>
      </c>
      <c r="V40" s="489" t="e">
        <f>VLOOKUP($D40,[1]velho!$A$2:$BG$207,44, FALSE())</f>
        <v>#N/A</v>
      </c>
      <c r="W40" s="490" t="e">
        <f>VLOOKUP($D40,[1]velho!$A$2:$BG$207,45, FALSE())</f>
        <v>#N/A</v>
      </c>
      <c r="X40" s="489" t="e">
        <f>VLOOKUP($D40,[1]velho!$A$2:$BG$207,46, FALSE())</f>
        <v>#N/A</v>
      </c>
      <c r="Y40" s="490" t="e">
        <f>VLOOKUP($D40,[1]velho!$A$2:$BG$207,47, FALSE())</f>
        <v>#N/A</v>
      </c>
      <c r="Z40" s="489" t="e">
        <f>VLOOKUP($D40,[1]velho!$A$2:$BG$207,48, FALSE())</f>
        <v>#N/A</v>
      </c>
      <c r="AA40" s="490" t="e">
        <f>VLOOKUP($D40,[1]velho!$A$2:$BG$207,49, FALSE())</f>
        <v>#N/A</v>
      </c>
      <c r="AB40" s="489" t="e">
        <f>VLOOKUP($D40,[1]velho!$A$2:$BG$207,50, FALSE())</f>
        <v>#N/A</v>
      </c>
      <c r="AC40" s="492" t="e">
        <f>VLOOKUP($D40,[1]velho!$A$2:$BG$207,51, FALSE())</f>
        <v>#N/A</v>
      </c>
      <c r="AD40" s="489" t="e">
        <f>VLOOKUP($D40,[1]velho!$A$2:$BG$207,52, FALSE())</f>
        <v>#N/A</v>
      </c>
      <c r="AE40" s="490" t="e">
        <f>VLOOKUP($D40,[1]velho!$A$2:$BG$207,53, FALSE())</f>
        <v>#N/A</v>
      </c>
      <c r="AF40" s="489" t="e">
        <f>VLOOKUP($D40,[1]velho!$A$2:$BG$207,54, FALSE())</f>
        <v>#N/A</v>
      </c>
      <c r="AG40" s="490" t="e">
        <f>VLOOKUP($D40,[1]velho!$A$2:$BG$207,55, FALSE())</f>
        <v>#N/A</v>
      </c>
      <c r="AH40" s="489" t="e">
        <f>VLOOKUP($D40,[1]velho!$A$2:$BG$207,56, FALSE())</f>
        <v>#N/A</v>
      </c>
      <c r="AI40" s="490" t="e">
        <f>VLOOKUP($D40,[1]velho!$A$2:$BG$207,57, FALSE())</f>
        <v>#N/A</v>
      </c>
      <c r="AJ40" s="489" t="e">
        <f>VLOOKUP($D40,[1]velho!$A$2:$BG$207,58, FALSE())</f>
        <v>#N/A</v>
      </c>
      <c r="AK40" s="267"/>
      <c r="AL40" s="267"/>
    </row>
    <row r="41" spans="1:38" ht="18.75" customHeight="1">
      <c r="A41" s="494" t="e">
        <f>VLOOKUP(D40,[1]velho!$A$28:$X$207,21, FALSE())</f>
        <v>#N/A</v>
      </c>
      <c r="B41" s="478"/>
      <c r="C41" s="481"/>
      <c r="D41" s="495" t="e">
        <f>VLOOKUP(D40,[1]velho!$A$2:$Y$207,25, FALSE())</f>
        <v>#N/A</v>
      </c>
      <c r="E41" s="496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481"/>
      <c r="R41" s="481"/>
      <c r="S41" s="481"/>
      <c r="T41" s="481"/>
      <c r="U41" s="481"/>
      <c r="V41" s="481"/>
      <c r="W41" s="481"/>
      <c r="X41" s="481"/>
      <c r="Y41" s="481"/>
      <c r="Z41" s="481"/>
      <c r="AA41" s="481"/>
      <c r="AB41" s="481"/>
      <c r="AC41" s="481"/>
      <c r="AD41" s="481"/>
      <c r="AE41" s="481"/>
      <c r="AF41" s="481"/>
      <c r="AG41" s="481"/>
      <c r="AH41" s="481"/>
      <c r="AI41" s="481"/>
      <c r="AJ41" s="481"/>
      <c r="AK41" s="267"/>
      <c r="AL41" s="267"/>
    </row>
    <row r="42" spans="1:38" ht="3.75" customHeight="1">
      <c r="A42" s="6"/>
      <c r="B42" s="6"/>
      <c r="C42" s="1"/>
      <c r="D42" s="6"/>
      <c r="E42" s="6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  <c r="AA42" s="269"/>
      <c r="AB42" s="269"/>
      <c r="AC42" s="269"/>
      <c r="AD42" s="269"/>
      <c r="AE42" s="269"/>
      <c r="AF42" s="269"/>
      <c r="AG42" s="269"/>
      <c r="AH42" s="269"/>
      <c r="AI42" s="269"/>
      <c r="AJ42" s="269"/>
      <c r="AK42" s="269"/>
      <c r="AL42" s="269"/>
    </row>
    <row r="43" spans="1:38" ht="18.75" customHeight="1">
      <c r="A43" s="200" t="s">
        <v>2765</v>
      </c>
      <c r="B43" s="200" t="s">
        <v>2451</v>
      </c>
      <c r="C43" s="493" t="e">
        <f>VLOOKUP(B43,#REF!,2, FALSE())</f>
        <v>#REF!</v>
      </c>
      <c r="D43" s="264" t="s">
        <v>1512</v>
      </c>
      <c r="E43" s="265" t="e">
        <f>VLOOKUP(D43,#REF!,2, FALSE())</f>
        <v>#REF!</v>
      </c>
      <c r="F43" s="489" t="e">
        <f>VLOOKUP($D43,[1]velho!$A$15:$BG$207,28, FALSE())</f>
        <v>#N/A</v>
      </c>
      <c r="G43" s="490" t="e">
        <f>VLOOKUP($D43,[1]velho!$A$2:$BG$207,29, FALSE())</f>
        <v>#N/A</v>
      </c>
      <c r="H43" s="489" t="e">
        <f>VLOOKUP($D43,[1]velho!$A$2:$BG$207,30, FALSE())</f>
        <v>#N/A</v>
      </c>
      <c r="I43" s="490" t="e">
        <f>VLOOKUP($D43,[1]velho!$A$2:$BG$207,31, FALSE())</f>
        <v>#N/A</v>
      </c>
      <c r="J43" s="489" t="e">
        <f>VLOOKUP($D43,[1]velho!$A$2:$BG$207,32, FALSE())</f>
        <v>#N/A</v>
      </c>
      <c r="K43" s="490" t="e">
        <f>VLOOKUP($D43,[1]velho!$A$2:$BG$207,33, FALSE())</f>
        <v>#N/A</v>
      </c>
      <c r="L43" s="489" t="e">
        <f>VLOOKUP($D43,[1]velho!$A$2:$BG$207,34, FALSE())</f>
        <v>#N/A</v>
      </c>
      <c r="M43" s="490" t="e">
        <f>VLOOKUP($D43,[1]velho!$A$2:$BG$207,35, FALSE())</f>
        <v>#N/A</v>
      </c>
      <c r="N43" s="489" t="e">
        <f>VLOOKUP($D43,[1]velho!$A$2:$BG$207,36, FALSE())</f>
        <v>#N/A</v>
      </c>
      <c r="O43" s="490" t="e">
        <f>VLOOKUP($D43,[1]velho!$A$2:$BG$207,37, FALSE())</f>
        <v>#N/A</v>
      </c>
      <c r="P43" s="489" t="e">
        <f>VLOOKUP($D43,[1]velho!$A$2:$BG$207,38, FALSE())</f>
        <v>#N/A</v>
      </c>
      <c r="Q43" s="490" t="e">
        <f>VLOOKUP($D43,[1]velho!$A$2:$BG$207,39, FALSE())</f>
        <v>#N/A</v>
      </c>
      <c r="R43" s="491" t="e">
        <f>VLOOKUP($D43,[1]velho!$A$2:$BG$207,40, FALSE())</f>
        <v>#N/A</v>
      </c>
      <c r="S43" s="490" t="e">
        <f>VLOOKUP($D43,[1]velho!$A$2:$BG$207,41, FALSE())</f>
        <v>#N/A</v>
      </c>
      <c r="T43" s="489" t="e">
        <f>VLOOKUP($D43,[1]velho!$A$2:$BG$207,42, FALSE())</f>
        <v>#N/A</v>
      </c>
      <c r="U43" s="490" t="e">
        <f>VLOOKUP($D43,[1]velho!$A$2:$BG$207,43, FALSE())</f>
        <v>#N/A</v>
      </c>
      <c r="V43" s="489" t="e">
        <f>VLOOKUP($D43,[1]velho!$A$2:$BG$207,44, FALSE())</f>
        <v>#N/A</v>
      </c>
      <c r="W43" s="490" t="e">
        <f>VLOOKUP($D43,[1]velho!$A$2:$BG$207,45, FALSE())</f>
        <v>#N/A</v>
      </c>
      <c r="X43" s="489" t="e">
        <f>VLOOKUP($D43,[1]velho!$A$2:$BG$207,46, FALSE())</f>
        <v>#N/A</v>
      </c>
      <c r="Y43" s="490" t="e">
        <f>VLOOKUP($D43,[1]velho!$A$2:$BG$207,47, FALSE())</f>
        <v>#N/A</v>
      </c>
      <c r="Z43" s="489" t="e">
        <f>VLOOKUP($D43,[1]velho!$A$2:$BG$207,48, FALSE())</f>
        <v>#N/A</v>
      </c>
      <c r="AA43" s="490" t="e">
        <f>VLOOKUP($D43,[1]velho!$A$2:$BG$207,49, FALSE())</f>
        <v>#N/A</v>
      </c>
      <c r="AB43" s="489" t="e">
        <f>VLOOKUP($D43,[1]velho!$A$2:$BG$207,50, FALSE())</f>
        <v>#N/A</v>
      </c>
      <c r="AC43" s="492" t="e">
        <f>VLOOKUP($D43,[1]velho!$A$2:$BG$207,51, FALSE())</f>
        <v>#N/A</v>
      </c>
      <c r="AD43" s="489" t="e">
        <f>VLOOKUP($D43,[1]velho!$A$2:$BG$207,52, FALSE())</f>
        <v>#N/A</v>
      </c>
      <c r="AE43" s="490" t="e">
        <f>VLOOKUP($D43,[1]velho!$A$2:$BG$207,53, FALSE())</f>
        <v>#N/A</v>
      </c>
      <c r="AF43" s="489" t="e">
        <f>VLOOKUP($D43,[1]velho!$A$2:$BG$207,54, FALSE())</f>
        <v>#N/A</v>
      </c>
      <c r="AG43" s="490" t="e">
        <f>VLOOKUP($D43,[1]velho!$A$2:$BG$207,55, FALSE())</f>
        <v>#N/A</v>
      </c>
      <c r="AH43" s="489" t="e">
        <f>VLOOKUP($D43,[1]velho!$A$2:$BG$207,56, FALSE())</f>
        <v>#N/A</v>
      </c>
      <c r="AI43" s="490" t="e">
        <f>VLOOKUP($D43,[1]velho!$A$2:$BG$207,57, FALSE())</f>
        <v>#N/A</v>
      </c>
      <c r="AJ43" s="489" t="e">
        <f>VLOOKUP($D43,[1]velho!$A$2:$BG$207,58, FALSE())</f>
        <v>#N/A</v>
      </c>
      <c r="AK43" s="267"/>
      <c r="AL43" s="267"/>
    </row>
    <row r="44" spans="1:38" ht="18.75" customHeight="1">
      <c r="A44" s="494" t="e">
        <f>VLOOKUP(D43,[1]velho!$A$28:$X$207,21, FALSE())</f>
        <v>#N/A</v>
      </c>
      <c r="B44" s="478"/>
      <c r="C44" s="481"/>
      <c r="D44" s="495" t="e">
        <f>VLOOKUP(D43,[1]velho!$A$2:$Y$207,25, FALSE())</f>
        <v>#N/A</v>
      </c>
      <c r="E44" s="496"/>
      <c r="F44" s="481"/>
      <c r="G44" s="481"/>
      <c r="H44" s="481"/>
      <c r="I44" s="481"/>
      <c r="J44" s="481"/>
      <c r="K44" s="481"/>
      <c r="L44" s="481"/>
      <c r="M44" s="481"/>
      <c r="N44" s="481"/>
      <c r="O44" s="481"/>
      <c r="P44" s="481"/>
      <c r="Q44" s="481"/>
      <c r="R44" s="481"/>
      <c r="S44" s="481"/>
      <c r="T44" s="481"/>
      <c r="U44" s="481"/>
      <c r="V44" s="481"/>
      <c r="W44" s="481"/>
      <c r="X44" s="481"/>
      <c r="Y44" s="481"/>
      <c r="Z44" s="481"/>
      <c r="AA44" s="481"/>
      <c r="AB44" s="481"/>
      <c r="AC44" s="481"/>
      <c r="AD44" s="481"/>
      <c r="AE44" s="481"/>
      <c r="AF44" s="481"/>
      <c r="AG44" s="481"/>
      <c r="AH44" s="481"/>
      <c r="AI44" s="481"/>
      <c r="AJ44" s="481"/>
      <c r="AK44" s="267"/>
      <c r="AL44" s="267"/>
    </row>
    <row r="45" spans="1:38" ht="3.75" customHeight="1">
      <c r="A45" s="6"/>
      <c r="B45" s="6"/>
      <c r="C45" s="1"/>
      <c r="D45" s="6"/>
      <c r="E45" s="6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  <c r="AA45" s="269"/>
      <c r="AB45" s="269"/>
      <c r="AC45" s="269"/>
      <c r="AD45" s="269"/>
      <c r="AE45" s="269"/>
      <c r="AF45" s="269"/>
      <c r="AG45" s="269"/>
      <c r="AH45" s="269"/>
      <c r="AI45" s="269"/>
      <c r="AJ45" s="269"/>
      <c r="AK45" s="269"/>
      <c r="AL45" s="269"/>
    </row>
    <row r="46" spans="1:38" ht="18.75" customHeight="1">
      <c r="A46" s="200" t="s">
        <v>2765</v>
      </c>
      <c r="B46" s="200" t="s">
        <v>2451</v>
      </c>
      <c r="C46" s="493" t="e">
        <f>VLOOKUP(B46,#REF!,2, FALSE())</f>
        <v>#REF!</v>
      </c>
      <c r="D46" s="264" t="s">
        <v>2584</v>
      </c>
      <c r="E46" s="265" t="e">
        <f>VLOOKUP(D46,#REF!,2, FALSE())</f>
        <v>#REF!</v>
      </c>
      <c r="F46" s="489" t="e">
        <f>VLOOKUP($D46,[1]velho!$A$15:$BG$207,28, FALSE())</f>
        <v>#N/A</v>
      </c>
      <c r="G46" s="490" t="e">
        <f>VLOOKUP($D46,[1]velho!$A$2:$BG$207,29, FALSE())</f>
        <v>#N/A</v>
      </c>
      <c r="H46" s="489" t="e">
        <f>VLOOKUP($D46,[1]velho!$A$2:$BG$207,30, FALSE())</f>
        <v>#N/A</v>
      </c>
      <c r="I46" s="490" t="e">
        <f>VLOOKUP($D46,[1]velho!$A$2:$BG$207,31, FALSE())</f>
        <v>#N/A</v>
      </c>
      <c r="J46" s="489" t="e">
        <f>VLOOKUP($D46,[1]velho!$A$2:$BG$207,32, FALSE())</f>
        <v>#N/A</v>
      </c>
      <c r="K46" s="490" t="e">
        <f>VLOOKUP($D46,[1]velho!$A$2:$BG$207,33, FALSE())</f>
        <v>#N/A</v>
      </c>
      <c r="L46" s="489" t="e">
        <f>VLOOKUP($D46,[1]velho!$A$2:$BG$207,34, FALSE())</f>
        <v>#N/A</v>
      </c>
      <c r="M46" s="490" t="e">
        <f>VLOOKUP($D46,[1]velho!$A$2:$BG$207,35, FALSE())</f>
        <v>#N/A</v>
      </c>
      <c r="N46" s="489" t="e">
        <f>VLOOKUP($D46,[1]velho!$A$2:$BG$207,36, FALSE())</f>
        <v>#N/A</v>
      </c>
      <c r="O46" s="490" t="e">
        <f>VLOOKUP($D46,[1]velho!$A$2:$BG$207,37, FALSE())</f>
        <v>#N/A</v>
      </c>
      <c r="P46" s="489" t="e">
        <f>VLOOKUP($D46,[1]velho!$A$2:$BG$207,38, FALSE())</f>
        <v>#N/A</v>
      </c>
      <c r="Q46" s="490" t="e">
        <f>VLOOKUP($D46,[1]velho!$A$2:$BG$207,39, FALSE())</f>
        <v>#N/A</v>
      </c>
      <c r="R46" s="491" t="e">
        <f>VLOOKUP($D46,[1]velho!$A$2:$BG$207,40, FALSE())</f>
        <v>#N/A</v>
      </c>
      <c r="S46" s="490" t="e">
        <f>VLOOKUP($D46,[1]velho!$A$2:$BG$207,41, FALSE())</f>
        <v>#N/A</v>
      </c>
      <c r="T46" s="489" t="e">
        <f>VLOOKUP($D46,[1]velho!$A$2:$BG$207,42, FALSE())</f>
        <v>#N/A</v>
      </c>
      <c r="U46" s="490" t="e">
        <f>VLOOKUP($D46,[1]velho!$A$2:$BG$207,43, FALSE())</f>
        <v>#N/A</v>
      </c>
      <c r="V46" s="489" t="e">
        <f>VLOOKUP($D46,[1]velho!$A$2:$BG$207,44, FALSE())</f>
        <v>#N/A</v>
      </c>
      <c r="W46" s="490" t="e">
        <f>VLOOKUP($D46,[1]velho!$A$2:$BG$207,45, FALSE())</f>
        <v>#N/A</v>
      </c>
      <c r="X46" s="489" t="e">
        <f>VLOOKUP($D46,[1]velho!$A$2:$BG$207,46, FALSE())</f>
        <v>#N/A</v>
      </c>
      <c r="Y46" s="490" t="e">
        <f>VLOOKUP($D46,[1]velho!$A$2:$BG$207,47, FALSE())</f>
        <v>#N/A</v>
      </c>
      <c r="Z46" s="489" t="e">
        <f>VLOOKUP($D46,[1]velho!$A$2:$BG$207,48, FALSE())</f>
        <v>#N/A</v>
      </c>
      <c r="AA46" s="490" t="e">
        <f>VLOOKUP($D46,[1]velho!$A$2:$BG$207,49, FALSE())</f>
        <v>#N/A</v>
      </c>
      <c r="AB46" s="489" t="e">
        <f>VLOOKUP($D46,[1]velho!$A$2:$BG$207,50, FALSE())</f>
        <v>#N/A</v>
      </c>
      <c r="AC46" s="492" t="e">
        <f>VLOOKUP($D46,[1]velho!$A$2:$BG$207,51, FALSE())</f>
        <v>#N/A</v>
      </c>
      <c r="AD46" s="489" t="e">
        <f>VLOOKUP($D46,[1]velho!$A$2:$BG$207,52, FALSE())</f>
        <v>#N/A</v>
      </c>
      <c r="AE46" s="490" t="e">
        <f>VLOOKUP($D46,[1]velho!$A$2:$BG$207,53, FALSE())</f>
        <v>#N/A</v>
      </c>
      <c r="AF46" s="489" t="e">
        <f>VLOOKUP($D46,[1]velho!$A$2:$BG$207,54, FALSE())</f>
        <v>#N/A</v>
      </c>
      <c r="AG46" s="490" t="e">
        <f>VLOOKUP($D46,[1]velho!$A$2:$BG$207,55, FALSE())</f>
        <v>#N/A</v>
      </c>
      <c r="AH46" s="489" t="e">
        <f>VLOOKUP($D46,[1]velho!$A$2:$BG$207,56, FALSE())</f>
        <v>#N/A</v>
      </c>
      <c r="AI46" s="490" t="e">
        <f>VLOOKUP($D46,[1]velho!$A$2:$BG$207,57, FALSE())</f>
        <v>#N/A</v>
      </c>
      <c r="AJ46" s="489" t="e">
        <f>VLOOKUP($D46,[1]velho!$A$2:$BG$207,58, FALSE())</f>
        <v>#N/A</v>
      </c>
      <c r="AK46" s="267"/>
      <c r="AL46" s="267"/>
    </row>
    <row r="47" spans="1:38" ht="18.75" customHeight="1">
      <c r="A47" s="494" t="e">
        <f>VLOOKUP(D46,[1]velho!$A$28:$X$207,21, FALSE())</f>
        <v>#N/A</v>
      </c>
      <c r="B47" s="478"/>
      <c r="C47" s="481"/>
      <c r="D47" s="495" t="e">
        <f>VLOOKUP(D46,[1]velho!$A$2:$Y$207,25, FALSE())</f>
        <v>#N/A</v>
      </c>
      <c r="E47" s="496"/>
      <c r="F47" s="481"/>
      <c r="G47" s="481"/>
      <c r="H47" s="481"/>
      <c r="I47" s="481"/>
      <c r="J47" s="481"/>
      <c r="K47" s="481"/>
      <c r="L47" s="481"/>
      <c r="M47" s="481"/>
      <c r="N47" s="481"/>
      <c r="O47" s="481"/>
      <c r="P47" s="481"/>
      <c r="Q47" s="481"/>
      <c r="R47" s="481"/>
      <c r="S47" s="481"/>
      <c r="T47" s="481"/>
      <c r="U47" s="481"/>
      <c r="V47" s="481"/>
      <c r="W47" s="481"/>
      <c r="X47" s="481"/>
      <c r="Y47" s="481"/>
      <c r="Z47" s="481"/>
      <c r="AA47" s="481"/>
      <c r="AB47" s="481"/>
      <c r="AC47" s="481"/>
      <c r="AD47" s="481"/>
      <c r="AE47" s="481"/>
      <c r="AF47" s="481"/>
      <c r="AG47" s="481"/>
      <c r="AH47" s="481"/>
      <c r="AI47" s="481"/>
      <c r="AJ47" s="481"/>
      <c r="AK47" s="267"/>
      <c r="AL47" s="267"/>
    </row>
    <row r="48" spans="1:38" ht="3.75" customHeight="1">
      <c r="A48" s="6"/>
      <c r="B48" s="6"/>
      <c r="C48" s="1"/>
      <c r="D48" s="6"/>
      <c r="E48" s="6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  <c r="AA48" s="269"/>
      <c r="AB48" s="269"/>
      <c r="AC48" s="269"/>
      <c r="AD48" s="269"/>
      <c r="AE48" s="269"/>
      <c r="AF48" s="269"/>
      <c r="AG48" s="269"/>
      <c r="AH48" s="269"/>
      <c r="AI48" s="269"/>
      <c r="AJ48" s="269"/>
      <c r="AK48" s="269"/>
      <c r="AL48" s="269"/>
    </row>
    <row r="49" spans="1:38" ht="18.75" customHeight="1">
      <c r="A49" s="200" t="s">
        <v>2765</v>
      </c>
      <c r="B49" s="200" t="s">
        <v>2451</v>
      </c>
      <c r="C49" s="493" t="e">
        <f>VLOOKUP(B49,#REF!,2, FALSE())</f>
        <v>#REF!</v>
      </c>
      <c r="D49" s="264" t="s">
        <v>1463</v>
      </c>
      <c r="E49" s="265" t="e">
        <f>VLOOKUP(D49,#REF!,2, FALSE())</f>
        <v>#REF!</v>
      </c>
      <c r="F49" s="489" t="e">
        <f>VLOOKUP($D49,[1]velho!$A$15:$BG$207,28, FALSE())</f>
        <v>#N/A</v>
      </c>
      <c r="G49" s="490" t="e">
        <f>VLOOKUP($D49,[1]velho!$A$2:$BG$207,29, FALSE())</f>
        <v>#N/A</v>
      </c>
      <c r="H49" s="489" t="e">
        <f>VLOOKUP($D49,[1]velho!$A$2:$BG$207,30, FALSE())</f>
        <v>#N/A</v>
      </c>
      <c r="I49" s="490" t="e">
        <f>VLOOKUP($D49,[1]velho!$A$2:$BG$207,31, FALSE())</f>
        <v>#N/A</v>
      </c>
      <c r="J49" s="489" t="e">
        <f>VLOOKUP($D49,[1]velho!$A$2:$BG$207,32, FALSE())</f>
        <v>#N/A</v>
      </c>
      <c r="K49" s="490" t="e">
        <f>VLOOKUP($D49,[1]velho!$A$2:$BG$207,33, FALSE())</f>
        <v>#N/A</v>
      </c>
      <c r="L49" s="489" t="e">
        <f>VLOOKUP($D49,[1]velho!$A$2:$BG$207,34, FALSE())</f>
        <v>#N/A</v>
      </c>
      <c r="M49" s="490" t="e">
        <f>VLOOKUP($D49,[1]velho!$A$2:$BG$207,35, FALSE())</f>
        <v>#N/A</v>
      </c>
      <c r="N49" s="489" t="e">
        <f>VLOOKUP($D49,[1]velho!$A$2:$BG$207,36, FALSE())</f>
        <v>#N/A</v>
      </c>
      <c r="O49" s="490" t="e">
        <f>VLOOKUP($D49,[1]velho!$A$2:$BG$207,37, FALSE())</f>
        <v>#N/A</v>
      </c>
      <c r="P49" s="489" t="e">
        <f>VLOOKUP($D49,[1]velho!$A$2:$BG$207,38, FALSE())</f>
        <v>#N/A</v>
      </c>
      <c r="Q49" s="490" t="e">
        <f>VLOOKUP($D49,[1]velho!$A$2:$BG$207,39, FALSE())</f>
        <v>#N/A</v>
      </c>
      <c r="R49" s="491" t="e">
        <f>VLOOKUP($D49,[1]velho!$A$2:$BG$207,40, FALSE())</f>
        <v>#N/A</v>
      </c>
      <c r="S49" s="490" t="e">
        <f>VLOOKUP($D49,[1]velho!$A$2:$BG$207,41, FALSE())</f>
        <v>#N/A</v>
      </c>
      <c r="T49" s="489" t="e">
        <f>VLOOKUP($D49,[1]velho!$A$2:$BG$207,42, FALSE())</f>
        <v>#N/A</v>
      </c>
      <c r="U49" s="490" t="e">
        <f>VLOOKUP($D49,[1]velho!$A$2:$BG$207,43, FALSE())</f>
        <v>#N/A</v>
      </c>
      <c r="V49" s="489" t="e">
        <f>VLOOKUP($D49,[1]velho!$A$2:$BG$207,44, FALSE())</f>
        <v>#N/A</v>
      </c>
      <c r="W49" s="490" t="e">
        <f>VLOOKUP($D49,[1]velho!$A$2:$BG$207,45, FALSE())</f>
        <v>#N/A</v>
      </c>
      <c r="X49" s="489" t="e">
        <f>VLOOKUP($D49,[1]velho!$A$2:$BG$207,46, FALSE())</f>
        <v>#N/A</v>
      </c>
      <c r="Y49" s="490" t="e">
        <f>VLOOKUP($D49,[1]velho!$A$2:$BG$207,47, FALSE())</f>
        <v>#N/A</v>
      </c>
      <c r="Z49" s="489" t="e">
        <f>VLOOKUP($D49,[1]velho!$A$2:$BG$207,48, FALSE())</f>
        <v>#N/A</v>
      </c>
      <c r="AA49" s="490" t="e">
        <f>VLOOKUP($D49,[1]velho!$A$2:$BG$207,49, FALSE())</f>
        <v>#N/A</v>
      </c>
      <c r="AB49" s="489" t="e">
        <f>VLOOKUP($D49,[1]velho!$A$2:$BG$207,50, FALSE())</f>
        <v>#N/A</v>
      </c>
      <c r="AC49" s="492" t="e">
        <f>VLOOKUP($D49,[1]velho!$A$2:$BG$207,51, FALSE())</f>
        <v>#N/A</v>
      </c>
      <c r="AD49" s="489" t="e">
        <f>VLOOKUP($D49,[1]velho!$A$2:$BG$207,52, FALSE())</f>
        <v>#N/A</v>
      </c>
      <c r="AE49" s="490" t="e">
        <f>VLOOKUP($D49,[1]velho!$A$2:$BG$207,53, FALSE())</f>
        <v>#N/A</v>
      </c>
      <c r="AF49" s="489" t="e">
        <f>VLOOKUP($D49,[1]velho!$A$2:$BG$207,54, FALSE())</f>
        <v>#N/A</v>
      </c>
      <c r="AG49" s="490" t="e">
        <f>VLOOKUP($D49,[1]velho!$A$2:$BG$207,55, FALSE())</f>
        <v>#N/A</v>
      </c>
      <c r="AH49" s="489" t="e">
        <f>VLOOKUP($D49,[1]velho!$A$2:$BG$207,56, FALSE())</f>
        <v>#N/A</v>
      </c>
      <c r="AI49" s="490" t="e">
        <f>VLOOKUP($D49,[1]velho!$A$2:$BG$207,57, FALSE())</f>
        <v>#N/A</v>
      </c>
      <c r="AJ49" s="489" t="e">
        <f>VLOOKUP($D49,[1]velho!$A$2:$BG$207,58, FALSE())</f>
        <v>#N/A</v>
      </c>
      <c r="AK49" s="267"/>
      <c r="AL49" s="267"/>
    </row>
    <row r="50" spans="1:38" ht="18.75" customHeight="1">
      <c r="A50" s="494" t="e">
        <f>VLOOKUP(D49,[1]velho!$A$28:$X$207,21, FALSE())</f>
        <v>#N/A</v>
      </c>
      <c r="B50" s="478"/>
      <c r="C50" s="481"/>
      <c r="D50" s="495" t="e">
        <f>VLOOKUP(D49,[1]velho!$A$2:$Y$207,25, FALSE())</f>
        <v>#N/A</v>
      </c>
      <c r="E50" s="496"/>
      <c r="F50" s="481"/>
      <c r="G50" s="481"/>
      <c r="H50" s="481"/>
      <c r="I50" s="481"/>
      <c r="J50" s="481"/>
      <c r="K50" s="481"/>
      <c r="L50" s="481"/>
      <c r="M50" s="481"/>
      <c r="N50" s="481"/>
      <c r="O50" s="481"/>
      <c r="P50" s="481"/>
      <c r="Q50" s="481"/>
      <c r="R50" s="481"/>
      <c r="S50" s="481"/>
      <c r="T50" s="481"/>
      <c r="U50" s="481"/>
      <c r="V50" s="481"/>
      <c r="W50" s="481"/>
      <c r="X50" s="481"/>
      <c r="Y50" s="481"/>
      <c r="Z50" s="481"/>
      <c r="AA50" s="481"/>
      <c r="AB50" s="481"/>
      <c r="AC50" s="481"/>
      <c r="AD50" s="481"/>
      <c r="AE50" s="481"/>
      <c r="AF50" s="481"/>
      <c r="AG50" s="481"/>
      <c r="AH50" s="481"/>
      <c r="AI50" s="481"/>
      <c r="AJ50" s="481"/>
      <c r="AK50" s="267"/>
      <c r="AL50" s="267"/>
    </row>
    <row r="51" spans="1:38" ht="3.75" customHeight="1">
      <c r="A51" s="6"/>
      <c r="B51" s="6"/>
      <c r="C51" s="1"/>
      <c r="D51" s="6"/>
      <c r="E51" s="6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  <c r="AA51" s="269"/>
      <c r="AB51" s="269"/>
      <c r="AC51" s="269"/>
      <c r="AD51" s="269"/>
      <c r="AE51" s="269"/>
      <c r="AF51" s="269"/>
      <c r="AG51" s="269"/>
      <c r="AH51" s="269"/>
      <c r="AI51" s="269"/>
      <c r="AJ51" s="269"/>
      <c r="AK51" s="269"/>
      <c r="AL51" s="269"/>
    </row>
    <row r="52" spans="1:38" ht="18.75" customHeight="1">
      <c r="A52" s="200" t="s">
        <v>2765</v>
      </c>
      <c r="B52" s="200" t="s">
        <v>2702</v>
      </c>
      <c r="C52" s="493" t="e">
        <f>VLOOKUP(B52,#REF!,2, FALSE())</f>
        <v>#REF!</v>
      </c>
      <c r="D52" s="264" t="s">
        <v>2491</v>
      </c>
      <c r="E52" s="265" t="e">
        <f>VLOOKUP(D52,#REF!,2, FALSE())</f>
        <v>#REF!</v>
      </c>
      <c r="F52" s="489" t="e">
        <f>VLOOKUP($D52,[1]velho!$A$15:$BG$207,28, FALSE())</f>
        <v>#N/A</v>
      </c>
      <c r="G52" s="490" t="e">
        <f>VLOOKUP($D52,[1]velho!$A$2:$BG$207,29, FALSE())</f>
        <v>#N/A</v>
      </c>
      <c r="H52" s="489" t="e">
        <f>VLOOKUP($D52,[1]velho!$A$2:$BG$207,30, FALSE())</f>
        <v>#N/A</v>
      </c>
      <c r="I52" s="490" t="e">
        <f>VLOOKUP($D52,[1]velho!$A$2:$BG$207,31, FALSE())</f>
        <v>#N/A</v>
      </c>
      <c r="J52" s="489" t="e">
        <f>VLOOKUP($D52,[1]velho!$A$2:$BG$207,32, FALSE())</f>
        <v>#N/A</v>
      </c>
      <c r="K52" s="490" t="e">
        <f>VLOOKUP($D52,[1]velho!$A$2:$BG$207,33, FALSE())</f>
        <v>#N/A</v>
      </c>
      <c r="L52" s="489" t="e">
        <f>VLOOKUP($D52,[1]velho!$A$2:$BG$207,34, FALSE())</f>
        <v>#N/A</v>
      </c>
      <c r="M52" s="490" t="e">
        <f>VLOOKUP($D52,[1]velho!$A$2:$BG$207,35, FALSE())</f>
        <v>#N/A</v>
      </c>
      <c r="N52" s="489" t="e">
        <f>VLOOKUP($D52,[1]velho!$A$2:$BG$207,36, FALSE())</f>
        <v>#N/A</v>
      </c>
      <c r="O52" s="490" t="e">
        <f>VLOOKUP($D52,[1]velho!$A$2:$BG$207,37, FALSE())</f>
        <v>#N/A</v>
      </c>
      <c r="P52" s="489" t="e">
        <f>VLOOKUP($D52,[1]velho!$A$2:$BG$207,38, FALSE())</f>
        <v>#N/A</v>
      </c>
      <c r="Q52" s="490" t="e">
        <f>VLOOKUP($D52,[1]velho!$A$2:$BG$207,39, FALSE())</f>
        <v>#N/A</v>
      </c>
      <c r="R52" s="491" t="e">
        <f>VLOOKUP($D52,[1]velho!$A$2:$BG$207,40, FALSE())</f>
        <v>#N/A</v>
      </c>
      <c r="S52" s="490" t="e">
        <f>VLOOKUP($D52,[1]velho!$A$2:$BG$207,41, FALSE())</f>
        <v>#N/A</v>
      </c>
      <c r="T52" s="489" t="e">
        <f>VLOOKUP($D52,[1]velho!$A$2:$BG$207,42, FALSE())</f>
        <v>#N/A</v>
      </c>
      <c r="U52" s="490" t="e">
        <f>VLOOKUP($D52,[1]velho!$A$2:$BG$207,43, FALSE())</f>
        <v>#N/A</v>
      </c>
      <c r="V52" s="489" t="e">
        <f>VLOOKUP($D52,[1]velho!$A$2:$BG$207,44, FALSE())</f>
        <v>#N/A</v>
      </c>
      <c r="W52" s="490" t="e">
        <f>VLOOKUP($D52,[1]velho!$A$2:$BG$207,45, FALSE())</f>
        <v>#N/A</v>
      </c>
      <c r="X52" s="489" t="e">
        <f>VLOOKUP($D52,[1]velho!$A$2:$BG$207,46, FALSE())</f>
        <v>#N/A</v>
      </c>
      <c r="Y52" s="490" t="e">
        <f>VLOOKUP($D52,[1]velho!$A$2:$BG$207,47, FALSE())</f>
        <v>#N/A</v>
      </c>
      <c r="Z52" s="489" t="e">
        <f>VLOOKUP($D52,[1]velho!$A$2:$BG$207,48, FALSE())</f>
        <v>#N/A</v>
      </c>
      <c r="AA52" s="490" t="e">
        <f>VLOOKUP($D52,[1]velho!$A$2:$BG$207,49, FALSE())</f>
        <v>#N/A</v>
      </c>
      <c r="AB52" s="489" t="e">
        <f>VLOOKUP($D52,[1]velho!$A$2:$BG$207,50, FALSE())</f>
        <v>#N/A</v>
      </c>
      <c r="AC52" s="492" t="e">
        <f>VLOOKUP($D52,[1]velho!$A$2:$BG$207,51, FALSE())</f>
        <v>#N/A</v>
      </c>
      <c r="AD52" s="489" t="e">
        <f>VLOOKUP($D52,[1]velho!$A$2:$BG$207,52, FALSE())</f>
        <v>#N/A</v>
      </c>
      <c r="AE52" s="490" t="e">
        <f>VLOOKUP($D52,[1]velho!$A$2:$BG$207,53, FALSE())</f>
        <v>#N/A</v>
      </c>
      <c r="AF52" s="489" t="e">
        <f>VLOOKUP($D52,[1]velho!$A$2:$BG$207,54, FALSE())</f>
        <v>#N/A</v>
      </c>
      <c r="AG52" s="490" t="e">
        <f>VLOOKUP($D52,[1]velho!$A$2:$BG$207,55, FALSE())</f>
        <v>#N/A</v>
      </c>
      <c r="AH52" s="489" t="e">
        <f>VLOOKUP($D52,[1]velho!$A$2:$BG$207,56, FALSE())</f>
        <v>#N/A</v>
      </c>
      <c r="AI52" s="490" t="e">
        <f>VLOOKUP($D52,[1]velho!$A$2:$BG$207,57, FALSE())</f>
        <v>#N/A</v>
      </c>
      <c r="AJ52" s="489" t="e">
        <f>VLOOKUP($D52,[1]velho!$A$2:$BG$207,58, FALSE())</f>
        <v>#N/A</v>
      </c>
      <c r="AK52" s="267"/>
      <c r="AL52" s="267"/>
    </row>
    <row r="53" spans="1:38" ht="18.75" customHeight="1">
      <c r="A53" s="494" t="e">
        <f>VLOOKUP(D52,[1]velho!$A$28:$X$207,21, FALSE())</f>
        <v>#N/A</v>
      </c>
      <c r="B53" s="478"/>
      <c r="C53" s="481"/>
      <c r="D53" s="495" t="e">
        <f>VLOOKUP(D52,[1]velho!$A$2:$Y$207,25, FALSE())</f>
        <v>#N/A</v>
      </c>
      <c r="E53" s="496"/>
      <c r="F53" s="481"/>
      <c r="G53" s="481"/>
      <c r="H53" s="481"/>
      <c r="I53" s="481"/>
      <c r="J53" s="481"/>
      <c r="K53" s="481"/>
      <c r="L53" s="481"/>
      <c r="M53" s="481"/>
      <c r="N53" s="481"/>
      <c r="O53" s="481"/>
      <c r="P53" s="481"/>
      <c r="Q53" s="481"/>
      <c r="R53" s="481"/>
      <c r="S53" s="481"/>
      <c r="T53" s="481"/>
      <c r="U53" s="481"/>
      <c r="V53" s="481"/>
      <c r="W53" s="481"/>
      <c r="X53" s="481"/>
      <c r="Y53" s="481"/>
      <c r="Z53" s="481"/>
      <c r="AA53" s="481"/>
      <c r="AB53" s="481"/>
      <c r="AC53" s="481"/>
      <c r="AD53" s="481"/>
      <c r="AE53" s="481"/>
      <c r="AF53" s="481"/>
      <c r="AG53" s="481"/>
      <c r="AH53" s="481"/>
      <c r="AI53" s="481"/>
      <c r="AJ53" s="481"/>
      <c r="AK53" s="267"/>
      <c r="AL53" s="267"/>
    </row>
    <row r="54" spans="1:38" ht="3.75" customHeight="1">
      <c r="A54" s="6"/>
      <c r="B54" s="6"/>
      <c r="C54" s="1"/>
      <c r="D54" s="6"/>
      <c r="E54" s="6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  <c r="AA54" s="269"/>
      <c r="AB54" s="269"/>
      <c r="AC54" s="269"/>
      <c r="AD54" s="269"/>
      <c r="AE54" s="269"/>
      <c r="AF54" s="269"/>
      <c r="AG54" s="269"/>
      <c r="AH54" s="269"/>
      <c r="AI54" s="269"/>
      <c r="AJ54" s="269"/>
      <c r="AK54" s="269"/>
      <c r="AL54" s="269"/>
    </row>
    <row r="55" spans="1:38" ht="18.75" customHeight="1">
      <c r="A55" s="200" t="s">
        <v>2765</v>
      </c>
      <c r="B55" s="200" t="s">
        <v>2702</v>
      </c>
      <c r="C55" s="493" t="e">
        <f>VLOOKUP(B55,#REF!,2, FALSE())</f>
        <v>#REF!</v>
      </c>
      <c r="D55" s="264" t="s">
        <v>1529</v>
      </c>
      <c r="E55" s="265" t="e">
        <f>VLOOKUP(D55,#REF!,2, FALSE())</f>
        <v>#REF!</v>
      </c>
      <c r="F55" s="489" t="e">
        <f>VLOOKUP($D55,[1]velho!$A$15:$BG$207,28, FALSE())</f>
        <v>#N/A</v>
      </c>
      <c r="G55" s="490" t="e">
        <f>VLOOKUP($D55,[1]velho!$A$2:$BG$207,29, FALSE())</f>
        <v>#N/A</v>
      </c>
      <c r="H55" s="489" t="e">
        <f>VLOOKUP($D55,[1]velho!$A$2:$BG$207,30, FALSE())</f>
        <v>#N/A</v>
      </c>
      <c r="I55" s="490" t="e">
        <f>VLOOKUP($D55,[1]velho!$A$2:$BG$207,31, FALSE())</f>
        <v>#N/A</v>
      </c>
      <c r="J55" s="489" t="e">
        <f>VLOOKUP($D55,[1]velho!$A$2:$BG$207,32, FALSE())</f>
        <v>#N/A</v>
      </c>
      <c r="K55" s="490" t="e">
        <f>VLOOKUP($D55,[1]velho!$A$2:$BG$207,33, FALSE())</f>
        <v>#N/A</v>
      </c>
      <c r="L55" s="489" t="e">
        <f>VLOOKUP($D55,[1]velho!$A$2:$BG$207,34, FALSE())</f>
        <v>#N/A</v>
      </c>
      <c r="M55" s="490" t="e">
        <f>VLOOKUP($D55,[1]velho!$A$2:$BG$207,35, FALSE())</f>
        <v>#N/A</v>
      </c>
      <c r="N55" s="489" t="e">
        <f>VLOOKUP($D55,[1]velho!$A$2:$BG$207,36, FALSE())</f>
        <v>#N/A</v>
      </c>
      <c r="O55" s="490" t="e">
        <f>VLOOKUP($D55,[1]velho!$A$2:$BG$207,37, FALSE())</f>
        <v>#N/A</v>
      </c>
      <c r="P55" s="489" t="e">
        <f>VLOOKUP($D55,[1]velho!$A$2:$BG$207,38, FALSE())</f>
        <v>#N/A</v>
      </c>
      <c r="Q55" s="490" t="e">
        <f>VLOOKUP($D55,[1]velho!$A$2:$BG$207,39, FALSE())</f>
        <v>#N/A</v>
      </c>
      <c r="R55" s="491" t="e">
        <f>VLOOKUP($D55,[1]velho!$A$2:$BG$207,40, FALSE())</f>
        <v>#N/A</v>
      </c>
      <c r="S55" s="490" t="e">
        <f>VLOOKUP($D55,[1]velho!$A$2:$BG$207,41, FALSE())</f>
        <v>#N/A</v>
      </c>
      <c r="T55" s="489" t="e">
        <f>VLOOKUP($D55,[1]velho!$A$2:$BG$207,42, FALSE())</f>
        <v>#N/A</v>
      </c>
      <c r="U55" s="490" t="e">
        <f>VLOOKUP($D55,[1]velho!$A$2:$BG$207,43, FALSE())</f>
        <v>#N/A</v>
      </c>
      <c r="V55" s="489" t="e">
        <f>VLOOKUP($D55,[1]velho!$A$2:$BG$207,44, FALSE())</f>
        <v>#N/A</v>
      </c>
      <c r="W55" s="490" t="e">
        <f>VLOOKUP($D55,[1]velho!$A$2:$BG$207,45, FALSE())</f>
        <v>#N/A</v>
      </c>
      <c r="X55" s="489" t="e">
        <f>VLOOKUP($D55,[1]velho!$A$2:$BG$207,46, FALSE())</f>
        <v>#N/A</v>
      </c>
      <c r="Y55" s="490" t="e">
        <f>VLOOKUP($D55,[1]velho!$A$2:$BG$207,47, FALSE())</f>
        <v>#N/A</v>
      </c>
      <c r="Z55" s="489" t="e">
        <f>VLOOKUP($D55,[1]velho!$A$2:$BG$207,48, FALSE())</f>
        <v>#N/A</v>
      </c>
      <c r="AA55" s="490" t="e">
        <f>VLOOKUP($D55,[1]velho!$A$2:$BG$207,49, FALSE())</f>
        <v>#N/A</v>
      </c>
      <c r="AB55" s="489" t="e">
        <f>VLOOKUP($D55,[1]velho!$A$2:$BG$207,50, FALSE())</f>
        <v>#N/A</v>
      </c>
      <c r="AC55" s="492" t="e">
        <f>VLOOKUP($D55,[1]velho!$A$2:$BG$207,51, FALSE())</f>
        <v>#N/A</v>
      </c>
      <c r="AD55" s="489" t="e">
        <f>VLOOKUP($D55,[1]velho!$A$2:$BG$207,52, FALSE())</f>
        <v>#N/A</v>
      </c>
      <c r="AE55" s="490" t="e">
        <f>VLOOKUP($D55,[1]velho!$A$2:$BG$207,53, FALSE())</f>
        <v>#N/A</v>
      </c>
      <c r="AF55" s="489" t="e">
        <f>VLOOKUP($D55,[1]velho!$A$2:$BG$207,54, FALSE())</f>
        <v>#N/A</v>
      </c>
      <c r="AG55" s="490" t="e">
        <f>VLOOKUP($D55,[1]velho!$A$2:$BG$207,55, FALSE())</f>
        <v>#N/A</v>
      </c>
      <c r="AH55" s="489" t="e">
        <f>VLOOKUP($D55,[1]velho!$A$2:$BG$207,56, FALSE())</f>
        <v>#N/A</v>
      </c>
      <c r="AI55" s="490" t="e">
        <f>VLOOKUP($D55,[1]velho!$A$2:$BG$207,57, FALSE())</f>
        <v>#N/A</v>
      </c>
      <c r="AJ55" s="489" t="e">
        <f>VLOOKUP($D55,[1]velho!$A$2:$BG$207,58, FALSE())</f>
        <v>#N/A</v>
      </c>
      <c r="AK55" s="267"/>
      <c r="AL55" s="267"/>
    </row>
    <row r="56" spans="1:38" ht="18.75" customHeight="1">
      <c r="A56" s="505" t="e">
        <f>VLOOKUP(D55,[1]velho!$A$28:$X$207,21, FALSE())</f>
        <v>#N/A</v>
      </c>
      <c r="B56" s="478"/>
      <c r="C56" s="481"/>
      <c r="D56" s="495" t="e">
        <f>VLOOKUP(D55,[1]velho!$A$2:$Y$207,25, FALSE())</f>
        <v>#N/A</v>
      </c>
      <c r="E56" s="496"/>
      <c r="F56" s="481"/>
      <c r="G56" s="481"/>
      <c r="H56" s="481"/>
      <c r="I56" s="481"/>
      <c r="J56" s="481"/>
      <c r="K56" s="481"/>
      <c r="L56" s="481"/>
      <c r="M56" s="481"/>
      <c r="N56" s="481"/>
      <c r="O56" s="481"/>
      <c r="P56" s="481"/>
      <c r="Q56" s="481"/>
      <c r="R56" s="481"/>
      <c r="S56" s="481"/>
      <c r="T56" s="481"/>
      <c r="U56" s="481"/>
      <c r="V56" s="481"/>
      <c r="W56" s="481"/>
      <c r="X56" s="481"/>
      <c r="Y56" s="481"/>
      <c r="Z56" s="481"/>
      <c r="AA56" s="481"/>
      <c r="AB56" s="481"/>
      <c r="AC56" s="481"/>
      <c r="AD56" s="481"/>
      <c r="AE56" s="481"/>
      <c r="AF56" s="481"/>
      <c r="AG56" s="481"/>
      <c r="AH56" s="481"/>
      <c r="AI56" s="481"/>
      <c r="AJ56" s="481"/>
      <c r="AK56" s="267"/>
      <c r="AL56" s="267"/>
    </row>
    <row r="57" spans="1:38" ht="3.75" customHeight="1">
      <c r="A57" s="6"/>
      <c r="B57" s="6"/>
      <c r="C57" s="1"/>
      <c r="D57" s="6"/>
      <c r="E57" s="6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  <c r="AA57" s="269"/>
      <c r="AB57" s="269"/>
      <c r="AC57" s="269"/>
      <c r="AD57" s="269"/>
      <c r="AE57" s="269"/>
      <c r="AF57" s="269"/>
      <c r="AG57" s="269"/>
      <c r="AH57" s="269"/>
      <c r="AI57" s="269"/>
      <c r="AJ57" s="269"/>
      <c r="AK57" s="269"/>
      <c r="AL57" s="269"/>
    </row>
    <row r="58" spans="1:38" ht="18.75" customHeight="1">
      <c r="A58" s="200" t="s">
        <v>2765</v>
      </c>
      <c r="B58" s="200" t="s">
        <v>2702</v>
      </c>
      <c r="C58" s="493" t="e">
        <f>VLOOKUP(B58,#REF!,2, FALSE())</f>
        <v>#REF!</v>
      </c>
      <c r="D58" s="264" t="s">
        <v>1545</v>
      </c>
      <c r="E58" s="265" t="e">
        <f>VLOOKUP(D58,#REF!,2, FALSE())</f>
        <v>#REF!</v>
      </c>
      <c r="F58" s="489" t="e">
        <f>VLOOKUP($D58,[1]velho!$A$15:$BG$207,28, FALSE())</f>
        <v>#N/A</v>
      </c>
      <c r="G58" s="490" t="e">
        <f>VLOOKUP($D58,[1]velho!$A$2:$BG$207,29, FALSE())</f>
        <v>#N/A</v>
      </c>
      <c r="H58" s="489" t="e">
        <f>VLOOKUP($D58,[1]velho!$A$2:$BG$207,30, FALSE())</f>
        <v>#N/A</v>
      </c>
      <c r="I58" s="490" t="e">
        <f>VLOOKUP($D58,[1]velho!$A$2:$BG$207,31, FALSE())</f>
        <v>#N/A</v>
      </c>
      <c r="J58" s="489" t="e">
        <f>VLOOKUP($D58,[1]velho!$A$2:$BG$207,32, FALSE())</f>
        <v>#N/A</v>
      </c>
      <c r="K58" s="490" t="e">
        <f>VLOOKUP($D58,[1]velho!$A$2:$BG$207,33, FALSE())</f>
        <v>#N/A</v>
      </c>
      <c r="L58" s="489" t="e">
        <f>VLOOKUP($D58,[1]velho!$A$2:$BG$207,34, FALSE())</f>
        <v>#N/A</v>
      </c>
      <c r="M58" s="490" t="e">
        <f>VLOOKUP($D58,[1]velho!$A$2:$BG$207,35, FALSE())</f>
        <v>#N/A</v>
      </c>
      <c r="N58" s="489" t="e">
        <f>VLOOKUP($D58,[1]velho!$A$2:$BG$207,36, FALSE())</f>
        <v>#N/A</v>
      </c>
      <c r="O58" s="490" t="e">
        <f>VLOOKUP($D58,[1]velho!$A$2:$BG$207,37, FALSE())</f>
        <v>#N/A</v>
      </c>
      <c r="P58" s="489" t="e">
        <f>VLOOKUP($D58,[1]velho!$A$2:$BG$207,38, FALSE())</f>
        <v>#N/A</v>
      </c>
      <c r="Q58" s="490" t="e">
        <f>VLOOKUP($D58,[1]velho!$A$2:$BG$207,39, FALSE())</f>
        <v>#N/A</v>
      </c>
      <c r="R58" s="491" t="e">
        <f>VLOOKUP($D58,[1]velho!$A$2:$BG$207,40, FALSE())</f>
        <v>#N/A</v>
      </c>
      <c r="S58" s="490" t="e">
        <f>VLOOKUP($D58,[1]velho!$A$2:$BG$207,41, FALSE())</f>
        <v>#N/A</v>
      </c>
      <c r="T58" s="489" t="e">
        <f>VLOOKUP($D58,[1]velho!$A$2:$BG$207,42, FALSE())</f>
        <v>#N/A</v>
      </c>
      <c r="U58" s="490" t="e">
        <f>VLOOKUP($D58,[1]velho!$A$2:$BG$207,43, FALSE())</f>
        <v>#N/A</v>
      </c>
      <c r="V58" s="489" t="e">
        <f>VLOOKUP($D58,[1]velho!$A$2:$BG$207,44, FALSE())</f>
        <v>#N/A</v>
      </c>
      <c r="W58" s="490" t="e">
        <f>VLOOKUP($D58,[1]velho!$A$2:$BG$207,45, FALSE())</f>
        <v>#N/A</v>
      </c>
      <c r="X58" s="489" t="e">
        <f>VLOOKUP($D58,[1]velho!$A$2:$BG$207,46, FALSE())</f>
        <v>#N/A</v>
      </c>
      <c r="Y58" s="490" t="e">
        <f>VLOOKUP($D58,[1]velho!$A$2:$BG$207,47, FALSE())</f>
        <v>#N/A</v>
      </c>
      <c r="Z58" s="489" t="e">
        <f>VLOOKUP($D58,[1]velho!$A$2:$BG$207,48, FALSE())</f>
        <v>#N/A</v>
      </c>
      <c r="AA58" s="490" t="e">
        <f>VLOOKUP($D58,[1]velho!$A$2:$BG$207,49, FALSE())</f>
        <v>#N/A</v>
      </c>
      <c r="AB58" s="489" t="e">
        <f>VLOOKUP($D58,[1]velho!$A$2:$BG$207,50, FALSE())</f>
        <v>#N/A</v>
      </c>
      <c r="AC58" s="492" t="e">
        <f>VLOOKUP($D58,[1]velho!$A$2:$BG$207,51, FALSE())</f>
        <v>#N/A</v>
      </c>
      <c r="AD58" s="489" t="e">
        <f>VLOOKUP($D58,[1]velho!$A$2:$BG$207,52, FALSE())</f>
        <v>#N/A</v>
      </c>
      <c r="AE58" s="490" t="e">
        <f>VLOOKUP($D58,[1]velho!$A$2:$BG$207,53, FALSE())</f>
        <v>#N/A</v>
      </c>
      <c r="AF58" s="489" t="e">
        <f>VLOOKUP($D58,[1]velho!$A$2:$BG$207,54, FALSE())</f>
        <v>#N/A</v>
      </c>
      <c r="AG58" s="490" t="e">
        <f>VLOOKUP($D58,[1]velho!$A$2:$BG$207,55, FALSE())</f>
        <v>#N/A</v>
      </c>
      <c r="AH58" s="489" t="e">
        <f>VLOOKUP($D58,[1]velho!$A$2:$BG$207,56, FALSE())</f>
        <v>#N/A</v>
      </c>
      <c r="AI58" s="490" t="e">
        <f>VLOOKUP($D58,[1]velho!$A$2:$BG$207,57, FALSE())</f>
        <v>#N/A</v>
      </c>
      <c r="AJ58" s="489" t="e">
        <f>VLOOKUP($D58,[1]velho!$A$2:$BG$207,58, FALSE())</f>
        <v>#N/A</v>
      </c>
      <c r="AK58" s="267"/>
      <c r="AL58" s="267"/>
    </row>
    <row r="59" spans="1:38" ht="18.75" customHeight="1">
      <c r="A59" s="494" t="e">
        <f>VLOOKUP(D58,[1]velho!$A$28:$X$207,21, FALSE())</f>
        <v>#N/A</v>
      </c>
      <c r="B59" s="478"/>
      <c r="C59" s="481"/>
      <c r="D59" s="495" t="e">
        <f>VLOOKUP(D58,[1]velho!$A$2:$Y$207,25, FALSE())</f>
        <v>#N/A</v>
      </c>
      <c r="E59" s="496"/>
      <c r="F59" s="481"/>
      <c r="G59" s="481"/>
      <c r="H59" s="481"/>
      <c r="I59" s="481"/>
      <c r="J59" s="481"/>
      <c r="K59" s="481"/>
      <c r="L59" s="481"/>
      <c r="M59" s="481"/>
      <c r="N59" s="481"/>
      <c r="O59" s="481"/>
      <c r="P59" s="481"/>
      <c r="Q59" s="481"/>
      <c r="R59" s="481"/>
      <c r="S59" s="481"/>
      <c r="T59" s="481"/>
      <c r="U59" s="481"/>
      <c r="V59" s="481"/>
      <c r="W59" s="481"/>
      <c r="X59" s="481"/>
      <c r="Y59" s="481"/>
      <c r="Z59" s="481"/>
      <c r="AA59" s="481"/>
      <c r="AB59" s="481"/>
      <c r="AC59" s="481"/>
      <c r="AD59" s="481"/>
      <c r="AE59" s="481"/>
      <c r="AF59" s="481"/>
      <c r="AG59" s="481"/>
      <c r="AH59" s="481"/>
      <c r="AI59" s="481"/>
      <c r="AJ59" s="481"/>
      <c r="AK59" s="267"/>
      <c r="AL59" s="267"/>
    </row>
    <row r="60" spans="1:38" ht="3.75" customHeight="1">
      <c r="A60" s="6"/>
      <c r="B60" s="6"/>
      <c r="C60" s="1"/>
      <c r="D60" s="6"/>
      <c r="E60" s="6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  <c r="AA60" s="269"/>
      <c r="AB60" s="269"/>
      <c r="AC60" s="269"/>
      <c r="AD60" s="269"/>
      <c r="AE60" s="269"/>
      <c r="AF60" s="269"/>
      <c r="AG60" s="269"/>
      <c r="AH60" s="269"/>
      <c r="AI60" s="269"/>
      <c r="AJ60" s="269"/>
      <c r="AK60" s="269"/>
      <c r="AL60" s="269"/>
    </row>
    <row r="61" spans="1:38" ht="18.75" customHeight="1">
      <c r="A61" s="200" t="s">
        <v>2765</v>
      </c>
      <c r="B61" s="200" t="s">
        <v>2702</v>
      </c>
      <c r="C61" s="493" t="e">
        <f>VLOOKUP(B61,#REF!,2, FALSE())</f>
        <v>#REF!</v>
      </c>
      <c r="D61" s="264" t="s">
        <v>1996</v>
      </c>
      <c r="E61" s="265" t="e">
        <f>VLOOKUP(D61,#REF!,2, FALSE())</f>
        <v>#REF!</v>
      </c>
      <c r="F61" s="489" t="e">
        <f>VLOOKUP($D61,[1]velho!$A$15:$BG$207,28, FALSE())</f>
        <v>#N/A</v>
      </c>
      <c r="G61" s="490" t="e">
        <f>VLOOKUP($D61,[1]velho!$A$2:$BG$207,29, FALSE())</f>
        <v>#N/A</v>
      </c>
      <c r="H61" s="489" t="e">
        <f>VLOOKUP($D61,[1]velho!$A$2:$BG$207,30, FALSE())</f>
        <v>#N/A</v>
      </c>
      <c r="I61" s="490" t="e">
        <f>VLOOKUP($D61,[1]velho!$A$2:$BG$207,31, FALSE())</f>
        <v>#N/A</v>
      </c>
      <c r="J61" s="489" t="e">
        <f>VLOOKUP($D61,[1]velho!$A$2:$BG$207,32, FALSE())</f>
        <v>#N/A</v>
      </c>
      <c r="K61" s="490" t="e">
        <f>VLOOKUP($D61,[1]velho!$A$2:$BG$207,33, FALSE())</f>
        <v>#N/A</v>
      </c>
      <c r="L61" s="489" t="e">
        <f>VLOOKUP($D61,[1]velho!$A$2:$BG$207,34, FALSE())</f>
        <v>#N/A</v>
      </c>
      <c r="M61" s="490" t="e">
        <f>VLOOKUP($D61,[1]velho!$A$2:$BG$207,35, FALSE())</f>
        <v>#N/A</v>
      </c>
      <c r="N61" s="489" t="e">
        <f>VLOOKUP($D61,[1]velho!$A$2:$BG$207,36, FALSE())</f>
        <v>#N/A</v>
      </c>
      <c r="O61" s="490" t="e">
        <f>VLOOKUP($D61,[1]velho!$A$2:$BG$207,37, FALSE())</f>
        <v>#N/A</v>
      </c>
      <c r="P61" s="489" t="e">
        <f>VLOOKUP($D61,[1]velho!$A$2:$BG$207,38, FALSE())</f>
        <v>#N/A</v>
      </c>
      <c r="Q61" s="490" t="e">
        <f>VLOOKUP($D61,[1]velho!$A$2:$BG$207,39, FALSE())</f>
        <v>#N/A</v>
      </c>
      <c r="R61" s="491" t="e">
        <f>VLOOKUP($D61,[1]velho!$A$2:$BG$207,40, FALSE())</f>
        <v>#N/A</v>
      </c>
      <c r="S61" s="490" t="e">
        <f>VLOOKUP($D61,[1]velho!$A$2:$BG$207,41, FALSE())</f>
        <v>#N/A</v>
      </c>
      <c r="T61" s="489" t="e">
        <f>VLOOKUP($D61,[1]velho!$A$2:$BG$207,42, FALSE())</f>
        <v>#N/A</v>
      </c>
      <c r="U61" s="490" t="e">
        <f>VLOOKUP($D61,[1]velho!$A$2:$BG$207,43, FALSE())</f>
        <v>#N/A</v>
      </c>
      <c r="V61" s="489" t="e">
        <f>VLOOKUP($D61,[1]velho!$A$2:$BG$207,44, FALSE())</f>
        <v>#N/A</v>
      </c>
      <c r="W61" s="490" t="e">
        <f>VLOOKUP($D61,[1]velho!$A$2:$BG$207,45, FALSE())</f>
        <v>#N/A</v>
      </c>
      <c r="X61" s="489" t="e">
        <f>VLOOKUP($D61,[1]velho!$A$2:$BG$207,46, FALSE())</f>
        <v>#N/A</v>
      </c>
      <c r="Y61" s="490" t="e">
        <f>VLOOKUP($D61,[1]velho!$A$2:$BG$207,47, FALSE())</f>
        <v>#N/A</v>
      </c>
      <c r="Z61" s="489" t="e">
        <f>VLOOKUP($D61,[1]velho!$A$2:$BG$207,48, FALSE())</f>
        <v>#N/A</v>
      </c>
      <c r="AA61" s="490" t="e">
        <f>VLOOKUP($D61,[1]velho!$A$2:$BG$207,49, FALSE())</f>
        <v>#N/A</v>
      </c>
      <c r="AB61" s="489" t="e">
        <f>VLOOKUP($D61,[1]velho!$A$2:$BG$207,50, FALSE())</f>
        <v>#N/A</v>
      </c>
      <c r="AC61" s="492" t="e">
        <f>VLOOKUP($D61,[1]velho!$A$2:$BG$207,51, FALSE())</f>
        <v>#N/A</v>
      </c>
      <c r="AD61" s="489" t="e">
        <f>VLOOKUP($D61,[1]velho!$A$2:$BG$207,52, FALSE())</f>
        <v>#N/A</v>
      </c>
      <c r="AE61" s="490" t="e">
        <f>VLOOKUP($D61,[1]velho!$A$2:$BG$207,53, FALSE())</f>
        <v>#N/A</v>
      </c>
      <c r="AF61" s="489" t="e">
        <f>VLOOKUP($D61,[1]velho!$A$2:$BG$207,54, FALSE())</f>
        <v>#N/A</v>
      </c>
      <c r="AG61" s="490" t="e">
        <f>VLOOKUP($D61,[1]velho!$A$2:$BG$207,55, FALSE())</f>
        <v>#N/A</v>
      </c>
      <c r="AH61" s="489" t="e">
        <f>VLOOKUP($D61,[1]velho!$A$2:$BG$207,56, FALSE())</f>
        <v>#N/A</v>
      </c>
      <c r="AI61" s="490" t="e">
        <f>VLOOKUP($D61,[1]velho!$A$2:$BG$207,57, FALSE())</f>
        <v>#N/A</v>
      </c>
      <c r="AJ61" s="489" t="e">
        <f>VLOOKUP($D61,[1]velho!$A$2:$BG$207,58, FALSE())</f>
        <v>#N/A</v>
      </c>
      <c r="AK61" s="267"/>
      <c r="AL61" s="267"/>
    </row>
    <row r="62" spans="1:38" ht="18.75" customHeight="1">
      <c r="A62" s="503" t="e">
        <f>VLOOKUP(D61,[1]velho!$A$28:$X$207,21, FALSE())</f>
        <v>#N/A</v>
      </c>
      <c r="B62" s="499"/>
      <c r="C62" s="481"/>
      <c r="D62" s="495" t="e">
        <f>VLOOKUP(D61,[1]velho!$A$2:$Y$207,25, FALSE())</f>
        <v>#N/A</v>
      </c>
      <c r="E62" s="496"/>
      <c r="F62" s="481"/>
      <c r="G62" s="481"/>
      <c r="H62" s="481"/>
      <c r="I62" s="481"/>
      <c r="J62" s="481"/>
      <c r="K62" s="481"/>
      <c r="L62" s="481"/>
      <c r="M62" s="481"/>
      <c r="N62" s="481"/>
      <c r="O62" s="481"/>
      <c r="P62" s="481"/>
      <c r="Q62" s="481"/>
      <c r="R62" s="481"/>
      <c r="S62" s="481"/>
      <c r="T62" s="481"/>
      <c r="U62" s="481"/>
      <c r="V62" s="481"/>
      <c r="W62" s="481"/>
      <c r="X62" s="481"/>
      <c r="Y62" s="481"/>
      <c r="Z62" s="481"/>
      <c r="AA62" s="481"/>
      <c r="AB62" s="481"/>
      <c r="AC62" s="481"/>
      <c r="AD62" s="481"/>
      <c r="AE62" s="481"/>
      <c r="AF62" s="481"/>
      <c r="AG62" s="481"/>
      <c r="AH62" s="481"/>
      <c r="AI62" s="481"/>
      <c r="AJ62" s="481"/>
      <c r="AK62" s="267"/>
      <c r="AL62" s="267"/>
    </row>
    <row r="63" spans="1:38" ht="3.75" customHeight="1">
      <c r="A63" s="6"/>
      <c r="B63" s="6"/>
      <c r="C63" s="1"/>
      <c r="D63" s="6"/>
      <c r="E63" s="6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  <c r="AA63" s="269"/>
      <c r="AB63" s="269"/>
      <c r="AC63" s="269"/>
      <c r="AD63" s="269"/>
      <c r="AE63" s="269"/>
      <c r="AF63" s="269"/>
      <c r="AG63" s="269"/>
      <c r="AH63" s="269"/>
      <c r="AI63" s="269"/>
      <c r="AJ63" s="269"/>
      <c r="AK63" s="269"/>
      <c r="AL63" s="269"/>
    </row>
    <row r="64" spans="1:38" ht="18.75" customHeight="1">
      <c r="A64" s="200" t="s">
        <v>2765</v>
      </c>
      <c r="B64" s="200" t="s">
        <v>2702</v>
      </c>
      <c r="C64" s="493" t="e">
        <f>VLOOKUP(B64,#REF!,2, FALSE())</f>
        <v>#REF!</v>
      </c>
      <c r="D64" s="264" t="s">
        <v>1399</v>
      </c>
      <c r="E64" s="265" t="e">
        <f>VLOOKUP(D64,#REF!,2, FALSE())</f>
        <v>#REF!</v>
      </c>
      <c r="F64" s="489" t="e">
        <f>VLOOKUP($D64,[1]velho!$A$15:$BG$207,28, FALSE())</f>
        <v>#N/A</v>
      </c>
      <c r="G64" s="490" t="e">
        <f>VLOOKUP($D64,[1]velho!$A$2:$BG$207,29, FALSE())</f>
        <v>#N/A</v>
      </c>
      <c r="H64" s="489" t="e">
        <f>VLOOKUP($D64,[1]velho!$A$2:$BG$207,30, FALSE())</f>
        <v>#N/A</v>
      </c>
      <c r="I64" s="490" t="e">
        <f>VLOOKUP($D64,[1]velho!$A$2:$BG$207,31, FALSE())</f>
        <v>#N/A</v>
      </c>
      <c r="J64" s="489" t="e">
        <f>VLOOKUP($D64,[1]velho!$A$2:$BG$207,32, FALSE())</f>
        <v>#N/A</v>
      </c>
      <c r="K64" s="490" t="e">
        <f>VLOOKUP($D64,[1]velho!$A$2:$BG$207,33, FALSE())</f>
        <v>#N/A</v>
      </c>
      <c r="L64" s="489" t="e">
        <f>VLOOKUP($D64,[1]velho!$A$2:$BG$207,34, FALSE())</f>
        <v>#N/A</v>
      </c>
      <c r="M64" s="490" t="e">
        <f>VLOOKUP($D64,[1]velho!$A$2:$BG$207,35, FALSE())</f>
        <v>#N/A</v>
      </c>
      <c r="N64" s="489" t="e">
        <f>VLOOKUP($D64,[1]velho!$A$2:$BG$207,36, FALSE())</f>
        <v>#N/A</v>
      </c>
      <c r="O64" s="490" t="e">
        <f>VLOOKUP($D64,[1]velho!$A$2:$BG$207,37, FALSE())</f>
        <v>#N/A</v>
      </c>
      <c r="P64" s="489" t="e">
        <f>VLOOKUP($D64,[1]velho!$A$2:$BG$207,38, FALSE())</f>
        <v>#N/A</v>
      </c>
      <c r="Q64" s="490" t="e">
        <f>VLOOKUP($D64,[1]velho!$A$2:$BG$207,39, FALSE())</f>
        <v>#N/A</v>
      </c>
      <c r="R64" s="491" t="e">
        <f>VLOOKUP($D64,[1]velho!$A$2:$BG$207,40, FALSE())</f>
        <v>#N/A</v>
      </c>
      <c r="S64" s="490" t="e">
        <f>VLOOKUP($D64,[1]velho!$A$2:$BG$207,41, FALSE())</f>
        <v>#N/A</v>
      </c>
      <c r="T64" s="489" t="e">
        <f>VLOOKUP($D64,[1]velho!$A$2:$BG$207,42, FALSE())</f>
        <v>#N/A</v>
      </c>
      <c r="U64" s="490" t="e">
        <f>VLOOKUP($D64,[1]velho!$A$2:$BG$207,43, FALSE())</f>
        <v>#N/A</v>
      </c>
      <c r="V64" s="489" t="e">
        <f>VLOOKUP($D64,[1]velho!$A$2:$BG$207,44, FALSE())</f>
        <v>#N/A</v>
      </c>
      <c r="W64" s="490" t="e">
        <f>VLOOKUP($D64,[1]velho!$A$2:$BG$207,45, FALSE())</f>
        <v>#N/A</v>
      </c>
      <c r="X64" s="489" t="e">
        <f>VLOOKUP($D64,[1]velho!$A$2:$BG$207,46, FALSE())</f>
        <v>#N/A</v>
      </c>
      <c r="Y64" s="490" t="e">
        <f>VLOOKUP($D64,[1]velho!$A$2:$BG$207,47, FALSE())</f>
        <v>#N/A</v>
      </c>
      <c r="Z64" s="489" t="e">
        <f>VLOOKUP($D64,[1]velho!$A$2:$BG$207,48, FALSE())</f>
        <v>#N/A</v>
      </c>
      <c r="AA64" s="490" t="e">
        <f>VLOOKUP($D64,[1]velho!$A$2:$BG$207,49, FALSE())</f>
        <v>#N/A</v>
      </c>
      <c r="AB64" s="489" t="e">
        <f>VLOOKUP($D64,[1]velho!$A$2:$BG$207,50, FALSE())</f>
        <v>#N/A</v>
      </c>
      <c r="AC64" s="492" t="e">
        <f>VLOOKUP($D64,[1]velho!$A$2:$BG$207,51, FALSE())</f>
        <v>#N/A</v>
      </c>
      <c r="AD64" s="489" t="e">
        <f>VLOOKUP($D64,[1]velho!$A$2:$BG$207,52, FALSE())</f>
        <v>#N/A</v>
      </c>
      <c r="AE64" s="490" t="e">
        <f>VLOOKUP($D64,[1]velho!$A$2:$BG$207,53, FALSE())</f>
        <v>#N/A</v>
      </c>
      <c r="AF64" s="489" t="e">
        <f>VLOOKUP($D64,[1]velho!$A$2:$BG$207,54, FALSE())</f>
        <v>#N/A</v>
      </c>
      <c r="AG64" s="490" t="e">
        <f>VLOOKUP($D64,[1]velho!$A$2:$BG$207,55, FALSE())</f>
        <v>#N/A</v>
      </c>
      <c r="AH64" s="489" t="e">
        <f>VLOOKUP($D64,[1]velho!$A$2:$BG$207,56, FALSE())</f>
        <v>#N/A</v>
      </c>
      <c r="AI64" s="490" t="e">
        <f>VLOOKUP($D64,[1]velho!$A$2:$BG$207,57, FALSE())</f>
        <v>#N/A</v>
      </c>
      <c r="AJ64" s="489" t="e">
        <f>VLOOKUP($D64,[1]velho!$A$2:$BG$207,58, FALSE())</f>
        <v>#N/A</v>
      </c>
      <c r="AK64" s="267"/>
      <c r="AL64" s="267"/>
    </row>
    <row r="65" spans="1:38" ht="18.75" customHeight="1">
      <c r="A65" s="494" t="e">
        <f>VLOOKUP(D64,[1]velho!$A$28:$X$207,21, FALSE())</f>
        <v>#N/A</v>
      </c>
      <c r="B65" s="478"/>
      <c r="C65" s="481"/>
      <c r="D65" s="495" t="e">
        <f>VLOOKUP(D64,[1]velho!$A$2:$Y$207,25, FALSE())</f>
        <v>#N/A</v>
      </c>
      <c r="E65" s="496"/>
      <c r="F65" s="481"/>
      <c r="G65" s="481"/>
      <c r="H65" s="481"/>
      <c r="I65" s="481"/>
      <c r="J65" s="481"/>
      <c r="K65" s="481"/>
      <c r="L65" s="481"/>
      <c r="M65" s="481"/>
      <c r="N65" s="481"/>
      <c r="O65" s="481"/>
      <c r="P65" s="481"/>
      <c r="Q65" s="481"/>
      <c r="R65" s="481"/>
      <c r="S65" s="481"/>
      <c r="T65" s="481"/>
      <c r="U65" s="481"/>
      <c r="V65" s="481"/>
      <c r="W65" s="481"/>
      <c r="X65" s="481"/>
      <c r="Y65" s="481"/>
      <c r="Z65" s="481"/>
      <c r="AA65" s="481"/>
      <c r="AB65" s="481"/>
      <c r="AC65" s="481"/>
      <c r="AD65" s="481"/>
      <c r="AE65" s="481"/>
      <c r="AF65" s="481"/>
      <c r="AG65" s="481"/>
      <c r="AH65" s="481"/>
      <c r="AI65" s="481"/>
      <c r="AJ65" s="481"/>
      <c r="AK65" s="267"/>
      <c r="AL65" s="267"/>
    </row>
    <row r="66" spans="1:38" ht="3.75" customHeight="1">
      <c r="A66" s="6"/>
      <c r="B66" s="6"/>
      <c r="C66" s="1"/>
      <c r="D66" s="6"/>
      <c r="E66" s="6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  <c r="AA66" s="269"/>
      <c r="AB66" s="269"/>
      <c r="AC66" s="269"/>
      <c r="AD66" s="269"/>
      <c r="AE66" s="269"/>
      <c r="AF66" s="269"/>
      <c r="AG66" s="269"/>
      <c r="AH66" s="269"/>
      <c r="AI66" s="269"/>
      <c r="AJ66" s="269"/>
      <c r="AK66" s="269"/>
      <c r="AL66" s="269"/>
    </row>
    <row r="67" spans="1:38" ht="18.75" customHeight="1">
      <c r="A67" s="200" t="s">
        <v>2765</v>
      </c>
      <c r="B67" s="200" t="s">
        <v>2702</v>
      </c>
      <c r="C67" s="493" t="e">
        <f>VLOOKUP(B67,#REF!,2, FALSE())</f>
        <v>#REF!</v>
      </c>
      <c r="D67" s="264" t="s">
        <v>2145</v>
      </c>
      <c r="E67" s="265" t="e">
        <f>VLOOKUP(D67,#REF!,2, FALSE())</f>
        <v>#REF!</v>
      </c>
      <c r="F67" s="489" t="e">
        <f>VLOOKUP($D67,[1]velho!$A$15:$BG$207,28, FALSE())</f>
        <v>#N/A</v>
      </c>
      <c r="G67" s="490" t="e">
        <f>VLOOKUP($D67,[1]velho!$A$2:$BG$207,29, FALSE())</f>
        <v>#N/A</v>
      </c>
      <c r="H67" s="489" t="e">
        <f>VLOOKUP($D67,[1]velho!$A$2:$BG$207,30, FALSE())</f>
        <v>#N/A</v>
      </c>
      <c r="I67" s="490" t="e">
        <f>VLOOKUP($D67,[1]velho!$A$2:$BG$207,31, FALSE())</f>
        <v>#N/A</v>
      </c>
      <c r="J67" s="489" t="e">
        <f>VLOOKUP($D67,[1]velho!$A$2:$BG$207,32, FALSE())</f>
        <v>#N/A</v>
      </c>
      <c r="K67" s="490" t="e">
        <f>VLOOKUP($D67,[1]velho!$A$2:$BG$207,33, FALSE())</f>
        <v>#N/A</v>
      </c>
      <c r="L67" s="489" t="e">
        <f>VLOOKUP($D67,[1]velho!$A$2:$BG$207,34, FALSE())</f>
        <v>#N/A</v>
      </c>
      <c r="M67" s="490" t="e">
        <f>VLOOKUP($D67,[1]velho!$A$2:$BG$207,35, FALSE())</f>
        <v>#N/A</v>
      </c>
      <c r="N67" s="489" t="e">
        <f>VLOOKUP($D67,[1]velho!$A$2:$BG$207,36, FALSE())</f>
        <v>#N/A</v>
      </c>
      <c r="O67" s="490" t="e">
        <f>VLOOKUP($D67,[1]velho!$A$2:$BG$207,37, FALSE())</f>
        <v>#N/A</v>
      </c>
      <c r="P67" s="489" t="e">
        <f>VLOOKUP($D67,[1]velho!$A$2:$BG$207,38, FALSE())</f>
        <v>#N/A</v>
      </c>
      <c r="Q67" s="490" t="e">
        <f>VLOOKUP($D67,[1]velho!$A$2:$BG$207,39, FALSE())</f>
        <v>#N/A</v>
      </c>
      <c r="R67" s="491" t="e">
        <f>VLOOKUP($D67,[1]velho!$A$2:$BG$207,40, FALSE())</f>
        <v>#N/A</v>
      </c>
      <c r="S67" s="490" t="e">
        <f>VLOOKUP($D67,[1]velho!$A$2:$BG$207,41, FALSE())</f>
        <v>#N/A</v>
      </c>
      <c r="T67" s="489" t="e">
        <f>VLOOKUP($D67,[1]velho!$A$2:$BG$207,42, FALSE())</f>
        <v>#N/A</v>
      </c>
      <c r="U67" s="490" t="e">
        <f>VLOOKUP($D67,[1]velho!$A$2:$BG$207,43, FALSE())</f>
        <v>#N/A</v>
      </c>
      <c r="V67" s="489" t="e">
        <f>VLOOKUP($D67,[1]velho!$A$2:$BG$207,44, FALSE())</f>
        <v>#N/A</v>
      </c>
      <c r="W67" s="490" t="e">
        <f>VLOOKUP($D67,[1]velho!$A$2:$BG$207,45, FALSE())</f>
        <v>#N/A</v>
      </c>
      <c r="X67" s="489" t="e">
        <f>VLOOKUP($D67,[1]velho!$A$2:$BG$207,46, FALSE())</f>
        <v>#N/A</v>
      </c>
      <c r="Y67" s="490" t="e">
        <f>VLOOKUP($D67,[1]velho!$A$2:$BG$207,47, FALSE())</f>
        <v>#N/A</v>
      </c>
      <c r="Z67" s="489" t="e">
        <f>VLOOKUP($D67,[1]velho!$A$2:$BG$207,48, FALSE())</f>
        <v>#N/A</v>
      </c>
      <c r="AA67" s="490" t="e">
        <f>VLOOKUP($D67,[1]velho!$A$2:$BG$207,49, FALSE())</f>
        <v>#N/A</v>
      </c>
      <c r="AB67" s="489" t="e">
        <f>VLOOKUP($D67,[1]velho!$A$2:$BG$207,50, FALSE())</f>
        <v>#N/A</v>
      </c>
      <c r="AC67" s="492" t="e">
        <f>VLOOKUP($D67,[1]velho!$A$2:$BG$207,51, FALSE())</f>
        <v>#N/A</v>
      </c>
      <c r="AD67" s="489" t="e">
        <f>VLOOKUP($D67,[1]velho!$A$2:$BG$207,52, FALSE())</f>
        <v>#N/A</v>
      </c>
      <c r="AE67" s="490" t="e">
        <f>VLOOKUP($D67,[1]velho!$A$2:$BG$207,53, FALSE())</f>
        <v>#N/A</v>
      </c>
      <c r="AF67" s="489" t="e">
        <f>VLOOKUP($D67,[1]velho!$A$2:$BG$207,54, FALSE())</f>
        <v>#N/A</v>
      </c>
      <c r="AG67" s="490" t="e">
        <f>VLOOKUP($D67,[1]velho!$A$2:$BG$207,55, FALSE())</f>
        <v>#N/A</v>
      </c>
      <c r="AH67" s="489" t="e">
        <f>VLOOKUP($D67,[1]velho!$A$2:$BG$207,56, FALSE())</f>
        <v>#N/A</v>
      </c>
      <c r="AI67" s="490" t="e">
        <f>VLOOKUP($D67,[1]velho!$A$2:$BG$207,57, FALSE())</f>
        <v>#N/A</v>
      </c>
      <c r="AJ67" s="489" t="e">
        <f>VLOOKUP($D67,[1]velho!$A$2:$BG$207,58, FALSE())</f>
        <v>#N/A</v>
      </c>
      <c r="AK67" s="267"/>
      <c r="AL67" s="267"/>
    </row>
    <row r="68" spans="1:38" ht="18.75" customHeight="1">
      <c r="A68" s="494" t="e">
        <f>VLOOKUP(D67,[1]velho!$A$28:$X$207,21, FALSE())</f>
        <v>#N/A</v>
      </c>
      <c r="B68" s="478"/>
      <c r="C68" s="481"/>
      <c r="D68" s="495" t="e">
        <f>VLOOKUP(D67,[1]velho!$A$2:$Y$207,25, FALSE())</f>
        <v>#N/A</v>
      </c>
      <c r="E68" s="496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1"/>
      <c r="Q68" s="481"/>
      <c r="R68" s="481"/>
      <c r="S68" s="481"/>
      <c r="T68" s="481"/>
      <c r="U68" s="481"/>
      <c r="V68" s="481"/>
      <c r="W68" s="481"/>
      <c r="X68" s="481"/>
      <c r="Y68" s="481"/>
      <c r="Z68" s="481"/>
      <c r="AA68" s="481"/>
      <c r="AB68" s="481"/>
      <c r="AC68" s="481"/>
      <c r="AD68" s="481"/>
      <c r="AE68" s="481"/>
      <c r="AF68" s="481"/>
      <c r="AG68" s="481"/>
      <c r="AH68" s="481"/>
      <c r="AI68" s="481"/>
      <c r="AJ68" s="481"/>
      <c r="AK68" s="267"/>
      <c r="AL68" s="267"/>
    </row>
    <row r="69" spans="1:38" ht="3.75" customHeight="1">
      <c r="A69" s="6"/>
      <c r="B69" s="6"/>
      <c r="C69" s="1"/>
      <c r="D69" s="6"/>
      <c r="E69" s="6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  <c r="AA69" s="269"/>
      <c r="AB69" s="269"/>
      <c r="AC69" s="269"/>
      <c r="AD69" s="269"/>
      <c r="AE69" s="269"/>
      <c r="AF69" s="269"/>
      <c r="AG69" s="269"/>
      <c r="AH69" s="269"/>
      <c r="AI69" s="269"/>
      <c r="AJ69" s="269"/>
      <c r="AK69" s="269"/>
      <c r="AL69" s="269"/>
    </row>
    <row r="70" spans="1:38" ht="18.75" customHeight="1">
      <c r="A70" s="200" t="s">
        <v>2765</v>
      </c>
      <c r="B70" s="200" t="s">
        <v>2702</v>
      </c>
      <c r="C70" s="493" t="e">
        <f>VLOOKUP(B70,#REF!,2, FALSE())</f>
        <v>#REF!</v>
      </c>
      <c r="D70" s="264" t="s">
        <v>1396</v>
      </c>
      <c r="E70" s="265" t="e">
        <f>VLOOKUP(D70,#REF!,2, FALSE())</f>
        <v>#REF!</v>
      </c>
      <c r="F70" s="489" t="e">
        <f>VLOOKUP($D70,[1]velho!$A$15:$BG$207,28, FALSE())</f>
        <v>#N/A</v>
      </c>
      <c r="G70" s="490" t="e">
        <f>VLOOKUP($D70,[1]velho!$A$2:$BG$207,29, FALSE())</f>
        <v>#N/A</v>
      </c>
      <c r="H70" s="489" t="e">
        <f>VLOOKUP($D70,[1]velho!$A$2:$BG$207,30, FALSE())</f>
        <v>#N/A</v>
      </c>
      <c r="I70" s="490" t="e">
        <f>VLOOKUP($D70,[1]velho!$A$2:$BG$207,31, FALSE())</f>
        <v>#N/A</v>
      </c>
      <c r="J70" s="489" t="e">
        <f>VLOOKUP($D70,[1]velho!$A$2:$BG$207,32, FALSE())</f>
        <v>#N/A</v>
      </c>
      <c r="K70" s="490" t="e">
        <f>VLOOKUP($D70,[1]velho!$A$2:$BG$207,33, FALSE())</f>
        <v>#N/A</v>
      </c>
      <c r="L70" s="489" t="e">
        <f>VLOOKUP($D70,[1]velho!$A$2:$BG$207,34, FALSE())</f>
        <v>#N/A</v>
      </c>
      <c r="M70" s="490" t="e">
        <f>VLOOKUP($D70,[1]velho!$A$2:$BG$207,35, FALSE())</f>
        <v>#N/A</v>
      </c>
      <c r="N70" s="489" t="e">
        <f>VLOOKUP($D70,[1]velho!$A$2:$BG$207,36, FALSE())</f>
        <v>#N/A</v>
      </c>
      <c r="O70" s="490" t="e">
        <f>VLOOKUP($D70,[1]velho!$A$2:$BG$207,37, FALSE())</f>
        <v>#N/A</v>
      </c>
      <c r="P70" s="489" t="e">
        <f>VLOOKUP($D70,[1]velho!$A$2:$BG$207,38, FALSE())</f>
        <v>#N/A</v>
      </c>
      <c r="Q70" s="490" t="e">
        <f>VLOOKUP($D70,[1]velho!$A$2:$BG$207,39, FALSE())</f>
        <v>#N/A</v>
      </c>
      <c r="R70" s="491" t="e">
        <f>VLOOKUP($D70,[1]velho!$A$2:$BG$207,40, FALSE())</f>
        <v>#N/A</v>
      </c>
      <c r="S70" s="490" t="e">
        <f>VLOOKUP($D70,[1]velho!$A$2:$BG$207,41, FALSE())</f>
        <v>#N/A</v>
      </c>
      <c r="T70" s="489" t="e">
        <f>VLOOKUP($D70,[1]velho!$A$2:$BG$207,42, FALSE())</f>
        <v>#N/A</v>
      </c>
      <c r="U70" s="490" t="e">
        <f>VLOOKUP($D70,[1]velho!$A$2:$BG$207,43, FALSE())</f>
        <v>#N/A</v>
      </c>
      <c r="V70" s="489" t="e">
        <f>VLOOKUP($D70,[1]velho!$A$2:$BG$207,44, FALSE())</f>
        <v>#N/A</v>
      </c>
      <c r="W70" s="490" t="e">
        <f>VLOOKUP($D70,[1]velho!$A$2:$BG$207,45, FALSE())</f>
        <v>#N/A</v>
      </c>
      <c r="X70" s="489" t="e">
        <f>VLOOKUP($D70,[1]velho!$A$2:$BG$207,46, FALSE())</f>
        <v>#N/A</v>
      </c>
      <c r="Y70" s="490" t="e">
        <f>VLOOKUP($D70,[1]velho!$A$2:$BG$207,47, FALSE())</f>
        <v>#N/A</v>
      </c>
      <c r="Z70" s="489" t="e">
        <f>VLOOKUP($D70,[1]velho!$A$2:$BG$207,48, FALSE())</f>
        <v>#N/A</v>
      </c>
      <c r="AA70" s="490" t="e">
        <f>VLOOKUP($D70,[1]velho!$A$2:$BG$207,49, FALSE())</f>
        <v>#N/A</v>
      </c>
      <c r="AB70" s="489" t="e">
        <f>VLOOKUP($D70,[1]velho!$A$2:$BG$207,50, FALSE())</f>
        <v>#N/A</v>
      </c>
      <c r="AC70" s="492" t="e">
        <f>VLOOKUP($D70,[1]velho!$A$2:$BG$207,51, FALSE())</f>
        <v>#N/A</v>
      </c>
      <c r="AD70" s="489" t="e">
        <f>VLOOKUP($D70,[1]velho!$A$2:$BG$207,52, FALSE())</f>
        <v>#N/A</v>
      </c>
      <c r="AE70" s="490" t="e">
        <f>VLOOKUP($D70,[1]velho!$A$2:$BG$207,53, FALSE())</f>
        <v>#N/A</v>
      </c>
      <c r="AF70" s="489" t="e">
        <f>VLOOKUP($D70,[1]velho!$A$2:$BG$207,54, FALSE())</f>
        <v>#N/A</v>
      </c>
      <c r="AG70" s="490" t="e">
        <f>VLOOKUP($D70,[1]velho!$A$2:$BG$207,55, FALSE())</f>
        <v>#N/A</v>
      </c>
      <c r="AH70" s="489" t="e">
        <f>VLOOKUP($D70,[1]velho!$A$2:$BG$207,56, FALSE())</f>
        <v>#N/A</v>
      </c>
      <c r="AI70" s="490" t="e">
        <f>VLOOKUP($D70,[1]velho!$A$2:$BG$207,57, FALSE())</f>
        <v>#N/A</v>
      </c>
      <c r="AJ70" s="489" t="e">
        <f>VLOOKUP($D70,[1]velho!$A$2:$BG$207,58, FALSE())</f>
        <v>#N/A</v>
      </c>
      <c r="AK70" s="267"/>
      <c r="AL70" s="267"/>
    </row>
    <row r="71" spans="1:38" ht="18.75" customHeight="1">
      <c r="A71" s="494" t="e">
        <f>VLOOKUP(D70,[1]velho!$A$28:$X$207,21, FALSE())</f>
        <v>#N/A</v>
      </c>
      <c r="B71" s="478"/>
      <c r="C71" s="481"/>
      <c r="D71" s="495" t="e">
        <f>VLOOKUP(D70,[1]velho!$A$2:$Y$207,25, FALSE())</f>
        <v>#N/A</v>
      </c>
      <c r="E71" s="496"/>
      <c r="F71" s="481"/>
      <c r="G71" s="481"/>
      <c r="H71" s="481"/>
      <c r="I71" s="481"/>
      <c r="J71" s="481"/>
      <c r="K71" s="481"/>
      <c r="L71" s="481"/>
      <c r="M71" s="481"/>
      <c r="N71" s="481"/>
      <c r="O71" s="481"/>
      <c r="P71" s="481"/>
      <c r="Q71" s="481"/>
      <c r="R71" s="481"/>
      <c r="S71" s="481"/>
      <c r="T71" s="481"/>
      <c r="U71" s="481"/>
      <c r="V71" s="481"/>
      <c r="W71" s="481"/>
      <c r="X71" s="481"/>
      <c r="Y71" s="481"/>
      <c r="Z71" s="481"/>
      <c r="AA71" s="481"/>
      <c r="AB71" s="481"/>
      <c r="AC71" s="481"/>
      <c r="AD71" s="481"/>
      <c r="AE71" s="481"/>
      <c r="AF71" s="481"/>
      <c r="AG71" s="481"/>
      <c r="AH71" s="481"/>
      <c r="AI71" s="481"/>
      <c r="AJ71" s="481"/>
      <c r="AK71" s="267"/>
      <c r="AL71" s="267"/>
    </row>
    <row r="72" spans="1:38" ht="3.75" customHeight="1">
      <c r="A72" s="6"/>
      <c r="B72" s="6"/>
      <c r="C72" s="1"/>
      <c r="D72" s="6"/>
      <c r="E72" s="6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  <c r="AA72" s="269"/>
      <c r="AB72" s="269"/>
      <c r="AC72" s="269"/>
      <c r="AD72" s="269"/>
      <c r="AE72" s="269"/>
      <c r="AF72" s="269"/>
      <c r="AG72" s="269"/>
      <c r="AH72" s="269"/>
      <c r="AI72" s="269"/>
      <c r="AJ72" s="269"/>
      <c r="AK72" s="269"/>
      <c r="AL72" s="269"/>
    </row>
    <row r="73" spans="1:38" ht="18.75" customHeight="1">
      <c r="A73" s="200" t="s">
        <v>2765</v>
      </c>
      <c r="B73" s="200" t="s">
        <v>286</v>
      </c>
      <c r="C73" s="493" t="e">
        <f>VLOOKUP(B73,#REF!,2, FALSE())</f>
        <v>#REF!</v>
      </c>
      <c r="D73" s="264" t="s">
        <v>1515</v>
      </c>
      <c r="E73" s="265" t="e">
        <f>VLOOKUP(D73,#REF!,2, FALSE())</f>
        <v>#REF!</v>
      </c>
      <c r="F73" s="489" t="e">
        <f>VLOOKUP($D73,[1]velho!$A$15:$BG$207,28, FALSE())</f>
        <v>#N/A</v>
      </c>
      <c r="G73" s="490" t="e">
        <f>VLOOKUP($D73,[1]velho!$A$2:$BG$207,29, FALSE())</f>
        <v>#N/A</v>
      </c>
      <c r="H73" s="489" t="e">
        <f>VLOOKUP($D73,[1]velho!$A$2:$BG$207,30, FALSE())</f>
        <v>#N/A</v>
      </c>
      <c r="I73" s="490" t="e">
        <f>VLOOKUP($D73,[1]velho!$A$2:$BG$207,31, FALSE())</f>
        <v>#N/A</v>
      </c>
      <c r="J73" s="489" t="e">
        <f>VLOOKUP($D73,[1]velho!$A$2:$BG$207,32, FALSE())</f>
        <v>#N/A</v>
      </c>
      <c r="K73" s="490" t="e">
        <f>VLOOKUP($D73,[1]velho!$A$2:$BG$207,33, FALSE())</f>
        <v>#N/A</v>
      </c>
      <c r="L73" s="489" t="e">
        <f>VLOOKUP($D73,[1]velho!$A$2:$BG$207,34, FALSE())</f>
        <v>#N/A</v>
      </c>
      <c r="M73" s="490" t="e">
        <f>VLOOKUP($D73,[1]velho!$A$2:$BG$207,35, FALSE())</f>
        <v>#N/A</v>
      </c>
      <c r="N73" s="489" t="e">
        <f>VLOOKUP($D73,[1]velho!$A$2:$BG$207,36, FALSE())</f>
        <v>#N/A</v>
      </c>
      <c r="O73" s="490" t="e">
        <f>VLOOKUP($D73,[1]velho!$A$2:$BG$207,37, FALSE())</f>
        <v>#N/A</v>
      </c>
      <c r="P73" s="489" t="e">
        <f>VLOOKUP($D73,[1]velho!$A$2:$BG$207,38, FALSE())</f>
        <v>#N/A</v>
      </c>
      <c r="Q73" s="490" t="e">
        <f>VLOOKUP($D73,[1]velho!$A$2:$BG$207,39, FALSE())</f>
        <v>#N/A</v>
      </c>
      <c r="R73" s="491" t="e">
        <f>VLOOKUP($D73,[1]velho!$A$2:$BG$207,40, FALSE())</f>
        <v>#N/A</v>
      </c>
      <c r="S73" s="490" t="e">
        <f>VLOOKUP($D73,[1]velho!$A$2:$BG$207,41, FALSE())</f>
        <v>#N/A</v>
      </c>
      <c r="T73" s="489" t="e">
        <f>VLOOKUP($D73,[1]velho!$A$2:$BG$207,42, FALSE())</f>
        <v>#N/A</v>
      </c>
      <c r="U73" s="490" t="e">
        <f>VLOOKUP($D73,[1]velho!$A$2:$BG$207,43, FALSE())</f>
        <v>#N/A</v>
      </c>
      <c r="V73" s="489" t="e">
        <f>VLOOKUP($D73,[1]velho!$A$2:$BG$207,44, FALSE())</f>
        <v>#N/A</v>
      </c>
      <c r="W73" s="490" t="e">
        <f>VLOOKUP($D73,[1]velho!$A$2:$BG$207,45, FALSE())</f>
        <v>#N/A</v>
      </c>
      <c r="X73" s="489" t="e">
        <f>VLOOKUP($D73,[1]velho!$A$2:$BG$207,46, FALSE())</f>
        <v>#N/A</v>
      </c>
      <c r="Y73" s="490" t="e">
        <f>VLOOKUP($D73,[1]velho!$A$2:$BG$207,47, FALSE())</f>
        <v>#N/A</v>
      </c>
      <c r="Z73" s="489" t="e">
        <f>VLOOKUP($D73,[1]velho!$A$2:$BG$207,48, FALSE())</f>
        <v>#N/A</v>
      </c>
      <c r="AA73" s="490" t="e">
        <f>VLOOKUP($D73,[1]velho!$A$2:$BG$207,49, FALSE())</f>
        <v>#N/A</v>
      </c>
      <c r="AB73" s="489" t="e">
        <f>VLOOKUP($D73,[1]velho!$A$2:$BG$207,50, FALSE())</f>
        <v>#N/A</v>
      </c>
      <c r="AC73" s="492" t="e">
        <f>VLOOKUP($D73,[1]velho!$A$2:$BG$207,51, FALSE())</f>
        <v>#N/A</v>
      </c>
      <c r="AD73" s="489" t="e">
        <f>VLOOKUP($D73,[1]velho!$A$2:$BG$207,52, FALSE())</f>
        <v>#N/A</v>
      </c>
      <c r="AE73" s="490" t="e">
        <f>VLOOKUP($D73,[1]velho!$A$2:$BG$207,53, FALSE())</f>
        <v>#N/A</v>
      </c>
      <c r="AF73" s="489" t="e">
        <f>VLOOKUP($D73,[1]velho!$A$2:$BG$207,54, FALSE())</f>
        <v>#N/A</v>
      </c>
      <c r="AG73" s="490" t="e">
        <f>VLOOKUP($D73,[1]velho!$A$2:$BG$207,55, FALSE())</f>
        <v>#N/A</v>
      </c>
      <c r="AH73" s="489" t="e">
        <f>VLOOKUP($D73,[1]velho!$A$2:$BG$207,56, FALSE())</f>
        <v>#N/A</v>
      </c>
      <c r="AI73" s="490" t="e">
        <f>VLOOKUP($D73,[1]velho!$A$2:$BG$207,57, FALSE())</f>
        <v>#N/A</v>
      </c>
      <c r="AJ73" s="489" t="e">
        <f>VLOOKUP($D73,[1]velho!$A$2:$BG$207,58, FALSE())</f>
        <v>#N/A</v>
      </c>
      <c r="AK73" s="267"/>
      <c r="AL73" s="267"/>
    </row>
    <row r="74" spans="1:38" ht="18.75" customHeight="1">
      <c r="A74" s="502" t="e">
        <f>VLOOKUP(D73,[1]velho!$A$28:$X$207,21, FALSE())</f>
        <v>#N/A</v>
      </c>
      <c r="B74" s="478"/>
      <c r="C74" s="481"/>
      <c r="D74" s="495" t="e">
        <f>VLOOKUP(D73,[1]velho!$A$2:$Y$207,25, FALSE())</f>
        <v>#N/A</v>
      </c>
      <c r="E74" s="496"/>
      <c r="F74" s="481"/>
      <c r="G74" s="481"/>
      <c r="H74" s="481"/>
      <c r="I74" s="481"/>
      <c r="J74" s="481"/>
      <c r="K74" s="481"/>
      <c r="L74" s="481"/>
      <c r="M74" s="481"/>
      <c r="N74" s="481"/>
      <c r="O74" s="481"/>
      <c r="P74" s="481"/>
      <c r="Q74" s="481"/>
      <c r="R74" s="481"/>
      <c r="S74" s="481"/>
      <c r="T74" s="481"/>
      <c r="U74" s="481"/>
      <c r="V74" s="481"/>
      <c r="W74" s="481"/>
      <c r="X74" s="481"/>
      <c r="Y74" s="481"/>
      <c r="Z74" s="481"/>
      <c r="AA74" s="481"/>
      <c r="AB74" s="481"/>
      <c r="AC74" s="481"/>
      <c r="AD74" s="481"/>
      <c r="AE74" s="481"/>
      <c r="AF74" s="481"/>
      <c r="AG74" s="481"/>
      <c r="AH74" s="481"/>
      <c r="AI74" s="481"/>
      <c r="AJ74" s="481"/>
      <c r="AK74" s="267"/>
      <c r="AL74" s="267"/>
    </row>
    <row r="75" spans="1:38" ht="3.75" customHeight="1">
      <c r="A75" s="6"/>
      <c r="B75" s="6"/>
      <c r="C75" s="1"/>
      <c r="D75" s="6"/>
      <c r="E75" s="6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  <c r="AA75" s="269"/>
      <c r="AB75" s="269"/>
      <c r="AC75" s="269"/>
      <c r="AD75" s="269"/>
      <c r="AE75" s="269"/>
      <c r="AF75" s="269"/>
      <c r="AG75" s="269"/>
      <c r="AH75" s="269"/>
      <c r="AI75" s="269"/>
      <c r="AJ75" s="269"/>
      <c r="AK75" s="269"/>
      <c r="AL75" s="269"/>
    </row>
    <row r="76" spans="1:38" ht="22.5" customHeight="1">
      <c r="A76" s="497">
        <f>A1</f>
        <v>45323</v>
      </c>
      <c r="B76" s="498"/>
      <c r="C76" s="498"/>
      <c r="D76" s="498"/>
      <c r="E76" s="499"/>
      <c r="F76" s="258">
        <f t="shared" ref="F76:AJ76" si="4">F77</f>
        <v>45323</v>
      </c>
      <c r="G76" s="259">
        <f t="shared" si="4"/>
        <v>45324</v>
      </c>
      <c r="H76" s="259">
        <f t="shared" si="4"/>
        <v>45325</v>
      </c>
      <c r="I76" s="259">
        <f t="shared" si="4"/>
        <v>45326</v>
      </c>
      <c r="J76" s="258">
        <f t="shared" si="4"/>
        <v>45327</v>
      </c>
      <c r="K76" s="259">
        <f t="shared" si="4"/>
        <v>45328</v>
      </c>
      <c r="L76" s="259">
        <f t="shared" si="4"/>
        <v>45329</v>
      </c>
      <c r="M76" s="259">
        <f t="shared" si="4"/>
        <v>45330</v>
      </c>
      <c r="N76" s="259">
        <f t="shared" si="4"/>
        <v>45331</v>
      </c>
      <c r="O76" s="259">
        <f t="shared" si="4"/>
        <v>45332</v>
      </c>
      <c r="P76" s="259">
        <f t="shared" si="4"/>
        <v>45333</v>
      </c>
      <c r="Q76" s="259">
        <f t="shared" si="4"/>
        <v>45334</v>
      </c>
      <c r="R76" s="260">
        <f t="shared" si="4"/>
        <v>45335</v>
      </c>
      <c r="S76" s="259">
        <f t="shared" si="4"/>
        <v>45336</v>
      </c>
      <c r="T76" s="259">
        <f t="shared" si="4"/>
        <v>45337</v>
      </c>
      <c r="U76" s="259">
        <f t="shared" si="4"/>
        <v>45338</v>
      </c>
      <c r="V76" s="259">
        <f t="shared" si="4"/>
        <v>45339</v>
      </c>
      <c r="W76" s="259">
        <f t="shared" si="4"/>
        <v>45340</v>
      </c>
      <c r="X76" s="259">
        <f t="shared" si="4"/>
        <v>45341</v>
      </c>
      <c r="Y76" s="259">
        <f t="shared" si="4"/>
        <v>45342</v>
      </c>
      <c r="Z76" s="259">
        <f t="shared" si="4"/>
        <v>45343</v>
      </c>
      <c r="AA76" s="259">
        <f t="shared" si="4"/>
        <v>45344</v>
      </c>
      <c r="AB76" s="259">
        <f t="shared" si="4"/>
        <v>45345</v>
      </c>
      <c r="AC76" s="259">
        <f t="shared" si="4"/>
        <v>45346</v>
      </c>
      <c r="AD76" s="259">
        <f t="shared" si="4"/>
        <v>45347</v>
      </c>
      <c r="AE76" s="259">
        <f t="shared" si="4"/>
        <v>45348</v>
      </c>
      <c r="AF76" s="259">
        <f t="shared" si="4"/>
        <v>45349</v>
      </c>
      <c r="AG76" s="259">
        <f t="shared" si="4"/>
        <v>45350</v>
      </c>
      <c r="AH76" s="259">
        <f t="shared" si="4"/>
        <v>45351</v>
      </c>
      <c r="AI76" s="259">
        <f t="shared" si="4"/>
        <v>45352</v>
      </c>
      <c r="AJ76" s="259">
        <f t="shared" si="4"/>
        <v>45353</v>
      </c>
      <c r="AK76" s="261"/>
      <c r="AL76" s="261"/>
    </row>
    <row r="77" spans="1:38" ht="25.5" customHeight="1">
      <c r="A77" s="500"/>
      <c r="B77" s="501"/>
      <c r="C77" s="501"/>
      <c r="D77" s="501"/>
      <c r="E77" s="496"/>
      <c r="F77" s="262">
        <f>A76</f>
        <v>45323</v>
      </c>
      <c r="G77" s="262">
        <f t="shared" ref="G77:AJ77" si="5">F77+1</f>
        <v>45324</v>
      </c>
      <c r="H77" s="262">
        <f t="shared" si="5"/>
        <v>45325</v>
      </c>
      <c r="I77" s="262">
        <f t="shared" si="5"/>
        <v>45326</v>
      </c>
      <c r="J77" s="262">
        <f t="shared" si="5"/>
        <v>45327</v>
      </c>
      <c r="K77" s="262">
        <f t="shared" si="5"/>
        <v>45328</v>
      </c>
      <c r="L77" s="262">
        <f t="shared" si="5"/>
        <v>45329</v>
      </c>
      <c r="M77" s="262">
        <f t="shared" si="5"/>
        <v>45330</v>
      </c>
      <c r="N77" s="262">
        <f t="shared" si="5"/>
        <v>45331</v>
      </c>
      <c r="O77" s="262">
        <f t="shared" si="5"/>
        <v>45332</v>
      </c>
      <c r="P77" s="262">
        <f t="shared" si="5"/>
        <v>45333</v>
      </c>
      <c r="Q77" s="262">
        <f t="shared" si="5"/>
        <v>45334</v>
      </c>
      <c r="R77" s="263">
        <f t="shared" si="5"/>
        <v>45335</v>
      </c>
      <c r="S77" s="262">
        <f t="shared" si="5"/>
        <v>45336</v>
      </c>
      <c r="T77" s="262">
        <f t="shared" si="5"/>
        <v>45337</v>
      </c>
      <c r="U77" s="262">
        <f t="shared" si="5"/>
        <v>45338</v>
      </c>
      <c r="V77" s="262">
        <f t="shared" si="5"/>
        <v>45339</v>
      </c>
      <c r="W77" s="262">
        <f t="shared" si="5"/>
        <v>45340</v>
      </c>
      <c r="X77" s="262">
        <f t="shared" si="5"/>
        <v>45341</v>
      </c>
      <c r="Y77" s="262">
        <f t="shared" si="5"/>
        <v>45342</v>
      </c>
      <c r="Z77" s="262">
        <f t="shared" si="5"/>
        <v>45343</v>
      </c>
      <c r="AA77" s="262">
        <f t="shared" si="5"/>
        <v>45344</v>
      </c>
      <c r="AB77" s="262">
        <f t="shared" si="5"/>
        <v>45345</v>
      </c>
      <c r="AC77" s="262">
        <f t="shared" si="5"/>
        <v>45346</v>
      </c>
      <c r="AD77" s="262">
        <f t="shared" si="5"/>
        <v>45347</v>
      </c>
      <c r="AE77" s="262">
        <f t="shared" si="5"/>
        <v>45348</v>
      </c>
      <c r="AF77" s="262">
        <f t="shared" si="5"/>
        <v>45349</v>
      </c>
      <c r="AG77" s="262">
        <f t="shared" si="5"/>
        <v>45350</v>
      </c>
      <c r="AH77" s="262">
        <f t="shared" si="5"/>
        <v>45351</v>
      </c>
      <c r="AI77" s="262">
        <f t="shared" si="5"/>
        <v>45352</v>
      </c>
      <c r="AJ77" s="262">
        <f t="shared" si="5"/>
        <v>45353</v>
      </c>
      <c r="AK77" s="261"/>
      <c r="AL77" s="261"/>
    </row>
    <row r="78" spans="1:38" ht="3.75" customHeight="1">
      <c r="A78" s="6"/>
      <c r="B78" s="6"/>
      <c r="C78" s="1"/>
      <c r="D78" s="6"/>
      <c r="E78" s="6"/>
      <c r="F78" s="269"/>
      <c r="G78" s="269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  <c r="AA78" s="269"/>
      <c r="AB78" s="269"/>
      <c r="AC78" s="269"/>
      <c r="AD78" s="269"/>
      <c r="AE78" s="269"/>
      <c r="AF78" s="269"/>
      <c r="AG78" s="269"/>
      <c r="AH78" s="269"/>
      <c r="AI78" s="269"/>
      <c r="AJ78" s="269"/>
      <c r="AK78" s="269"/>
      <c r="AL78" s="269"/>
    </row>
    <row r="79" spans="1:38" ht="18.75" customHeight="1">
      <c r="A79" s="200" t="s">
        <v>2765</v>
      </c>
      <c r="B79" s="200" t="s">
        <v>2364</v>
      </c>
      <c r="C79" s="493" t="e">
        <f>VLOOKUP(B79,#REF!,2, FALSE())</f>
        <v>#REF!</v>
      </c>
      <c r="D79" s="264" t="s">
        <v>2068</v>
      </c>
      <c r="E79" s="265" t="e">
        <f>VLOOKUP(D79,#REF!,2, FALSE())</f>
        <v>#REF!</v>
      </c>
      <c r="F79" s="489" t="e">
        <f>VLOOKUP($D79,[1]velho!$A$15:$BG$207,28, FALSE())</f>
        <v>#N/A</v>
      </c>
      <c r="G79" s="490" t="e">
        <f>VLOOKUP($D79,[1]velho!$A$2:$BG$207,29, FALSE())</f>
        <v>#N/A</v>
      </c>
      <c r="H79" s="489" t="e">
        <f>VLOOKUP($D79,[1]velho!$A$2:$BG$207,30, FALSE())</f>
        <v>#N/A</v>
      </c>
      <c r="I79" s="490" t="e">
        <f>VLOOKUP($D79,[1]velho!$A$2:$BG$207,31, FALSE())</f>
        <v>#N/A</v>
      </c>
      <c r="J79" s="489" t="e">
        <f>VLOOKUP($D79,[1]velho!$A$2:$BG$207,32, FALSE())</f>
        <v>#N/A</v>
      </c>
      <c r="K79" s="490" t="e">
        <f>VLOOKUP($D79,[1]velho!$A$2:$BG$207,33, FALSE())</f>
        <v>#N/A</v>
      </c>
      <c r="L79" s="489" t="e">
        <f>VLOOKUP($D79,[1]velho!$A$2:$BG$207,34, FALSE())</f>
        <v>#N/A</v>
      </c>
      <c r="M79" s="490" t="e">
        <f>VLOOKUP($D79,[1]velho!$A$2:$BG$207,35, FALSE())</f>
        <v>#N/A</v>
      </c>
      <c r="N79" s="489" t="e">
        <f>VLOOKUP($D79,[1]velho!$A$2:$BG$207,36, FALSE())</f>
        <v>#N/A</v>
      </c>
      <c r="O79" s="490" t="e">
        <f>VLOOKUP($D79,[1]velho!$A$2:$BG$207,37, FALSE())</f>
        <v>#N/A</v>
      </c>
      <c r="P79" s="489" t="e">
        <f>VLOOKUP($D79,[1]velho!$A$2:$BG$207,38, FALSE())</f>
        <v>#N/A</v>
      </c>
      <c r="Q79" s="490" t="e">
        <f>VLOOKUP($D79,[1]velho!$A$2:$BG$207,39, FALSE())</f>
        <v>#N/A</v>
      </c>
      <c r="R79" s="491" t="e">
        <f>VLOOKUP($D79,[1]velho!$A$2:$BG$207,40, FALSE())</f>
        <v>#N/A</v>
      </c>
      <c r="S79" s="490" t="e">
        <f>VLOOKUP($D79,[1]velho!$A$2:$BG$207,41, FALSE())</f>
        <v>#N/A</v>
      </c>
      <c r="T79" s="489" t="e">
        <f>VLOOKUP($D79,[1]velho!$A$2:$BG$207,42, FALSE())</f>
        <v>#N/A</v>
      </c>
      <c r="U79" s="490" t="e">
        <f>VLOOKUP($D79,[1]velho!$A$2:$BG$207,43, FALSE())</f>
        <v>#N/A</v>
      </c>
      <c r="V79" s="489" t="e">
        <f>VLOOKUP($D79,[1]velho!$A$2:$BG$207,44, FALSE())</f>
        <v>#N/A</v>
      </c>
      <c r="W79" s="490" t="e">
        <f>VLOOKUP($D79,[1]velho!$A$2:$BG$207,45, FALSE())</f>
        <v>#N/A</v>
      </c>
      <c r="X79" s="489" t="e">
        <f>VLOOKUP($D79,[1]velho!$A$2:$BG$207,46, FALSE())</f>
        <v>#N/A</v>
      </c>
      <c r="Y79" s="490" t="e">
        <f>VLOOKUP($D79,[1]velho!$A$2:$BG$207,47, FALSE())</f>
        <v>#N/A</v>
      </c>
      <c r="Z79" s="489" t="e">
        <f>VLOOKUP($D79,[1]velho!$A$2:$BG$207,48, FALSE())</f>
        <v>#N/A</v>
      </c>
      <c r="AA79" s="490" t="e">
        <f>VLOOKUP($D79,[1]velho!$A$2:$BG$207,49, FALSE())</f>
        <v>#N/A</v>
      </c>
      <c r="AB79" s="489" t="e">
        <f>VLOOKUP($D79,[1]velho!$A$2:$BG$207,50, FALSE())</f>
        <v>#N/A</v>
      </c>
      <c r="AC79" s="492" t="e">
        <f>VLOOKUP($D79,[1]velho!$A$2:$BG$207,51, FALSE())</f>
        <v>#N/A</v>
      </c>
      <c r="AD79" s="489" t="e">
        <f>VLOOKUP($D79,[1]velho!$A$2:$BG$207,52, FALSE())</f>
        <v>#N/A</v>
      </c>
      <c r="AE79" s="490" t="e">
        <f>VLOOKUP($D79,[1]velho!$A$2:$BG$207,53, FALSE())</f>
        <v>#N/A</v>
      </c>
      <c r="AF79" s="489" t="e">
        <f>VLOOKUP($D79,[1]velho!$A$2:$BG$207,54, FALSE())</f>
        <v>#N/A</v>
      </c>
      <c r="AG79" s="490" t="e">
        <f>VLOOKUP($D79,[1]velho!$A$2:$BG$207,55, FALSE())</f>
        <v>#N/A</v>
      </c>
      <c r="AH79" s="489" t="e">
        <f>VLOOKUP($D79,[1]velho!$A$2:$BG$207,56, FALSE())</f>
        <v>#N/A</v>
      </c>
      <c r="AI79" s="490" t="e">
        <f>VLOOKUP($D79,[1]velho!$A$2:$BG$207,57, FALSE())</f>
        <v>#N/A</v>
      </c>
      <c r="AJ79" s="489" t="e">
        <f>VLOOKUP($D79,[1]velho!$A$2:$BG$207,58, FALSE())</f>
        <v>#N/A</v>
      </c>
      <c r="AK79" s="267"/>
      <c r="AL79" s="267"/>
    </row>
    <row r="80" spans="1:38" ht="18.75" customHeight="1">
      <c r="A80" s="494" t="e">
        <f>VLOOKUP(D79,[1]velho!$A$28:$X$207,21, FALSE())</f>
        <v>#N/A</v>
      </c>
      <c r="B80" s="478"/>
      <c r="C80" s="481"/>
      <c r="D80" s="495" t="e">
        <f>VLOOKUP(D79,[1]velho!$A$2:$Y$207,25, FALSE())</f>
        <v>#N/A</v>
      </c>
      <c r="E80" s="496"/>
      <c r="F80" s="481"/>
      <c r="G80" s="481"/>
      <c r="H80" s="481"/>
      <c r="I80" s="481"/>
      <c r="J80" s="481"/>
      <c r="K80" s="481"/>
      <c r="L80" s="481"/>
      <c r="M80" s="481"/>
      <c r="N80" s="481"/>
      <c r="O80" s="481"/>
      <c r="P80" s="481"/>
      <c r="Q80" s="481"/>
      <c r="R80" s="481"/>
      <c r="S80" s="481"/>
      <c r="T80" s="481"/>
      <c r="U80" s="481"/>
      <c r="V80" s="481"/>
      <c r="W80" s="481"/>
      <c r="X80" s="481"/>
      <c r="Y80" s="481"/>
      <c r="Z80" s="481"/>
      <c r="AA80" s="481"/>
      <c r="AB80" s="481"/>
      <c r="AC80" s="481"/>
      <c r="AD80" s="481"/>
      <c r="AE80" s="481"/>
      <c r="AF80" s="481"/>
      <c r="AG80" s="481"/>
      <c r="AH80" s="481"/>
      <c r="AI80" s="481"/>
      <c r="AJ80" s="481"/>
      <c r="AK80" s="267"/>
      <c r="AL80" s="267"/>
    </row>
    <row r="81" spans="1:38" ht="3.75" customHeight="1">
      <c r="A81" s="6"/>
      <c r="B81" s="6"/>
      <c r="C81" s="1"/>
      <c r="D81" s="6"/>
      <c r="E81" s="6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  <c r="AA81" s="269"/>
      <c r="AB81" s="269"/>
      <c r="AC81" s="269"/>
      <c r="AD81" s="269"/>
      <c r="AE81" s="269"/>
      <c r="AF81" s="269"/>
      <c r="AG81" s="269"/>
      <c r="AH81" s="269"/>
      <c r="AI81" s="269"/>
      <c r="AJ81" s="269"/>
      <c r="AK81" s="269"/>
      <c r="AL81" s="269"/>
    </row>
    <row r="82" spans="1:38" ht="18.75" customHeight="1">
      <c r="A82" s="200" t="s">
        <v>2765</v>
      </c>
      <c r="B82" s="200" t="s">
        <v>2364</v>
      </c>
      <c r="C82" s="493" t="e">
        <f>VLOOKUP(B82,#REF!,2, FALSE())</f>
        <v>#REF!</v>
      </c>
      <c r="D82" s="264" t="s">
        <v>2383</v>
      </c>
      <c r="E82" s="265" t="e">
        <f>VLOOKUP(D82,#REF!,2, FALSE())</f>
        <v>#REF!</v>
      </c>
      <c r="F82" s="489" t="e">
        <f>VLOOKUP($D82,[1]velho!$A$15:$BG$207,28, FALSE())</f>
        <v>#N/A</v>
      </c>
      <c r="G82" s="490" t="e">
        <f>VLOOKUP($D82,[1]velho!$A$2:$BG$207,29, FALSE())</f>
        <v>#N/A</v>
      </c>
      <c r="H82" s="489" t="e">
        <f>VLOOKUP($D82,[1]velho!$A$2:$BG$207,30, FALSE())</f>
        <v>#N/A</v>
      </c>
      <c r="I82" s="490" t="e">
        <f>VLOOKUP($D82,[1]velho!$A$2:$BG$207,31, FALSE())</f>
        <v>#N/A</v>
      </c>
      <c r="J82" s="489" t="e">
        <f>VLOOKUP($D82,[1]velho!$A$2:$BG$207,32, FALSE())</f>
        <v>#N/A</v>
      </c>
      <c r="K82" s="490" t="e">
        <f>VLOOKUP($D82,[1]velho!$A$2:$BG$207,33, FALSE())</f>
        <v>#N/A</v>
      </c>
      <c r="L82" s="489" t="e">
        <f>VLOOKUP($D82,[1]velho!$A$2:$BG$207,34, FALSE())</f>
        <v>#N/A</v>
      </c>
      <c r="M82" s="490" t="e">
        <f>VLOOKUP($D82,[1]velho!$A$2:$BG$207,35, FALSE())</f>
        <v>#N/A</v>
      </c>
      <c r="N82" s="489" t="e">
        <f>VLOOKUP($D82,[1]velho!$A$2:$BG$207,36, FALSE())</f>
        <v>#N/A</v>
      </c>
      <c r="O82" s="490" t="e">
        <f>VLOOKUP($D82,[1]velho!$A$2:$BG$207,37, FALSE())</f>
        <v>#N/A</v>
      </c>
      <c r="P82" s="489" t="e">
        <f>VLOOKUP($D82,[1]velho!$A$2:$BG$207,38, FALSE())</f>
        <v>#N/A</v>
      </c>
      <c r="Q82" s="490" t="e">
        <f>VLOOKUP($D82,[1]velho!$A$2:$BG$207,39, FALSE())</f>
        <v>#N/A</v>
      </c>
      <c r="R82" s="491" t="e">
        <f>VLOOKUP($D82,[1]velho!$A$2:$BG$207,40, FALSE())</f>
        <v>#N/A</v>
      </c>
      <c r="S82" s="490" t="e">
        <f>VLOOKUP($D82,[1]velho!$A$2:$BG$207,41, FALSE())</f>
        <v>#N/A</v>
      </c>
      <c r="T82" s="489" t="e">
        <f>VLOOKUP($D82,[1]velho!$A$2:$BG$207,42, FALSE())</f>
        <v>#N/A</v>
      </c>
      <c r="U82" s="490" t="e">
        <f>VLOOKUP($D82,[1]velho!$A$2:$BG$207,43, FALSE())</f>
        <v>#N/A</v>
      </c>
      <c r="V82" s="489" t="e">
        <f>VLOOKUP($D82,[1]velho!$A$2:$BG$207,44, FALSE())</f>
        <v>#N/A</v>
      </c>
      <c r="W82" s="490" t="e">
        <f>VLOOKUP($D82,[1]velho!$A$2:$BG$207,45, FALSE())</f>
        <v>#N/A</v>
      </c>
      <c r="X82" s="489" t="e">
        <f>VLOOKUP($D82,[1]velho!$A$2:$BG$207,46, FALSE())</f>
        <v>#N/A</v>
      </c>
      <c r="Y82" s="490" t="e">
        <f>VLOOKUP($D82,[1]velho!$A$2:$BG$207,47, FALSE())</f>
        <v>#N/A</v>
      </c>
      <c r="Z82" s="489" t="e">
        <f>VLOOKUP($D82,[1]velho!$A$2:$BG$207,48, FALSE())</f>
        <v>#N/A</v>
      </c>
      <c r="AA82" s="490" t="e">
        <f>VLOOKUP($D82,[1]velho!$A$2:$BG$207,49, FALSE())</f>
        <v>#N/A</v>
      </c>
      <c r="AB82" s="489" t="e">
        <f>VLOOKUP($D82,[1]velho!$A$2:$BG$207,50, FALSE())</f>
        <v>#N/A</v>
      </c>
      <c r="AC82" s="492" t="e">
        <f>VLOOKUP($D82,[1]velho!$A$2:$BG$207,51, FALSE())</f>
        <v>#N/A</v>
      </c>
      <c r="AD82" s="489" t="e">
        <f>VLOOKUP($D82,[1]velho!$A$2:$BG$207,52, FALSE())</f>
        <v>#N/A</v>
      </c>
      <c r="AE82" s="490" t="e">
        <f>VLOOKUP($D82,[1]velho!$A$2:$BG$207,53, FALSE())</f>
        <v>#N/A</v>
      </c>
      <c r="AF82" s="489" t="e">
        <f>VLOOKUP($D82,[1]velho!$A$2:$BG$207,54, FALSE())</f>
        <v>#N/A</v>
      </c>
      <c r="AG82" s="490" t="e">
        <f>VLOOKUP($D82,[1]velho!$A$2:$BG$207,55, FALSE())</f>
        <v>#N/A</v>
      </c>
      <c r="AH82" s="489" t="e">
        <f>VLOOKUP($D82,[1]velho!$A$2:$BG$207,56, FALSE())</f>
        <v>#N/A</v>
      </c>
      <c r="AI82" s="490" t="e">
        <f>VLOOKUP($D82,[1]velho!$A$2:$BG$207,57, FALSE())</f>
        <v>#N/A</v>
      </c>
      <c r="AJ82" s="489" t="e">
        <f>VLOOKUP($D82,[1]velho!$A$2:$BG$207,58, FALSE())</f>
        <v>#N/A</v>
      </c>
      <c r="AK82" s="267"/>
      <c r="AL82" s="267"/>
    </row>
    <row r="83" spans="1:38" ht="18.75" customHeight="1">
      <c r="A83" s="504" t="e">
        <f>VLOOKUP(D82,[1]velho!$A$28:$X$207,21, FALSE())</f>
        <v>#N/A</v>
      </c>
      <c r="B83" s="499"/>
      <c r="C83" s="481"/>
      <c r="D83" s="495" t="e">
        <f>VLOOKUP(D82,[1]velho!$A$2:$Y$207,25, FALSE())</f>
        <v>#N/A</v>
      </c>
      <c r="E83" s="496"/>
      <c r="F83" s="481"/>
      <c r="G83" s="481"/>
      <c r="H83" s="481"/>
      <c r="I83" s="481"/>
      <c r="J83" s="481"/>
      <c r="K83" s="481"/>
      <c r="L83" s="481"/>
      <c r="M83" s="481"/>
      <c r="N83" s="481"/>
      <c r="O83" s="481"/>
      <c r="P83" s="481"/>
      <c r="Q83" s="481"/>
      <c r="R83" s="481"/>
      <c r="S83" s="481"/>
      <c r="T83" s="481"/>
      <c r="U83" s="481"/>
      <c r="V83" s="481"/>
      <c r="W83" s="481"/>
      <c r="X83" s="481"/>
      <c r="Y83" s="481"/>
      <c r="Z83" s="481"/>
      <c r="AA83" s="481"/>
      <c r="AB83" s="481"/>
      <c r="AC83" s="481"/>
      <c r="AD83" s="481"/>
      <c r="AE83" s="481"/>
      <c r="AF83" s="481"/>
      <c r="AG83" s="481"/>
      <c r="AH83" s="481"/>
      <c r="AI83" s="481"/>
      <c r="AJ83" s="481"/>
      <c r="AK83" s="267"/>
      <c r="AL83" s="267"/>
    </row>
    <row r="84" spans="1:38" ht="3.75" customHeight="1">
      <c r="A84" s="6"/>
      <c r="B84" s="6"/>
      <c r="C84" s="1"/>
      <c r="D84" s="6"/>
      <c r="E84" s="6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  <c r="AA84" s="269"/>
      <c r="AB84" s="269"/>
      <c r="AC84" s="269"/>
      <c r="AD84" s="269"/>
      <c r="AE84" s="269"/>
      <c r="AF84" s="269"/>
      <c r="AG84" s="269"/>
      <c r="AH84" s="269"/>
      <c r="AI84" s="269"/>
      <c r="AJ84" s="269"/>
      <c r="AK84" s="269"/>
      <c r="AL84" s="269"/>
    </row>
    <row r="85" spans="1:38" ht="18.75" customHeight="1">
      <c r="A85" s="200" t="s">
        <v>2765</v>
      </c>
      <c r="B85" s="200" t="s">
        <v>2364</v>
      </c>
      <c r="C85" s="493" t="e">
        <f>VLOOKUP(B85,#REF!,2, FALSE())</f>
        <v>#REF!</v>
      </c>
      <c r="D85" s="264" t="s">
        <v>1487</v>
      </c>
      <c r="E85" s="265" t="e">
        <f>VLOOKUP(D85,#REF!,2, FALSE())</f>
        <v>#REF!</v>
      </c>
      <c r="F85" s="489" t="e">
        <f>VLOOKUP($D85,[1]velho!$A$15:$BG$207,28, FALSE())</f>
        <v>#N/A</v>
      </c>
      <c r="G85" s="490" t="e">
        <f>VLOOKUP($D85,[1]velho!$A$2:$BG$207,29, FALSE())</f>
        <v>#N/A</v>
      </c>
      <c r="H85" s="489" t="e">
        <f>VLOOKUP($D85,[1]velho!$A$2:$BG$207,30, FALSE())</f>
        <v>#N/A</v>
      </c>
      <c r="I85" s="490" t="e">
        <f>VLOOKUP($D85,[1]velho!$A$2:$BG$207,31, FALSE())</f>
        <v>#N/A</v>
      </c>
      <c r="J85" s="489" t="e">
        <f>VLOOKUP($D85,[1]velho!$A$2:$BG$207,32, FALSE())</f>
        <v>#N/A</v>
      </c>
      <c r="K85" s="490" t="e">
        <f>VLOOKUP($D85,[1]velho!$A$2:$BG$207,33, FALSE())</f>
        <v>#N/A</v>
      </c>
      <c r="L85" s="489" t="e">
        <f>VLOOKUP($D85,[1]velho!$A$2:$BG$207,34, FALSE())</f>
        <v>#N/A</v>
      </c>
      <c r="M85" s="490" t="e">
        <f>VLOOKUP($D85,[1]velho!$A$2:$BG$207,35, FALSE())</f>
        <v>#N/A</v>
      </c>
      <c r="N85" s="489" t="e">
        <f>VLOOKUP($D85,[1]velho!$A$2:$BG$207,36, FALSE())</f>
        <v>#N/A</v>
      </c>
      <c r="O85" s="490" t="e">
        <f>VLOOKUP($D85,[1]velho!$A$2:$BG$207,37, FALSE())</f>
        <v>#N/A</v>
      </c>
      <c r="P85" s="489" t="e">
        <f>VLOOKUP($D85,[1]velho!$A$2:$BG$207,38, FALSE())</f>
        <v>#N/A</v>
      </c>
      <c r="Q85" s="490" t="e">
        <f>VLOOKUP($D85,[1]velho!$A$2:$BG$207,39, FALSE())</f>
        <v>#N/A</v>
      </c>
      <c r="R85" s="491" t="e">
        <f>VLOOKUP($D85,[1]velho!$A$2:$BG$207,40, FALSE())</f>
        <v>#N/A</v>
      </c>
      <c r="S85" s="490" t="e">
        <f>VLOOKUP($D85,[1]velho!$A$2:$BG$207,41, FALSE())</f>
        <v>#N/A</v>
      </c>
      <c r="T85" s="489" t="e">
        <f>VLOOKUP($D85,[1]velho!$A$2:$BG$207,42, FALSE())</f>
        <v>#N/A</v>
      </c>
      <c r="U85" s="490" t="e">
        <f>VLOOKUP($D85,[1]velho!$A$2:$BG$207,43, FALSE())</f>
        <v>#N/A</v>
      </c>
      <c r="V85" s="489" t="e">
        <f>VLOOKUP($D85,[1]velho!$A$2:$BG$207,44, FALSE())</f>
        <v>#N/A</v>
      </c>
      <c r="W85" s="490" t="e">
        <f>VLOOKUP($D85,[1]velho!$A$2:$BG$207,45, FALSE())</f>
        <v>#N/A</v>
      </c>
      <c r="X85" s="489" t="e">
        <f>VLOOKUP($D85,[1]velho!$A$2:$BG$207,46, FALSE())</f>
        <v>#N/A</v>
      </c>
      <c r="Y85" s="490" t="e">
        <f>VLOOKUP($D85,[1]velho!$A$2:$BG$207,47, FALSE())</f>
        <v>#N/A</v>
      </c>
      <c r="Z85" s="489" t="e">
        <f>VLOOKUP($D85,[1]velho!$A$2:$BG$207,48, FALSE())</f>
        <v>#N/A</v>
      </c>
      <c r="AA85" s="490" t="e">
        <f>VLOOKUP($D85,[1]velho!$A$2:$BG$207,49, FALSE())</f>
        <v>#N/A</v>
      </c>
      <c r="AB85" s="489" t="e">
        <f>VLOOKUP($D85,[1]velho!$A$2:$BG$207,50, FALSE())</f>
        <v>#N/A</v>
      </c>
      <c r="AC85" s="492" t="e">
        <f>VLOOKUP($D85,[1]velho!$A$2:$BG$207,51, FALSE())</f>
        <v>#N/A</v>
      </c>
      <c r="AD85" s="489" t="e">
        <f>VLOOKUP($D85,[1]velho!$A$2:$BG$207,52, FALSE())</f>
        <v>#N/A</v>
      </c>
      <c r="AE85" s="490" t="e">
        <f>VLOOKUP($D85,[1]velho!$A$2:$BG$207,53, FALSE())</f>
        <v>#N/A</v>
      </c>
      <c r="AF85" s="489" t="e">
        <f>VLOOKUP($D85,[1]velho!$A$2:$BG$207,54, FALSE())</f>
        <v>#N/A</v>
      </c>
      <c r="AG85" s="490" t="e">
        <f>VLOOKUP($D85,[1]velho!$A$2:$BG$207,55, FALSE())</f>
        <v>#N/A</v>
      </c>
      <c r="AH85" s="489" t="e">
        <f>VLOOKUP($D85,[1]velho!$A$2:$BG$207,56, FALSE())</f>
        <v>#N/A</v>
      </c>
      <c r="AI85" s="490" t="e">
        <f>VLOOKUP($D85,[1]velho!$A$2:$BG$207,57, FALSE())</f>
        <v>#N/A</v>
      </c>
      <c r="AJ85" s="489" t="e">
        <f>VLOOKUP($D85,[1]velho!$A$2:$BG$207,58, FALSE())</f>
        <v>#N/A</v>
      </c>
      <c r="AK85" s="267"/>
      <c r="AL85" s="267"/>
    </row>
    <row r="86" spans="1:38" ht="18.75" customHeight="1">
      <c r="A86" s="494" t="e">
        <f>VLOOKUP(D85,[1]velho!$A$28:$X$207,21, FALSE())</f>
        <v>#N/A</v>
      </c>
      <c r="B86" s="478"/>
      <c r="C86" s="481"/>
      <c r="D86" s="495" t="e">
        <f>VLOOKUP(D85,[1]velho!$A$2:$Y$207,25, FALSE())</f>
        <v>#N/A</v>
      </c>
      <c r="E86" s="496"/>
      <c r="F86" s="481"/>
      <c r="G86" s="481"/>
      <c r="H86" s="481"/>
      <c r="I86" s="481"/>
      <c r="J86" s="481"/>
      <c r="K86" s="481"/>
      <c r="L86" s="481"/>
      <c r="M86" s="481"/>
      <c r="N86" s="481"/>
      <c r="O86" s="481"/>
      <c r="P86" s="481"/>
      <c r="Q86" s="481"/>
      <c r="R86" s="481"/>
      <c r="S86" s="481"/>
      <c r="T86" s="481"/>
      <c r="U86" s="481"/>
      <c r="V86" s="481"/>
      <c r="W86" s="481"/>
      <c r="X86" s="481"/>
      <c r="Y86" s="481"/>
      <c r="Z86" s="481"/>
      <c r="AA86" s="481"/>
      <c r="AB86" s="481"/>
      <c r="AC86" s="481"/>
      <c r="AD86" s="481"/>
      <c r="AE86" s="481"/>
      <c r="AF86" s="481"/>
      <c r="AG86" s="481"/>
      <c r="AH86" s="481"/>
      <c r="AI86" s="481"/>
      <c r="AJ86" s="481"/>
      <c r="AK86" s="267"/>
      <c r="AL86" s="267"/>
    </row>
    <row r="87" spans="1:38" ht="3.75" customHeight="1">
      <c r="A87" s="6"/>
      <c r="B87" s="6"/>
      <c r="C87" s="1"/>
      <c r="D87" s="6"/>
      <c r="E87" s="6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  <c r="AA87" s="269"/>
      <c r="AB87" s="269"/>
      <c r="AC87" s="269"/>
      <c r="AD87" s="269"/>
      <c r="AE87" s="269"/>
      <c r="AF87" s="269"/>
      <c r="AG87" s="269"/>
      <c r="AH87" s="269"/>
      <c r="AI87" s="269"/>
      <c r="AJ87" s="269"/>
      <c r="AK87" s="269"/>
      <c r="AL87" s="269"/>
    </row>
    <row r="88" spans="1:38" ht="18.75" customHeight="1">
      <c r="A88" s="200" t="s">
        <v>2765</v>
      </c>
      <c r="B88" s="200" t="s">
        <v>2364</v>
      </c>
      <c r="C88" s="493" t="e">
        <f>VLOOKUP(B88,#REF!,2, FALSE())</f>
        <v>#REF!</v>
      </c>
      <c r="D88" s="264" t="s">
        <v>2385</v>
      </c>
      <c r="E88" s="265" t="e">
        <f>VLOOKUP(D88,#REF!,2, FALSE())</f>
        <v>#REF!</v>
      </c>
      <c r="F88" s="489" t="e">
        <f>VLOOKUP($D88,[1]velho!$A$15:$BG$207,28, FALSE())</f>
        <v>#N/A</v>
      </c>
      <c r="G88" s="490" t="e">
        <f>VLOOKUP($D88,[1]velho!$A$2:$BG$207,29, FALSE())</f>
        <v>#N/A</v>
      </c>
      <c r="H88" s="489" t="e">
        <f>VLOOKUP($D88,[1]velho!$A$2:$BG$207,30, FALSE())</f>
        <v>#N/A</v>
      </c>
      <c r="I88" s="490" t="e">
        <f>VLOOKUP($D88,[1]velho!$A$2:$BG$207,31, FALSE())</f>
        <v>#N/A</v>
      </c>
      <c r="J88" s="489" t="e">
        <f>VLOOKUP($D88,[1]velho!$A$2:$BG$207,32, FALSE())</f>
        <v>#N/A</v>
      </c>
      <c r="K88" s="490" t="e">
        <f>VLOOKUP($D88,[1]velho!$A$2:$BG$207,33, FALSE())</f>
        <v>#N/A</v>
      </c>
      <c r="L88" s="489" t="e">
        <f>VLOOKUP($D88,[1]velho!$A$2:$BG$207,34, FALSE())</f>
        <v>#N/A</v>
      </c>
      <c r="M88" s="490" t="e">
        <f>VLOOKUP($D88,[1]velho!$A$2:$BG$207,35, FALSE())</f>
        <v>#N/A</v>
      </c>
      <c r="N88" s="489" t="e">
        <f>VLOOKUP($D88,[1]velho!$A$2:$BG$207,36, FALSE())</f>
        <v>#N/A</v>
      </c>
      <c r="O88" s="490" t="e">
        <f>VLOOKUP($D88,[1]velho!$A$2:$BG$207,37, FALSE())</f>
        <v>#N/A</v>
      </c>
      <c r="P88" s="489" t="e">
        <f>VLOOKUP($D88,[1]velho!$A$2:$BG$207,38, FALSE())</f>
        <v>#N/A</v>
      </c>
      <c r="Q88" s="490" t="e">
        <f>VLOOKUP($D88,[1]velho!$A$2:$BG$207,39, FALSE())</f>
        <v>#N/A</v>
      </c>
      <c r="R88" s="491" t="e">
        <f>VLOOKUP($D88,[1]velho!$A$2:$BG$207,40, FALSE())</f>
        <v>#N/A</v>
      </c>
      <c r="S88" s="490" t="e">
        <f>VLOOKUP($D88,[1]velho!$A$2:$BG$207,41, FALSE())</f>
        <v>#N/A</v>
      </c>
      <c r="T88" s="489" t="e">
        <f>VLOOKUP($D88,[1]velho!$A$2:$BG$207,42, FALSE())</f>
        <v>#N/A</v>
      </c>
      <c r="U88" s="490" t="e">
        <f>VLOOKUP($D88,[1]velho!$A$2:$BG$207,43, FALSE())</f>
        <v>#N/A</v>
      </c>
      <c r="V88" s="489" t="e">
        <f>VLOOKUP($D88,[1]velho!$A$2:$BG$207,44, FALSE())</f>
        <v>#N/A</v>
      </c>
      <c r="W88" s="490" t="e">
        <f>VLOOKUP($D88,[1]velho!$A$2:$BG$207,45, FALSE())</f>
        <v>#N/A</v>
      </c>
      <c r="X88" s="489" t="e">
        <f>VLOOKUP($D88,[1]velho!$A$2:$BG$207,46, FALSE())</f>
        <v>#N/A</v>
      </c>
      <c r="Y88" s="490" t="e">
        <f>VLOOKUP($D88,[1]velho!$A$2:$BG$207,47, FALSE())</f>
        <v>#N/A</v>
      </c>
      <c r="Z88" s="489" t="e">
        <f>VLOOKUP($D88,[1]velho!$A$2:$BG$207,48, FALSE())</f>
        <v>#N/A</v>
      </c>
      <c r="AA88" s="490" t="e">
        <f>VLOOKUP($D88,[1]velho!$A$2:$BG$207,49, FALSE())</f>
        <v>#N/A</v>
      </c>
      <c r="AB88" s="489" t="e">
        <f>VLOOKUP($D88,[1]velho!$A$2:$BG$207,50, FALSE())</f>
        <v>#N/A</v>
      </c>
      <c r="AC88" s="492" t="e">
        <f>VLOOKUP($D88,[1]velho!$A$2:$BG$207,51, FALSE())</f>
        <v>#N/A</v>
      </c>
      <c r="AD88" s="489" t="e">
        <f>VLOOKUP($D88,[1]velho!$A$2:$BG$207,52, FALSE())</f>
        <v>#N/A</v>
      </c>
      <c r="AE88" s="490" t="e">
        <f>VLOOKUP($D88,[1]velho!$A$2:$BG$207,53, FALSE())</f>
        <v>#N/A</v>
      </c>
      <c r="AF88" s="489" t="e">
        <f>VLOOKUP($D88,[1]velho!$A$2:$BG$207,54, FALSE())</f>
        <v>#N/A</v>
      </c>
      <c r="AG88" s="490" t="e">
        <f>VLOOKUP($D88,[1]velho!$A$2:$BG$207,55, FALSE())</f>
        <v>#N/A</v>
      </c>
      <c r="AH88" s="489" t="e">
        <f>VLOOKUP($D88,[1]velho!$A$2:$BG$207,56, FALSE())</f>
        <v>#N/A</v>
      </c>
      <c r="AI88" s="490" t="e">
        <f>VLOOKUP($D88,[1]velho!$A$2:$BG$207,57, FALSE())</f>
        <v>#N/A</v>
      </c>
      <c r="AJ88" s="489" t="e">
        <f>VLOOKUP($D88,[1]velho!$A$2:$BG$207,58, FALSE())</f>
        <v>#N/A</v>
      </c>
      <c r="AK88" s="267"/>
      <c r="AL88" s="267"/>
    </row>
    <row r="89" spans="1:38" ht="18.75" customHeight="1">
      <c r="A89" s="494" t="e">
        <f>VLOOKUP(D88,[1]velho!$A$28:$X$207,21, FALSE())</f>
        <v>#N/A</v>
      </c>
      <c r="B89" s="478"/>
      <c r="C89" s="481"/>
      <c r="D89" s="495" t="e">
        <f>VLOOKUP(D88,[1]velho!$A$2:$Y$207,25, FALSE())</f>
        <v>#N/A</v>
      </c>
      <c r="E89" s="496"/>
      <c r="F89" s="481"/>
      <c r="G89" s="481"/>
      <c r="H89" s="481"/>
      <c r="I89" s="481"/>
      <c r="J89" s="481"/>
      <c r="K89" s="481"/>
      <c r="L89" s="481"/>
      <c r="M89" s="481"/>
      <c r="N89" s="481"/>
      <c r="O89" s="481"/>
      <c r="P89" s="481"/>
      <c r="Q89" s="481"/>
      <c r="R89" s="481"/>
      <c r="S89" s="481"/>
      <c r="T89" s="481"/>
      <c r="U89" s="481"/>
      <c r="V89" s="481"/>
      <c r="W89" s="481"/>
      <c r="X89" s="481"/>
      <c r="Y89" s="481"/>
      <c r="Z89" s="481"/>
      <c r="AA89" s="481"/>
      <c r="AB89" s="481"/>
      <c r="AC89" s="481"/>
      <c r="AD89" s="481"/>
      <c r="AE89" s="481"/>
      <c r="AF89" s="481"/>
      <c r="AG89" s="481"/>
      <c r="AH89" s="481"/>
      <c r="AI89" s="481"/>
      <c r="AJ89" s="481"/>
      <c r="AK89" s="267"/>
      <c r="AL89" s="267"/>
    </row>
    <row r="90" spans="1:38" ht="3.75" customHeight="1">
      <c r="A90" s="6"/>
      <c r="B90" s="6"/>
      <c r="C90" s="1"/>
      <c r="D90" s="6"/>
      <c r="E90" s="6"/>
      <c r="F90" s="269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  <c r="AA90" s="269"/>
      <c r="AB90" s="269"/>
      <c r="AC90" s="269"/>
      <c r="AD90" s="269"/>
      <c r="AE90" s="269"/>
      <c r="AF90" s="269"/>
      <c r="AG90" s="269"/>
      <c r="AH90" s="269"/>
      <c r="AI90" s="269"/>
      <c r="AJ90" s="269"/>
      <c r="AK90" s="269"/>
      <c r="AL90" s="269"/>
    </row>
    <row r="91" spans="1:38" ht="18.75" customHeight="1">
      <c r="A91" s="200" t="s">
        <v>2765</v>
      </c>
      <c r="B91" s="200" t="s">
        <v>2364</v>
      </c>
      <c r="C91" s="493" t="e">
        <f>VLOOKUP(B91,#REF!,2, FALSE())</f>
        <v>#REF!</v>
      </c>
      <c r="D91" s="264" t="s">
        <v>1993</v>
      </c>
      <c r="E91" s="265" t="e">
        <f>VLOOKUP(D91,#REF!,2, FALSE())</f>
        <v>#REF!</v>
      </c>
      <c r="F91" s="489" t="e">
        <f>VLOOKUP($D91,[1]velho!$A$15:$BG$207,28, FALSE())</f>
        <v>#N/A</v>
      </c>
      <c r="G91" s="490" t="e">
        <f>VLOOKUP($D91,[1]velho!$A$2:$BG$207,29, FALSE())</f>
        <v>#N/A</v>
      </c>
      <c r="H91" s="489" t="e">
        <f>VLOOKUP($D91,[1]velho!$A$2:$BG$207,30, FALSE())</f>
        <v>#N/A</v>
      </c>
      <c r="I91" s="490" t="e">
        <f>VLOOKUP($D91,[1]velho!$A$2:$BG$207,31, FALSE())</f>
        <v>#N/A</v>
      </c>
      <c r="J91" s="489" t="e">
        <f>VLOOKUP($D91,[1]velho!$A$2:$BG$207,32, FALSE())</f>
        <v>#N/A</v>
      </c>
      <c r="K91" s="490" t="e">
        <f>VLOOKUP($D91,[1]velho!$A$2:$BG$207,33, FALSE())</f>
        <v>#N/A</v>
      </c>
      <c r="L91" s="489" t="e">
        <f>VLOOKUP($D91,[1]velho!$A$2:$BG$207,34, FALSE())</f>
        <v>#N/A</v>
      </c>
      <c r="M91" s="490" t="e">
        <f>VLOOKUP($D91,[1]velho!$A$2:$BG$207,35, FALSE())</f>
        <v>#N/A</v>
      </c>
      <c r="N91" s="489" t="e">
        <f>VLOOKUP($D91,[1]velho!$A$2:$BG$207,36, FALSE())</f>
        <v>#N/A</v>
      </c>
      <c r="O91" s="490" t="e">
        <f>VLOOKUP($D91,[1]velho!$A$2:$BG$207,37, FALSE())</f>
        <v>#N/A</v>
      </c>
      <c r="P91" s="489" t="e">
        <f>VLOOKUP($D91,[1]velho!$A$2:$BG$207,38, FALSE())</f>
        <v>#N/A</v>
      </c>
      <c r="Q91" s="490" t="e">
        <f>VLOOKUP($D91,[1]velho!$A$2:$BG$207,39, FALSE())</f>
        <v>#N/A</v>
      </c>
      <c r="R91" s="491" t="e">
        <f>VLOOKUP($D91,[1]velho!$A$2:$BG$207,40, FALSE())</f>
        <v>#N/A</v>
      </c>
      <c r="S91" s="490" t="e">
        <f>VLOOKUP($D91,[1]velho!$A$2:$BG$207,41, FALSE())</f>
        <v>#N/A</v>
      </c>
      <c r="T91" s="489" t="e">
        <f>VLOOKUP($D91,[1]velho!$A$2:$BG$207,42, FALSE())</f>
        <v>#N/A</v>
      </c>
      <c r="U91" s="490" t="e">
        <f>VLOOKUP($D91,[1]velho!$A$2:$BG$207,43, FALSE())</f>
        <v>#N/A</v>
      </c>
      <c r="V91" s="489" t="e">
        <f>VLOOKUP($D91,[1]velho!$A$2:$BG$207,44, FALSE())</f>
        <v>#N/A</v>
      </c>
      <c r="W91" s="490" t="e">
        <f>VLOOKUP($D91,[1]velho!$A$2:$BG$207,45, FALSE())</f>
        <v>#N/A</v>
      </c>
      <c r="X91" s="489" t="e">
        <f>VLOOKUP($D91,[1]velho!$A$2:$BG$207,46, FALSE())</f>
        <v>#N/A</v>
      </c>
      <c r="Y91" s="490" t="e">
        <f>VLOOKUP($D91,[1]velho!$A$2:$BG$207,47, FALSE())</f>
        <v>#N/A</v>
      </c>
      <c r="Z91" s="489" t="e">
        <f>VLOOKUP($D91,[1]velho!$A$2:$BG$207,48, FALSE())</f>
        <v>#N/A</v>
      </c>
      <c r="AA91" s="490" t="e">
        <f>VLOOKUP($D91,[1]velho!$A$2:$BG$207,49, FALSE())</f>
        <v>#N/A</v>
      </c>
      <c r="AB91" s="489" t="e">
        <f>VLOOKUP($D91,[1]velho!$A$2:$BG$207,50, FALSE())</f>
        <v>#N/A</v>
      </c>
      <c r="AC91" s="492" t="e">
        <f>VLOOKUP($D91,[1]velho!$A$2:$BG$207,51, FALSE())</f>
        <v>#N/A</v>
      </c>
      <c r="AD91" s="489" t="e">
        <f>VLOOKUP($D91,[1]velho!$A$2:$BG$207,52, FALSE())</f>
        <v>#N/A</v>
      </c>
      <c r="AE91" s="490" t="e">
        <f>VLOOKUP($D91,[1]velho!$A$2:$BG$207,53, FALSE())</f>
        <v>#N/A</v>
      </c>
      <c r="AF91" s="489" t="e">
        <f>VLOOKUP($D91,[1]velho!$A$2:$BG$207,54, FALSE())</f>
        <v>#N/A</v>
      </c>
      <c r="AG91" s="490" t="e">
        <f>VLOOKUP($D91,[1]velho!$A$2:$BG$207,55, FALSE())</f>
        <v>#N/A</v>
      </c>
      <c r="AH91" s="489" t="e">
        <f>VLOOKUP($D91,[1]velho!$A$2:$BG$207,56, FALSE())</f>
        <v>#N/A</v>
      </c>
      <c r="AI91" s="490" t="e">
        <f>VLOOKUP($D91,[1]velho!$A$2:$BG$207,57, FALSE())</f>
        <v>#N/A</v>
      </c>
      <c r="AJ91" s="489" t="e">
        <f>VLOOKUP($D91,[1]velho!$A$2:$BG$207,58, FALSE())</f>
        <v>#N/A</v>
      </c>
      <c r="AK91" s="267"/>
      <c r="AL91" s="267"/>
    </row>
    <row r="92" spans="1:38" ht="18.75" customHeight="1">
      <c r="A92" s="494" t="e">
        <f>VLOOKUP(D91,[1]velho!$A$28:$X$207,21, FALSE())</f>
        <v>#N/A</v>
      </c>
      <c r="B92" s="478"/>
      <c r="C92" s="481"/>
      <c r="D92" s="495" t="e">
        <f>VLOOKUP(D91,[1]velho!$A$2:$Y$207,25, FALSE())</f>
        <v>#N/A</v>
      </c>
      <c r="E92" s="496"/>
      <c r="F92" s="481"/>
      <c r="G92" s="481"/>
      <c r="H92" s="481"/>
      <c r="I92" s="481"/>
      <c r="J92" s="481"/>
      <c r="K92" s="481"/>
      <c r="L92" s="481"/>
      <c r="M92" s="481"/>
      <c r="N92" s="481"/>
      <c r="O92" s="481"/>
      <c r="P92" s="481"/>
      <c r="Q92" s="481"/>
      <c r="R92" s="481"/>
      <c r="S92" s="481"/>
      <c r="T92" s="481"/>
      <c r="U92" s="481"/>
      <c r="V92" s="481"/>
      <c r="W92" s="481"/>
      <c r="X92" s="481"/>
      <c r="Y92" s="481"/>
      <c r="Z92" s="481"/>
      <c r="AA92" s="481"/>
      <c r="AB92" s="481"/>
      <c r="AC92" s="481"/>
      <c r="AD92" s="481"/>
      <c r="AE92" s="481"/>
      <c r="AF92" s="481"/>
      <c r="AG92" s="481"/>
      <c r="AH92" s="481"/>
      <c r="AI92" s="481"/>
      <c r="AJ92" s="481"/>
      <c r="AK92" s="267"/>
      <c r="AL92" s="267"/>
    </row>
    <row r="93" spans="1:38" ht="3.75" customHeight="1">
      <c r="A93" s="6"/>
      <c r="B93" s="6"/>
      <c r="C93" s="1"/>
      <c r="D93" s="6"/>
      <c r="E93" s="6"/>
      <c r="F93" s="269"/>
      <c r="G93" s="269"/>
      <c r="H93" s="269"/>
      <c r="I93" s="269"/>
      <c r="J93" s="269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  <c r="AA93" s="269"/>
      <c r="AB93" s="269"/>
      <c r="AC93" s="269"/>
      <c r="AD93" s="269"/>
      <c r="AE93" s="269"/>
      <c r="AF93" s="269"/>
      <c r="AG93" s="269"/>
      <c r="AH93" s="269"/>
      <c r="AI93" s="269"/>
      <c r="AJ93" s="269"/>
      <c r="AK93" s="269"/>
      <c r="AL93" s="269"/>
    </row>
    <row r="94" spans="1:38" ht="18.75" customHeight="1">
      <c r="A94" s="200" t="s">
        <v>2765</v>
      </c>
      <c r="B94" s="200" t="s">
        <v>2364</v>
      </c>
      <c r="C94" s="493" t="e">
        <f>VLOOKUP(B94,#REF!,2, FALSE())</f>
        <v>#REF!</v>
      </c>
      <c r="D94" s="264" t="s">
        <v>2443</v>
      </c>
      <c r="E94" s="265" t="e">
        <f>VLOOKUP(D94,#REF!,2, FALSE())</f>
        <v>#REF!</v>
      </c>
      <c r="F94" s="489" t="e">
        <f>VLOOKUP($D94,[1]velho!$A$15:$BG$207,28, FALSE())</f>
        <v>#N/A</v>
      </c>
      <c r="G94" s="490" t="e">
        <f>VLOOKUP($D94,[1]velho!$A$2:$BG$207,29, FALSE())</f>
        <v>#N/A</v>
      </c>
      <c r="H94" s="489" t="e">
        <f>VLOOKUP($D94,[1]velho!$A$2:$BG$207,30, FALSE())</f>
        <v>#N/A</v>
      </c>
      <c r="I94" s="490" t="e">
        <f>VLOOKUP($D94,[1]velho!$A$2:$BG$207,31, FALSE())</f>
        <v>#N/A</v>
      </c>
      <c r="J94" s="489" t="e">
        <f>VLOOKUP($D94,[1]velho!$A$2:$BG$207,32, FALSE())</f>
        <v>#N/A</v>
      </c>
      <c r="K94" s="490" t="e">
        <f>VLOOKUP($D94,[1]velho!$A$2:$BG$207,33, FALSE())</f>
        <v>#N/A</v>
      </c>
      <c r="L94" s="489" t="e">
        <f>VLOOKUP($D94,[1]velho!$A$2:$BG$207,34, FALSE())</f>
        <v>#N/A</v>
      </c>
      <c r="M94" s="490" t="e">
        <f>VLOOKUP($D94,[1]velho!$A$2:$BG$207,35, FALSE())</f>
        <v>#N/A</v>
      </c>
      <c r="N94" s="489" t="e">
        <f>VLOOKUP($D94,[1]velho!$A$2:$BG$207,36, FALSE())</f>
        <v>#N/A</v>
      </c>
      <c r="O94" s="490" t="e">
        <f>VLOOKUP($D94,[1]velho!$A$2:$BG$207,37, FALSE())</f>
        <v>#N/A</v>
      </c>
      <c r="P94" s="489" t="e">
        <f>VLOOKUP($D94,[1]velho!$A$2:$BG$207,38, FALSE())</f>
        <v>#N/A</v>
      </c>
      <c r="Q94" s="490" t="e">
        <f>VLOOKUP($D94,[1]velho!$A$2:$BG$207,39, FALSE())</f>
        <v>#N/A</v>
      </c>
      <c r="R94" s="491" t="e">
        <f>VLOOKUP($D94,[1]velho!$A$2:$BG$207,40, FALSE())</f>
        <v>#N/A</v>
      </c>
      <c r="S94" s="490" t="e">
        <f>VLOOKUP($D94,[1]velho!$A$2:$BG$207,41, FALSE())</f>
        <v>#N/A</v>
      </c>
      <c r="T94" s="489" t="e">
        <f>VLOOKUP($D94,[1]velho!$A$2:$BG$207,42, FALSE())</f>
        <v>#N/A</v>
      </c>
      <c r="U94" s="490" t="e">
        <f>VLOOKUP($D94,[1]velho!$A$2:$BG$207,43, FALSE())</f>
        <v>#N/A</v>
      </c>
      <c r="V94" s="489" t="e">
        <f>VLOOKUP($D94,[1]velho!$A$2:$BG$207,44, FALSE())</f>
        <v>#N/A</v>
      </c>
      <c r="W94" s="490" t="e">
        <f>VLOOKUP($D94,[1]velho!$A$2:$BG$207,45, FALSE())</f>
        <v>#N/A</v>
      </c>
      <c r="X94" s="489" t="e">
        <f>VLOOKUP($D94,[1]velho!$A$2:$BG$207,46, FALSE())</f>
        <v>#N/A</v>
      </c>
      <c r="Y94" s="490" t="e">
        <f>VLOOKUP($D94,[1]velho!$A$2:$BG$207,47, FALSE())</f>
        <v>#N/A</v>
      </c>
      <c r="Z94" s="489" t="e">
        <f>VLOOKUP($D94,[1]velho!$A$2:$BG$207,48, FALSE())</f>
        <v>#N/A</v>
      </c>
      <c r="AA94" s="490" t="e">
        <f>VLOOKUP($D94,[1]velho!$A$2:$BG$207,49, FALSE())</f>
        <v>#N/A</v>
      </c>
      <c r="AB94" s="489" t="e">
        <f>VLOOKUP($D94,[1]velho!$A$2:$BG$207,50, FALSE())</f>
        <v>#N/A</v>
      </c>
      <c r="AC94" s="492" t="e">
        <f>VLOOKUP($D94,[1]velho!$A$2:$BG$207,51, FALSE())</f>
        <v>#N/A</v>
      </c>
      <c r="AD94" s="489" t="e">
        <f>VLOOKUP($D94,[1]velho!$A$2:$BG$207,52, FALSE())</f>
        <v>#N/A</v>
      </c>
      <c r="AE94" s="490" t="e">
        <f>VLOOKUP($D94,[1]velho!$A$2:$BG$207,53, FALSE())</f>
        <v>#N/A</v>
      </c>
      <c r="AF94" s="489" t="e">
        <f>VLOOKUP($D94,[1]velho!$A$2:$BG$207,54, FALSE())</f>
        <v>#N/A</v>
      </c>
      <c r="AG94" s="490" t="e">
        <f>VLOOKUP($D94,[1]velho!$A$2:$BG$207,55, FALSE())</f>
        <v>#N/A</v>
      </c>
      <c r="AH94" s="489" t="e">
        <f>VLOOKUP($D94,[1]velho!$A$2:$BG$207,56, FALSE())</f>
        <v>#N/A</v>
      </c>
      <c r="AI94" s="490" t="e">
        <f>VLOOKUP($D94,[1]velho!$A$2:$BG$207,57, FALSE())</f>
        <v>#N/A</v>
      </c>
      <c r="AJ94" s="489" t="e">
        <f>VLOOKUP($D94,[1]velho!$A$2:$BG$207,58, FALSE())</f>
        <v>#N/A</v>
      </c>
      <c r="AK94" s="267"/>
      <c r="AL94" s="267"/>
    </row>
    <row r="95" spans="1:38" ht="18.75" customHeight="1">
      <c r="A95" s="494" t="e">
        <f>VLOOKUP(D94,[1]velho!$A$28:$X$207,21, FALSE())</f>
        <v>#N/A</v>
      </c>
      <c r="B95" s="478"/>
      <c r="C95" s="481"/>
      <c r="D95" s="495" t="e">
        <f>VLOOKUP(D94,[1]velho!$A$2:$Y$207,25, FALSE())</f>
        <v>#N/A</v>
      </c>
      <c r="E95" s="496"/>
      <c r="F95" s="481"/>
      <c r="G95" s="481"/>
      <c r="H95" s="481"/>
      <c r="I95" s="481"/>
      <c r="J95" s="481"/>
      <c r="K95" s="481"/>
      <c r="L95" s="481"/>
      <c r="M95" s="481"/>
      <c r="N95" s="481"/>
      <c r="O95" s="481"/>
      <c r="P95" s="481"/>
      <c r="Q95" s="481"/>
      <c r="R95" s="481"/>
      <c r="S95" s="481"/>
      <c r="T95" s="481"/>
      <c r="U95" s="481"/>
      <c r="V95" s="481"/>
      <c r="W95" s="481"/>
      <c r="X95" s="481"/>
      <c r="Y95" s="481"/>
      <c r="Z95" s="481"/>
      <c r="AA95" s="481"/>
      <c r="AB95" s="481"/>
      <c r="AC95" s="481"/>
      <c r="AD95" s="481"/>
      <c r="AE95" s="481"/>
      <c r="AF95" s="481"/>
      <c r="AG95" s="481"/>
      <c r="AH95" s="481"/>
      <c r="AI95" s="481"/>
      <c r="AJ95" s="481"/>
      <c r="AK95" s="267"/>
      <c r="AL95" s="267"/>
    </row>
    <row r="96" spans="1:38" ht="3.75" customHeight="1">
      <c r="A96" s="6"/>
      <c r="B96" s="6"/>
      <c r="C96" s="1"/>
      <c r="D96" s="6"/>
      <c r="E96" s="6"/>
      <c r="F96" s="269"/>
      <c r="G96" s="269"/>
      <c r="H96" s="269"/>
      <c r="I96" s="269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  <c r="AA96" s="269"/>
      <c r="AB96" s="269"/>
      <c r="AC96" s="269"/>
      <c r="AD96" s="269"/>
      <c r="AE96" s="269"/>
      <c r="AF96" s="269"/>
      <c r="AG96" s="269"/>
      <c r="AH96" s="269"/>
      <c r="AI96" s="269"/>
      <c r="AJ96" s="269"/>
      <c r="AK96" s="269"/>
      <c r="AL96" s="269"/>
    </row>
    <row r="97" spans="1:38" ht="18.75" customHeight="1">
      <c r="A97" s="200" t="s">
        <v>2765</v>
      </c>
      <c r="B97" s="200" t="s">
        <v>2364</v>
      </c>
      <c r="C97" s="493" t="e">
        <f>VLOOKUP(B97,#REF!,2, FALSE())</f>
        <v>#REF!</v>
      </c>
      <c r="D97" s="264" t="s">
        <v>1549</v>
      </c>
      <c r="E97" s="265" t="e">
        <f>VLOOKUP(D97,#REF!,2, FALSE())</f>
        <v>#REF!</v>
      </c>
      <c r="F97" s="489" t="e">
        <f>VLOOKUP($D97,[1]velho!$A$15:$BG$207,28, FALSE())</f>
        <v>#N/A</v>
      </c>
      <c r="G97" s="490" t="e">
        <f>VLOOKUP($D97,[1]velho!$A$2:$BG$207,29, FALSE())</f>
        <v>#N/A</v>
      </c>
      <c r="H97" s="489" t="e">
        <f>VLOOKUP($D97,[1]velho!$A$2:$BG$207,30, FALSE())</f>
        <v>#N/A</v>
      </c>
      <c r="I97" s="490" t="e">
        <f>VLOOKUP($D97,[1]velho!$A$2:$BG$207,31, FALSE())</f>
        <v>#N/A</v>
      </c>
      <c r="J97" s="489" t="e">
        <f>VLOOKUP($D97,[1]velho!$A$2:$BG$207,32, FALSE())</f>
        <v>#N/A</v>
      </c>
      <c r="K97" s="490" t="e">
        <f>VLOOKUP($D97,[1]velho!$A$2:$BG$207,33, FALSE())</f>
        <v>#N/A</v>
      </c>
      <c r="L97" s="489" t="e">
        <f>VLOOKUP($D97,[1]velho!$A$2:$BG$207,34, FALSE())</f>
        <v>#N/A</v>
      </c>
      <c r="M97" s="490" t="e">
        <f>VLOOKUP($D97,[1]velho!$A$2:$BG$207,35, FALSE())</f>
        <v>#N/A</v>
      </c>
      <c r="N97" s="489" t="e">
        <f>VLOOKUP($D97,[1]velho!$A$2:$BG$207,36, FALSE())</f>
        <v>#N/A</v>
      </c>
      <c r="O97" s="490" t="e">
        <f>VLOOKUP($D97,[1]velho!$A$2:$BG$207,37, FALSE())</f>
        <v>#N/A</v>
      </c>
      <c r="P97" s="489" t="e">
        <f>VLOOKUP($D97,[1]velho!$A$2:$BG$207,38, FALSE())</f>
        <v>#N/A</v>
      </c>
      <c r="Q97" s="490" t="e">
        <f>VLOOKUP($D97,[1]velho!$A$2:$BG$207,39, FALSE())</f>
        <v>#N/A</v>
      </c>
      <c r="R97" s="491" t="e">
        <f>VLOOKUP($D97,[1]velho!$A$2:$BG$207,40, FALSE())</f>
        <v>#N/A</v>
      </c>
      <c r="S97" s="490" t="e">
        <f>VLOOKUP($D97,[1]velho!$A$2:$BG$207,41, FALSE())</f>
        <v>#N/A</v>
      </c>
      <c r="T97" s="489" t="e">
        <f>VLOOKUP($D97,[1]velho!$A$2:$BG$207,42, FALSE())</f>
        <v>#N/A</v>
      </c>
      <c r="U97" s="490" t="e">
        <f>VLOOKUP($D97,[1]velho!$A$2:$BG$207,43, FALSE())</f>
        <v>#N/A</v>
      </c>
      <c r="V97" s="489" t="e">
        <f>VLOOKUP($D97,[1]velho!$A$2:$BG$207,44, FALSE())</f>
        <v>#N/A</v>
      </c>
      <c r="W97" s="490" t="e">
        <f>VLOOKUP($D97,[1]velho!$A$2:$BG$207,45, FALSE())</f>
        <v>#N/A</v>
      </c>
      <c r="X97" s="489" t="e">
        <f>VLOOKUP($D97,[1]velho!$A$2:$BG$207,46, FALSE())</f>
        <v>#N/A</v>
      </c>
      <c r="Y97" s="490" t="e">
        <f>VLOOKUP($D97,[1]velho!$A$2:$BG$207,47, FALSE())</f>
        <v>#N/A</v>
      </c>
      <c r="Z97" s="489" t="e">
        <f>VLOOKUP($D97,[1]velho!$A$2:$BG$207,48, FALSE())</f>
        <v>#N/A</v>
      </c>
      <c r="AA97" s="490" t="e">
        <f>VLOOKUP($D97,[1]velho!$A$2:$BG$207,49, FALSE())</f>
        <v>#N/A</v>
      </c>
      <c r="AB97" s="489" t="e">
        <f>VLOOKUP($D97,[1]velho!$A$2:$BG$207,50, FALSE())</f>
        <v>#N/A</v>
      </c>
      <c r="AC97" s="492" t="e">
        <f>VLOOKUP($D97,[1]velho!$A$2:$BG$207,51, FALSE())</f>
        <v>#N/A</v>
      </c>
      <c r="AD97" s="489" t="e">
        <f>VLOOKUP($D97,[1]velho!$A$2:$BG$207,52, FALSE())</f>
        <v>#N/A</v>
      </c>
      <c r="AE97" s="490" t="e">
        <f>VLOOKUP($D97,[1]velho!$A$2:$BG$207,53, FALSE())</f>
        <v>#N/A</v>
      </c>
      <c r="AF97" s="489" t="e">
        <f>VLOOKUP($D97,[1]velho!$A$2:$BG$207,54, FALSE())</f>
        <v>#N/A</v>
      </c>
      <c r="AG97" s="490" t="e">
        <f>VLOOKUP($D97,[1]velho!$A$2:$BG$207,55, FALSE())</f>
        <v>#N/A</v>
      </c>
      <c r="AH97" s="489" t="e">
        <f>VLOOKUP($D97,[1]velho!$A$2:$BG$207,56, FALSE())</f>
        <v>#N/A</v>
      </c>
      <c r="AI97" s="490" t="e">
        <f>VLOOKUP($D97,[1]velho!$A$2:$BG$207,57, FALSE())</f>
        <v>#N/A</v>
      </c>
      <c r="AJ97" s="489" t="e">
        <f>VLOOKUP($D97,[1]velho!$A$2:$BG$207,58, FALSE())</f>
        <v>#N/A</v>
      </c>
      <c r="AK97" s="267"/>
      <c r="AL97" s="267"/>
    </row>
    <row r="98" spans="1:38" ht="18.75" customHeight="1">
      <c r="A98" s="494" t="e">
        <f>VLOOKUP(D97,[1]velho!$A$28:$X$207,21, FALSE())</f>
        <v>#N/A</v>
      </c>
      <c r="B98" s="478"/>
      <c r="C98" s="481"/>
      <c r="D98" s="495" t="e">
        <f>VLOOKUP(D97,[1]velho!$A$2:$Y$207,25, FALSE())</f>
        <v>#N/A</v>
      </c>
      <c r="E98" s="496"/>
      <c r="F98" s="481"/>
      <c r="G98" s="481"/>
      <c r="H98" s="481"/>
      <c r="I98" s="481"/>
      <c r="J98" s="481"/>
      <c r="K98" s="481"/>
      <c r="L98" s="481"/>
      <c r="M98" s="481"/>
      <c r="N98" s="481"/>
      <c r="O98" s="481"/>
      <c r="P98" s="481"/>
      <c r="Q98" s="481"/>
      <c r="R98" s="481"/>
      <c r="S98" s="481"/>
      <c r="T98" s="481"/>
      <c r="U98" s="481"/>
      <c r="V98" s="481"/>
      <c r="W98" s="481"/>
      <c r="X98" s="481"/>
      <c r="Y98" s="481"/>
      <c r="Z98" s="481"/>
      <c r="AA98" s="481"/>
      <c r="AB98" s="481"/>
      <c r="AC98" s="481"/>
      <c r="AD98" s="481"/>
      <c r="AE98" s="481"/>
      <c r="AF98" s="481"/>
      <c r="AG98" s="481"/>
      <c r="AH98" s="481"/>
      <c r="AI98" s="481"/>
      <c r="AJ98" s="481"/>
      <c r="AK98" s="267"/>
      <c r="AL98" s="267"/>
    </row>
    <row r="99" spans="1:38" ht="3.75" customHeight="1">
      <c r="A99" s="6"/>
      <c r="B99" s="6"/>
      <c r="C99" s="1"/>
      <c r="D99" s="6"/>
      <c r="E99" s="6"/>
      <c r="F99" s="269"/>
      <c r="G99" s="269"/>
      <c r="H99" s="269"/>
      <c r="I99" s="269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  <c r="AA99" s="269"/>
      <c r="AB99" s="269"/>
      <c r="AC99" s="269"/>
      <c r="AD99" s="269"/>
      <c r="AE99" s="269"/>
      <c r="AF99" s="269"/>
      <c r="AG99" s="269"/>
      <c r="AH99" s="269"/>
      <c r="AI99" s="269"/>
      <c r="AJ99" s="269"/>
      <c r="AK99" s="269"/>
      <c r="AL99" s="269"/>
    </row>
    <row r="100" spans="1:38" ht="18.75" customHeight="1">
      <c r="A100" s="200" t="s">
        <v>2765</v>
      </c>
      <c r="B100" s="200" t="s">
        <v>2364</v>
      </c>
      <c r="C100" s="493" t="e">
        <f>VLOOKUP(B100,#REF!,2, FALSE())</f>
        <v>#REF!</v>
      </c>
      <c r="D100" s="264" t="s">
        <v>1461</v>
      </c>
      <c r="E100" s="265" t="e">
        <f>VLOOKUP(D100,#REF!,2, FALSE())</f>
        <v>#REF!</v>
      </c>
      <c r="F100" s="489" t="e">
        <f>VLOOKUP($D100,[1]velho!$A$15:$BG$207,28, FALSE())</f>
        <v>#N/A</v>
      </c>
      <c r="G100" s="490" t="e">
        <f>VLOOKUP($D100,[1]velho!$A$2:$BG$207,29, FALSE())</f>
        <v>#N/A</v>
      </c>
      <c r="H100" s="489" t="e">
        <f>VLOOKUP($D100,[1]velho!$A$2:$BG$207,30, FALSE())</f>
        <v>#N/A</v>
      </c>
      <c r="I100" s="490" t="e">
        <f>VLOOKUP($D100,[1]velho!$A$2:$BG$207,31, FALSE())</f>
        <v>#N/A</v>
      </c>
      <c r="J100" s="489" t="e">
        <f>VLOOKUP($D100,[1]velho!$A$2:$BG$207,32, FALSE())</f>
        <v>#N/A</v>
      </c>
      <c r="K100" s="490" t="e">
        <f>VLOOKUP($D100,[1]velho!$A$2:$BG$207,33, FALSE())</f>
        <v>#N/A</v>
      </c>
      <c r="L100" s="489" t="e">
        <f>VLOOKUP($D100,[1]velho!$A$2:$BG$207,34, FALSE())</f>
        <v>#N/A</v>
      </c>
      <c r="M100" s="490" t="e">
        <f>VLOOKUP($D100,[1]velho!$A$2:$BG$207,35, FALSE())</f>
        <v>#N/A</v>
      </c>
      <c r="N100" s="489" t="e">
        <f>VLOOKUP($D100,[1]velho!$A$2:$BG$207,36, FALSE())</f>
        <v>#N/A</v>
      </c>
      <c r="O100" s="490" t="e">
        <f>VLOOKUP($D100,[1]velho!$A$2:$BG$207,37, FALSE())</f>
        <v>#N/A</v>
      </c>
      <c r="P100" s="489" t="e">
        <f>VLOOKUP($D100,[1]velho!$A$2:$BG$207,38, FALSE())</f>
        <v>#N/A</v>
      </c>
      <c r="Q100" s="490" t="e">
        <f>VLOOKUP($D100,[1]velho!$A$2:$BG$207,39, FALSE())</f>
        <v>#N/A</v>
      </c>
      <c r="R100" s="491" t="e">
        <f>VLOOKUP($D100,[1]velho!$A$2:$BG$207,40, FALSE())</f>
        <v>#N/A</v>
      </c>
      <c r="S100" s="490" t="e">
        <f>VLOOKUP($D100,[1]velho!$A$2:$BG$207,41, FALSE())</f>
        <v>#N/A</v>
      </c>
      <c r="T100" s="489" t="e">
        <f>VLOOKUP($D100,[1]velho!$A$2:$BG$207,42, FALSE())</f>
        <v>#N/A</v>
      </c>
      <c r="U100" s="490" t="e">
        <f>VLOOKUP($D100,[1]velho!$A$2:$BG$207,43, FALSE())</f>
        <v>#N/A</v>
      </c>
      <c r="V100" s="489" t="e">
        <f>VLOOKUP($D100,[1]velho!$A$2:$BG$207,44, FALSE())</f>
        <v>#N/A</v>
      </c>
      <c r="W100" s="490" t="e">
        <f>VLOOKUP($D100,[1]velho!$A$2:$BG$207,45, FALSE())</f>
        <v>#N/A</v>
      </c>
      <c r="X100" s="489" t="e">
        <f>VLOOKUP($D100,[1]velho!$A$2:$BG$207,46, FALSE())</f>
        <v>#N/A</v>
      </c>
      <c r="Y100" s="490" t="e">
        <f>VLOOKUP($D100,[1]velho!$A$2:$BG$207,47, FALSE())</f>
        <v>#N/A</v>
      </c>
      <c r="Z100" s="489" t="e">
        <f>VLOOKUP($D100,[1]velho!$A$2:$BG$207,48, FALSE())</f>
        <v>#N/A</v>
      </c>
      <c r="AA100" s="490" t="e">
        <f>VLOOKUP($D100,[1]velho!$A$2:$BG$207,49, FALSE())</f>
        <v>#N/A</v>
      </c>
      <c r="AB100" s="489" t="e">
        <f>VLOOKUP($D100,[1]velho!$A$2:$BG$207,50, FALSE())</f>
        <v>#N/A</v>
      </c>
      <c r="AC100" s="492" t="e">
        <f>VLOOKUP($D100,[1]velho!$A$2:$BG$207,51, FALSE())</f>
        <v>#N/A</v>
      </c>
      <c r="AD100" s="489" t="e">
        <f>VLOOKUP($D100,[1]velho!$A$2:$BG$207,52, FALSE())</f>
        <v>#N/A</v>
      </c>
      <c r="AE100" s="490" t="e">
        <f>VLOOKUP($D100,[1]velho!$A$2:$BG$207,53, FALSE())</f>
        <v>#N/A</v>
      </c>
      <c r="AF100" s="489" t="e">
        <f>VLOOKUP($D100,[1]velho!$A$2:$BG$207,54, FALSE())</f>
        <v>#N/A</v>
      </c>
      <c r="AG100" s="490" t="e">
        <f>VLOOKUP($D100,[1]velho!$A$2:$BG$207,55, FALSE())</f>
        <v>#N/A</v>
      </c>
      <c r="AH100" s="489" t="e">
        <f>VLOOKUP($D100,[1]velho!$A$2:$BG$207,56, FALSE())</f>
        <v>#N/A</v>
      </c>
      <c r="AI100" s="490" t="e">
        <f>VLOOKUP($D100,[1]velho!$A$2:$BG$207,57, FALSE())</f>
        <v>#N/A</v>
      </c>
      <c r="AJ100" s="489" t="e">
        <f>VLOOKUP($D100,[1]velho!$A$2:$BG$207,58, FALSE())</f>
        <v>#N/A</v>
      </c>
      <c r="AK100" s="267"/>
      <c r="AL100" s="267"/>
    </row>
    <row r="101" spans="1:38" ht="18.75" customHeight="1">
      <c r="A101" s="494" t="e">
        <f>VLOOKUP(D100,[1]velho!$A$28:$X$207,21, FALSE())</f>
        <v>#N/A</v>
      </c>
      <c r="B101" s="478"/>
      <c r="C101" s="481"/>
      <c r="D101" s="495" t="e">
        <f>VLOOKUP(D100,[1]velho!$A$2:$Y$207,25, FALSE())</f>
        <v>#N/A</v>
      </c>
      <c r="E101" s="496"/>
      <c r="F101" s="481"/>
      <c r="G101" s="481"/>
      <c r="H101" s="481"/>
      <c r="I101" s="481"/>
      <c r="J101" s="481"/>
      <c r="K101" s="481"/>
      <c r="L101" s="481"/>
      <c r="M101" s="481"/>
      <c r="N101" s="481"/>
      <c r="O101" s="481"/>
      <c r="P101" s="481"/>
      <c r="Q101" s="481"/>
      <c r="R101" s="481"/>
      <c r="S101" s="481"/>
      <c r="T101" s="481"/>
      <c r="U101" s="481"/>
      <c r="V101" s="481"/>
      <c r="W101" s="481"/>
      <c r="X101" s="481"/>
      <c r="Y101" s="481"/>
      <c r="Z101" s="481"/>
      <c r="AA101" s="481"/>
      <c r="AB101" s="481"/>
      <c r="AC101" s="481"/>
      <c r="AD101" s="481"/>
      <c r="AE101" s="481"/>
      <c r="AF101" s="481"/>
      <c r="AG101" s="481"/>
      <c r="AH101" s="481"/>
      <c r="AI101" s="481"/>
      <c r="AJ101" s="481"/>
      <c r="AK101" s="267"/>
      <c r="AL101" s="267"/>
    </row>
    <row r="102" spans="1:38" ht="3.75" customHeight="1">
      <c r="A102" s="6"/>
      <c r="B102" s="6"/>
      <c r="C102" s="1"/>
      <c r="D102" s="6"/>
      <c r="E102" s="6"/>
      <c r="F102" s="269"/>
      <c r="G102" s="269"/>
      <c r="H102" s="269"/>
      <c r="I102" s="269"/>
      <c r="J102" s="269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  <c r="AA102" s="269"/>
      <c r="AB102" s="269"/>
      <c r="AC102" s="269"/>
      <c r="AD102" s="269"/>
      <c r="AE102" s="269"/>
      <c r="AF102" s="269"/>
      <c r="AG102" s="269"/>
      <c r="AH102" s="269"/>
      <c r="AI102" s="269"/>
      <c r="AJ102" s="269"/>
      <c r="AK102" s="269"/>
      <c r="AL102" s="269"/>
    </row>
    <row r="103" spans="1:38" ht="18.75" customHeight="1">
      <c r="A103" s="200" t="s">
        <v>2765</v>
      </c>
      <c r="B103" s="200" t="s">
        <v>2364</v>
      </c>
      <c r="C103" s="493" t="e">
        <f>VLOOKUP(B103,#REF!,2, FALSE())</f>
        <v>#REF!</v>
      </c>
      <c r="D103" s="264" t="s">
        <v>2788</v>
      </c>
      <c r="E103" s="265" t="e">
        <f>VLOOKUP(D103,#REF!,2, FALSE())</f>
        <v>#REF!</v>
      </c>
      <c r="F103" s="489" t="e">
        <f>VLOOKUP($D103,[1]velho!$A$15:$BG$207,28, FALSE())</f>
        <v>#N/A</v>
      </c>
      <c r="G103" s="490" t="e">
        <f>VLOOKUP($D103,[1]velho!$A$2:$BG$207,29, FALSE())</f>
        <v>#N/A</v>
      </c>
      <c r="H103" s="489" t="e">
        <f>VLOOKUP($D103,[1]velho!$A$2:$BG$207,30, FALSE())</f>
        <v>#N/A</v>
      </c>
      <c r="I103" s="490" t="e">
        <f>VLOOKUP($D103,[1]velho!$A$2:$BG$207,31, FALSE())</f>
        <v>#N/A</v>
      </c>
      <c r="J103" s="489" t="e">
        <f>VLOOKUP($D103,[1]velho!$A$2:$BG$207,32, FALSE())</f>
        <v>#N/A</v>
      </c>
      <c r="K103" s="490" t="e">
        <f>VLOOKUP($D103,[1]velho!$A$2:$BG$207,33, FALSE())</f>
        <v>#N/A</v>
      </c>
      <c r="L103" s="489" t="e">
        <f>VLOOKUP($D103,[1]velho!$A$2:$BG$207,34, FALSE())</f>
        <v>#N/A</v>
      </c>
      <c r="M103" s="490" t="e">
        <f>VLOOKUP($D103,[1]velho!$A$2:$BG$207,35, FALSE())</f>
        <v>#N/A</v>
      </c>
      <c r="N103" s="489" t="e">
        <f>VLOOKUP($D103,[1]velho!$A$2:$BG$207,36, FALSE())</f>
        <v>#N/A</v>
      </c>
      <c r="O103" s="490" t="e">
        <f>VLOOKUP($D103,[1]velho!$A$2:$BG$207,37, FALSE())</f>
        <v>#N/A</v>
      </c>
      <c r="P103" s="489" t="e">
        <f>VLOOKUP($D103,[1]velho!$A$2:$BG$207,38, FALSE())</f>
        <v>#N/A</v>
      </c>
      <c r="Q103" s="490" t="e">
        <f>VLOOKUP($D103,[1]velho!$A$2:$BG$207,39, FALSE())</f>
        <v>#N/A</v>
      </c>
      <c r="R103" s="491" t="e">
        <f>VLOOKUP($D103,[1]velho!$A$2:$BG$207,40, FALSE())</f>
        <v>#N/A</v>
      </c>
      <c r="S103" s="490" t="e">
        <f>VLOOKUP($D103,[1]velho!$A$2:$BG$207,41, FALSE())</f>
        <v>#N/A</v>
      </c>
      <c r="T103" s="489" t="e">
        <f>VLOOKUP($D103,[1]velho!$A$2:$BG$207,42, FALSE())</f>
        <v>#N/A</v>
      </c>
      <c r="U103" s="490" t="e">
        <f>VLOOKUP($D103,[1]velho!$A$2:$BG$207,43, FALSE())</f>
        <v>#N/A</v>
      </c>
      <c r="V103" s="489" t="e">
        <f>VLOOKUP($D103,[1]velho!$A$2:$BG$207,44, FALSE())</f>
        <v>#N/A</v>
      </c>
      <c r="W103" s="490" t="e">
        <f>VLOOKUP($D103,[1]velho!$A$2:$BG$207,45, FALSE())</f>
        <v>#N/A</v>
      </c>
      <c r="X103" s="489" t="e">
        <f>VLOOKUP($D103,[1]velho!$A$2:$BG$207,46, FALSE())</f>
        <v>#N/A</v>
      </c>
      <c r="Y103" s="490" t="e">
        <f>VLOOKUP($D103,[1]velho!$A$2:$BG$207,47, FALSE())</f>
        <v>#N/A</v>
      </c>
      <c r="Z103" s="489" t="e">
        <f>VLOOKUP($D103,[1]velho!$A$2:$BG$207,48, FALSE())</f>
        <v>#N/A</v>
      </c>
      <c r="AA103" s="490" t="e">
        <f>VLOOKUP($D103,[1]velho!$A$2:$BG$207,49, FALSE())</f>
        <v>#N/A</v>
      </c>
      <c r="AB103" s="489" t="e">
        <f>VLOOKUP($D103,[1]velho!$A$2:$BG$207,50, FALSE())</f>
        <v>#N/A</v>
      </c>
      <c r="AC103" s="492" t="e">
        <f>VLOOKUP($D103,[1]velho!$A$2:$BG$207,51, FALSE())</f>
        <v>#N/A</v>
      </c>
      <c r="AD103" s="489" t="e">
        <f>VLOOKUP($D103,[1]velho!$A$2:$BG$207,52, FALSE())</f>
        <v>#N/A</v>
      </c>
      <c r="AE103" s="490" t="e">
        <f>VLOOKUP($D103,[1]velho!$A$2:$BG$207,53, FALSE())</f>
        <v>#N/A</v>
      </c>
      <c r="AF103" s="489" t="e">
        <f>VLOOKUP($D103,[1]velho!$A$2:$BG$207,54, FALSE())</f>
        <v>#N/A</v>
      </c>
      <c r="AG103" s="490" t="e">
        <f>VLOOKUP($D103,[1]velho!$A$2:$BG$207,55, FALSE())</f>
        <v>#N/A</v>
      </c>
      <c r="AH103" s="489" t="e">
        <f>VLOOKUP($D103,[1]velho!$A$2:$BG$207,56, FALSE())</f>
        <v>#N/A</v>
      </c>
      <c r="AI103" s="490" t="e">
        <f>VLOOKUP($D103,[1]velho!$A$2:$BG$207,57, FALSE())</f>
        <v>#N/A</v>
      </c>
      <c r="AJ103" s="489" t="e">
        <f>VLOOKUP($D103,[1]velho!$A$2:$BG$207,58, FALSE())</f>
        <v>#N/A</v>
      </c>
      <c r="AK103" s="267"/>
      <c r="AL103" s="267"/>
    </row>
    <row r="104" spans="1:38" ht="18.75" customHeight="1">
      <c r="A104" s="494" t="e">
        <f>VLOOKUP(D103,[1]velho!$A$28:$X$207,21, FALSE())</f>
        <v>#N/A</v>
      </c>
      <c r="B104" s="478"/>
      <c r="C104" s="481"/>
      <c r="D104" s="495" t="e">
        <f>VLOOKUP(D103,[1]velho!$A$2:$Y$207,25, FALSE())</f>
        <v>#N/A</v>
      </c>
      <c r="E104" s="496"/>
      <c r="F104" s="481"/>
      <c r="G104" s="481"/>
      <c r="H104" s="481"/>
      <c r="I104" s="481"/>
      <c r="J104" s="481"/>
      <c r="K104" s="481"/>
      <c r="L104" s="481"/>
      <c r="M104" s="481"/>
      <c r="N104" s="481"/>
      <c r="O104" s="481"/>
      <c r="P104" s="481"/>
      <c r="Q104" s="481"/>
      <c r="R104" s="481"/>
      <c r="S104" s="481"/>
      <c r="T104" s="481"/>
      <c r="U104" s="481"/>
      <c r="V104" s="481"/>
      <c r="W104" s="481"/>
      <c r="X104" s="481"/>
      <c r="Y104" s="481"/>
      <c r="Z104" s="481"/>
      <c r="AA104" s="481"/>
      <c r="AB104" s="481"/>
      <c r="AC104" s="481"/>
      <c r="AD104" s="481"/>
      <c r="AE104" s="481"/>
      <c r="AF104" s="481"/>
      <c r="AG104" s="481"/>
      <c r="AH104" s="481"/>
      <c r="AI104" s="481"/>
      <c r="AJ104" s="481"/>
      <c r="AK104" s="267"/>
      <c r="AL104" s="267"/>
    </row>
    <row r="105" spans="1:38" ht="3.75" customHeight="1">
      <c r="A105" s="6"/>
      <c r="B105" s="6"/>
      <c r="C105" s="1"/>
      <c r="D105" s="6"/>
      <c r="E105" s="6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  <c r="AA105" s="269"/>
      <c r="AB105" s="269"/>
      <c r="AC105" s="269"/>
      <c r="AD105" s="269"/>
      <c r="AE105" s="269"/>
      <c r="AF105" s="269"/>
      <c r="AG105" s="269"/>
      <c r="AH105" s="269"/>
      <c r="AI105" s="269"/>
      <c r="AJ105" s="269"/>
      <c r="AK105" s="269"/>
      <c r="AL105" s="269"/>
    </row>
    <row r="106" spans="1:38" ht="18.75" customHeight="1">
      <c r="A106" s="200" t="s">
        <v>2765</v>
      </c>
      <c r="B106" s="200" t="s">
        <v>2364</v>
      </c>
      <c r="C106" s="493" t="e">
        <f>VLOOKUP(B106,#REF!,2, FALSE())</f>
        <v>#REF!</v>
      </c>
      <c r="D106" s="264" t="s">
        <v>2581</v>
      </c>
      <c r="E106" s="265" t="e">
        <f>VLOOKUP(D106,#REF!,2, FALSE())</f>
        <v>#REF!</v>
      </c>
      <c r="F106" s="489" t="e">
        <f>VLOOKUP($D106,[1]velho!$A$15:$BG$207,28, FALSE())</f>
        <v>#N/A</v>
      </c>
      <c r="G106" s="490" t="e">
        <f>VLOOKUP($D106,[1]velho!$A$2:$BG$207,29, FALSE())</f>
        <v>#N/A</v>
      </c>
      <c r="H106" s="489" t="e">
        <f>VLOOKUP($D106,[1]velho!$A$2:$BG$207,30, FALSE())</f>
        <v>#N/A</v>
      </c>
      <c r="I106" s="490" t="e">
        <f>VLOOKUP($D106,[1]velho!$A$2:$BG$207,31, FALSE())</f>
        <v>#N/A</v>
      </c>
      <c r="J106" s="489" t="e">
        <f>VLOOKUP($D106,[1]velho!$A$2:$BG$207,32, FALSE())</f>
        <v>#N/A</v>
      </c>
      <c r="K106" s="490" t="e">
        <f>VLOOKUP($D106,[1]velho!$A$2:$BG$207,33, FALSE())</f>
        <v>#N/A</v>
      </c>
      <c r="L106" s="489" t="e">
        <f>VLOOKUP($D106,[1]velho!$A$2:$BG$207,34, FALSE())</f>
        <v>#N/A</v>
      </c>
      <c r="M106" s="490" t="e">
        <f>VLOOKUP($D106,[1]velho!$A$2:$BG$207,35, FALSE())</f>
        <v>#N/A</v>
      </c>
      <c r="N106" s="489" t="e">
        <f>VLOOKUP($D106,[1]velho!$A$2:$BG$207,36, FALSE())</f>
        <v>#N/A</v>
      </c>
      <c r="O106" s="490" t="e">
        <f>VLOOKUP($D106,[1]velho!$A$2:$BG$207,37, FALSE())</f>
        <v>#N/A</v>
      </c>
      <c r="P106" s="489" t="e">
        <f>VLOOKUP($D106,[1]velho!$A$2:$BG$207,38, FALSE())</f>
        <v>#N/A</v>
      </c>
      <c r="Q106" s="490" t="e">
        <f>VLOOKUP($D106,[1]velho!$A$2:$BG$207,39, FALSE())</f>
        <v>#N/A</v>
      </c>
      <c r="R106" s="491" t="e">
        <f>VLOOKUP($D106,[1]velho!$A$2:$BG$207,40, FALSE())</f>
        <v>#N/A</v>
      </c>
      <c r="S106" s="490" t="e">
        <f>VLOOKUP($D106,[1]velho!$A$2:$BG$207,41, FALSE())</f>
        <v>#N/A</v>
      </c>
      <c r="T106" s="489" t="e">
        <f>VLOOKUP($D106,[1]velho!$A$2:$BG$207,42, FALSE())</f>
        <v>#N/A</v>
      </c>
      <c r="U106" s="490" t="e">
        <f>VLOOKUP($D106,[1]velho!$A$2:$BG$207,43, FALSE())</f>
        <v>#N/A</v>
      </c>
      <c r="V106" s="489" t="e">
        <f>VLOOKUP($D106,[1]velho!$A$2:$BG$207,44, FALSE())</f>
        <v>#N/A</v>
      </c>
      <c r="W106" s="490" t="e">
        <f>VLOOKUP($D106,[1]velho!$A$2:$BG$207,45, FALSE())</f>
        <v>#N/A</v>
      </c>
      <c r="X106" s="489" t="e">
        <f>VLOOKUP($D106,[1]velho!$A$2:$BG$207,46, FALSE())</f>
        <v>#N/A</v>
      </c>
      <c r="Y106" s="490" t="e">
        <f>VLOOKUP($D106,[1]velho!$A$2:$BG$207,47, FALSE())</f>
        <v>#N/A</v>
      </c>
      <c r="Z106" s="489" t="e">
        <f>VLOOKUP($D106,[1]velho!$A$2:$BG$207,48, FALSE())</f>
        <v>#N/A</v>
      </c>
      <c r="AA106" s="490" t="e">
        <f>VLOOKUP($D106,[1]velho!$A$2:$BG$207,49, FALSE())</f>
        <v>#N/A</v>
      </c>
      <c r="AB106" s="489" t="e">
        <f>VLOOKUP($D106,[1]velho!$A$2:$BG$207,50, FALSE())</f>
        <v>#N/A</v>
      </c>
      <c r="AC106" s="492" t="e">
        <f>VLOOKUP($D106,[1]velho!$A$2:$BG$207,51, FALSE())</f>
        <v>#N/A</v>
      </c>
      <c r="AD106" s="489" t="e">
        <f>VLOOKUP($D106,[1]velho!$A$2:$BG$207,52, FALSE())</f>
        <v>#N/A</v>
      </c>
      <c r="AE106" s="490" t="e">
        <f>VLOOKUP($D106,[1]velho!$A$2:$BG$207,53, FALSE())</f>
        <v>#N/A</v>
      </c>
      <c r="AF106" s="489" t="e">
        <f>VLOOKUP($D106,[1]velho!$A$2:$BG$207,54, FALSE())</f>
        <v>#N/A</v>
      </c>
      <c r="AG106" s="490" t="e">
        <f>VLOOKUP($D106,[1]velho!$A$2:$BG$207,55, FALSE())</f>
        <v>#N/A</v>
      </c>
      <c r="AH106" s="489" t="e">
        <f>VLOOKUP($D106,[1]velho!$A$2:$BG$207,56, FALSE())</f>
        <v>#N/A</v>
      </c>
      <c r="AI106" s="490" t="e">
        <f>VLOOKUP($D106,[1]velho!$A$2:$BG$207,57, FALSE())</f>
        <v>#N/A</v>
      </c>
      <c r="AJ106" s="489" t="e">
        <f>VLOOKUP($D106,[1]velho!$A$2:$BG$207,58, FALSE())</f>
        <v>#N/A</v>
      </c>
      <c r="AK106" s="267"/>
      <c r="AL106" s="267"/>
    </row>
    <row r="107" spans="1:38" ht="18.75" customHeight="1">
      <c r="A107" s="502" t="e">
        <f>VLOOKUP(D106,[1]velho!$A$28:$X$207,21, FALSE())</f>
        <v>#N/A</v>
      </c>
      <c r="B107" s="478"/>
      <c r="C107" s="481"/>
      <c r="D107" s="495" t="e">
        <f>VLOOKUP(D106,[1]velho!$A$2:$Y$207,25, FALSE())</f>
        <v>#N/A</v>
      </c>
      <c r="E107" s="496"/>
      <c r="F107" s="481"/>
      <c r="G107" s="481"/>
      <c r="H107" s="481"/>
      <c r="I107" s="481"/>
      <c r="J107" s="481"/>
      <c r="K107" s="481"/>
      <c r="L107" s="481"/>
      <c r="M107" s="481"/>
      <c r="N107" s="481"/>
      <c r="O107" s="481"/>
      <c r="P107" s="481"/>
      <c r="Q107" s="481"/>
      <c r="R107" s="481"/>
      <c r="S107" s="481"/>
      <c r="T107" s="481"/>
      <c r="U107" s="481"/>
      <c r="V107" s="481"/>
      <c r="W107" s="481"/>
      <c r="X107" s="481"/>
      <c r="Y107" s="481"/>
      <c r="Z107" s="481"/>
      <c r="AA107" s="481"/>
      <c r="AB107" s="481"/>
      <c r="AC107" s="481"/>
      <c r="AD107" s="481"/>
      <c r="AE107" s="481"/>
      <c r="AF107" s="481"/>
      <c r="AG107" s="481"/>
      <c r="AH107" s="481"/>
      <c r="AI107" s="481"/>
      <c r="AJ107" s="481"/>
      <c r="AK107" s="267"/>
      <c r="AL107" s="267"/>
    </row>
    <row r="108" spans="1:38" ht="3.75" customHeight="1">
      <c r="A108" s="6"/>
      <c r="B108" s="6"/>
      <c r="C108" s="1"/>
      <c r="D108" s="6"/>
      <c r="E108" s="6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  <c r="AA108" s="269"/>
      <c r="AB108" s="269"/>
      <c r="AC108" s="269"/>
      <c r="AD108" s="269"/>
      <c r="AE108" s="269"/>
      <c r="AF108" s="269"/>
      <c r="AG108" s="269"/>
      <c r="AH108" s="269"/>
      <c r="AI108" s="269"/>
      <c r="AJ108" s="269"/>
      <c r="AK108" s="269"/>
      <c r="AL108" s="269"/>
    </row>
    <row r="109" spans="1:38" ht="18.75" customHeight="1">
      <c r="A109" s="200" t="s">
        <v>2765</v>
      </c>
      <c r="B109" s="200" t="s">
        <v>2364</v>
      </c>
      <c r="C109" s="493" t="e">
        <f>VLOOKUP(B109,#REF!,2, FALSE())</f>
        <v>#REF!</v>
      </c>
      <c r="D109" s="264" t="s">
        <v>2791</v>
      </c>
      <c r="E109" s="265" t="e">
        <f>VLOOKUP(D109,#REF!,2, FALSE())</f>
        <v>#REF!</v>
      </c>
      <c r="F109" s="489" t="e">
        <f>VLOOKUP($D109,[1]velho!$A$15:$BG$207,28, FALSE())</f>
        <v>#N/A</v>
      </c>
      <c r="G109" s="490" t="e">
        <f>VLOOKUP($D109,[1]velho!$A$2:$BG$207,29, FALSE())</f>
        <v>#N/A</v>
      </c>
      <c r="H109" s="489" t="e">
        <f>VLOOKUP($D109,[1]velho!$A$2:$BG$207,30, FALSE())</f>
        <v>#N/A</v>
      </c>
      <c r="I109" s="490" t="e">
        <f>VLOOKUP($D109,[1]velho!$A$2:$BG$207,31, FALSE())</f>
        <v>#N/A</v>
      </c>
      <c r="J109" s="489" t="e">
        <f>VLOOKUP($D109,[1]velho!$A$2:$BG$207,32, FALSE())</f>
        <v>#N/A</v>
      </c>
      <c r="K109" s="490" t="e">
        <f>VLOOKUP($D109,[1]velho!$A$2:$BG$207,33, FALSE())</f>
        <v>#N/A</v>
      </c>
      <c r="L109" s="489" t="e">
        <f>VLOOKUP($D109,[1]velho!$A$2:$BG$207,34, FALSE())</f>
        <v>#N/A</v>
      </c>
      <c r="M109" s="490" t="e">
        <f>VLOOKUP($D109,[1]velho!$A$2:$BG$207,35, FALSE())</f>
        <v>#N/A</v>
      </c>
      <c r="N109" s="489" t="e">
        <f>VLOOKUP($D109,[1]velho!$A$2:$BG$207,36, FALSE())</f>
        <v>#N/A</v>
      </c>
      <c r="O109" s="490" t="e">
        <f>VLOOKUP($D109,[1]velho!$A$2:$BG$207,37, FALSE())</f>
        <v>#N/A</v>
      </c>
      <c r="P109" s="489" t="e">
        <f>VLOOKUP($D109,[1]velho!$A$2:$BG$207,38, FALSE())</f>
        <v>#N/A</v>
      </c>
      <c r="Q109" s="490" t="e">
        <f>VLOOKUP($D109,[1]velho!$A$2:$BG$207,39, FALSE())</f>
        <v>#N/A</v>
      </c>
      <c r="R109" s="491" t="e">
        <f>VLOOKUP($D109,[1]velho!$A$2:$BG$207,40, FALSE())</f>
        <v>#N/A</v>
      </c>
      <c r="S109" s="490" t="e">
        <f>VLOOKUP($D109,[1]velho!$A$2:$BG$207,41, FALSE())</f>
        <v>#N/A</v>
      </c>
      <c r="T109" s="489" t="e">
        <f>VLOOKUP($D109,[1]velho!$A$2:$BG$207,42, FALSE())</f>
        <v>#N/A</v>
      </c>
      <c r="U109" s="490" t="e">
        <f>VLOOKUP($D109,[1]velho!$A$2:$BG$207,43, FALSE())</f>
        <v>#N/A</v>
      </c>
      <c r="V109" s="489" t="e">
        <f>VLOOKUP($D109,[1]velho!$A$2:$BG$207,44, FALSE())</f>
        <v>#N/A</v>
      </c>
      <c r="W109" s="490" t="e">
        <f>VLOOKUP($D109,[1]velho!$A$2:$BG$207,45, FALSE())</f>
        <v>#N/A</v>
      </c>
      <c r="X109" s="489" t="e">
        <f>VLOOKUP($D109,[1]velho!$A$2:$BG$207,46, FALSE())</f>
        <v>#N/A</v>
      </c>
      <c r="Y109" s="490" t="e">
        <f>VLOOKUP($D109,[1]velho!$A$2:$BG$207,47, FALSE())</f>
        <v>#N/A</v>
      </c>
      <c r="Z109" s="489" t="e">
        <f>VLOOKUP($D109,[1]velho!$A$2:$BG$207,48, FALSE())</f>
        <v>#N/A</v>
      </c>
      <c r="AA109" s="490" t="e">
        <f>VLOOKUP($D109,[1]velho!$A$2:$BG$207,49, FALSE())</f>
        <v>#N/A</v>
      </c>
      <c r="AB109" s="489" t="e">
        <f>VLOOKUP($D109,[1]velho!$A$2:$BG$207,50, FALSE())</f>
        <v>#N/A</v>
      </c>
      <c r="AC109" s="492" t="e">
        <f>VLOOKUP($D109,[1]velho!$A$2:$BG$207,51, FALSE())</f>
        <v>#N/A</v>
      </c>
      <c r="AD109" s="489" t="e">
        <f>VLOOKUP($D109,[1]velho!$A$2:$BG$207,52, FALSE())</f>
        <v>#N/A</v>
      </c>
      <c r="AE109" s="490" t="e">
        <f>VLOOKUP($D109,[1]velho!$A$2:$BG$207,53, FALSE())</f>
        <v>#N/A</v>
      </c>
      <c r="AF109" s="489" t="e">
        <f>VLOOKUP($D109,[1]velho!$A$2:$BG$207,54, FALSE())</f>
        <v>#N/A</v>
      </c>
      <c r="AG109" s="490" t="e">
        <f>VLOOKUP($D109,[1]velho!$A$2:$BG$207,55, FALSE())</f>
        <v>#N/A</v>
      </c>
      <c r="AH109" s="489" t="e">
        <f>VLOOKUP($D109,[1]velho!$A$2:$BG$207,56, FALSE())</f>
        <v>#N/A</v>
      </c>
      <c r="AI109" s="490" t="e">
        <f>VLOOKUP($D109,[1]velho!$A$2:$BG$207,57, FALSE())</f>
        <v>#N/A</v>
      </c>
      <c r="AJ109" s="489" t="e">
        <f>VLOOKUP($D109,[1]velho!$A$2:$BG$207,58, FALSE())</f>
        <v>#N/A</v>
      </c>
      <c r="AK109" s="267"/>
      <c r="AL109" s="267"/>
    </row>
    <row r="110" spans="1:38" ht="18.75" customHeight="1">
      <c r="A110" s="502" t="e">
        <f>VLOOKUP(D109,[1]velho!$A$28:$X$207,21, FALSE())</f>
        <v>#N/A</v>
      </c>
      <c r="B110" s="478"/>
      <c r="C110" s="481"/>
      <c r="D110" s="495" t="e">
        <f>VLOOKUP(D109,[1]velho!$A$2:$Y$207,25, FALSE())</f>
        <v>#N/A</v>
      </c>
      <c r="E110" s="496"/>
      <c r="F110" s="481"/>
      <c r="G110" s="481"/>
      <c r="H110" s="481"/>
      <c r="I110" s="481"/>
      <c r="J110" s="481"/>
      <c r="K110" s="481"/>
      <c r="L110" s="481"/>
      <c r="M110" s="481"/>
      <c r="N110" s="481"/>
      <c r="O110" s="481"/>
      <c r="P110" s="481"/>
      <c r="Q110" s="481"/>
      <c r="R110" s="481"/>
      <c r="S110" s="481"/>
      <c r="T110" s="481"/>
      <c r="U110" s="481"/>
      <c r="V110" s="481"/>
      <c r="W110" s="481"/>
      <c r="X110" s="481"/>
      <c r="Y110" s="481"/>
      <c r="Z110" s="481"/>
      <c r="AA110" s="481"/>
      <c r="AB110" s="481"/>
      <c r="AC110" s="481"/>
      <c r="AD110" s="481"/>
      <c r="AE110" s="481"/>
      <c r="AF110" s="481"/>
      <c r="AG110" s="481"/>
      <c r="AH110" s="481"/>
      <c r="AI110" s="481"/>
      <c r="AJ110" s="481"/>
      <c r="AK110" s="267"/>
      <c r="AL110" s="267"/>
    </row>
    <row r="111" spans="1:38" ht="3.75" customHeight="1">
      <c r="A111" s="6"/>
      <c r="B111" s="6"/>
      <c r="C111" s="1"/>
      <c r="D111" s="6"/>
      <c r="E111" s="6"/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  <c r="AA111" s="269"/>
      <c r="AB111" s="269"/>
      <c r="AC111" s="269"/>
      <c r="AD111" s="269"/>
      <c r="AE111" s="269"/>
      <c r="AF111" s="269"/>
      <c r="AG111" s="269"/>
      <c r="AH111" s="269"/>
      <c r="AI111" s="269"/>
      <c r="AJ111" s="269"/>
      <c r="AK111" s="269"/>
      <c r="AL111" s="269"/>
    </row>
    <row r="112" spans="1:38" ht="18.75" customHeight="1">
      <c r="A112" s="200" t="s">
        <v>2765</v>
      </c>
      <c r="B112" s="200" t="s">
        <v>2793</v>
      </c>
      <c r="C112" s="493" t="e">
        <f>VLOOKUP(B112,#REF!,2, FALSE())</f>
        <v>#REF!</v>
      </c>
      <c r="D112" s="264" t="s">
        <v>1988</v>
      </c>
      <c r="E112" s="265" t="e">
        <f>VLOOKUP(D112,#REF!,2, FALSE())</f>
        <v>#REF!</v>
      </c>
      <c r="F112" s="489" t="e">
        <f>VLOOKUP($D112,[1]velho!$A$15:$BG$207,28, FALSE())</f>
        <v>#N/A</v>
      </c>
      <c r="G112" s="490" t="e">
        <f>VLOOKUP($D112,[1]velho!$A$2:$BG$207,29, FALSE())</f>
        <v>#N/A</v>
      </c>
      <c r="H112" s="489" t="e">
        <f>VLOOKUP($D112,[1]velho!$A$2:$BG$207,30, FALSE())</f>
        <v>#N/A</v>
      </c>
      <c r="I112" s="490" t="e">
        <f>VLOOKUP($D112,[1]velho!$A$2:$BG$207,31, FALSE())</f>
        <v>#N/A</v>
      </c>
      <c r="J112" s="489" t="e">
        <f>VLOOKUP($D112,[1]velho!$A$2:$BG$207,32, FALSE())</f>
        <v>#N/A</v>
      </c>
      <c r="K112" s="490" t="e">
        <f>VLOOKUP($D112,[1]velho!$A$2:$BG$207,33, FALSE())</f>
        <v>#N/A</v>
      </c>
      <c r="L112" s="489" t="e">
        <f>VLOOKUP($D112,[1]velho!$A$2:$BG$207,34, FALSE())</f>
        <v>#N/A</v>
      </c>
      <c r="M112" s="490" t="e">
        <f>VLOOKUP($D112,[1]velho!$A$2:$BG$207,35, FALSE())</f>
        <v>#N/A</v>
      </c>
      <c r="N112" s="489" t="e">
        <f>VLOOKUP($D112,[1]velho!$A$2:$BG$207,36, FALSE())</f>
        <v>#N/A</v>
      </c>
      <c r="O112" s="490" t="e">
        <f>VLOOKUP($D112,[1]velho!$A$2:$BG$207,37, FALSE())</f>
        <v>#N/A</v>
      </c>
      <c r="P112" s="489" t="e">
        <f>VLOOKUP($D112,[1]velho!$A$2:$BG$207,38, FALSE())</f>
        <v>#N/A</v>
      </c>
      <c r="Q112" s="490" t="e">
        <f>VLOOKUP($D112,[1]velho!$A$2:$BG$207,39, FALSE())</f>
        <v>#N/A</v>
      </c>
      <c r="R112" s="491" t="e">
        <f>VLOOKUP($D112,[1]velho!$A$2:$BG$207,40, FALSE())</f>
        <v>#N/A</v>
      </c>
      <c r="S112" s="490" t="e">
        <f>VLOOKUP($D112,[1]velho!$A$2:$BG$207,41, FALSE())</f>
        <v>#N/A</v>
      </c>
      <c r="T112" s="489" t="e">
        <f>VLOOKUP($D112,[1]velho!$A$2:$BG$207,42, FALSE())</f>
        <v>#N/A</v>
      </c>
      <c r="U112" s="490" t="e">
        <f>VLOOKUP($D112,[1]velho!$A$2:$BG$207,43, FALSE())</f>
        <v>#N/A</v>
      </c>
      <c r="V112" s="489" t="e">
        <f>VLOOKUP($D112,[1]velho!$A$2:$BG$207,44, FALSE())</f>
        <v>#N/A</v>
      </c>
      <c r="W112" s="490" t="e">
        <f>VLOOKUP($D112,[1]velho!$A$2:$BG$207,45, FALSE())</f>
        <v>#N/A</v>
      </c>
      <c r="X112" s="489" t="e">
        <f>VLOOKUP($D112,[1]velho!$A$2:$BG$207,46, FALSE())</f>
        <v>#N/A</v>
      </c>
      <c r="Y112" s="490" t="e">
        <f>VLOOKUP($D112,[1]velho!$A$2:$BG$207,47, FALSE())</f>
        <v>#N/A</v>
      </c>
      <c r="Z112" s="489" t="e">
        <f>VLOOKUP($D112,[1]velho!$A$2:$BG$207,48, FALSE())</f>
        <v>#N/A</v>
      </c>
      <c r="AA112" s="490" t="e">
        <f>VLOOKUP($D112,[1]velho!$A$2:$BG$207,49, FALSE())</f>
        <v>#N/A</v>
      </c>
      <c r="AB112" s="489" t="e">
        <f>VLOOKUP($D112,[1]velho!$A$2:$BG$207,50, FALSE())</f>
        <v>#N/A</v>
      </c>
      <c r="AC112" s="492" t="e">
        <f>VLOOKUP($D112,[1]velho!$A$2:$BG$207,51, FALSE())</f>
        <v>#N/A</v>
      </c>
      <c r="AD112" s="489" t="e">
        <f>VLOOKUP($D112,[1]velho!$A$2:$BG$207,52, FALSE())</f>
        <v>#N/A</v>
      </c>
      <c r="AE112" s="490" t="e">
        <f>VLOOKUP($D112,[1]velho!$A$2:$BG$207,53, FALSE())</f>
        <v>#N/A</v>
      </c>
      <c r="AF112" s="489" t="e">
        <f>VLOOKUP($D112,[1]velho!$A$2:$BG$207,54, FALSE())</f>
        <v>#N/A</v>
      </c>
      <c r="AG112" s="490" t="e">
        <f>VLOOKUP($D112,[1]velho!$A$2:$BG$207,55, FALSE())</f>
        <v>#N/A</v>
      </c>
      <c r="AH112" s="489" t="e">
        <f>VLOOKUP($D112,[1]velho!$A$2:$BG$207,56, FALSE())</f>
        <v>#N/A</v>
      </c>
      <c r="AI112" s="490" t="e">
        <f>VLOOKUP($D112,[1]velho!$A$2:$BG$207,57, FALSE())</f>
        <v>#N/A</v>
      </c>
      <c r="AJ112" s="489" t="e">
        <f>VLOOKUP($D112,[1]velho!$A$2:$BG$207,58, FALSE())</f>
        <v>#N/A</v>
      </c>
      <c r="AK112" s="267"/>
      <c r="AL112" s="267"/>
    </row>
    <row r="113" spans="1:38" ht="18.75" customHeight="1">
      <c r="A113" s="502" t="e">
        <f>VLOOKUP(D112,[1]velho!$A$28:$X$207,21, FALSE())</f>
        <v>#N/A</v>
      </c>
      <c r="B113" s="478"/>
      <c r="C113" s="481"/>
      <c r="D113" s="495" t="e">
        <f>VLOOKUP(D112,[1]velho!$A$2:$Y$207,25, FALSE())</f>
        <v>#N/A</v>
      </c>
      <c r="E113" s="496"/>
      <c r="F113" s="481"/>
      <c r="G113" s="481"/>
      <c r="H113" s="481"/>
      <c r="I113" s="481"/>
      <c r="J113" s="481"/>
      <c r="K113" s="481"/>
      <c r="L113" s="481"/>
      <c r="M113" s="481"/>
      <c r="N113" s="481"/>
      <c r="O113" s="481"/>
      <c r="P113" s="481"/>
      <c r="Q113" s="481"/>
      <c r="R113" s="481"/>
      <c r="S113" s="481"/>
      <c r="T113" s="481"/>
      <c r="U113" s="481"/>
      <c r="V113" s="481"/>
      <c r="W113" s="481"/>
      <c r="X113" s="481"/>
      <c r="Y113" s="481"/>
      <c r="Z113" s="481"/>
      <c r="AA113" s="481"/>
      <c r="AB113" s="481"/>
      <c r="AC113" s="481"/>
      <c r="AD113" s="481"/>
      <c r="AE113" s="481"/>
      <c r="AF113" s="481"/>
      <c r="AG113" s="481"/>
      <c r="AH113" s="481"/>
      <c r="AI113" s="481"/>
      <c r="AJ113" s="481"/>
      <c r="AK113" s="267"/>
      <c r="AL113" s="267"/>
    </row>
    <row r="114" spans="1:38" ht="22.5" customHeight="1">
      <c r="A114" s="497">
        <f>A1</f>
        <v>45323</v>
      </c>
      <c r="B114" s="498"/>
      <c r="C114" s="498"/>
      <c r="D114" s="498"/>
      <c r="E114" s="499"/>
      <c r="F114" s="258">
        <f t="shared" ref="F114:AJ114" si="6">F115</f>
        <v>45323</v>
      </c>
      <c r="G114" s="259">
        <f t="shared" si="6"/>
        <v>45324</v>
      </c>
      <c r="H114" s="259">
        <f t="shared" si="6"/>
        <v>45325</v>
      </c>
      <c r="I114" s="259">
        <f t="shared" si="6"/>
        <v>45326</v>
      </c>
      <c r="J114" s="258">
        <f t="shared" si="6"/>
        <v>45327</v>
      </c>
      <c r="K114" s="259">
        <f t="shared" si="6"/>
        <v>45328</v>
      </c>
      <c r="L114" s="259">
        <f t="shared" si="6"/>
        <v>45329</v>
      </c>
      <c r="M114" s="259">
        <f t="shared" si="6"/>
        <v>45330</v>
      </c>
      <c r="N114" s="259">
        <f t="shared" si="6"/>
        <v>45331</v>
      </c>
      <c r="O114" s="259">
        <f t="shared" si="6"/>
        <v>45332</v>
      </c>
      <c r="P114" s="259">
        <f t="shared" si="6"/>
        <v>45333</v>
      </c>
      <c r="Q114" s="259">
        <f t="shared" si="6"/>
        <v>45334</v>
      </c>
      <c r="R114" s="259">
        <f t="shared" si="6"/>
        <v>45335</v>
      </c>
      <c r="S114" s="259">
        <f t="shared" si="6"/>
        <v>45336</v>
      </c>
      <c r="T114" s="259">
        <f t="shared" si="6"/>
        <v>45337</v>
      </c>
      <c r="U114" s="259">
        <f t="shared" si="6"/>
        <v>45338</v>
      </c>
      <c r="V114" s="259">
        <f t="shared" si="6"/>
        <v>45339</v>
      </c>
      <c r="W114" s="259">
        <f t="shared" si="6"/>
        <v>45340</v>
      </c>
      <c r="X114" s="259">
        <f t="shared" si="6"/>
        <v>45341</v>
      </c>
      <c r="Y114" s="259">
        <f t="shared" si="6"/>
        <v>45342</v>
      </c>
      <c r="Z114" s="259">
        <f t="shared" si="6"/>
        <v>45343</v>
      </c>
      <c r="AA114" s="259">
        <f t="shared" si="6"/>
        <v>45344</v>
      </c>
      <c r="AB114" s="259">
        <f t="shared" si="6"/>
        <v>45345</v>
      </c>
      <c r="AC114" s="259">
        <f t="shared" si="6"/>
        <v>45346</v>
      </c>
      <c r="AD114" s="259">
        <f t="shared" si="6"/>
        <v>45347</v>
      </c>
      <c r="AE114" s="259">
        <f t="shared" si="6"/>
        <v>45348</v>
      </c>
      <c r="AF114" s="259">
        <f t="shared" si="6"/>
        <v>45349</v>
      </c>
      <c r="AG114" s="259">
        <f t="shared" si="6"/>
        <v>45350</v>
      </c>
      <c r="AH114" s="259">
        <f t="shared" si="6"/>
        <v>45351</v>
      </c>
      <c r="AI114" s="259">
        <f t="shared" si="6"/>
        <v>45352</v>
      </c>
      <c r="AJ114" s="259">
        <f t="shared" si="6"/>
        <v>45353</v>
      </c>
      <c r="AK114" s="261"/>
      <c r="AL114" s="261"/>
    </row>
    <row r="115" spans="1:38" ht="25.5" customHeight="1">
      <c r="A115" s="500"/>
      <c r="B115" s="501"/>
      <c r="C115" s="501"/>
      <c r="D115" s="501"/>
      <c r="E115" s="496"/>
      <c r="F115" s="262">
        <f>A114</f>
        <v>45323</v>
      </c>
      <c r="G115" s="262">
        <f t="shared" ref="G115:AJ115" si="7">F115+1</f>
        <v>45324</v>
      </c>
      <c r="H115" s="262">
        <f t="shared" si="7"/>
        <v>45325</v>
      </c>
      <c r="I115" s="262">
        <f t="shared" si="7"/>
        <v>45326</v>
      </c>
      <c r="J115" s="262">
        <f t="shared" si="7"/>
        <v>45327</v>
      </c>
      <c r="K115" s="262">
        <f t="shared" si="7"/>
        <v>45328</v>
      </c>
      <c r="L115" s="262">
        <f t="shared" si="7"/>
        <v>45329</v>
      </c>
      <c r="M115" s="262">
        <f t="shared" si="7"/>
        <v>45330</v>
      </c>
      <c r="N115" s="262">
        <f t="shared" si="7"/>
        <v>45331</v>
      </c>
      <c r="O115" s="262">
        <f t="shared" si="7"/>
        <v>45332</v>
      </c>
      <c r="P115" s="262">
        <f t="shared" si="7"/>
        <v>45333</v>
      </c>
      <c r="Q115" s="262">
        <f t="shared" si="7"/>
        <v>45334</v>
      </c>
      <c r="R115" s="262">
        <f t="shared" si="7"/>
        <v>45335</v>
      </c>
      <c r="S115" s="262">
        <f t="shared" si="7"/>
        <v>45336</v>
      </c>
      <c r="T115" s="262">
        <f t="shared" si="7"/>
        <v>45337</v>
      </c>
      <c r="U115" s="262">
        <f t="shared" si="7"/>
        <v>45338</v>
      </c>
      <c r="V115" s="262">
        <f t="shared" si="7"/>
        <v>45339</v>
      </c>
      <c r="W115" s="262">
        <f t="shared" si="7"/>
        <v>45340</v>
      </c>
      <c r="X115" s="262">
        <f t="shared" si="7"/>
        <v>45341</v>
      </c>
      <c r="Y115" s="262">
        <f t="shared" si="7"/>
        <v>45342</v>
      </c>
      <c r="Z115" s="262">
        <f t="shared" si="7"/>
        <v>45343</v>
      </c>
      <c r="AA115" s="262">
        <f t="shared" si="7"/>
        <v>45344</v>
      </c>
      <c r="AB115" s="262">
        <f t="shared" si="7"/>
        <v>45345</v>
      </c>
      <c r="AC115" s="262">
        <f t="shared" si="7"/>
        <v>45346</v>
      </c>
      <c r="AD115" s="262">
        <f t="shared" si="7"/>
        <v>45347</v>
      </c>
      <c r="AE115" s="262">
        <f t="shared" si="7"/>
        <v>45348</v>
      </c>
      <c r="AF115" s="262">
        <f t="shared" si="7"/>
        <v>45349</v>
      </c>
      <c r="AG115" s="262">
        <f t="shared" si="7"/>
        <v>45350</v>
      </c>
      <c r="AH115" s="262">
        <f t="shared" si="7"/>
        <v>45351</v>
      </c>
      <c r="AI115" s="262">
        <f t="shared" si="7"/>
        <v>45352</v>
      </c>
      <c r="AJ115" s="262">
        <f t="shared" si="7"/>
        <v>45353</v>
      </c>
      <c r="AK115" s="261"/>
      <c r="AL115" s="261"/>
    </row>
    <row r="116" spans="1:38" ht="3.75" customHeight="1">
      <c r="A116" s="6"/>
      <c r="B116" s="6"/>
      <c r="C116" s="1"/>
      <c r="D116" s="6"/>
      <c r="E116" s="6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  <c r="AA116" s="269"/>
      <c r="AB116" s="269"/>
      <c r="AC116" s="269"/>
      <c r="AD116" s="269"/>
      <c r="AE116" s="269"/>
      <c r="AF116" s="269"/>
      <c r="AG116" s="269"/>
      <c r="AH116" s="269"/>
      <c r="AI116" s="269"/>
      <c r="AJ116" s="269"/>
      <c r="AK116" s="269"/>
      <c r="AL116" s="269"/>
    </row>
    <row r="117" spans="1:38" ht="18.75" customHeight="1">
      <c r="A117" s="200" t="s">
        <v>2765</v>
      </c>
      <c r="B117" s="200" t="s">
        <v>2679</v>
      </c>
      <c r="C117" s="493" t="e">
        <f>VLOOKUP(B117,#REF!,2, FALSE())</f>
        <v>#REF!</v>
      </c>
      <c r="D117" s="264" t="s">
        <v>2063</v>
      </c>
      <c r="E117" s="265" t="e">
        <f>VLOOKUP(D117,#REF!,2, FALSE())</f>
        <v>#REF!</v>
      </c>
      <c r="F117" s="489" t="e">
        <f>VLOOKUP($D117,[1]velho!$A$2:$BG$207,28, FALSE())</f>
        <v>#N/A</v>
      </c>
      <c r="G117" s="490" t="e">
        <f>VLOOKUP($D117,[1]velho!$A$2:$BG$207,29, FALSE())</f>
        <v>#N/A</v>
      </c>
      <c r="H117" s="489" t="e">
        <f>VLOOKUP($D117,[1]velho!$A$2:$BG$207,30, FALSE())</f>
        <v>#N/A</v>
      </c>
      <c r="I117" s="490" t="e">
        <f>VLOOKUP($D117,[1]velho!$A$2:$BG$207,31, FALSE())</f>
        <v>#N/A</v>
      </c>
      <c r="J117" s="489" t="e">
        <f>VLOOKUP($D117,[1]velho!$A$2:$BG$207,32, FALSE())</f>
        <v>#N/A</v>
      </c>
      <c r="K117" s="490" t="e">
        <f>VLOOKUP($D117,[1]velho!$A$2:$BG$207,33, FALSE())</f>
        <v>#N/A</v>
      </c>
      <c r="L117" s="489" t="e">
        <f>VLOOKUP($D117,[1]velho!$A$2:$BG$207,34, FALSE())</f>
        <v>#N/A</v>
      </c>
      <c r="M117" s="490" t="e">
        <f>VLOOKUP($D117,[1]velho!$A$2:$BG$207,29, FALSE())</f>
        <v>#N/A</v>
      </c>
      <c r="N117" s="489" t="e">
        <f>VLOOKUP($D117,[1]velho!$A$2:$BG$207,30, FALSE())</f>
        <v>#N/A</v>
      </c>
      <c r="O117" s="490" t="e">
        <f>VLOOKUP($D117,[1]velho!$A$2:$BG$207,31, FALSE())</f>
        <v>#N/A</v>
      </c>
      <c r="P117" s="489" t="e">
        <f>VLOOKUP($D117,[1]velho!$A$2:$BG$207,32, FALSE())</f>
        <v>#N/A</v>
      </c>
      <c r="Q117" s="490" t="e">
        <f>VLOOKUP($D117,[1]velho!$A$2:$BG$207,33, FALSE())</f>
        <v>#N/A</v>
      </c>
      <c r="R117" s="491" t="e">
        <f>VLOOKUP($D117,[1]velho!$A$2:$BG$207,52, FALSE())</f>
        <v>#N/A</v>
      </c>
      <c r="S117" s="490" t="e">
        <f>VLOOKUP($D117,[1]velho!$A$2:$BG$207,41, FALSE())</f>
        <v>#N/A</v>
      </c>
      <c r="T117" s="489" t="e">
        <f>VLOOKUP($D117,[1]velho!$A$2:$BG$207,42, FALSE())</f>
        <v>#N/A</v>
      </c>
      <c r="U117" s="490" t="e">
        <f>VLOOKUP($D117,[1]velho!$A$2:$BG$207,43, FALSE())</f>
        <v>#N/A</v>
      </c>
      <c r="V117" s="489" t="e">
        <f>VLOOKUP($D117,[1]velho!$A$2:$BG$207,44, FALSE())</f>
        <v>#N/A</v>
      </c>
      <c r="W117" s="490" t="e">
        <f>VLOOKUP($D117,[1]velho!$A$2:$BG$207,45, FALSE())</f>
        <v>#N/A</v>
      </c>
      <c r="X117" s="489" t="e">
        <f>VLOOKUP($D117,[1]velho!$A$2:$BG$207,46, FALSE())</f>
        <v>#N/A</v>
      </c>
      <c r="Y117" s="490" t="e">
        <f>VLOOKUP($D117,[1]velho!$A$2:$BG$207,47, FALSE())</f>
        <v>#N/A</v>
      </c>
      <c r="Z117" s="489" t="e">
        <f>VLOOKUP($D117,[1]velho!$A$2:$BG$207,48, FALSE())</f>
        <v>#N/A</v>
      </c>
      <c r="AA117" s="490" t="e">
        <f>VLOOKUP($D117,[1]velho!$A$2:$BG$207,49, FALSE())</f>
        <v>#N/A</v>
      </c>
      <c r="AB117" s="489" t="e">
        <f>VLOOKUP($D117,[1]velho!$A$2:$BG$207,50, FALSE())</f>
        <v>#N/A</v>
      </c>
      <c r="AC117" s="492" t="e">
        <f>VLOOKUP($D117,[1]velho!$A$2:$BG$207,51, FALSE())</f>
        <v>#N/A</v>
      </c>
      <c r="AD117" s="489" t="e">
        <f>VLOOKUP($D117,[1]velho!$A$2:$BG$207,52, FALSE())</f>
        <v>#N/A</v>
      </c>
      <c r="AE117" s="490" t="e">
        <f>VLOOKUP($D117,[1]velho!$A$2:$BG$207,53, FALSE())</f>
        <v>#N/A</v>
      </c>
      <c r="AF117" s="489" t="e">
        <f>VLOOKUP($D117,[1]velho!$A$2:$BG$207,54, FALSE())</f>
        <v>#N/A</v>
      </c>
      <c r="AG117" s="490" t="e">
        <f>VLOOKUP($D117,[1]velho!$A$2:$BG$207,55, FALSE())</f>
        <v>#N/A</v>
      </c>
      <c r="AH117" s="489" t="e">
        <f>VLOOKUP($D117,[1]velho!$A$2:$BG$207,56, FALSE())</f>
        <v>#N/A</v>
      </c>
      <c r="AI117" s="490" t="e">
        <f>VLOOKUP($D117,[1]velho!$A$2:$BG$207,55, FALSE())</f>
        <v>#N/A</v>
      </c>
      <c r="AJ117" s="489" t="e">
        <f>VLOOKUP($D117,[1]velho!$A$2:$BG$207,56, FALSE())</f>
        <v>#N/A</v>
      </c>
      <c r="AK117" s="267"/>
      <c r="AL117" s="267"/>
    </row>
    <row r="118" spans="1:38" ht="18.75" customHeight="1">
      <c r="A118" s="494" t="e">
        <f>VLOOKUP(D117,[1]velho!$A$28:$X$207,21, FALSE())</f>
        <v>#N/A</v>
      </c>
      <c r="B118" s="478"/>
      <c r="C118" s="481"/>
      <c r="D118" s="495" t="e">
        <f>VLOOKUP(D117,[1]velho!$A$2:$Y$207,25, FALSE())</f>
        <v>#N/A</v>
      </c>
      <c r="E118" s="496"/>
      <c r="F118" s="481"/>
      <c r="G118" s="481"/>
      <c r="H118" s="481"/>
      <c r="I118" s="481"/>
      <c r="J118" s="481"/>
      <c r="K118" s="481"/>
      <c r="L118" s="481"/>
      <c r="M118" s="481"/>
      <c r="N118" s="481"/>
      <c r="O118" s="481"/>
      <c r="P118" s="481"/>
      <c r="Q118" s="481"/>
      <c r="R118" s="481"/>
      <c r="S118" s="481"/>
      <c r="T118" s="481"/>
      <c r="U118" s="481"/>
      <c r="V118" s="481"/>
      <c r="W118" s="481"/>
      <c r="X118" s="481"/>
      <c r="Y118" s="481"/>
      <c r="Z118" s="481"/>
      <c r="AA118" s="481"/>
      <c r="AB118" s="481"/>
      <c r="AC118" s="481"/>
      <c r="AD118" s="481"/>
      <c r="AE118" s="481"/>
      <c r="AF118" s="481"/>
      <c r="AG118" s="481"/>
      <c r="AH118" s="481"/>
      <c r="AI118" s="481"/>
      <c r="AJ118" s="481"/>
      <c r="AK118" s="267"/>
      <c r="AL118" s="267"/>
    </row>
    <row r="119" spans="1:38" ht="3.75" customHeight="1">
      <c r="A119" s="6"/>
      <c r="B119" s="6"/>
      <c r="C119" s="1"/>
      <c r="D119" s="6"/>
      <c r="E119" s="6"/>
      <c r="F119" s="269"/>
      <c r="G119" s="269"/>
      <c r="H119" s="269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  <c r="AA119" s="269"/>
      <c r="AB119" s="269"/>
      <c r="AC119" s="269"/>
      <c r="AD119" s="269"/>
      <c r="AE119" s="269"/>
      <c r="AF119" s="269"/>
      <c r="AG119" s="269"/>
      <c r="AH119" s="269"/>
      <c r="AI119" s="269"/>
      <c r="AJ119" s="269"/>
      <c r="AK119" s="269"/>
      <c r="AL119" s="269"/>
    </row>
    <row r="120" spans="1:38" ht="18.75" customHeight="1">
      <c r="A120" s="200" t="s">
        <v>2765</v>
      </c>
      <c r="B120" s="200" t="s">
        <v>2679</v>
      </c>
      <c r="C120" s="493" t="e">
        <f>VLOOKUP(B120,#REF!,2, FALSE())</f>
        <v>#REF!</v>
      </c>
      <c r="D120" s="264" t="s">
        <v>2800</v>
      </c>
      <c r="E120" s="265" t="e">
        <f>VLOOKUP(D120,#REF!,2, FALSE())</f>
        <v>#REF!</v>
      </c>
      <c r="F120" s="489" t="e">
        <f>VLOOKUP($D120,[1]velho!$A$2:$BG$207,28, FALSE())</f>
        <v>#N/A</v>
      </c>
      <c r="G120" s="490" t="e">
        <f>VLOOKUP($D120,[1]velho!$A$2:$BG$207,29, FALSE())</f>
        <v>#N/A</v>
      </c>
      <c r="H120" s="489" t="e">
        <f>VLOOKUP($D120,[1]velho!$A$2:$BG$207,30, FALSE())</f>
        <v>#N/A</v>
      </c>
      <c r="I120" s="490" t="e">
        <f>VLOOKUP($D120,[1]velho!$A$2:$BG$207,31, FALSE())</f>
        <v>#N/A</v>
      </c>
      <c r="J120" s="489" t="e">
        <f>VLOOKUP($D120,[1]velho!$A$2:$BG$207,32, FALSE())</f>
        <v>#N/A</v>
      </c>
      <c r="K120" s="490" t="e">
        <f>VLOOKUP($D120,[1]velho!$A$2:$BG$207,33, FALSE())</f>
        <v>#N/A</v>
      </c>
      <c r="L120" s="489" t="e">
        <f>VLOOKUP($D120,[1]velho!$A$2:$BG$207,34, FALSE())</f>
        <v>#N/A</v>
      </c>
      <c r="M120" s="490" t="e">
        <f>VLOOKUP($D120,[1]velho!$A$2:$BG$207,29, FALSE())</f>
        <v>#N/A</v>
      </c>
      <c r="N120" s="489" t="e">
        <f>VLOOKUP($D120,[1]velho!$A$2:$BG$207,30, FALSE())</f>
        <v>#N/A</v>
      </c>
      <c r="O120" s="490" t="e">
        <f>VLOOKUP($D120,[1]velho!$A$2:$BG$207,31, FALSE())</f>
        <v>#N/A</v>
      </c>
      <c r="P120" s="489" t="e">
        <f>VLOOKUP($D120,[1]velho!$A$2:$BG$207,32, FALSE())</f>
        <v>#N/A</v>
      </c>
      <c r="Q120" s="490" t="e">
        <f>VLOOKUP($D120,[1]velho!$A$2:$BG$207,33, FALSE())</f>
        <v>#N/A</v>
      </c>
      <c r="R120" s="491" t="e">
        <f>VLOOKUP($D120,[1]velho!$A$2:$BG$207,52, FALSE())</f>
        <v>#N/A</v>
      </c>
      <c r="S120" s="490" t="e">
        <f>VLOOKUP($D120,[1]velho!$A$2:$BG$207,41, FALSE())</f>
        <v>#N/A</v>
      </c>
      <c r="T120" s="489" t="e">
        <f>VLOOKUP($D120,[1]velho!$A$2:$BG$207,42, FALSE())</f>
        <v>#N/A</v>
      </c>
      <c r="U120" s="490" t="e">
        <f>VLOOKUP($D120,[1]velho!$A$2:$BG$207,43, FALSE())</f>
        <v>#N/A</v>
      </c>
      <c r="V120" s="489" t="e">
        <f>VLOOKUP($D120,[1]velho!$A$2:$BG$207,44, FALSE())</f>
        <v>#N/A</v>
      </c>
      <c r="W120" s="490" t="e">
        <f>VLOOKUP($D120,[1]velho!$A$2:$BG$207,45, FALSE())</f>
        <v>#N/A</v>
      </c>
      <c r="X120" s="489" t="e">
        <f>VLOOKUP($D120,[1]velho!$A$2:$BG$207,46, FALSE())</f>
        <v>#N/A</v>
      </c>
      <c r="Y120" s="490" t="e">
        <f>VLOOKUP($D120,[1]velho!$A$2:$BG$207,47, FALSE())</f>
        <v>#N/A</v>
      </c>
      <c r="Z120" s="489" t="e">
        <f>VLOOKUP($D120,[1]velho!$A$2:$BG$207,48, FALSE())</f>
        <v>#N/A</v>
      </c>
      <c r="AA120" s="490" t="e">
        <f>VLOOKUP($D120,[1]velho!$A$2:$BG$207,49, FALSE())</f>
        <v>#N/A</v>
      </c>
      <c r="AB120" s="489" t="e">
        <f>VLOOKUP($D120,[1]velho!$A$2:$BG$207,50, FALSE())</f>
        <v>#N/A</v>
      </c>
      <c r="AC120" s="492" t="e">
        <f>VLOOKUP($D120,[1]velho!$A$2:$BG$207,51, FALSE())</f>
        <v>#N/A</v>
      </c>
      <c r="AD120" s="489" t="e">
        <f>VLOOKUP($D120,[1]velho!$A$2:$BG$207,52, FALSE())</f>
        <v>#N/A</v>
      </c>
      <c r="AE120" s="490" t="e">
        <f>VLOOKUP($D120,[1]velho!$A$2:$BG$207,53, FALSE())</f>
        <v>#N/A</v>
      </c>
      <c r="AF120" s="489" t="e">
        <f>VLOOKUP($D120,[1]velho!$A$2:$BG$207,54, FALSE())</f>
        <v>#N/A</v>
      </c>
      <c r="AG120" s="490" t="e">
        <f>VLOOKUP($D120,[1]velho!$A$2:$BG$207,55, FALSE())</f>
        <v>#N/A</v>
      </c>
      <c r="AH120" s="489" t="e">
        <f>VLOOKUP($D120,[1]velho!$A$2:$BG$207,56, FALSE())</f>
        <v>#N/A</v>
      </c>
      <c r="AI120" s="490" t="e">
        <f>VLOOKUP($D120,[1]velho!$A$2:$BG$207,55, FALSE())</f>
        <v>#N/A</v>
      </c>
      <c r="AJ120" s="489" t="e">
        <f>VLOOKUP($D120,[1]velho!$A$2:$BG$207,56, FALSE())</f>
        <v>#N/A</v>
      </c>
      <c r="AK120" s="267"/>
      <c r="AL120" s="267"/>
    </row>
    <row r="121" spans="1:38" ht="18.75" customHeight="1">
      <c r="A121" s="494" t="e">
        <f>VLOOKUP(D120,[1]velho!$A$28:$X$207,21, FALSE())</f>
        <v>#N/A</v>
      </c>
      <c r="B121" s="478"/>
      <c r="C121" s="481"/>
      <c r="D121" s="495" t="e">
        <f>VLOOKUP(D120,[1]velho!$A$2:$Y$207,25, FALSE())</f>
        <v>#N/A</v>
      </c>
      <c r="E121" s="496"/>
      <c r="F121" s="481"/>
      <c r="G121" s="481"/>
      <c r="H121" s="481"/>
      <c r="I121" s="481"/>
      <c r="J121" s="481"/>
      <c r="K121" s="481"/>
      <c r="L121" s="481"/>
      <c r="M121" s="481"/>
      <c r="N121" s="481"/>
      <c r="O121" s="481"/>
      <c r="P121" s="481"/>
      <c r="Q121" s="481"/>
      <c r="R121" s="481"/>
      <c r="S121" s="481"/>
      <c r="T121" s="481"/>
      <c r="U121" s="481"/>
      <c r="V121" s="481"/>
      <c r="W121" s="481"/>
      <c r="X121" s="481"/>
      <c r="Y121" s="481"/>
      <c r="Z121" s="481"/>
      <c r="AA121" s="481"/>
      <c r="AB121" s="481"/>
      <c r="AC121" s="481"/>
      <c r="AD121" s="481"/>
      <c r="AE121" s="481"/>
      <c r="AF121" s="481"/>
      <c r="AG121" s="481"/>
      <c r="AH121" s="481"/>
      <c r="AI121" s="481"/>
      <c r="AJ121" s="481"/>
      <c r="AK121" s="267"/>
      <c r="AL121" s="267"/>
    </row>
    <row r="122" spans="1:38" ht="3.75" customHeight="1">
      <c r="A122" s="6"/>
      <c r="B122" s="6"/>
      <c r="C122" s="1"/>
      <c r="D122" s="6"/>
      <c r="E122" s="6"/>
      <c r="F122" s="268"/>
      <c r="G122" s="269"/>
      <c r="H122" s="269"/>
      <c r="I122" s="269"/>
      <c r="J122" s="268"/>
      <c r="K122" s="269"/>
      <c r="L122" s="269"/>
      <c r="M122" s="269"/>
      <c r="N122" s="269"/>
      <c r="O122" s="269"/>
      <c r="P122" s="268"/>
      <c r="Q122" s="269"/>
      <c r="R122" s="272"/>
      <c r="S122" s="269"/>
      <c r="T122" s="269"/>
      <c r="U122" s="269"/>
      <c r="V122" s="269"/>
      <c r="W122" s="269"/>
      <c r="X122" s="269"/>
      <c r="Y122" s="269"/>
      <c r="Z122" s="269"/>
      <c r="AA122" s="269"/>
      <c r="AB122" s="269"/>
      <c r="AC122" s="272"/>
      <c r="AD122" s="269"/>
      <c r="AE122" s="269"/>
      <c r="AF122" s="269"/>
      <c r="AG122" s="269"/>
      <c r="AH122" s="269"/>
      <c r="AI122" s="269"/>
      <c r="AJ122" s="269"/>
      <c r="AK122" s="269"/>
      <c r="AL122" s="269"/>
    </row>
    <row r="123" spans="1:38" ht="18.75" customHeight="1">
      <c r="A123" s="200" t="s">
        <v>2765</v>
      </c>
      <c r="B123" s="200" t="s">
        <v>2722</v>
      </c>
      <c r="C123" s="493" t="e">
        <f>VLOOKUP(B123,#REF!,2, FALSE())</f>
        <v>#REF!</v>
      </c>
      <c r="D123" s="264" t="s">
        <v>2187</v>
      </c>
      <c r="E123" s="265" t="e">
        <f>VLOOKUP(D123,#REF!,2, FALSE())</f>
        <v>#REF!</v>
      </c>
      <c r="F123" s="489" t="e">
        <f>VLOOKUP($D123,[1]velho!$A$2:$BG$207,28, FALSE())</f>
        <v>#N/A</v>
      </c>
      <c r="G123" s="490" t="e">
        <f>VLOOKUP($D123,[1]velho!$A$2:$BG$207,29, FALSE())</f>
        <v>#N/A</v>
      </c>
      <c r="H123" s="489" t="e">
        <f>VLOOKUP($D123,[1]velho!$A$2:$BG$207,30, FALSE())</f>
        <v>#N/A</v>
      </c>
      <c r="I123" s="490" t="e">
        <f>VLOOKUP($D123,[1]velho!$A$2:$BG$207,31, FALSE())</f>
        <v>#N/A</v>
      </c>
      <c r="J123" s="489" t="e">
        <f>VLOOKUP($D123,[1]velho!$A$2:$BG$207,32, FALSE())</f>
        <v>#N/A</v>
      </c>
      <c r="K123" s="490" t="e">
        <f>VLOOKUP($D123,[1]velho!$A$2:$BG$207,33, FALSE())</f>
        <v>#N/A</v>
      </c>
      <c r="L123" s="489" t="e">
        <f>VLOOKUP($D123,[1]velho!$A$2:$BG$207,34, FALSE())</f>
        <v>#N/A</v>
      </c>
      <c r="M123" s="490" t="e">
        <f>VLOOKUP($D123,[1]velho!$A$2:$BG$207,29, FALSE())</f>
        <v>#N/A</v>
      </c>
      <c r="N123" s="489" t="e">
        <f>VLOOKUP($D123,[1]velho!$A$2:$BG$207,30, FALSE())</f>
        <v>#N/A</v>
      </c>
      <c r="O123" s="490" t="e">
        <f>VLOOKUP($D123,[1]velho!$A$2:$BG$207,31, FALSE())</f>
        <v>#N/A</v>
      </c>
      <c r="P123" s="489" t="e">
        <f>VLOOKUP($D123,[1]velho!$A$2:$BG$207,32, FALSE())</f>
        <v>#N/A</v>
      </c>
      <c r="Q123" s="490" t="e">
        <f>VLOOKUP($D123,[1]velho!$A$2:$BG$207,33, FALSE())</f>
        <v>#N/A</v>
      </c>
      <c r="R123" s="491" t="e">
        <f>VLOOKUP($D123,[1]velho!$A$2:$BG$207,52, FALSE())</f>
        <v>#N/A</v>
      </c>
      <c r="S123" s="490" t="e">
        <f>VLOOKUP($D123,[1]velho!$A$2:$BG$207,41, FALSE())</f>
        <v>#N/A</v>
      </c>
      <c r="T123" s="489" t="e">
        <f>VLOOKUP($D123,[1]velho!$A$2:$BG$207,42, FALSE())</f>
        <v>#N/A</v>
      </c>
      <c r="U123" s="490" t="e">
        <f>VLOOKUP($D123,[1]velho!$A$2:$BG$207,43, FALSE())</f>
        <v>#N/A</v>
      </c>
      <c r="V123" s="489" t="e">
        <f>VLOOKUP($D123,[1]velho!$A$2:$BG$207,44, FALSE())</f>
        <v>#N/A</v>
      </c>
      <c r="W123" s="490" t="e">
        <f>VLOOKUP($D123,[1]velho!$A$2:$BG$207,45, FALSE())</f>
        <v>#N/A</v>
      </c>
      <c r="X123" s="489" t="e">
        <f>VLOOKUP($D123,[1]velho!$A$2:$BG$207,46, FALSE())</f>
        <v>#N/A</v>
      </c>
      <c r="Y123" s="490" t="e">
        <f>VLOOKUP($D123,[1]velho!$A$2:$BG$207,47, FALSE())</f>
        <v>#N/A</v>
      </c>
      <c r="Z123" s="489" t="e">
        <f>VLOOKUP($D123,[1]velho!$A$2:$BG$207,48, FALSE())</f>
        <v>#N/A</v>
      </c>
      <c r="AA123" s="490" t="e">
        <f>VLOOKUP($D123,[1]velho!$A$2:$BG$207,49, FALSE())</f>
        <v>#N/A</v>
      </c>
      <c r="AB123" s="489" t="e">
        <f>VLOOKUP($D123,[1]velho!$A$2:$BG$207,50, FALSE())</f>
        <v>#N/A</v>
      </c>
      <c r="AC123" s="492" t="e">
        <f>VLOOKUP($D123,[1]velho!$A$2:$BG$207,51, FALSE())</f>
        <v>#N/A</v>
      </c>
      <c r="AD123" s="489" t="e">
        <f>VLOOKUP($D123,[1]velho!$A$2:$BG$207,52, FALSE())</f>
        <v>#N/A</v>
      </c>
      <c r="AE123" s="490" t="e">
        <f>VLOOKUP($D123,[1]velho!$A$2:$BG$207,53, FALSE())</f>
        <v>#N/A</v>
      </c>
      <c r="AF123" s="489" t="e">
        <f>VLOOKUP($D123,[1]velho!$A$2:$BG$207,54, FALSE())</f>
        <v>#N/A</v>
      </c>
      <c r="AG123" s="490" t="e">
        <f>VLOOKUP($D123,[1]velho!$A$2:$BG$207,55, FALSE())</f>
        <v>#N/A</v>
      </c>
      <c r="AH123" s="489" t="e">
        <f>VLOOKUP($D123,[1]velho!$A$2:$BG$207,56, FALSE())</f>
        <v>#N/A</v>
      </c>
      <c r="AI123" s="490" t="e">
        <f>VLOOKUP($D123,[1]velho!$A$2:$BG$207,55, FALSE())</f>
        <v>#N/A</v>
      </c>
      <c r="AJ123" s="489" t="e">
        <f>VLOOKUP($D123,[1]velho!$A$2:$BG$207,56, FALSE())</f>
        <v>#N/A</v>
      </c>
      <c r="AK123" s="267"/>
      <c r="AL123" s="267"/>
    </row>
    <row r="124" spans="1:38" ht="18.75" customHeight="1">
      <c r="A124" s="494" t="e">
        <f>VLOOKUP(D123,[1]velho!$A$28:$X$207,21, FALSE())</f>
        <v>#N/A</v>
      </c>
      <c r="B124" s="478"/>
      <c r="C124" s="481"/>
      <c r="D124" s="495" t="e">
        <f>VLOOKUP(D123,[1]velho!$A$2:$Y$207,25, FALSE())</f>
        <v>#N/A</v>
      </c>
      <c r="E124" s="496"/>
      <c r="F124" s="481"/>
      <c r="G124" s="481"/>
      <c r="H124" s="481"/>
      <c r="I124" s="481"/>
      <c r="J124" s="481"/>
      <c r="K124" s="481"/>
      <c r="L124" s="481"/>
      <c r="M124" s="481"/>
      <c r="N124" s="481"/>
      <c r="O124" s="481"/>
      <c r="P124" s="481"/>
      <c r="Q124" s="481"/>
      <c r="R124" s="481"/>
      <c r="S124" s="481"/>
      <c r="T124" s="481"/>
      <c r="U124" s="481"/>
      <c r="V124" s="481"/>
      <c r="W124" s="481"/>
      <c r="X124" s="481"/>
      <c r="Y124" s="481"/>
      <c r="Z124" s="481"/>
      <c r="AA124" s="481"/>
      <c r="AB124" s="481"/>
      <c r="AC124" s="481"/>
      <c r="AD124" s="481"/>
      <c r="AE124" s="481"/>
      <c r="AF124" s="481"/>
      <c r="AG124" s="481"/>
      <c r="AH124" s="481"/>
      <c r="AI124" s="481"/>
      <c r="AJ124" s="481"/>
      <c r="AK124" s="267"/>
      <c r="AL124" s="267"/>
    </row>
    <row r="125" spans="1:38" ht="3.75" customHeight="1">
      <c r="A125" s="6"/>
      <c r="B125" s="6"/>
      <c r="C125" s="1"/>
      <c r="D125" s="6"/>
      <c r="E125" s="6"/>
      <c r="F125" s="268"/>
      <c r="G125" s="269"/>
      <c r="H125" s="269"/>
      <c r="I125" s="269"/>
      <c r="J125" s="268"/>
      <c r="K125" s="269"/>
      <c r="L125" s="269"/>
      <c r="M125" s="269"/>
      <c r="N125" s="269"/>
      <c r="O125" s="269"/>
      <c r="P125" s="268"/>
      <c r="Q125" s="269"/>
      <c r="R125" s="272"/>
      <c r="S125" s="269"/>
      <c r="T125" s="269"/>
      <c r="U125" s="269"/>
      <c r="V125" s="269"/>
      <c r="W125" s="269"/>
      <c r="X125" s="269"/>
      <c r="Y125" s="269"/>
      <c r="Z125" s="269"/>
      <c r="AA125" s="269"/>
      <c r="AB125" s="269"/>
      <c r="AC125" s="272"/>
      <c r="AD125" s="269"/>
      <c r="AE125" s="269"/>
      <c r="AF125" s="269"/>
      <c r="AG125" s="269"/>
      <c r="AH125" s="269"/>
      <c r="AI125" s="269"/>
      <c r="AJ125" s="269"/>
      <c r="AK125" s="269"/>
      <c r="AL125" s="269"/>
    </row>
    <row r="126" spans="1:38" ht="18.75" customHeight="1">
      <c r="A126" s="200" t="s">
        <v>2765</v>
      </c>
      <c r="B126" s="200" t="s">
        <v>2722</v>
      </c>
      <c r="C126" s="493" t="e">
        <f>VLOOKUP(B126,#REF!,2, FALSE())</f>
        <v>#REF!</v>
      </c>
      <c r="D126" s="264" t="s">
        <v>2808</v>
      </c>
      <c r="E126" s="265" t="e">
        <f>VLOOKUP(D126,#REF!,2, FALSE())</f>
        <v>#REF!</v>
      </c>
      <c r="F126" s="489" t="e">
        <f>VLOOKUP($D126,[1]velho!$A$2:$BG$207,28, FALSE())</f>
        <v>#N/A</v>
      </c>
      <c r="G126" s="490" t="e">
        <f>VLOOKUP($D126,[1]velho!$A$2:$BG$207,29, FALSE())</f>
        <v>#N/A</v>
      </c>
      <c r="H126" s="489" t="e">
        <f>VLOOKUP($D126,[1]velho!$A$2:$BG$207,30, FALSE())</f>
        <v>#N/A</v>
      </c>
      <c r="I126" s="490" t="e">
        <f>VLOOKUP($D126,[1]velho!$A$2:$BG$207,31, FALSE())</f>
        <v>#N/A</v>
      </c>
      <c r="J126" s="489" t="e">
        <f>VLOOKUP($D126,[1]velho!$A$2:$BG$207,32, FALSE())</f>
        <v>#N/A</v>
      </c>
      <c r="K126" s="490" t="e">
        <f>VLOOKUP($D126,[1]velho!$A$2:$BG$207,33, FALSE())</f>
        <v>#N/A</v>
      </c>
      <c r="L126" s="489" t="e">
        <f>VLOOKUP($D126,[1]velho!$A$2:$BG$207,34, FALSE())</f>
        <v>#N/A</v>
      </c>
      <c r="M126" s="490" t="e">
        <f>VLOOKUP($D126,[1]velho!$A$2:$BG$207,29, FALSE())</f>
        <v>#N/A</v>
      </c>
      <c r="N126" s="489" t="e">
        <f>VLOOKUP($D126,[1]velho!$A$2:$BG$207,30, FALSE())</f>
        <v>#N/A</v>
      </c>
      <c r="O126" s="490" t="e">
        <f>VLOOKUP($D126,[1]velho!$A$2:$BG$207,31, FALSE())</f>
        <v>#N/A</v>
      </c>
      <c r="P126" s="489" t="e">
        <f>VLOOKUP($D126,[1]velho!$A$2:$BG$207,32, FALSE())</f>
        <v>#N/A</v>
      </c>
      <c r="Q126" s="490" t="e">
        <f>VLOOKUP($D126,[1]velho!$A$2:$BG$207,33, FALSE())</f>
        <v>#N/A</v>
      </c>
      <c r="R126" s="491" t="e">
        <f>VLOOKUP($D126,[1]velho!$A$2:$BG$207,52, FALSE())</f>
        <v>#N/A</v>
      </c>
      <c r="S126" s="490" t="e">
        <f>VLOOKUP($D126,[1]velho!$A$2:$BG$207,41, FALSE())</f>
        <v>#N/A</v>
      </c>
      <c r="T126" s="489" t="e">
        <f>VLOOKUP($D126,[1]velho!$A$2:$BG$207,42, FALSE())</f>
        <v>#N/A</v>
      </c>
      <c r="U126" s="490" t="e">
        <f>VLOOKUP($D126,[1]velho!$A$2:$BG$207,43, FALSE())</f>
        <v>#N/A</v>
      </c>
      <c r="V126" s="489" t="e">
        <f>VLOOKUP($D126,[1]velho!$A$2:$BG$207,44, FALSE())</f>
        <v>#N/A</v>
      </c>
      <c r="W126" s="490" t="e">
        <f>VLOOKUP($D126,[1]velho!$A$2:$BG$207,45, FALSE())</f>
        <v>#N/A</v>
      </c>
      <c r="X126" s="489" t="e">
        <f>VLOOKUP($D126,[1]velho!$A$2:$BG$207,46, FALSE())</f>
        <v>#N/A</v>
      </c>
      <c r="Y126" s="490" t="e">
        <f>VLOOKUP($D126,[1]velho!$A$2:$BG$207,47, FALSE())</f>
        <v>#N/A</v>
      </c>
      <c r="Z126" s="489" t="e">
        <f>VLOOKUP($D126,[1]velho!$A$2:$BG$207,48, FALSE())</f>
        <v>#N/A</v>
      </c>
      <c r="AA126" s="490" t="e">
        <f>VLOOKUP($D126,[1]velho!$A$2:$BG$207,49, FALSE())</f>
        <v>#N/A</v>
      </c>
      <c r="AB126" s="489" t="e">
        <f>VLOOKUP($D126,[1]velho!$A$2:$BG$207,50, FALSE())</f>
        <v>#N/A</v>
      </c>
      <c r="AC126" s="492" t="e">
        <f>VLOOKUP($D126,[1]velho!$A$2:$BG$207,51, FALSE())</f>
        <v>#N/A</v>
      </c>
      <c r="AD126" s="489" t="e">
        <f>VLOOKUP($D126,[1]velho!$A$2:$BG$207,52, FALSE())</f>
        <v>#N/A</v>
      </c>
      <c r="AE126" s="490" t="e">
        <f>VLOOKUP($D126,[1]velho!$A$2:$BG$207,53, FALSE())</f>
        <v>#N/A</v>
      </c>
      <c r="AF126" s="489" t="e">
        <f>VLOOKUP($D126,[1]velho!$A$2:$BG$207,54, FALSE())</f>
        <v>#N/A</v>
      </c>
      <c r="AG126" s="490" t="e">
        <f>VLOOKUP($D126,[1]velho!$A$2:$BG$207,55, FALSE())</f>
        <v>#N/A</v>
      </c>
      <c r="AH126" s="489" t="e">
        <f>VLOOKUP($D126,[1]velho!$A$2:$BG$207,56, FALSE())</f>
        <v>#N/A</v>
      </c>
      <c r="AI126" s="490" t="e">
        <f>VLOOKUP($D126,[1]velho!$A$2:$BG$207,55, FALSE())</f>
        <v>#N/A</v>
      </c>
      <c r="AJ126" s="489" t="e">
        <f>VLOOKUP($D126,[1]velho!$A$2:$BG$207,56, FALSE())</f>
        <v>#N/A</v>
      </c>
      <c r="AK126" s="267"/>
      <c r="AL126" s="267"/>
    </row>
    <row r="127" spans="1:38" ht="18.75" customHeight="1">
      <c r="A127" s="505" t="e">
        <f>VLOOKUP(D126,[1]velho!$A$28:$X$207,21, FALSE())</f>
        <v>#N/A</v>
      </c>
      <c r="B127" s="478"/>
      <c r="C127" s="481"/>
      <c r="D127" s="495" t="e">
        <f>VLOOKUP(D126,[1]velho!$A$2:$Y$207,25, FALSE())</f>
        <v>#N/A</v>
      </c>
      <c r="E127" s="496"/>
      <c r="F127" s="481"/>
      <c r="G127" s="481"/>
      <c r="H127" s="481"/>
      <c r="I127" s="481"/>
      <c r="J127" s="481"/>
      <c r="K127" s="481"/>
      <c r="L127" s="481"/>
      <c r="M127" s="481"/>
      <c r="N127" s="481"/>
      <c r="O127" s="481"/>
      <c r="P127" s="481"/>
      <c r="Q127" s="481"/>
      <c r="R127" s="481"/>
      <c r="S127" s="481"/>
      <c r="T127" s="481"/>
      <c r="U127" s="481"/>
      <c r="V127" s="481"/>
      <c r="W127" s="481"/>
      <c r="X127" s="481"/>
      <c r="Y127" s="481"/>
      <c r="Z127" s="481"/>
      <c r="AA127" s="481"/>
      <c r="AB127" s="481"/>
      <c r="AC127" s="481"/>
      <c r="AD127" s="481"/>
      <c r="AE127" s="481"/>
      <c r="AF127" s="481"/>
      <c r="AG127" s="481"/>
      <c r="AH127" s="481"/>
      <c r="AI127" s="481"/>
      <c r="AJ127" s="481"/>
      <c r="AK127" s="267"/>
      <c r="AL127" s="267"/>
    </row>
    <row r="128" spans="1:38" ht="3.75" customHeight="1">
      <c r="A128" s="6"/>
      <c r="B128" s="6"/>
      <c r="C128" s="1"/>
      <c r="D128" s="6"/>
      <c r="E128" s="6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  <c r="AA128" s="269"/>
      <c r="AB128" s="269"/>
      <c r="AC128" s="269"/>
      <c r="AD128" s="269"/>
      <c r="AE128" s="269"/>
      <c r="AF128" s="269"/>
      <c r="AG128" s="269"/>
      <c r="AH128" s="269"/>
      <c r="AI128" s="269"/>
      <c r="AJ128" s="269"/>
      <c r="AK128" s="269"/>
      <c r="AL128" s="269"/>
    </row>
    <row r="129" spans="1:38" ht="18.75" customHeight="1">
      <c r="A129" s="200" t="s">
        <v>2765</v>
      </c>
      <c r="B129" s="200" t="s">
        <v>2445</v>
      </c>
      <c r="C129" s="493" t="e">
        <f>VLOOKUP(B129,#REF!,2, FALSE())</f>
        <v>#REF!</v>
      </c>
      <c r="D129" s="264" t="s">
        <v>1555</v>
      </c>
      <c r="E129" s="265" t="e">
        <f>VLOOKUP(D129,#REF!,2, FALSE())</f>
        <v>#REF!</v>
      </c>
      <c r="F129" s="489"/>
      <c r="G129" s="490"/>
      <c r="H129" s="489"/>
      <c r="I129" s="490"/>
      <c r="J129" s="489"/>
      <c r="K129" s="490"/>
      <c r="L129" s="489"/>
      <c r="M129" s="490"/>
      <c r="N129" s="489"/>
      <c r="O129" s="490"/>
      <c r="P129" s="489"/>
      <c r="Q129" s="490"/>
      <c r="R129" s="489"/>
      <c r="S129" s="490"/>
      <c r="T129" s="489"/>
      <c r="U129" s="490"/>
      <c r="V129" s="489"/>
      <c r="W129" s="490"/>
      <c r="X129" s="489"/>
      <c r="Y129" s="490"/>
      <c r="Z129" s="489"/>
      <c r="AA129" s="490"/>
      <c r="AB129" s="489"/>
      <c r="AC129" s="490"/>
      <c r="AD129" s="489"/>
      <c r="AE129" s="490"/>
      <c r="AF129" s="489"/>
      <c r="AG129" s="490"/>
      <c r="AH129" s="489"/>
      <c r="AI129" s="490"/>
      <c r="AJ129" s="489"/>
      <c r="AK129" s="267"/>
      <c r="AL129" s="267"/>
    </row>
    <row r="130" spans="1:38" ht="18.75" customHeight="1">
      <c r="A130" s="494" t="e">
        <f>VLOOKUP(D129,[1]velho!$A$28:$X$207,21, FALSE())</f>
        <v>#N/A</v>
      </c>
      <c r="B130" s="478"/>
      <c r="C130" s="481"/>
      <c r="D130" s="495" t="e">
        <f>VLOOKUP(D129,[1]velho!$A$2:$Y$207,25, FALSE())</f>
        <v>#N/A</v>
      </c>
      <c r="E130" s="496"/>
      <c r="F130" s="481"/>
      <c r="G130" s="481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481"/>
      <c r="U130" s="481"/>
      <c r="V130" s="481"/>
      <c r="W130" s="481"/>
      <c r="X130" s="481"/>
      <c r="Y130" s="481"/>
      <c r="Z130" s="481"/>
      <c r="AA130" s="481"/>
      <c r="AB130" s="481"/>
      <c r="AC130" s="481"/>
      <c r="AD130" s="481"/>
      <c r="AE130" s="481"/>
      <c r="AF130" s="481"/>
      <c r="AG130" s="481"/>
      <c r="AH130" s="481"/>
      <c r="AI130" s="481"/>
      <c r="AJ130" s="481"/>
      <c r="AK130" s="267"/>
      <c r="AL130" s="267"/>
    </row>
    <row r="131" spans="1:38" ht="3.75" customHeight="1">
      <c r="A131" s="6"/>
      <c r="B131" s="6"/>
      <c r="C131" s="1"/>
      <c r="D131" s="6"/>
      <c r="E131" s="6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  <c r="AA131" s="269"/>
      <c r="AB131" s="269"/>
      <c r="AC131" s="269"/>
      <c r="AD131" s="269"/>
      <c r="AE131" s="269"/>
      <c r="AF131" s="269"/>
      <c r="AG131" s="269"/>
      <c r="AH131" s="269"/>
      <c r="AI131" s="269"/>
      <c r="AJ131" s="269"/>
      <c r="AK131" s="269"/>
      <c r="AL131" s="269"/>
    </row>
    <row r="132" spans="1:38" ht="18.75" customHeight="1">
      <c r="A132" s="200" t="s">
        <v>2765</v>
      </c>
      <c r="B132" s="200" t="s">
        <v>2809</v>
      </c>
      <c r="C132" s="493" t="e">
        <f>VLOOKUP(B132,#REF!,2, FALSE())</f>
        <v>#REF!</v>
      </c>
      <c r="D132" s="264" t="s">
        <v>1429</v>
      </c>
      <c r="E132" s="265" t="e">
        <f>VLOOKUP(D132,#REF!,2, FALSE())</f>
        <v>#REF!</v>
      </c>
      <c r="F132" s="489" t="e">
        <f>VLOOKUP($D132,[1]velho!$A$2:$BG$207,28, FALSE())</f>
        <v>#N/A</v>
      </c>
      <c r="G132" s="490" t="e">
        <f>VLOOKUP($D132,[1]velho!$A$2:$BG$207,29, FALSE())</f>
        <v>#N/A</v>
      </c>
      <c r="H132" s="489" t="e">
        <f>VLOOKUP($D132,[1]velho!$A$2:$BG$207,30, FALSE())</f>
        <v>#N/A</v>
      </c>
      <c r="I132" s="490" t="e">
        <f>VLOOKUP($D132,[1]velho!$A$2:$BG$207,31, FALSE())</f>
        <v>#N/A</v>
      </c>
      <c r="J132" s="489" t="e">
        <f>VLOOKUP($D132,[1]velho!$A$2:$BG$207,32, FALSE())</f>
        <v>#N/A</v>
      </c>
      <c r="K132" s="490" t="e">
        <f>VLOOKUP($D132,[1]velho!$A$2:$BG$207,33, FALSE())</f>
        <v>#N/A</v>
      </c>
      <c r="L132" s="489" t="e">
        <f>VLOOKUP($D132,[1]velho!$A$2:$BG$207,34, FALSE())</f>
        <v>#N/A</v>
      </c>
      <c r="M132" s="490" t="e">
        <f>VLOOKUP($D132,[1]velho!$A$2:$BG$207,35, FALSE())</f>
        <v>#N/A</v>
      </c>
      <c r="N132" s="489" t="e">
        <f>VLOOKUP($D132,[1]velho!$A$2:$BG$207,36, FALSE())</f>
        <v>#N/A</v>
      </c>
      <c r="O132" s="490" t="e">
        <f>VLOOKUP($D132,[1]velho!$A$2:$BG$207,37, FALSE())</f>
        <v>#N/A</v>
      </c>
      <c r="P132" s="489" t="e">
        <f>VLOOKUP($D132,[1]velho!$A$2:$BG$207,38, FALSE())</f>
        <v>#N/A</v>
      </c>
      <c r="Q132" s="490" t="e">
        <f>VLOOKUP($D132,[1]velho!$A$2:$BG$207,39, FALSE())</f>
        <v>#N/A</v>
      </c>
      <c r="R132" s="489" t="e">
        <f>VLOOKUP($D132,[1]velho!$A$2:$BG$207,52, FALSE())</f>
        <v>#N/A</v>
      </c>
      <c r="S132" s="490" t="e">
        <f>VLOOKUP($D132,[1]velho!$A$2:$BG$207,41, FALSE())</f>
        <v>#N/A</v>
      </c>
      <c r="T132" s="489" t="e">
        <f>VLOOKUP($D132,[1]velho!$A$2:$BG$207,42, FALSE())</f>
        <v>#N/A</v>
      </c>
      <c r="U132" s="490" t="e">
        <f>VLOOKUP($D132,[1]velho!$A$2:$BG$207,43, FALSE())</f>
        <v>#N/A</v>
      </c>
      <c r="V132" s="489" t="e">
        <f>VLOOKUP($D132,[1]velho!$A$2:$BG$207,44, FALSE())</f>
        <v>#N/A</v>
      </c>
      <c r="W132" s="490" t="e">
        <f>VLOOKUP($D132,[1]velho!$A$2:$BG$207,45, FALSE())</f>
        <v>#N/A</v>
      </c>
      <c r="X132" s="489" t="e">
        <f>VLOOKUP($D132,[1]velho!$A$2:$BG$207,46, FALSE())</f>
        <v>#N/A</v>
      </c>
      <c r="Y132" s="490" t="e">
        <f>VLOOKUP($D132,[1]velho!$A$2:$BG$207,47, FALSE())</f>
        <v>#N/A</v>
      </c>
      <c r="Z132" s="489" t="e">
        <f>VLOOKUP($D132,[1]velho!$A$2:$BG$207,48, FALSE())</f>
        <v>#N/A</v>
      </c>
      <c r="AA132" s="490" t="e">
        <f>VLOOKUP($D132,[1]velho!$A$2:$BG$207,49, FALSE())</f>
        <v>#N/A</v>
      </c>
      <c r="AB132" s="489" t="e">
        <f>VLOOKUP($D132,[1]velho!$A$2:$BG$207,50, FALSE())</f>
        <v>#N/A</v>
      </c>
      <c r="AC132" s="490" t="e">
        <f>VLOOKUP($D132,[1]velho!$A$2:$BG$207,51, FALSE())</f>
        <v>#N/A</v>
      </c>
      <c r="AD132" s="489" t="e">
        <f>VLOOKUP($D132,[1]velho!$A$2:$BG$207,52, FALSE())</f>
        <v>#N/A</v>
      </c>
      <c r="AE132" s="490" t="e">
        <f>VLOOKUP($D132,[1]velho!$A$2:$BG$207,53, FALSE())</f>
        <v>#N/A</v>
      </c>
      <c r="AF132" s="489" t="e">
        <f>VLOOKUP($D132,[1]velho!$A$2:$BG$207,54, FALSE())</f>
        <v>#N/A</v>
      </c>
      <c r="AG132" s="490" t="e">
        <f>VLOOKUP($D132,[1]velho!$A$2:$BG$207,55, FALSE())</f>
        <v>#N/A</v>
      </c>
      <c r="AH132" s="489" t="e">
        <f>VLOOKUP($D132,[1]velho!$A$2:$BG$207,56, FALSE())</f>
        <v>#N/A</v>
      </c>
      <c r="AI132" s="490" t="e">
        <f>VLOOKUP($D132,[1]velho!$A$2:$BG$207,57, FALSE())</f>
        <v>#N/A</v>
      </c>
      <c r="AJ132" s="489" t="e">
        <f>VLOOKUP($D132,[1]velho!$A$2:$BG$207,58, FALSE())</f>
        <v>#N/A</v>
      </c>
      <c r="AK132" s="267"/>
      <c r="AL132" s="267"/>
    </row>
    <row r="133" spans="1:38" ht="18.75" customHeight="1">
      <c r="A133" s="506" t="e">
        <f>VLOOKUP(D132,[1]velho!$A$28:$X$207,21, FALSE())</f>
        <v>#N/A</v>
      </c>
      <c r="B133" s="478"/>
      <c r="C133" s="481"/>
      <c r="D133" s="495" t="e">
        <f>VLOOKUP(D132,[1]velho!$A$2:$Y$207,25, FALSE())</f>
        <v>#N/A</v>
      </c>
      <c r="E133" s="496"/>
      <c r="F133" s="481"/>
      <c r="G133" s="481"/>
      <c r="H133" s="481"/>
      <c r="I133" s="481"/>
      <c r="J133" s="481"/>
      <c r="K133" s="481"/>
      <c r="L133" s="481"/>
      <c r="M133" s="481"/>
      <c r="N133" s="481"/>
      <c r="O133" s="481"/>
      <c r="P133" s="481"/>
      <c r="Q133" s="481"/>
      <c r="R133" s="481"/>
      <c r="S133" s="481"/>
      <c r="T133" s="481"/>
      <c r="U133" s="481"/>
      <c r="V133" s="481"/>
      <c r="W133" s="481"/>
      <c r="X133" s="481"/>
      <c r="Y133" s="481"/>
      <c r="Z133" s="481"/>
      <c r="AA133" s="481"/>
      <c r="AB133" s="481"/>
      <c r="AC133" s="481"/>
      <c r="AD133" s="481"/>
      <c r="AE133" s="481"/>
      <c r="AF133" s="481"/>
      <c r="AG133" s="481"/>
      <c r="AH133" s="481"/>
      <c r="AI133" s="481"/>
      <c r="AJ133" s="481"/>
      <c r="AK133" s="267"/>
      <c r="AL133" s="267"/>
    </row>
    <row r="134" spans="1:38" ht="3.75" customHeight="1">
      <c r="A134" s="6"/>
      <c r="B134" s="6"/>
      <c r="C134" s="1"/>
      <c r="D134" s="6"/>
      <c r="E134" s="6"/>
      <c r="F134" s="269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  <c r="AA134" s="269"/>
      <c r="AB134" s="269"/>
      <c r="AC134" s="269"/>
      <c r="AD134" s="269"/>
      <c r="AE134" s="269"/>
      <c r="AF134" s="269"/>
      <c r="AG134" s="269"/>
      <c r="AH134" s="269"/>
      <c r="AI134" s="269"/>
      <c r="AJ134" s="269"/>
      <c r="AK134" s="269"/>
      <c r="AL134" s="269"/>
    </row>
    <row r="135" spans="1:38" ht="18.75" customHeight="1">
      <c r="A135" s="200" t="s">
        <v>2765</v>
      </c>
      <c r="B135" s="200" t="s">
        <v>407</v>
      </c>
      <c r="C135" s="493" t="e">
        <f>VLOOKUP(B135,#REF!,2, FALSE())</f>
        <v>#REF!</v>
      </c>
      <c r="D135" s="264" t="s">
        <v>1395</v>
      </c>
      <c r="E135" s="265" t="e">
        <f>VLOOKUP(D135,#REF!,2, FALSE())</f>
        <v>#REF!</v>
      </c>
      <c r="F135" s="489" t="e">
        <f>VLOOKUP($D135,[1]velho!$A$2:$BG$207,28, FALSE())</f>
        <v>#N/A</v>
      </c>
      <c r="G135" s="490" t="e">
        <f>VLOOKUP($D135,[1]velho!$A$2:$BG$207,29, FALSE())</f>
        <v>#N/A</v>
      </c>
      <c r="H135" s="489" t="e">
        <f>VLOOKUP($D135,[1]velho!$A$2:$BG$207,30, FALSE())</f>
        <v>#N/A</v>
      </c>
      <c r="I135" s="490" t="e">
        <f>VLOOKUP($D135,[1]velho!$A$2:$BG$207,31, FALSE())</f>
        <v>#N/A</v>
      </c>
      <c r="J135" s="489" t="e">
        <f>VLOOKUP($D135,[1]velho!$A$2:$BG$207,32, FALSE())</f>
        <v>#N/A</v>
      </c>
      <c r="K135" s="490" t="e">
        <f>VLOOKUP($D135,[1]velho!$A$2:$BG$207,33, FALSE())</f>
        <v>#N/A</v>
      </c>
      <c r="L135" s="489" t="e">
        <f>VLOOKUP($D135,[1]velho!$A$2:$BG$207,34, FALSE())</f>
        <v>#N/A</v>
      </c>
      <c r="M135" s="490" t="e">
        <f>VLOOKUP($D135,[1]velho!$A$2:$BG$207,35, FALSE())</f>
        <v>#N/A</v>
      </c>
      <c r="N135" s="489" t="e">
        <f>VLOOKUP($D135,[1]velho!$A$2:$BG$207,36, FALSE())</f>
        <v>#N/A</v>
      </c>
      <c r="O135" s="490" t="e">
        <f>VLOOKUP($D135,[1]velho!$A$2:$BG$207,37, FALSE())</f>
        <v>#N/A</v>
      </c>
      <c r="P135" s="489" t="e">
        <f>VLOOKUP($D135,[1]velho!$A$2:$BG$207,38, FALSE())</f>
        <v>#N/A</v>
      </c>
      <c r="Q135" s="490" t="e">
        <f>VLOOKUP($D135,[1]velho!$A$2:$BG$207,39, FALSE())</f>
        <v>#N/A</v>
      </c>
      <c r="R135" s="489" t="e">
        <f>VLOOKUP($D135,[1]velho!$A$2:$BG$207,52, FALSE())</f>
        <v>#N/A</v>
      </c>
      <c r="S135" s="490" t="e">
        <f>VLOOKUP($D135,[1]velho!$A$2:$BG$207,41, FALSE())</f>
        <v>#N/A</v>
      </c>
      <c r="T135" s="489" t="e">
        <f>VLOOKUP($D135,[1]velho!$A$2:$BG$207,42, FALSE())</f>
        <v>#N/A</v>
      </c>
      <c r="U135" s="490" t="e">
        <f>VLOOKUP($D135,[1]velho!$A$2:$BG$207,43, FALSE())</f>
        <v>#N/A</v>
      </c>
      <c r="V135" s="489" t="e">
        <f>VLOOKUP($D135,[1]velho!$A$2:$BG$207,44, FALSE())</f>
        <v>#N/A</v>
      </c>
      <c r="W135" s="490" t="e">
        <f>VLOOKUP($D135,[1]velho!$A$2:$BG$207,45, FALSE())</f>
        <v>#N/A</v>
      </c>
      <c r="X135" s="489" t="e">
        <f>VLOOKUP($D135,[1]velho!$A$2:$BG$207,46, FALSE())</f>
        <v>#N/A</v>
      </c>
      <c r="Y135" s="490" t="e">
        <f>VLOOKUP($D135,[1]velho!$A$2:$BG$207,47, FALSE())</f>
        <v>#N/A</v>
      </c>
      <c r="Z135" s="489" t="e">
        <f>VLOOKUP($D135,[1]velho!$A$2:$BG$207,48, FALSE())</f>
        <v>#N/A</v>
      </c>
      <c r="AA135" s="490" t="e">
        <f>VLOOKUP($D135,[1]velho!$A$2:$BG$207,49, FALSE())</f>
        <v>#N/A</v>
      </c>
      <c r="AB135" s="489" t="e">
        <f>VLOOKUP($D135,[1]velho!$A$2:$BG$207,50, FALSE())</f>
        <v>#N/A</v>
      </c>
      <c r="AC135" s="490" t="e">
        <f>VLOOKUP($D135,[1]velho!$A$2:$BG$207,51, FALSE())</f>
        <v>#N/A</v>
      </c>
      <c r="AD135" s="489" t="e">
        <f>VLOOKUP($D135,[1]velho!$A$2:$BG$207,52, FALSE())</f>
        <v>#N/A</v>
      </c>
      <c r="AE135" s="490" t="e">
        <f>VLOOKUP($D135,[1]velho!$A$2:$BG$207,53, FALSE())</f>
        <v>#N/A</v>
      </c>
      <c r="AF135" s="489" t="e">
        <f>VLOOKUP($D135,[1]velho!$A$2:$BG$207,54, FALSE())</f>
        <v>#N/A</v>
      </c>
      <c r="AG135" s="490" t="e">
        <f>VLOOKUP($D135,[1]velho!$A$2:$BG$207,55, FALSE())</f>
        <v>#N/A</v>
      </c>
      <c r="AH135" s="489" t="e">
        <f>VLOOKUP($D135,[1]velho!$A$2:$BG$207,56, FALSE())</f>
        <v>#N/A</v>
      </c>
      <c r="AI135" s="490" t="e">
        <f>VLOOKUP($D135,[1]velho!$A$2:$BG$207,57, FALSE())</f>
        <v>#N/A</v>
      </c>
      <c r="AJ135" s="489" t="e">
        <f>VLOOKUP($D135,[1]velho!$A$2:$BG$207,58, FALSE())</f>
        <v>#N/A</v>
      </c>
      <c r="AK135" s="267"/>
      <c r="AL135" s="267"/>
    </row>
    <row r="136" spans="1:38" ht="18.75" customHeight="1">
      <c r="A136" s="494" t="e">
        <f>VLOOKUP(D135,[1]velho!$A$28:$X$207,21, FALSE())</f>
        <v>#N/A</v>
      </c>
      <c r="B136" s="478"/>
      <c r="C136" s="481"/>
      <c r="D136" s="495" t="e">
        <f>VLOOKUP(D135,[1]velho!$A$2:$Y$207,25, FALSE())</f>
        <v>#N/A</v>
      </c>
      <c r="E136" s="496"/>
      <c r="F136" s="481"/>
      <c r="G136" s="481"/>
      <c r="H136" s="481"/>
      <c r="I136" s="481"/>
      <c r="J136" s="481"/>
      <c r="K136" s="481"/>
      <c r="L136" s="481"/>
      <c r="M136" s="481"/>
      <c r="N136" s="481"/>
      <c r="O136" s="481"/>
      <c r="P136" s="481"/>
      <c r="Q136" s="481"/>
      <c r="R136" s="481"/>
      <c r="S136" s="481"/>
      <c r="T136" s="481"/>
      <c r="U136" s="481"/>
      <c r="V136" s="481"/>
      <c r="W136" s="481"/>
      <c r="X136" s="481"/>
      <c r="Y136" s="481"/>
      <c r="Z136" s="481"/>
      <c r="AA136" s="481"/>
      <c r="AB136" s="481"/>
      <c r="AC136" s="481"/>
      <c r="AD136" s="481"/>
      <c r="AE136" s="481"/>
      <c r="AF136" s="481"/>
      <c r="AG136" s="481"/>
      <c r="AH136" s="481"/>
      <c r="AI136" s="481"/>
      <c r="AJ136" s="481"/>
      <c r="AK136" s="267"/>
      <c r="AL136" s="267"/>
    </row>
    <row r="137" spans="1:38" ht="3.75" customHeight="1">
      <c r="A137" s="6"/>
      <c r="B137" s="6"/>
      <c r="C137" s="1"/>
      <c r="D137" s="6"/>
      <c r="E137" s="6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  <c r="AA137" s="269"/>
      <c r="AB137" s="269"/>
      <c r="AC137" s="269"/>
      <c r="AD137" s="269"/>
      <c r="AE137" s="269"/>
      <c r="AF137" s="269"/>
      <c r="AG137" s="269"/>
      <c r="AH137" s="269"/>
      <c r="AI137" s="269"/>
      <c r="AJ137" s="269"/>
      <c r="AK137" s="269"/>
      <c r="AL137" s="269"/>
    </row>
    <row r="138" spans="1:38" ht="18.75" customHeight="1">
      <c r="A138" s="279"/>
      <c r="B138" s="279"/>
      <c r="C138" s="378"/>
      <c r="D138" s="199"/>
      <c r="E138" s="199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  <c r="AA138" s="284"/>
      <c r="AB138" s="284"/>
      <c r="AC138" s="284"/>
      <c r="AD138" s="284"/>
      <c r="AE138" s="284"/>
      <c r="AF138" s="284"/>
      <c r="AG138" s="284"/>
      <c r="AH138" s="284"/>
      <c r="AI138" s="284"/>
      <c r="AJ138" s="284"/>
      <c r="AK138" s="269"/>
      <c r="AL138" s="269"/>
    </row>
    <row r="139" spans="1:38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 spans="1:38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 spans="1:38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spans="1:38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spans="1:38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 spans="1:38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 spans="1:38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 spans="1:38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 spans="1:38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 spans="1:3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 spans="1:38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 spans="1:38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 spans="1:38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 spans="1:38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 spans="1:38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 spans="1:38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 spans="1:38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 spans="1:38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 spans="1:38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 spans="1:3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 spans="1:38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 spans="1:38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 spans="1:38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 spans="1:38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 spans="1:38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 spans="1:38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 spans="1:38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 spans="1:38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 spans="1:38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 spans="1:3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 spans="1:38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 spans="1:38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 spans="1:38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 spans="1:38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 spans="1:38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 spans="1:38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 spans="1:38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 spans="1:38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 spans="1:38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 spans="1:3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 spans="1:38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 spans="1:38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 spans="1:38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 spans="1:38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 spans="1:38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 spans="1:38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 spans="1:38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 spans="1:38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 spans="1:38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 spans="1:3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 spans="1:38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 spans="1:38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 spans="1:38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 spans="1:38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 spans="1:38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 spans="1:38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 spans="1:38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 spans="1:38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 spans="1:38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 spans="1:3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 spans="1:38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 spans="1:38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 spans="1:38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 spans="1:38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 spans="1:38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 spans="1:38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 spans="1:38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 spans="1:38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 spans="1:38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 spans="1:3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 spans="1:38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 spans="1:38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 spans="1:38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 spans="1:38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 spans="1:38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 spans="1:38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 spans="1:38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 spans="1:38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 spans="1:38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 spans="1:3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 spans="1:38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 spans="1:38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 spans="1:38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 spans="1:38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 spans="1:38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 spans="1:38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 spans="1:38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 spans="1:38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 spans="1:38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 spans="1:3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 spans="1:38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 spans="1:38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 spans="1:38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 spans="1:38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 spans="1:38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 spans="1:38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 spans="1:38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 spans="1:38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 spans="1:38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 spans="1: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</row>
    <row r="239" spans="1:38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</row>
    <row r="240" spans="1:38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</row>
    <row r="241" spans="1:38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</row>
    <row r="242" spans="1:38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</row>
    <row r="243" spans="1:38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</row>
    <row r="244" spans="1:38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</row>
    <row r="245" spans="1:38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</row>
    <row r="246" spans="1:38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</row>
    <row r="247" spans="1:38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 spans="1:3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</row>
    <row r="249" spans="1:38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</row>
    <row r="250" spans="1:38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</row>
    <row r="251" spans="1:38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</row>
    <row r="252" spans="1:38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</row>
    <row r="253" spans="1:38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</row>
    <row r="254" spans="1:38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</row>
    <row r="255" spans="1:38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</row>
    <row r="256" spans="1:38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</row>
    <row r="257" spans="1:38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</row>
    <row r="258" spans="1:3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</row>
    <row r="259" spans="1:38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</row>
    <row r="260" spans="1:38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</row>
    <row r="261" spans="1:38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</row>
    <row r="262" spans="1:38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</row>
    <row r="263" spans="1:38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</row>
    <row r="264" spans="1:38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</row>
    <row r="265" spans="1:38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</row>
    <row r="266" spans="1:38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</row>
    <row r="267" spans="1:38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</row>
    <row r="268" spans="1:3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</row>
    <row r="269" spans="1:38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</row>
    <row r="270" spans="1:38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</row>
    <row r="271" spans="1:38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</row>
    <row r="272" spans="1:38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</row>
    <row r="273" spans="1:38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</row>
    <row r="274" spans="1:38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</row>
    <row r="275" spans="1:38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</row>
    <row r="276" spans="1:38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</row>
    <row r="277" spans="1:38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</row>
    <row r="278" spans="1:3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</row>
    <row r="279" spans="1:38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r="280" spans="1:38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</row>
    <row r="281" spans="1:38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r="282" spans="1:38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r="283" spans="1:38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r="284" spans="1:38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r="285" spans="1:38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r="286" spans="1:38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 spans="1:38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 spans="1:3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 spans="1:38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 spans="1:38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 spans="1:38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 spans="1:38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 spans="1:38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 spans="1:38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 spans="1:38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 spans="1:38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 spans="1:38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 spans="1:3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 spans="1:38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 spans="1:38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 spans="1:38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 spans="1:38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 spans="1:38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 spans="1:38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 spans="1:38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 spans="1:38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 spans="1:38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 spans="1:3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 spans="1:38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 spans="1:38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 spans="1:38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 spans="1:38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 spans="1:38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 spans="1:38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 spans="1:38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 spans="1:38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 spans="1:38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 spans="1:3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 spans="1:38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 spans="1:38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 spans="1:38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 spans="1:38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 spans="1:38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 spans="1:38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 spans="1:38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 spans="1:38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 spans="1:38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 spans="1:3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 spans="1:38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 spans="1:38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 spans="1:38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 spans="1:38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 spans="1:38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 spans="1:38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 spans="1:38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 spans="1:38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 spans="1:38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 spans="1: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 spans="1:38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 spans="1:38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 spans="1:38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 spans="1:38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 spans="1:38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 spans="1:38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 spans="1:38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 spans="1:38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 spans="1:38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 spans="1:3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 spans="1:38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 spans="1:38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 spans="1:38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 spans="1:38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 spans="1:38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 spans="1:38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 spans="1:38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 spans="1:38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 spans="1:38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 spans="1:3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 spans="1:38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 spans="1:38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 spans="1:38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 spans="1:38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 spans="1:38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 spans="1:38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 spans="1:38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 spans="1:38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 spans="1:38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 spans="1:3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 spans="1:38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 spans="1:38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 spans="1:38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 spans="1:38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 spans="1:38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 spans="1:38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 spans="1:38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 spans="1:38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 spans="1:38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 spans="1:3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 spans="1:38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 spans="1:38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 spans="1:38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 spans="1:38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 spans="1:38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 spans="1:38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 spans="1:38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 spans="1:38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 spans="1:38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 spans="1:3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 spans="1:38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 spans="1:38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 spans="1:38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 spans="1:38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 spans="1:38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 spans="1:38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 spans="1:38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 spans="1:38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 spans="1:38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 spans="1:3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 spans="1:38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  <row r="400" spans="1:38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</row>
    <row r="401" spans="1:38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</row>
    <row r="402" spans="1:38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</row>
    <row r="403" spans="1:38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</row>
    <row r="404" spans="1:38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</row>
    <row r="405" spans="1:38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</row>
    <row r="406" spans="1:38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</row>
    <row r="407" spans="1:38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</row>
    <row r="408" spans="1:3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</row>
    <row r="409" spans="1:38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</row>
    <row r="410" spans="1:38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</row>
    <row r="411" spans="1:38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</row>
    <row r="412" spans="1:38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</row>
    <row r="413" spans="1:38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</row>
    <row r="414" spans="1:38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</row>
    <row r="415" spans="1:38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</row>
    <row r="416" spans="1:38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</row>
    <row r="417" spans="1:38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</row>
    <row r="418" spans="1:3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</row>
    <row r="419" spans="1:38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</row>
    <row r="420" spans="1:38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</row>
    <row r="421" spans="1:38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</row>
    <row r="422" spans="1:38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</row>
    <row r="423" spans="1:38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</row>
    <row r="424" spans="1:38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</row>
    <row r="425" spans="1:38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</row>
    <row r="426" spans="1:38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</row>
    <row r="427" spans="1:38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</row>
    <row r="428" spans="1:3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</row>
    <row r="429" spans="1:38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</row>
    <row r="430" spans="1:38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</row>
    <row r="431" spans="1:38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</row>
    <row r="432" spans="1:38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</row>
    <row r="433" spans="1:38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</row>
    <row r="434" spans="1:38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</row>
    <row r="435" spans="1:38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</row>
    <row r="436" spans="1:38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</row>
    <row r="437" spans="1:38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</row>
    <row r="438" spans="1: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</row>
    <row r="439" spans="1:38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</row>
    <row r="440" spans="1:38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</row>
    <row r="441" spans="1:38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</row>
    <row r="442" spans="1:38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</row>
    <row r="443" spans="1:38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</row>
    <row r="444" spans="1:38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</row>
    <row r="445" spans="1:38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</row>
    <row r="446" spans="1:38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</row>
    <row r="447" spans="1:38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</row>
    <row r="448" spans="1:3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</row>
    <row r="449" spans="1:38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</row>
    <row r="450" spans="1:38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</row>
    <row r="451" spans="1:38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</row>
    <row r="452" spans="1:38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</row>
    <row r="453" spans="1:38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</row>
    <row r="454" spans="1:38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</row>
    <row r="455" spans="1:38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</row>
    <row r="456" spans="1:38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</row>
    <row r="457" spans="1:38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 spans="1:3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</row>
    <row r="459" spans="1:38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</row>
    <row r="460" spans="1:38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</row>
    <row r="461" spans="1:38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</row>
    <row r="462" spans="1:38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</row>
    <row r="463" spans="1:38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</row>
    <row r="464" spans="1:38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</row>
    <row r="465" spans="1:38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</row>
    <row r="466" spans="1:38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</row>
    <row r="467" spans="1:38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</row>
    <row r="468" spans="1:3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</row>
    <row r="469" spans="1:38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</row>
    <row r="470" spans="1:38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</row>
    <row r="471" spans="1:38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</row>
    <row r="472" spans="1:38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</row>
    <row r="473" spans="1:38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</row>
    <row r="474" spans="1:38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</row>
    <row r="475" spans="1:38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</row>
    <row r="476" spans="1:38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</row>
    <row r="477" spans="1:38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</row>
    <row r="478" spans="1:3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</row>
    <row r="479" spans="1:38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</row>
    <row r="480" spans="1:38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</row>
    <row r="481" spans="1:38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</row>
    <row r="482" spans="1:38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</row>
    <row r="483" spans="1:38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</row>
    <row r="484" spans="1:38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</row>
    <row r="485" spans="1:38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</row>
    <row r="486" spans="1:38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</row>
    <row r="487" spans="1:38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</row>
    <row r="488" spans="1:3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</row>
    <row r="489" spans="1:38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</row>
    <row r="490" spans="1:38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</row>
    <row r="491" spans="1:38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 spans="1:38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</row>
    <row r="493" spans="1:38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</row>
    <row r="494" spans="1:38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</row>
    <row r="495" spans="1:38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</row>
    <row r="496" spans="1:38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</row>
    <row r="497" spans="1:38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</row>
    <row r="498" spans="1:3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</row>
    <row r="499" spans="1:38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</row>
    <row r="500" spans="1:38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</row>
    <row r="501" spans="1:38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</row>
    <row r="502" spans="1:38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</row>
    <row r="503" spans="1:38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</row>
    <row r="504" spans="1:38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 spans="1:38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 spans="1:38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 spans="1:38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 spans="1:3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 spans="1:38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 spans="1:38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 spans="1:38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  <row r="512" spans="1:38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</row>
    <row r="513" spans="1:38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</row>
    <row r="514" spans="1:38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</row>
    <row r="515" spans="1:38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</row>
    <row r="516" spans="1:38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</row>
    <row r="517" spans="1:38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</row>
    <row r="518" spans="1:3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 spans="1:38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</row>
    <row r="520" spans="1:38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</row>
    <row r="521" spans="1:38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</row>
    <row r="522" spans="1:38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</row>
    <row r="523" spans="1:38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</row>
    <row r="524" spans="1:38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</row>
    <row r="525" spans="1:38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</row>
    <row r="526" spans="1:38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</row>
    <row r="527" spans="1:38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</row>
    <row r="528" spans="1:3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</row>
    <row r="529" spans="1:38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</row>
    <row r="530" spans="1:38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</row>
    <row r="531" spans="1:38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</row>
    <row r="532" spans="1:38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</row>
    <row r="533" spans="1:38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</row>
    <row r="534" spans="1:38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</row>
    <row r="535" spans="1:38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</row>
    <row r="536" spans="1:38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</row>
    <row r="537" spans="1:38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</row>
    <row r="538" spans="1: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</row>
    <row r="539" spans="1:38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</row>
    <row r="540" spans="1:38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</row>
    <row r="541" spans="1:38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</row>
    <row r="542" spans="1:38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</row>
    <row r="543" spans="1:38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</row>
    <row r="544" spans="1:38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</row>
    <row r="545" spans="1:38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</row>
    <row r="546" spans="1:38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</row>
    <row r="547" spans="1:38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</row>
    <row r="548" spans="1:3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</row>
    <row r="549" spans="1:38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</row>
    <row r="550" spans="1:38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</row>
    <row r="551" spans="1:38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</row>
    <row r="552" spans="1:38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</row>
    <row r="553" spans="1:38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</row>
    <row r="554" spans="1:38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</row>
    <row r="555" spans="1:38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</row>
    <row r="556" spans="1:38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</row>
    <row r="557" spans="1:38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</row>
    <row r="558" spans="1:3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</row>
    <row r="559" spans="1:38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</row>
    <row r="560" spans="1:38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 spans="1:38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</row>
    <row r="562" spans="1:38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 spans="1:38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</row>
    <row r="564" spans="1:38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</row>
    <row r="565" spans="1:38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</row>
    <row r="566" spans="1:38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</row>
    <row r="567" spans="1:38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</row>
    <row r="568" spans="1:3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 spans="1:38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 spans="1:38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 spans="1:38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 spans="1:38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</row>
    <row r="573" spans="1:38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</row>
    <row r="574" spans="1:38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</row>
    <row r="575" spans="1:38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</row>
    <row r="576" spans="1:38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</row>
    <row r="577" spans="1:38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</row>
    <row r="578" spans="1:3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 spans="1:38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 spans="1:38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 spans="1:38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 spans="1:38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 spans="1:38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 spans="1:38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</row>
    <row r="585" spans="1:38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</row>
    <row r="586" spans="1:38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</row>
    <row r="587" spans="1:38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</row>
    <row r="588" spans="1:3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</row>
    <row r="589" spans="1:38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</row>
    <row r="590" spans="1:38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</row>
    <row r="591" spans="1:38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</row>
    <row r="592" spans="1:38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</row>
    <row r="593" spans="1:38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</row>
    <row r="594" spans="1:38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</row>
    <row r="595" spans="1:38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</row>
    <row r="596" spans="1:38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</row>
    <row r="597" spans="1:38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</row>
    <row r="598" spans="1:3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</row>
    <row r="599" spans="1:38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</row>
    <row r="600" spans="1:38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</row>
    <row r="601" spans="1:38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</row>
    <row r="602" spans="1:38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</row>
    <row r="603" spans="1:38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</row>
    <row r="604" spans="1:38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</row>
    <row r="605" spans="1:38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</row>
    <row r="606" spans="1:38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</row>
    <row r="607" spans="1:38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</row>
    <row r="608" spans="1:3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</row>
    <row r="609" spans="1:38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</row>
    <row r="610" spans="1:38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</row>
    <row r="611" spans="1:38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 spans="1:38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</row>
    <row r="613" spans="1:38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</row>
    <row r="614" spans="1:38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</row>
    <row r="615" spans="1:38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</row>
    <row r="616" spans="1:38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</row>
    <row r="617" spans="1:38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</row>
    <row r="618" spans="1:3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</row>
    <row r="619" spans="1:38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</row>
    <row r="620" spans="1:38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</row>
    <row r="621" spans="1:38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</row>
    <row r="622" spans="1:38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</row>
    <row r="623" spans="1:38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</row>
    <row r="624" spans="1:38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</row>
    <row r="625" spans="1:38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</row>
    <row r="626" spans="1:38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</row>
    <row r="627" spans="1:38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</row>
    <row r="628" spans="1:3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</row>
    <row r="629" spans="1:38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</row>
    <row r="630" spans="1:38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</row>
    <row r="631" spans="1:38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</row>
    <row r="632" spans="1:38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</row>
    <row r="633" spans="1:38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</row>
    <row r="634" spans="1:38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</row>
    <row r="635" spans="1:38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</row>
    <row r="636" spans="1:38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</row>
    <row r="637" spans="1:38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</row>
    <row r="638" spans="1: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</row>
    <row r="639" spans="1:38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</row>
    <row r="640" spans="1:38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</row>
    <row r="641" spans="1:38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</row>
    <row r="642" spans="1:38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</row>
    <row r="643" spans="1:38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</row>
    <row r="644" spans="1:38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</row>
    <row r="645" spans="1:38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</row>
    <row r="646" spans="1:38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</row>
    <row r="647" spans="1:38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</row>
    <row r="648" spans="1:3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</row>
    <row r="649" spans="1:38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</row>
    <row r="650" spans="1:38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</row>
    <row r="651" spans="1:38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</row>
    <row r="652" spans="1:38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</row>
    <row r="653" spans="1:38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</row>
    <row r="654" spans="1:38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</row>
    <row r="655" spans="1:38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</row>
    <row r="656" spans="1:38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</row>
    <row r="657" spans="1:38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</row>
    <row r="658" spans="1:3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</row>
    <row r="659" spans="1:38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</row>
    <row r="660" spans="1:38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</row>
    <row r="661" spans="1:38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</row>
    <row r="662" spans="1:38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</row>
    <row r="663" spans="1:38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</row>
    <row r="664" spans="1:38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</row>
    <row r="665" spans="1:38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</row>
    <row r="666" spans="1:38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</row>
    <row r="667" spans="1:38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</row>
    <row r="668" spans="1:3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</row>
    <row r="669" spans="1:38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</row>
    <row r="670" spans="1:38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</row>
    <row r="671" spans="1:38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</row>
    <row r="672" spans="1:38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 spans="1:38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</row>
    <row r="674" spans="1:38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</row>
    <row r="675" spans="1:38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</row>
    <row r="676" spans="1:38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</row>
    <row r="677" spans="1:38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</row>
    <row r="678" spans="1:3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</row>
    <row r="679" spans="1:38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</row>
    <row r="680" spans="1:38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</row>
    <row r="681" spans="1:38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</row>
    <row r="682" spans="1:38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</row>
    <row r="683" spans="1:38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</row>
    <row r="684" spans="1:38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</row>
    <row r="685" spans="1:38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</row>
    <row r="686" spans="1:38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</row>
    <row r="687" spans="1:38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</row>
    <row r="688" spans="1:3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</row>
    <row r="689" spans="1:38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</row>
    <row r="690" spans="1:38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</row>
    <row r="691" spans="1:38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</row>
    <row r="692" spans="1:38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</row>
    <row r="693" spans="1:38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</row>
    <row r="694" spans="1:38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</row>
    <row r="695" spans="1:38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</row>
    <row r="696" spans="1:38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</row>
    <row r="697" spans="1:38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</row>
    <row r="698" spans="1:3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</row>
    <row r="699" spans="1:38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</row>
    <row r="700" spans="1:38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</row>
    <row r="701" spans="1:38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</row>
    <row r="702" spans="1:38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</row>
    <row r="703" spans="1:38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</row>
    <row r="704" spans="1:38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</row>
    <row r="705" spans="1:38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</row>
    <row r="706" spans="1:38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</row>
    <row r="707" spans="1:38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</row>
    <row r="708" spans="1:3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</row>
    <row r="709" spans="1:38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</row>
    <row r="710" spans="1:38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</row>
    <row r="711" spans="1:38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</row>
    <row r="712" spans="1:38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</row>
    <row r="713" spans="1:38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</row>
    <row r="714" spans="1:38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</row>
    <row r="715" spans="1:38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</row>
    <row r="716" spans="1:38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</row>
    <row r="717" spans="1:38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</row>
    <row r="718" spans="1:3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</row>
    <row r="719" spans="1:38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</row>
    <row r="720" spans="1:38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</row>
    <row r="721" spans="1:38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</row>
    <row r="722" spans="1:38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</row>
    <row r="723" spans="1:38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</row>
    <row r="724" spans="1:38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</row>
    <row r="725" spans="1:38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</row>
    <row r="726" spans="1:38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</row>
    <row r="727" spans="1:38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</row>
    <row r="728" spans="1:3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</row>
    <row r="729" spans="1:38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</row>
    <row r="730" spans="1:38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</row>
    <row r="731" spans="1:38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</row>
    <row r="732" spans="1:38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</row>
    <row r="733" spans="1:38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</row>
    <row r="734" spans="1:38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</row>
    <row r="735" spans="1:38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</row>
    <row r="736" spans="1:38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</row>
    <row r="737" spans="1:38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</row>
    <row r="738" spans="1: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</row>
    <row r="739" spans="1:38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</row>
    <row r="740" spans="1:38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</row>
    <row r="741" spans="1:38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</row>
    <row r="742" spans="1:38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</row>
    <row r="743" spans="1:38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</row>
    <row r="744" spans="1:38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</row>
    <row r="745" spans="1:38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</row>
    <row r="746" spans="1:38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</row>
    <row r="747" spans="1:38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</row>
    <row r="748" spans="1:3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</row>
    <row r="749" spans="1:38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</row>
    <row r="750" spans="1:38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</row>
    <row r="751" spans="1:38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</row>
    <row r="752" spans="1:38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</row>
    <row r="753" spans="1:38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</row>
    <row r="754" spans="1:38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</row>
    <row r="755" spans="1:38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</row>
    <row r="756" spans="1:38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</row>
    <row r="757" spans="1:38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</row>
    <row r="758" spans="1:3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</row>
    <row r="759" spans="1:38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</row>
    <row r="760" spans="1:38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</row>
    <row r="761" spans="1:38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</row>
    <row r="762" spans="1:38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</row>
    <row r="763" spans="1:38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</row>
    <row r="764" spans="1:38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</row>
    <row r="765" spans="1:38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</row>
    <row r="766" spans="1:38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</row>
    <row r="767" spans="1:38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</row>
    <row r="768" spans="1:3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</row>
    <row r="769" spans="1:38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</row>
    <row r="770" spans="1:38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</row>
    <row r="771" spans="1:38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</row>
    <row r="772" spans="1:38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</row>
    <row r="773" spans="1:38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</row>
    <row r="774" spans="1:38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</row>
    <row r="775" spans="1:38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 spans="1:38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 spans="1:38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 spans="1:3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 spans="1:38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 spans="1:38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 spans="1:38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 spans="1:38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 spans="1:38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 spans="1:38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 spans="1:38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 spans="1:38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 spans="1:38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 spans="1:3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 spans="1:38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 spans="1:38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 spans="1:38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 spans="1:38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 spans="1:38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 spans="1:38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 spans="1:38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 spans="1:38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 spans="1:38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 spans="1:3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 spans="1:38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 spans="1:38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 spans="1:38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 spans="1:38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 spans="1:38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 spans="1:38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 spans="1:38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 spans="1:38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 spans="1:38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 spans="1:3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 spans="1:38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 spans="1:38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 spans="1:38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 spans="1:38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 spans="1:38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 spans="1:38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 spans="1:38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 spans="1:38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 spans="1:38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 spans="1:3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  <row r="819" spans="1:38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</row>
    <row r="820" spans="1:38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</row>
    <row r="821" spans="1:38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</row>
    <row r="822" spans="1:38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</row>
    <row r="823" spans="1:38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</row>
    <row r="824" spans="1:38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</row>
    <row r="825" spans="1:38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</row>
    <row r="826" spans="1:38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</row>
    <row r="827" spans="1:38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</row>
    <row r="828" spans="1:3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</row>
    <row r="829" spans="1:38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</row>
    <row r="830" spans="1:38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</row>
    <row r="831" spans="1:38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</row>
    <row r="832" spans="1:38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</row>
    <row r="833" spans="1:38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</row>
    <row r="834" spans="1:38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</row>
    <row r="835" spans="1:38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</row>
    <row r="836" spans="1:38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</row>
    <row r="837" spans="1:38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</row>
    <row r="838" spans="1: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</row>
    <row r="839" spans="1:38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</row>
    <row r="840" spans="1:38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</row>
    <row r="841" spans="1:38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</row>
    <row r="842" spans="1:38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</row>
    <row r="843" spans="1:38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</row>
    <row r="844" spans="1:38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</row>
    <row r="845" spans="1:38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</row>
    <row r="846" spans="1:38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</row>
    <row r="847" spans="1:38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</row>
    <row r="848" spans="1:3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</row>
    <row r="849" spans="1:38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</row>
    <row r="850" spans="1:38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</row>
    <row r="851" spans="1:38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</row>
    <row r="852" spans="1:38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</row>
    <row r="853" spans="1:38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</row>
    <row r="854" spans="1:38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</row>
    <row r="855" spans="1:38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</row>
    <row r="856" spans="1:38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</row>
    <row r="857" spans="1:38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</row>
    <row r="858" spans="1:3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</row>
    <row r="859" spans="1:38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</row>
    <row r="860" spans="1:38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</row>
    <row r="861" spans="1:38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</row>
    <row r="862" spans="1:38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</row>
    <row r="863" spans="1:38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</row>
    <row r="864" spans="1:38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</row>
    <row r="865" spans="1:38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</row>
    <row r="866" spans="1:38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</row>
    <row r="867" spans="1:38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</row>
    <row r="868" spans="1:3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</row>
    <row r="869" spans="1:38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</row>
    <row r="870" spans="1:38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</row>
    <row r="871" spans="1:38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</row>
    <row r="872" spans="1:38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</row>
    <row r="873" spans="1:38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</row>
    <row r="874" spans="1:38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</row>
    <row r="875" spans="1:38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</row>
    <row r="876" spans="1:38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</row>
    <row r="877" spans="1:38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</row>
    <row r="878" spans="1:3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</row>
    <row r="879" spans="1:38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</row>
    <row r="880" spans="1:38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</row>
    <row r="881" spans="1:38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</row>
    <row r="882" spans="1:38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</row>
    <row r="883" spans="1:38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</row>
    <row r="884" spans="1:38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</row>
    <row r="885" spans="1:38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</row>
    <row r="886" spans="1:38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</row>
    <row r="887" spans="1:38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</row>
    <row r="888" spans="1:3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</row>
    <row r="889" spans="1:38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</row>
    <row r="890" spans="1:38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</row>
    <row r="891" spans="1:38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</row>
    <row r="892" spans="1:38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</row>
    <row r="893" spans="1:38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</row>
    <row r="894" spans="1:38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</row>
    <row r="895" spans="1:38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</row>
    <row r="896" spans="1:38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</row>
    <row r="897" spans="1:38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</row>
    <row r="898" spans="1:3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</row>
    <row r="899" spans="1:38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</row>
    <row r="900" spans="1:38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</row>
    <row r="901" spans="1:38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</row>
    <row r="902" spans="1:38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</row>
    <row r="903" spans="1:38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</row>
    <row r="904" spans="1:38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</row>
    <row r="905" spans="1:38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</row>
    <row r="906" spans="1:38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</row>
    <row r="907" spans="1:38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</row>
    <row r="908" spans="1:3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</row>
    <row r="909" spans="1:38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</row>
    <row r="910" spans="1:38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</row>
    <row r="911" spans="1:38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</row>
    <row r="912" spans="1:38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</row>
    <row r="913" spans="1:38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</row>
    <row r="914" spans="1:38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</row>
  </sheetData>
  <mergeCells count="1466">
    <mergeCell ref="AG123:AG124"/>
    <mergeCell ref="AH123:AH124"/>
    <mergeCell ref="AI123:AI124"/>
    <mergeCell ref="AJ123:AJ124"/>
    <mergeCell ref="AI126:AI127"/>
    <mergeCell ref="AJ126:AJ127"/>
    <mergeCell ref="Z123:Z124"/>
    <mergeCell ref="AA123:AA124"/>
    <mergeCell ref="AB123:AB124"/>
    <mergeCell ref="AC123:AC124"/>
    <mergeCell ref="AD123:AD124"/>
    <mergeCell ref="AE123:AE124"/>
    <mergeCell ref="AF123:AF124"/>
    <mergeCell ref="J126:J127"/>
    <mergeCell ref="K126:K127"/>
    <mergeCell ref="L126:L127"/>
    <mergeCell ref="M126:M127"/>
    <mergeCell ref="N126:N127"/>
    <mergeCell ref="O126:O127"/>
    <mergeCell ref="P126:P127"/>
    <mergeCell ref="AG126:AG127"/>
    <mergeCell ref="AH126:AH127"/>
    <mergeCell ref="Z126:Z127"/>
    <mergeCell ref="AA126:AA127"/>
    <mergeCell ref="AB126:AB127"/>
    <mergeCell ref="AC126:AC127"/>
    <mergeCell ref="AD126:AD127"/>
    <mergeCell ref="AE126:AE127"/>
    <mergeCell ref="AF126:AF127"/>
    <mergeCell ref="Q120:Q121"/>
    <mergeCell ref="R120:R121"/>
    <mergeCell ref="J120:J121"/>
    <mergeCell ref="K120:K121"/>
    <mergeCell ref="L120:L121"/>
    <mergeCell ref="M120:M121"/>
    <mergeCell ref="N120:N121"/>
    <mergeCell ref="O120:O121"/>
    <mergeCell ref="P120:P121"/>
    <mergeCell ref="L123:L124"/>
    <mergeCell ref="M123:M124"/>
    <mergeCell ref="N123:N124"/>
    <mergeCell ref="O123:O124"/>
    <mergeCell ref="P123:P124"/>
    <mergeCell ref="Q123:Q124"/>
    <mergeCell ref="R123:R124"/>
    <mergeCell ref="S123:S124"/>
    <mergeCell ref="T123:T124"/>
    <mergeCell ref="U123:U124"/>
    <mergeCell ref="V123:V124"/>
    <mergeCell ref="W123:W124"/>
    <mergeCell ref="X123:X124"/>
    <mergeCell ref="Y123:Y124"/>
    <mergeCell ref="AI52:AI53"/>
    <mergeCell ref="AJ52:AJ53"/>
    <mergeCell ref="AI55:AI56"/>
    <mergeCell ref="AJ55:AJ56"/>
    <mergeCell ref="Z52:Z53"/>
    <mergeCell ref="AA52:AA53"/>
    <mergeCell ref="AB52:AB53"/>
    <mergeCell ref="AC52:AC53"/>
    <mergeCell ref="AD52:AD53"/>
    <mergeCell ref="AE52:AE53"/>
    <mergeCell ref="AF52:AF53"/>
    <mergeCell ref="J55:J56"/>
    <mergeCell ref="K55:K56"/>
    <mergeCell ref="L55:L56"/>
    <mergeCell ref="M55:M56"/>
    <mergeCell ref="N55:N56"/>
    <mergeCell ref="O55:O56"/>
    <mergeCell ref="P55:P56"/>
    <mergeCell ref="AH55:AH56"/>
    <mergeCell ref="Z55:Z56"/>
    <mergeCell ref="AA55:AA56"/>
    <mergeCell ref="AB55:AB56"/>
    <mergeCell ref="AC55:AC56"/>
    <mergeCell ref="AD55:AD56"/>
    <mergeCell ref="AE55:AE56"/>
    <mergeCell ref="AF55:AF56"/>
    <mergeCell ref="X49:X50"/>
    <mergeCell ref="Y49:Y50"/>
    <mergeCell ref="Q49:Q50"/>
    <mergeCell ref="R49:R50"/>
    <mergeCell ref="S49:S50"/>
    <mergeCell ref="T49:T50"/>
    <mergeCell ref="U49:U50"/>
    <mergeCell ref="V49:V50"/>
    <mergeCell ref="W49:W50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AG52:AG53"/>
    <mergeCell ref="AH52:AH53"/>
    <mergeCell ref="J49:J50"/>
    <mergeCell ref="K49:K50"/>
    <mergeCell ref="L49:L50"/>
    <mergeCell ref="M49:M50"/>
    <mergeCell ref="N49:N50"/>
    <mergeCell ref="O49:O50"/>
    <mergeCell ref="P49:P50"/>
    <mergeCell ref="X55:X56"/>
    <mergeCell ref="Y55:Y56"/>
    <mergeCell ref="Q55:Q56"/>
    <mergeCell ref="R55:R56"/>
    <mergeCell ref="S55:S56"/>
    <mergeCell ref="T55:T56"/>
    <mergeCell ref="U55:U56"/>
    <mergeCell ref="V55:V56"/>
    <mergeCell ref="W55:W56"/>
    <mergeCell ref="AG55:AG56"/>
    <mergeCell ref="L52:L53"/>
    <mergeCell ref="M52:M53"/>
    <mergeCell ref="N52:N53"/>
    <mergeCell ref="O52:O53"/>
    <mergeCell ref="P52:P53"/>
    <mergeCell ref="V46:V47"/>
    <mergeCell ref="W46:W47"/>
    <mergeCell ref="AE46:AE47"/>
    <mergeCell ref="AF46:AF47"/>
    <mergeCell ref="AG46:AG47"/>
    <mergeCell ref="AH46:AH47"/>
    <mergeCell ref="AI46:AI47"/>
    <mergeCell ref="AJ46:AJ47"/>
    <mergeCell ref="AI49:AI50"/>
    <mergeCell ref="AJ49:AJ50"/>
    <mergeCell ref="X46:X47"/>
    <mergeCell ref="Y46:Y47"/>
    <mergeCell ref="Z46:Z47"/>
    <mergeCell ref="AA46:AA47"/>
    <mergeCell ref="AB46:AB47"/>
    <mergeCell ref="AC46:AC47"/>
    <mergeCell ref="AD46:AD47"/>
    <mergeCell ref="A38:E39"/>
    <mergeCell ref="C40:C41"/>
    <mergeCell ref="F40:F41"/>
    <mergeCell ref="G40:G41"/>
    <mergeCell ref="H40:H41"/>
    <mergeCell ref="I40:I41"/>
    <mergeCell ref="J40:J41"/>
    <mergeCell ref="A41:B41"/>
    <mergeCell ref="D41:E41"/>
    <mergeCell ref="C43:C44"/>
    <mergeCell ref="F43:F44"/>
    <mergeCell ref="G43:G44"/>
    <mergeCell ref="H43:H44"/>
    <mergeCell ref="I43:I44"/>
    <mergeCell ref="J46:J47"/>
    <mergeCell ref="K46:K47"/>
    <mergeCell ref="L46:L47"/>
    <mergeCell ref="C46:C47"/>
    <mergeCell ref="F46:F47"/>
    <mergeCell ref="G46:G47"/>
    <mergeCell ref="H46:H47"/>
    <mergeCell ref="I46:I47"/>
    <mergeCell ref="A50:B50"/>
    <mergeCell ref="D50:E50"/>
    <mergeCell ref="A47:B47"/>
    <mergeCell ref="D47:E47"/>
    <mergeCell ref="C49:C50"/>
    <mergeCell ref="F49:F50"/>
    <mergeCell ref="G49:G50"/>
    <mergeCell ref="H49:H50"/>
    <mergeCell ref="I49:I50"/>
    <mergeCell ref="AG49:AG50"/>
    <mergeCell ref="AH49:AH50"/>
    <mergeCell ref="Z49:Z50"/>
    <mergeCell ref="AA49:AA50"/>
    <mergeCell ref="AB49:AB50"/>
    <mergeCell ref="AC49:AC50"/>
    <mergeCell ref="AD49:AD50"/>
    <mergeCell ref="AE49:AE50"/>
    <mergeCell ref="AF49:AF50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AI43:AI44"/>
    <mergeCell ref="AJ43:AJ44"/>
    <mergeCell ref="Y40:Y41"/>
    <mergeCell ref="Z40:Z41"/>
    <mergeCell ref="AA40:AA41"/>
    <mergeCell ref="AB40:AB41"/>
    <mergeCell ref="AC40:AC41"/>
    <mergeCell ref="AD40:AD41"/>
    <mergeCell ref="AE40:AE41"/>
    <mergeCell ref="J43:J44"/>
    <mergeCell ref="K43:K44"/>
    <mergeCell ref="L43:L44"/>
    <mergeCell ref="M43:M44"/>
    <mergeCell ref="N43:N44"/>
    <mergeCell ref="O43:O44"/>
    <mergeCell ref="P43:P44"/>
    <mergeCell ref="A44:B44"/>
    <mergeCell ref="D44:E44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AF40:AF41"/>
    <mergeCell ref="AG40:AG41"/>
    <mergeCell ref="AH40:AH41"/>
    <mergeCell ref="J36:J37"/>
    <mergeCell ref="K36:K37"/>
    <mergeCell ref="L36:L37"/>
    <mergeCell ref="M36:M37"/>
    <mergeCell ref="N36:N37"/>
    <mergeCell ref="O36:O37"/>
    <mergeCell ref="P36:P37"/>
    <mergeCell ref="X43:X44"/>
    <mergeCell ref="Y43:Y44"/>
    <mergeCell ref="Q43:Q44"/>
    <mergeCell ref="R43:R44"/>
    <mergeCell ref="S43:S44"/>
    <mergeCell ref="T43:T44"/>
    <mergeCell ref="U43:U44"/>
    <mergeCell ref="V43:V44"/>
    <mergeCell ref="W43:W44"/>
    <mergeCell ref="AG43:AG44"/>
    <mergeCell ref="Z43:Z44"/>
    <mergeCell ref="AA43:AA44"/>
    <mergeCell ref="AB43:AB44"/>
    <mergeCell ref="AC43:AC44"/>
    <mergeCell ref="AD43:AD44"/>
    <mergeCell ref="AE43:AE44"/>
    <mergeCell ref="AF43:AF44"/>
    <mergeCell ref="X36:X37"/>
    <mergeCell ref="Y36:Y37"/>
    <mergeCell ref="Q36:Q37"/>
    <mergeCell ref="R36:R37"/>
    <mergeCell ref="S36:S37"/>
    <mergeCell ref="T36:T37"/>
    <mergeCell ref="U36:U37"/>
    <mergeCell ref="V36:V37"/>
    <mergeCell ref="U33:U34"/>
    <mergeCell ref="V33:V34"/>
    <mergeCell ref="W33:W34"/>
    <mergeCell ref="AE33:AE34"/>
    <mergeCell ref="AF33:AF34"/>
    <mergeCell ref="AG33:AG34"/>
    <mergeCell ref="AH33:AH34"/>
    <mergeCell ref="AI33:AI34"/>
    <mergeCell ref="AJ33:AJ34"/>
    <mergeCell ref="AI36:AI37"/>
    <mergeCell ref="AJ36:AJ37"/>
    <mergeCell ref="X33:X34"/>
    <mergeCell ref="Y33:Y34"/>
    <mergeCell ref="Z33:Z34"/>
    <mergeCell ref="AA33:AA34"/>
    <mergeCell ref="AB33:AB34"/>
    <mergeCell ref="AC33:AC34"/>
    <mergeCell ref="AD33:AD34"/>
    <mergeCell ref="W36:W37"/>
    <mergeCell ref="C27:C28"/>
    <mergeCell ref="F27:F28"/>
    <mergeCell ref="G27:G28"/>
    <mergeCell ref="H27:H28"/>
    <mergeCell ref="I27:I28"/>
    <mergeCell ref="J27:J28"/>
    <mergeCell ref="K27:K28"/>
    <mergeCell ref="A28:B28"/>
    <mergeCell ref="D28:E28"/>
    <mergeCell ref="C30:C31"/>
    <mergeCell ref="F30:F31"/>
    <mergeCell ref="G30:G31"/>
    <mergeCell ref="H30:H31"/>
    <mergeCell ref="I30:I31"/>
    <mergeCell ref="J33:J34"/>
    <mergeCell ref="K33:K34"/>
    <mergeCell ref="L33:L34"/>
    <mergeCell ref="A31:B31"/>
    <mergeCell ref="D31:E31"/>
    <mergeCell ref="C33:C34"/>
    <mergeCell ref="F33:F34"/>
    <mergeCell ref="G33:G34"/>
    <mergeCell ref="H33:H34"/>
    <mergeCell ref="I33:I34"/>
    <mergeCell ref="A37:B37"/>
    <mergeCell ref="D37:E37"/>
    <mergeCell ref="A34:B34"/>
    <mergeCell ref="D34:E34"/>
    <mergeCell ref="C36:C37"/>
    <mergeCell ref="F36:F37"/>
    <mergeCell ref="G36:G37"/>
    <mergeCell ref="H36:H37"/>
    <mergeCell ref="I36:I37"/>
    <mergeCell ref="AG36:AG37"/>
    <mergeCell ref="Z36:Z37"/>
    <mergeCell ref="AA36:AA37"/>
    <mergeCell ref="AB36:AB37"/>
    <mergeCell ref="AC36:AC37"/>
    <mergeCell ref="AD36:AD37"/>
    <mergeCell ref="AE36:AE37"/>
    <mergeCell ref="AF36:AF37"/>
    <mergeCell ref="M33:M34"/>
    <mergeCell ref="N33:N34"/>
    <mergeCell ref="O33:O34"/>
    <mergeCell ref="P33:P34"/>
    <mergeCell ref="Q33:Q34"/>
    <mergeCell ref="R33:R34"/>
    <mergeCell ref="S33:S34"/>
    <mergeCell ref="T33:T34"/>
    <mergeCell ref="J30:J31"/>
    <mergeCell ref="K30:K31"/>
    <mergeCell ref="L30:L31"/>
    <mergeCell ref="M30:M31"/>
    <mergeCell ref="N30:N31"/>
    <mergeCell ref="O30:O31"/>
    <mergeCell ref="P30:P31"/>
    <mergeCell ref="AE30:AE31"/>
    <mergeCell ref="AF30:AF31"/>
    <mergeCell ref="AG30:AG31"/>
    <mergeCell ref="AH30:AH31"/>
    <mergeCell ref="AI30:AI31"/>
    <mergeCell ref="AJ30:AJ31"/>
    <mergeCell ref="Y24:Y25"/>
    <mergeCell ref="Z24:Z25"/>
    <mergeCell ref="Z30:Z31"/>
    <mergeCell ref="AA30:AA31"/>
    <mergeCell ref="AB30:AB31"/>
    <mergeCell ref="AC30:AC31"/>
    <mergeCell ref="AD30:AD31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Y27:Y28"/>
    <mergeCell ref="AG27:AG28"/>
    <mergeCell ref="AH27:AH28"/>
    <mergeCell ref="AI27:AI28"/>
    <mergeCell ref="Z27:Z28"/>
    <mergeCell ref="AA27:AA28"/>
    <mergeCell ref="AB27:AB28"/>
    <mergeCell ref="AC27:AC28"/>
    <mergeCell ref="AD27:AD28"/>
    <mergeCell ref="AE27:AE28"/>
    <mergeCell ref="AF27:AF28"/>
    <mergeCell ref="K24:K25"/>
    <mergeCell ref="L24:L25"/>
    <mergeCell ref="M24:M25"/>
    <mergeCell ref="N24:N25"/>
    <mergeCell ref="O24:O25"/>
    <mergeCell ref="P24:P25"/>
    <mergeCell ref="Q24:Q25"/>
    <mergeCell ref="AJ21:AJ22"/>
    <mergeCell ref="AJ24:AJ25"/>
    <mergeCell ref="AC21:AC22"/>
    <mergeCell ref="AD21:AD22"/>
    <mergeCell ref="AE21:AE22"/>
    <mergeCell ref="AF21:AF22"/>
    <mergeCell ref="AG21:AG22"/>
    <mergeCell ref="AH21:AH22"/>
    <mergeCell ref="AI21:AI22"/>
    <mergeCell ref="X30:X31"/>
    <mergeCell ref="Y30:Y31"/>
    <mergeCell ref="Q30:Q31"/>
    <mergeCell ref="R30:R31"/>
    <mergeCell ref="S30:S31"/>
    <mergeCell ref="T30:T31"/>
    <mergeCell ref="U30:U31"/>
    <mergeCell ref="V30:V31"/>
    <mergeCell ref="W30:W31"/>
    <mergeCell ref="R24:R25"/>
    <mergeCell ref="S24:S25"/>
    <mergeCell ref="T24:T25"/>
    <mergeCell ref="U24:U25"/>
    <mergeCell ref="V24:V25"/>
    <mergeCell ref="W24:W25"/>
    <mergeCell ref="X24:X25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F18:F19"/>
    <mergeCell ref="F21:F22"/>
    <mergeCell ref="F24:F25"/>
    <mergeCell ref="G24:G25"/>
    <mergeCell ref="H24:H25"/>
    <mergeCell ref="I24:I25"/>
    <mergeCell ref="J24:J25"/>
    <mergeCell ref="D22:E22"/>
    <mergeCell ref="A25:B25"/>
    <mergeCell ref="D25:E25"/>
    <mergeCell ref="A16:B16"/>
    <mergeCell ref="D16:E16"/>
    <mergeCell ref="C18:C19"/>
    <mergeCell ref="G18:G19"/>
    <mergeCell ref="H18:H19"/>
    <mergeCell ref="I18:I19"/>
    <mergeCell ref="I21:I22"/>
    <mergeCell ref="C15:C16"/>
    <mergeCell ref="F15:F16"/>
    <mergeCell ref="G15:G16"/>
    <mergeCell ref="H15:H16"/>
    <mergeCell ref="I15:I16"/>
    <mergeCell ref="G21:G22"/>
    <mergeCell ref="H21:H22"/>
    <mergeCell ref="J21:J22"/>
    <mergeCell ref="C21:C22"/>
    <mergeCell ref="A22:B22"/>
    <mergeCell ref="C24:C25"/>
    <mergeCell ref="AJ135:AJ136"/>
    <mergeCell ref="Z135:Z136"/>
    <mergeCell ref="AA135:AA136"/>
    <mergeCell ref="AB135:AB136"/>
    <mergeCell ref="AC135:AC136"/>
    <mergeCell ref="AD135:AD136"/>
    <mergeCell ref="AE135:AE136"/>
    <mergeCell ref="AF135:AF136"/>
    <mergeCell ref="A136:B136"/>
    <mergeCell ref="D136:E136"/>
    <mergeCell ref="C135:C136"/>
    <mergeCell ref="F135:F136"/>
    <mergeCell ref="G135:G136"/>
    <mergeCell ref="H135:H136"/>
    <mergeCell ref="I135:I136"/>
    <mergeCell ref="J135:J136"/>
    <mergeCell ref="K135:K136"/>
    <mergeCell ref="L135:L136"/>
    <mergeCell ref="M135:M136"/>
    <mergeCell ref="N135:N136"/>
    <mergeCell ref="O135:O136"/>
    <mergeCell ref="P135:P136"/>
    <mergeCell ref="Q135:Q136"/>
    <mergeCell ref="R135:R136"/>
    <mergeCell ref="S135:S136"/>
    <mergeCell ref="T135:T136"/>
    <mergeCell ref="U135:U136"/>
    <mergeCell ref="V135:V136"/>
    <mergeCell ref="W135:W136"/>
    <mergeCell ref="X135:X136"/>
    <mergeCell ref="Y135:Y136"/>
    <mergeCell ref="AG135:AG136"/>
    <mergeCell ref="AH135:AH136"/>
    <mergeCell ref="AI135:AI136"/>
    <mergeCell ref="A121:B121"/>
    <mergeCell ref="D121:E121"/>
    <mergeCell ref="A118:B118"/>
    <mergeCell ref="D118:E118"/>
    <mergeCell ref="C120:C121"/>
    <mergeCell ref="F120:F121"/>
    <mergeCell ref="G120:G121"/>
    <mergeCell ref="H120:H121"/>
    <mergeCell ref="I120:I121"/>
    <mergeCell ref="X126:X127"/>
    <mergeCell ref="Y126:Y127"/>
    <mergeCell ref="Q126:Q127"/>
    <mergeCell ref="R126:R127"/>
    <mergeCell ref="S126:S127"/>
    <mergeCell ref="T126:T127"/>
    <mergeCell ref="U126:U127"/>
    <mergeCell ref="V126:V127"/>
    <mergeCell ref="W126:W127"/>
    <mergeCell ref="A113:B113"/>
    <mergeCell ref="D113:E113"/>
    <mergeCell ref="A114:E115"/>
    <mergeCell ref="C117:C118"/>
    <mergeCell ref="F117:F118"/>
    <mergeCell ref="N117:N118"/>
    <mergeCell ref="O117:O118"/>
    <mergeCell ref="P117:P118"/>
    <mergeCell ref="Q117:Q118"/>
    <mergeCell ref="R117:R118"/>
    <mergeCell ref="S117:S118"/>
    <mergeCell ref="T117:T118"/>
    <mergeCell ref="AB117:AB118"/>
    <mergeCell ref="AC117:AC118"/>
    <mergeCell ref="AD117:AD118"/>
    <mergeCell ref="AE117:AE118"/>
    <mergeCell ref="AF117:AF118"/>
    <mergeCell ref="G117:G118"/>
    <mergeCell ref="H117:H118"/>
    <mergeCell ref="I117:I118"/>
    <mergeCell ref="J117:J118"/>
    <mergeCell ref="K117:K118"/>
    <mergeCell ref="L117:L118"/>
    <mergeCell ref="M117:M118"/>
    <mergeCell ref="U117:U118"/>
    <mergeCell ref="V117:V118"/>
    <mergeCell ref="W117:W118"/>
    <mergeCell ref="X117:X118"/>
    <mergeCell ref="Y117:Y118"/>
    <mergeCell ref="Z117:Z118"/>
    <mergeCell ref="AA117:AA118"/>
    <mergeCell ref="AI117:AI118"/>
    <mergeCell ref="AJ117:AJ118"/>
    <mergeCell ref="G112:G113"/>
    <mergeCell ref="H112:H113"/>
    <mergeCell ref="AG117:AG118"/>
    <mergeCell ref="AH117:AH118"/>
    <mergeCell ref="AG112:AG113"/>
    <mergeCell ref="AH112:AH113"/>
    <mergeCell ref="AI112:AI113"/>
    <mergeCell ref="AJ112:AJ113"/>
    <mergeCell ref="W112:W113"/>
    <mergeCell ref="X112:X113"/>
    <mergeCell ref="Y112:Y113"/>
    <mergeCell ref="Z112:Z113"/>
    <mergeCell ref="AA112:AA113"/>
    <mergeCell ref="AB112:AB113"/>
    <mergeCell ref="AC112:AC113"/>
    <mergeCell ref="Z120:Z121"/>
    <mergeCell ref="AA120:AA121"/>
    <mergeCell ref="S120:S121"/>
    <mergeCell ref="T120:T121"/>
    <mergeCell ref="U120:U121"/>
    <mergeCell ref="V120:V121"/>
    <mergeCell ref="W120:W121"/>
    <mergeCell ref="X120:X121"/>
    <mergeCell ref="Y120:Y121"/>
    <mergeCell ref="AI120:AI121"/>
    <mergeCell ref="AJ120:AJ121"/>
    <mergeCell ref="AB120:AB121"/>
    <mergeCell ref="AC120:AC121"/>
    <mergeCell ref="AD120:AD121"/>
    <mergeCell ref="AE120:AE121"/>
    <mergeCell ref="AF120:AF121"/>
    <mergeCell ref="AG120:AG121"/>
    <mergeCell ref="AH120:AH121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AD112:AD113"/>
    <mergeCell ref="AE112:AE113"/>
    <mergeCell ref="AF112:AF113"/>
    <mergeCell ref="A107:B107"/>
    <mergeCell ref="C109:C110"/>
    <mergeCell ref="K109:K110"/>
    <mergeCell ref="L109:L110"/>
    <mergeCell ref="M109:M110"/>
    <mergeCell ref="N109:N110"/>
    <mergeCell ref="O109:O110"/>
    <mergeCell ref="P109:P110"/>
    <mergeCell ref="Q109:Q110"/>
    <mergeCell ref="A101:B101"/>
    <mergeCell ref="D101:E101"/>
    <mergeCell ref="C103:C104"/>
    <mergeCell ref="G103:G104"/>
    <mergeCell ref="H103:H104"/>
    <mergeCell ref="I103:I104"/>
    <mergeCell ref="I106:I107"/>
    <mergeCell ref="D107:E107"/>
    <mergeCell ref="F109:F110"/>
    <mergeCell ref="F103:F104"/>
    <mergeCell ref="F106:F107"/>
    <mergeCell ref="G109:G110"/>
    <mergeCell ref="H109:H110"/>
    <mergeCell ref="I109:I110"/>
    <mergeCell ref="J109:J110"/>
    <mergeCell ref="R106:R107"/>
    <mergeCell ref="S106:S107"/>
    <mergeCell ref="T106:T107"/>
    <mergeCell ref="U106:U107"/>
    <mergeCell ref="AC106:AC107"/>
    <mergeCell ref="AD106:AD107"/>
    <mergeCell ref="AE106:AE107"/>
    <mergeCell ref="AF106:AF107"/>
    <mergeCell ref="AG106:AG107"/>
    <mergeCell ref="AH106:AH107"/>
    <mergeCell ref="AI106:AI107"/>
    <mergeCell ref="AJ106:AJ107"/>
    <mergeCell ref="V106:V107"/>
    <mergeCell ref="W106:W107"/>
    <mergeCell ref="X106:X107"/>
    <mergeCell ref="Y106:Y107"/>
    <mergeCell ref="Z106:Z107"/>
    <mergeCell ref="AA106:AA107"/>
    <mergeCell ref="AB106:AB107"/>
    <mergeCell ref="C100:C101"/>
    <mergeCell ref="F100:F101"/>
    <mergeCell ref="G100:G101"/>
    <mergeCell ref="H100:H101"/>
    <mergeCell ref="I100:I101"/>
    <mergeCell ref="J100:J101"/>
    <mergeCell ref="K100:K101"/>
    <mergeCell ref="G106:G107"/>
    <mergeCell ref="H106:H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C106:C107"/>
    <mergeCell ref="AE129:AE130"/>
    <mergeCell ref="AF129:AF130"/>
    <mergeCell ref="AG129:AG130"/>
    <mergeCell ref="AH129:AH130"/>
    <mergeCell ref="AI129:AI130"/>
    <mergeCell ref="AJ129:AJ130"/>
    <mergeCell ref="AI132:AI133"/>
    <mergeCell ref="AJ132:AJ133"/>
    <mergeCell ref="X129:X130"/>
    <mergeCell ref="Y129:Y130"/>
    <mergeCell ref="Z129:Z130"/>
    <mergeCell ref="AA129:AA130"/>
    <mergeCell ref="AB129:AB130"/>
    <mergeCell ref="AC129:AC130"/>
    <mergeCell ref="AD129:AD130"/>
    <mergeCell ref="J132:J133"/>
    <mergeCell ref="K132:K133"/>
    <mergeCell ref="L132:L133"/>
    <mergeCell ref="M132:M133"/>
    <mergeCell ref="N132:N133"/>
    <mergeCell ref="O132:O133"/>
    <mergeCell ref="P132:P133"/>
    <mergeCell ref="X132:X133"/>
    <mergeCell ref="Y132:Y133"/>
    <mergeCell ref="Q132:Q133"/>
    <mergeCell ref="R132:R133"/>
    <mergeCell ref="S132:S133"/>
    <mergeCell ref="T132:T133"/>
    <mergeCell ref="U132:U133"/>
    <mergeCell ref="V132:V133"/>
    <mergeCell ref="W132:W133"/>
    <mergeCell ref="AG132:AG133"/>
    <mergeCell ref="AH132:AH133"/>
    <mergeCell ref="Z132:Z133"/>
    <mergeCell ref="AA132:AA133"/>
    <mergeCell ref="AB132:AB133"/>
    <mergeCell ref="AC132:AC133"/>
    <mergeCell ref="AD132:AD133"/>
    <mergeCell ref="AE132:AE133"/>
    <mergeCell ref="AF132:AF133"/>
    <mergeCell ref="C123:C124"/>
    <mergeCell ref="F123:F124"/>
    <mergeCell ref="G123:G124"/>
    <mergeCell ref="H123:H124"/>
    <mergeCell ref="I123:I124"/>
    <mergeCell ref="J123:J124"/>
    <mergeCell ref="K123:K124"/>
    <mergeCell ref="A124:B124"/>
    <mergeCell ref="D124:E124"/>
    <mergeCell ref="C126:C127"/>
    <mergeCell ref="F126:F127"/>
    <mergeCell ref="G126:G127"/>
    <mergeCell ref="H126:H127"/>
    <mergeCell ref="I126:I127"/>
    <mergeCell ref="J129:J130"/>
    <mergeCell ref="K129:K130"/>
    <mergeCell ref="L129:L130"/>
    <mergeCell ref="M129:M130"/>
    <mergeCell ref="N129:N130"/>
    <mergeCell ref="O129:O130"/>
    <mergeCell ref="P129:P130"/>
    <mergeCell ref="Q129:Q130"/>
    <mergeCell ref="R129:R130"/>
    <mergeCell ref="A110:B110"/>
    <mergeCell ref="D110:E110"/>
    <mergeCell ref="R109:R110"/>
    <mergeCell ref="S109:S110"/>
    <mergeCell ref="T109:T110"/>
    <mergeCell ref="U109:U110"/>
    <mergeCell ref="V109:V110"/>
    <mergeCell ref="W109:W110"/>
    <mergeCell ref="X109:X110"/>
    <mergeCell ref="A127:B127"/>
    <mergeCell ref="D127:E127"/>
    <mergeCell ref="C129:C130"/>
    <mergeCell ref="F129:F130"/>
    <mergeCell ref="G129:G130"/>
    <mergeCell ref="H129:H130"/>
    <mergeCell ref="I129:I130"/>
    <mergeCell ref="A133:B133"/>
    <mergeCell ref="D133:E133"/>
    <mergeCell ref="A130:B130"/>
    <mergeCell ref="D130:E130"/>
    <mergeCell ref="C132:C133"/>
    <mergeCell ref="F132:F133"/>
    <mergeCell ref="G132:G133"/>
    <mergeCell ref="H132:H133"/>
    <mergeCell ref="I132:I133"/>
    <mergeCell ref="S129:S130"/>
    <mergeCell ref="T129:T130"/>
    <mergeCell ref="U129:U130"/>
    <mergeCell ref="V129:V130"/>
    <mergeCell ref="W129:W130"/>
    <mergeCell ref="F112:F113"/>
    <mergeCell ref="C112:C113"/>
    <mergeCell ref="AA103:AA104"/>
    <mergeCell ref="AB103:AB104"/>
    <mergeCell ref="AC103:AC104"/>
    <mergeCell ref="AD103:AD104"/>
    <mergeCell ref="AE103:AE104"/>
    <mergeCell ref="AF103:AF104"/>
    <mergeCell ref="AF109:AF110"/>
    <mergeCell ref="AG109:AG110"/>
    <mergeCell ref="AH109:AH110"/>
    <mergeCell ref="AI109:AI110"/>
    <mergeCell ref="AJ109:AJ110"/>
    <mergeCell ref="Y109:Y110"/>
    <mergeCell ref="Z109:Z110"/>
    <mergeCell ref="AA109:AA110"/>
    <mergeCell ref="AB109:AB110"/>
    <mergeCell ref="AC109:AC110"/>
    <mergeCell ref="AD109:AD110"/>
    <mergeCell ref="AE109:AE110"/>
    <mergeCell ref="U91:U92"/>
    <mergeCell ref="V91:V92"/>
    <mergeCell ref="W91:W92"/>
    <mergeCell ref="X91:X92"/>
    <mergeCell ref="Y91:Y92"/>
    <mergeCell ref="Z91:Z92"/>
    <mergeCell ref="AA91:AA92"/>
    <mergeCell ref="AB91:AB92"/>
    <mergeCell ref="AC91:AC92"/>
    <mergeCell ref="AD94:AD95"/>
    <mergeCell ref="AE94:AE95"/>
    <mergeCell ref="AF94:AF95"/>
    <mergeCell ref="AG94:AG95"/>
    <mergeCell ref="AH94:AH95"/>
    <mergeCell ref="AI94:AI95"/>
    <mergeCell ref="AJ94:AJ95"/>
    <mergeCell ref="AD91:AD92"/>
    <mergeCell ref="AE91:AE92"/>
    <mergeCell ref="AF91:AF92"/>
    <mergeCell ref="AG91:AG92"/>
    <mergeCell ref="AH91:AH92"/>
    <mergeCell ref="AI91:AI92"/>
    <mergeCell ref="AJ91:AJ92"/>
    <mergeCell ref="F91:F92"/>
    <mergeCell ref="G91:G92"/>
    <mergeCell ref="H91:H92"/>
    <mergeCell ref="A92:B92"/>
    <mergeCell ref="D92:E92"/>
    <mergeCell ref="I91:I92"/>
    <mergeCell ref="J91:J92"/>
    <mergeCell ref="K91:K92"/>
    <mergeCell ref="L91:L92"/>
    <mergeCell ref="M91:M92"/>
    <mergeCell ref="N91:N92"/>
    <mergeCell ref="O91:O92"/>
    <mergeCell ref="P91:P92"/>
    <mergeCell ref="Q91:Q92"/>
    <mergeCell ref="R91:R92"/>
    <mergeCell ref="S91:S92"/>
    <mergeCell ref="T91:T92"/>
    <mergeCell ref="AE97:AE98"/>
    <mergeCell ref="AF97:AF98"/>
    <mergeCell ref="AG97:AG98"/>
    <mergeCell ref="AH97:AH98"/>
    <mergeCell ref="AI97:AI98"/>
    <mergeCell ref="AJ97:AJ98"/>
    <mergeCell ref="X97:X98"/>
    <mergeCell ref="Y97:Y98"/>
    <mergeCell ref="Z97:Z98"/>
    <mergeCell ref="AA97:AA98"/>
    <mergeCell ref="AB97:AB98"/>
    <mergeCell ref="AC97:AC98"/>
    <mergeCell ref="AD97:AD98"/>
    <mergeCell ref="A98:B98"/>
    <mergeCell ref="D98:E98"/>
    <mergeCell ref="A95:B95"/>
    <mergeCell ref="D95:E95"/>
    <mergeCell ref="C97:C98"/>
    <mergeCell ref="F97:F98"/>
    <mergeCell ref="G97:G98"/>
    <mergeCell ref="H97:H98"/>
    <mergeCell ref="I97:I98"/>
    <mergeCell ref="Y94:Y95"/>
    <mergeCell ref="Z94:Z95"/>
    <mergeCell ref="AA94:AA95"/>
    <mergeCell ref="C94:C95"/>
    <mergeCell ref="F94:F95"/>
    <mergeCell ref="G94:G95"/>
    <mergeCell ref="H94:H95"/>
    <mergeCell ref="I94:I95"/>
    <mergeCell ref="J94:J95"/>
    <mergeCell ref="K94:K95"/>
    <mergeCell ref="J97:J98"/>
    <mergeCell ref="K97:K98"/>
    <mergeCell ref="L97:L98"/>
    <mergeCell ref="M97:M98"/>
    <mergeCell ref="N97:N98"/>
    <mergeCell ref="O97:O98"/>
    <mergeCell ref="P97:P98"/>
    <mergeCell ref="Q97:Q98"/>
    <mergeCell ref="R97:R98"/>
    <mergeCell ref="S97:S98"/>
    <mergeCell ref="T97:T98"/>
    <mergeCell ref="U97:U98"/>
    <mergeCell ref="V97:V98"/>
    <mergeCell ref="W97:W98"/>
    <mergeCell ref="AI100:AI101"/>
    <mergeCell ref="AJ100:AJ101"/>
    <mergeCell ref="AI103:AI104"/>
    <mergeCell ref="AJ103:AJ104"/>
    <mergeCell ref="Z100:Z101"/>
    <mergeCell ref="AA100:AA101"/>
    <mergeCell ref="AB100:AB101"/>
    <mergeCell ref="AC100:AC101"/>
    <mergeCell ref="AD100:AD101"/>
    <mergeCell ref="AE100:AE101"/>
    <mergeCell ref="AF100:AF101"/>
    <mergeCell ref="A104:B104"/>
    <mergeCell ref="D104:E104"/>
    <mergeCell ref="J103:J104"/>
    <mergeCell ref="K103:K104"/>
    <mergeCell ref="L103:L104"/>
    <mergeCell ref="M103:M104"/>
    <mergeCell ref="N103:N104"/>
    <mergeCell ref="O103:O104"/>
    <mergeCell ref="P103:P104"/>
    <mergeCell ref="X103:X104"/>
    <mergeCell ref="Y103:Y104"/>
    <mergeCell ref="Q103:Q104"/>
    <mergeCell ref="R103:R104"/>
    <mergeCell ref="S103:S104"/>
    <mergeCell ref="T103:T104"/>
    <mergeCell ref="U103:U104"/>
    <mergeCell ref="V103:V104"/>
    <mergeCell ref="W103:W104"/>
    <mergeCell ref="AG103:AG104"/>
    <mergeCell ref="AH103:AH104"/>
    <mergeCell ref="Z103:Z104"/>
    <mergeCell ref="C91:C92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AG100:AG101"/>
    <mergeCell ref="AH100:AH101"/>
    <mergeCell ref="S94:S95"/>
    <mergeCell ref="T94:T95"/>
    <mergeCell ref="L94:L95"/>
    <mergeCell ref="M94:M95"/>
    <mergeCell ref="N94:N95"/>
    <mergeCell ref="O94:O95"/>
    <mergeCell ref="P94:P95"/>
    <mergeCell ref="Q94:Q95"/>
    <mergeCell ref="R94:R95"/>
    <mergeCell ref="AB94:AB95"/>
    <mergeCell ref="AC94:AC95"/>
    <mergeCell ref="U94:U95"/>
    <mergeCell ref="V94:V95"/>
    <mergeCell ref="W94:W95"/>
    <mergeCell ref="X94:X95"/>
    <mergeCell ref="X85:X86"/>
    <mergeCell ref="Y85:Y86"/>
    <mergeCell ref="Z85:Z86"/>
    <mergeCell ref="AA85:AA86"/>
    <mergeCell ref="AB85:AB86"/>
    <mergeCell ref="C85:C86"/>
    <mergeCell ref="A86:B86"/>
    <mergeCell ref="C88:C89"/>
    <mergeCell ref="K88:K89"/>
    <mergeCell ref="L88:L89"/>
    <mergeCell ref="M88:M89"/>
    <mergeCell ref="N88:N89"/>
    <mergeCell ref="O88:O89"/>
    <mergeCell ref="P88:P89"/>
    <mergeCell ref="Q88:Q89"/>
    <mergeCell ref="A80:B80"/>
    <mergeCell ref="D80:E80"/>
    <mergeCell ref="C82:C83"/>
    <mergeCell ref="G82:G83"/>
    <mergeCell ref="H82:H83"/>
    <mergeCell ref="I82:I83"/>
    <mergeCell ref="I85:I86"/>
    <mergeCell ref="D86:E86"/>
    <mergeCell ref="F82:F83"/>
    <mergeCell ref="F85:F86"/>
    <mergeCell ref="G88:G89"/>
    <mergeCell ref="H88:H89"/>
    <mergeCell ref="I88:I89"/>
    <mergeCell ref="J88:J89"/>
    <mergeCell ref="F88:F89"/>
    <mergeCell ref="A89:B89"/>
    <mergeCell ref="D89:E89"/>
    <mergeCell ref="R88:R89"/>
    <mergeCell ref="S88:S89"/>
    <mergeCell ref="T88:T89"/>
    <mergeCell ref="U88:U89"/>
    <mergeCell ref="V88:V89"/>
    <mergeCell ref="W88:W89"/>
    <mergeCell ref="X88:X89"/>
    <mergeCell ref="A74:B74"/>
    <mergeCell ref="D74:E74"/>
    <mergeCell ref="A76:E77"/>
    <mergeCell ref="C79:C80"/>
    <mergeCell ref="F79:F80"/>
    <mergeCell ref="G79:G80"/>
    <mergeCell ref="H79:H80"/>
    <mergeCell ref="G85:G86"/>
    <mergeCell ref="H85:H86"/>
    <mergeCell ref="J85:J86"/>
    <mergeCell ref="K85:K86"/>
    <mergeCell ref="L85:L86"/>
    <mergeCell ref="M85:M86"/>
    <mergeCell ref="N85:N86"/>
    <mergeCell ref="O85:O86"/>
    <mergeCell ref="P85:P86"/>
    <mergeCell ref="Q85:Q86"/>
    <mergeCell ref="R85:R86"/>
    <mergeCell ref="S85:S86"/>
    <mergeCell ref="T85:T86"/>
    <mergeCell ref="U85:U86"/>
    <mergeCell ref="V85:V86"/>
    <mergeCell ref="W85:W86"/>
    <mergeCell ref="AA73:AA74"/>
    <mergeCell ref="AB73:AB74"/>
    <mergeCell ref="AC73:AC74"/>
    <mergeCell ref="AD73:AD74"/>
    <mergeCell ref="AE73:AE74"/>
    <mergeCell ref="AF73:AF74"/>
    <mergeCell ref="AF88:AF89"/>
    <mergeCell ref="AG88:AG89"/>
    <mergeCell ref="AH88:AH89"/>
    <mergeCell ref="AI88:AI89"/>
    <mergeCell ref="AJ88:AJ89"/>
    <mergeCell ref="Y88:Y89"/>
    <mergeCell ref="Z88:Z89"/>
    <mergeCell ref="AA88:AA89"/>
    <mergeCell ref="AB88:AB89"/>
    <mergeCell ref="AC88:AC89"/>
    <mergeCell ref="AD88:AD89"/>
    <mergeCell ref="AE88:AE89"/>
    <mergeCell ref="AC85:AC86"/>
    <mergeCell ref="AD85:AD86"/>
    <mergeCell ref="AE85:AE86"/>
    <mergeCell ref="AF85:AF86"/>
    <mergeCell ref="AG85:AG86"/>
    <mergeCell ref="AH85:AH86"/>
    <mergeCell ref="AI85:AI86"/>
    <mergeCell ref="AJ85:AJ86"/>
    <mergeCell ref="Z64:Z65"/>
    <mergeCell ref="AA64:AA65"/>
    <mergeCell ref="AB64:AB65"/>
    <mergeCell ref="C64:C65"/>
    <mergeCell ref="A65:B65"/>
    <mergeCell ref="C67:C68"/>
    <mergeCell ref="K67:K68"/>
    <mergeCell ref="L67:L68"/>
    <mergeCell ref="M67:M68"/>
    <mergeCell ref="N67:N68"/>
    <mergeCell ref="O67:O68"/>
    <mergeCell ref="P67:P68"/>
    <mergeCell ref="Q67:Q68"/>
    <mergeCell ref="AJ64:AJ65"/>
    <mergeCell ref="AJ67:AJ68"/>
    <mergeCell ref="AC64:AC65"/>
    <mergeCell ref="AD64:AD65"/>
    <mergeCell ref="AE64:AE65"/>
    <mergeCell ref="AF64:AF65"/>
    <mergeCell ref="AG64:AG65"/>
    <mergeCell ref="AH64:AH65"/>
    <mergeCell ref="AI64:AI65"/>
    <mergeCell ref="H64:H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Y67:Y68"/>
    <mergeCell ref="Z67:Z68"/>
    <mergeCell ref="R67:R68"/>
    <mergeCell ref="S67:S68"/>
    <mergeCell ref="T67:T68"/>
    <mergeCell ref="U67:U68"/>
    <mergeCell ref="V67:V68"/>
    <mergeCell ref="W67:W68"/>
    <mergeCell ref="X67:X68"/>
    <mergeCell ref="AH67:AH68"/>
    <mergeCell ref="AI67:AI68"/>
    <mergeCell ref="AA67:AA68"/>
    <mergeCell ref="AB67:AB68"/>
    <mergeCell ref="AC67:AC68"/>
    <mergeCell ref="AD67:AD68"/>
    <mergeCell ref="AE67:AE68"/>
    <mergeCell ref="AF67:AF68"/>
    <mergeCell ref="AG67:AG68"/>
    <mergeCell ref="V58:V59"/>
    <mergeCell ref="W58:W59"/>
    <mergeCell ref="AE58:AE59"/>
    <mergeCell ref="AF58:AF59"/>
    <mergeCell ref="AG58:AG59"/>
    <mergeCell ref="AH58:AH59"/>
    <mergeCell ref="AI58:AI59"/>
    <mergeCell ref="AJ58:AJ59"/>
    <mergeCell ref="X58:X59"/>
    <mergeCell ref="Y58:Y59"/>
    <mergeCell ref="Z58:Z59"/>
    <mergeCell ref="AA58:AA59"/>
    <mergeCell ref="AB58:AB59"/>
    <mergeCell ref="AC58:AC59"/>
    <mergeCell ref="AD58:AD59"/>
    <mergeCell ref="J61:J62"/>
    <mergeCell ref="K61:K62"/>
    <mergeCell ref="L61:L62"/>
    <mergeCell ref="M61:M62"/>
    <mergeCell ref="N61:N62"/>
    <mergeCell ref="O61:O62"/>
    <mergeCell ref="P61:P62"/>
    <mergeCell ref="C52:C53"/>
    <mergeCell ref="F52:F53"/>
    <mergeCell ref="G52:G53"/>
    <mergeCell ref="H52:H53"/>
    <mergeCell ref="I52:I53"/>
    <mergeCell ref="J52:J53"/>
    <mergeCell ref="K52:K53"/>
    <mergeCell ref="A53:B53"/>
    <mergeCell ref="D53:E53"/>
    <mergeCell ref="C55:C56"/>
    <mergeCell ref="F55:F56"/>
    <mergeCell ref="G55:G56"/>
    <mergeCell ref="H55:H56"/>
    <mergeCell ref="I55:I56"/>
    <mergeCell ref="J58:J59"/>
    <mergeCell ref="K58:K59"/>
    <mergeCell ref="L58:L59"/>
    <mergeCell ref="A56:B56"/>
    <mergeCell ref="D56:E56"/>
    <mergeCell ref="C58:C59"/>
    <mergeCell ref="F58:F59"/>
    <mergeCell ref="G58:G59"/>
    <mergeCell ref="H58:H59"/>
    <mergeCell ref="I58:I59"/>
    <mergeCell ref="Q79:Q80"/>
    <mergeCell ref="R79:R80"/>
    <mergeCell ref="S79:S80"/>
    <mergeCell ref="T79:T80"/>
    <mergeCell ref="U79:U80"/>
    <mergeCell ref="V79:V80"/>
    <mergeCell ref="W79:W80"/>
    <mergeCell ref="X79:X80"/>
    <mergeCell ref="Y79:Y80"/>
    <mergeCell ref="Z79:Z80"/>
    <mergeCell ref="AA79:AA80"/>
    <mergeCell ref="AB79:AB80"/>
    <mergeCell ref="AC79:AC80"/>
    <mergeCell ref="AI82:AI83"/>
    <mergeCell ref="AJ82:AJ83"/>
    <mergeCell ref="AD79:AD80"/>
    <mergeCell ref="AE79:AE80"/>
    <mergeCell ref="AF79:AF80"/>
    <mergeCell ref="AG79:AG80"/>
    <mergeCell ref="AH79:AH80"/>
    <mergeCell ref="AI79:AI80"/>
    <mergeCell ref="AJ79:AJ80"/>
    <mergeCell ref="I79:I80"/>
    <mergeCell ref="J79:J80"/>
    <mergeCell ref="K79:K80"/>
    <mergeCell ref="L79:L80"/>
    <mergeCell ref="M79:M80"/>
    <mergeCell ref="N79:N80"/>
    <mergeCell ref="O79:O80"/>
    <mergeCell ref="J82:J83"/>
    <mergeCell ref="K82:K83"/>
    <mergeCell ref="L82:L83"/>
    <mergeCell ref="M82:M83"/>
    <mergeCell ref="N82:N83"/>
    <mergeCell ref="O82:O83"/>
    <mergeCell ref="P82:P83"/>
    <mergeCell ref="D65:E65"/>
    <mergeCell ref="A68:B68"/>
    <mergeCell ref="D68:E68"/>
    <mergeCell ref="C70:C71"/>
    <mergeCell ref="F70:F71"/>
    <mergeCell ref="G70:G71"/>
    <mergeCell ref="H70:H71"/>
    <mergeCell ref="A71:B71"/>
    <mergeCell ref="D71:E71"/>
    <mergeCell ref="C73:C74"/>
    <mergeCell ref="F73:F74"/>
    <mergeCell ref="G73:G74"/>
    <mergeCell ref="H73:H74"/>
    <mergeCell ref="I73:I74"/>
    <mergeCell ref="P79:P80"/>
    <mergeCell ref="A83:B83"/>
    <mergeCell ref="D83:E83"/>
    <mergeCell ref="G64:G65"/>
    <mergeCell ref="X82:X83"/>
    <mergeCell ref="Y82:Y83"/>
    <mergeCell ref="Q82:Q83"/>
    <mergeCell ref="R82:R83"/>
    <mergeCell ref="S82:S83"/>
    <mergeCell ref="T82:T83"/>
    <mergeCell ref="U82:U83"/>
    <mergeCell ref="V82:V83"/>
    <mergeCell ref="W82:W83"/>
    <mergeCell ref="AG82:AG83"/>
    <mergeCell ref="AH82:AH83"/>
    <mergeCell ref="Z82:Z83"/>
    <mergeCell ref="AA82:AA83"/>
    <mergeCell ref="AB82:AB83"/>
    <mergeCell ref="AC82:AC83"/>
    <mergeCell ref="AD82:AD83"/>
    <mergeCell ref="AE82:AE83"/>
    <mergeCell ref="AF82:AF83"/>
    <mergeCell ref="Z70:Z71"/>
    <mergeCell ref="AA70:AA71"/>
    <mergeCell ref="AB70:AB71"/>
    <mergeCell ref="AC70:AC71"/>
    <mergeCell ref="J73:J74"/>
    <mergeCell ref="K73:K74"/>
    <mergeCell ref="L73:L74"/>
    <mergeCell ref="M73:M74"/>
    <mergeCell ref="N73:N74"/>
    <mergeCell ref="O73:O74"/>
    <mergeCell ref="P73:P74"/>
    <mergeCell ref="AI73:AI74"/>
    <mergeCell ref="AJ73:AJ74"/>
    <mergeCell ref="AD70:AD71"/>
    <mergeCell ref="AE70:AE71"/>
    <mergeCell ref="AF70:AF71"/>
    <mergeCell ref="AG70:AG71"/>
    <mergeCell ref="AH70:AH71"/>
    <mergeCell ref="AI70:AI71"/>
    <mergeCell ref="AJ70:AJ71"/>
    <mergeCell ref="X73:X74"/>
    <mergeCell ref="Y73:Y74"/>
    <mergeCell ref="Q73:Q74"/>
    <mergeCell ref="R73:R74"/>
    <mergeCell ref="S73:S74"/>
    <mergeCell ref="T73:T74"/>
    <mergeCell ref="U73:U74"/>
    <mergeCell ref="V73:V74"/>
    <mergeCell ref="W73:W74"/>
    <mergeCell ref="AG73:AG74"/>
    <mergeCell ref="AH73:AH74"/>
    <mergeCell ref="Z73:Z74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A62:B62"/>
    <mergeCell ref="D62:E62"/>
    <mergeCell ref="Q61:Q62"/>
    <mergeCell ref="R61:R62"/>
    <mergeCell ref="S61:S62"/>
    <mergeCell ref="T61:T62"/>
    <mergeCell ref="U61:U62"/>
    <mergeCell ref="V61:V62"/>
    <mergeCell ref="W61:W62"/>
    <mergeCell ref="F61:F62"/>
    <mergeCell ref="F64:F65"/>
    <mergeCell ref="F67:F68"/>
    <mergeCell ref="G67:G68"/>
    <mergeCell ref="H67:H68"/>
    <mergeCell ref="I67:I68"/>
    <mergeCell ref="J67:J68"/>
    <mergeCell ref="A59:B59"/>
    <mergeCell ref="D59:E59"/>
    <mergeCell ref="C61:C62"/>
    <mergeCell ref="G61:G62"/>
    <mergeCell ref="H61:H62"/>
    <mergeCell ref="I61:I62"/>
    <mergeCell ref="I64:I65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AC18:AC19"/>
    <mergeCell ref="AD18:AD19"/>
    <mergeCell ref="AE18:AE19"/>
    <mergeCell ref="AF18:AF19"/>
    <mergeCell ref="AE61:AE62"/>
    <mergeCell ref="AF61:AF62"/>
    <mergeCell ref="AG61:AG62"/>
    <mergeCell ref="AH61:AH62"/>
    <mergeCell ref="AI61:AI62"/>
    <mergeCell ref="AJ61:AJ62"/>
    <mergeCell ref="X61:X62"/>
    <mergeCell ref="Y61:Y62"/>
    <mergeCell ref="Z61:Z62"/>
    <mergeCell ref="AA61:AA62"/>
    <mergeCell ref="AB61:AB62"/>
    <mergeCell ref="AC61:AC62"/>
    <mergeCell ref="AD61:AD62"/>
    <mergeCell ref="AH24:AH25"/>
    <mergeCell ref="AI24:AI25"/>
    <mergeCell ref="AA24:AA25"/>
    <mergeCell ref="AB24:AB25"/>
    <mergeCell ref="AC24:AC25"/>
    <mergeCell ref="AD24:AD25"/>
    <mergeCell ref="AE24:AE25"/>
    <mergeCell ref="AF24:AF25"/>
    <mergeCell ref="AG24:AG25"/>
    <mergeCell ref="AB21:AB22"/>
    <mergeCell ref="AJ27:AJ28"/>
    <mergeCell ref="AH36:AH37"/>
    <mergeCell ref="AH43:AH44"/>
    <mergeCell ref="AI40:AI41"/>
    <mergeCell ref="AJ40:AJ41"/>
    <mergeCell ref="H6:H7"/>
    <mergeCell ref="I6:I7"/>
    <mergeCell ref="X12:X13"/>
    <mergeCell ref="Y12:Y13"/>
    <mergeCell ref="Q12:Q13"/>
    <mergeCell ref="R12:R13"/>
    <mergeCell ref="S12:S13"/>
    <mergeCell ref="T12:T13"/>
    <mergeCell ref="U12:U13"/>
    <mergeCell ref="V12:V13"/>
    <mergeCell ref="W12:W13"/>
    <mergeCell ref="AG12:AG13"/>
    <mergeCell ref="AH12:AH13"/>
    <mergeCell ref="Z12:Z13"/>
    <mergeCell ref="AA12:AA13"/>
    <mergeCell ref="AB12:AB13"/>
    <mergeCell ref="AC12:AC13"/>
    <mergeCell ref="AD12:AD13"/>
    <mergeCell ref="AE12:AE13"/>
    <mergeCell ref="AF12:AF13"/>
    <mergeCell ref="AI3:AI4"/>
    <mergeCell ref="AJ3:AJ4"/>
    <mergeCell ref="AI6:AI7"/>
    <mergeCell ref="AJ6:AJ7"/>
    <mergeCell ref="Y3:Y4"/>
    <mergeCell ref="Z3:Z4"/>
    <mergeCell ref="AA3:AA4"/>
    <mergeCell ref="AB3:AB4"/>
    <mergeCell ref="AC3:AC4"/>
    <mergeCell ref="AD3:AD4"/>
    <mergeCell ref="AE3:AE4"/>
    <mergeCell ref="A1:E2"/>
    <mergeCell ref="C3:C4"/>
    <mergeCell ref="F3:F4"/>
    <mergeCell ref="G3:G4"/>
    <mergeCell ref="H3:H4"/>
    <mergeCell ref="I3:I4"/>
    <mergeCell ref="J3:J4"/>
    <mergeCell ref="J6:J7"/>
    <mergeCell ref="K6:K7"/>
    <mergeCell ref="L6:L7"/>
    <mergeCell ref="M6:M7"/>
    <mergeCell ref="N6:N7"/>
    <mergeCell ref="O6:O7"/>
    <mergeCell ref="P6:P7"/>
    <mergeCell ref="A7:B7"/>
    <mergeCell ref="D7:E7"/>
    <mergeCell ref="A4:B4"/>
    <mergeCell ref="D4:E4"/>
    <mergeCell ref="C6:C7"/>
    <mergeCell ref="F6:F7"/>
    <mergeCell ref="G6:G7"/>
    <mergeCell ref="AG6:AG7"/>
    <mergeCell ref="AH6:AH7"/>
    <mergeCell ref="Z6:Z7"/>
    <mergeCell ref="AA6:AA7"/>
    <mergeCell ref="AB6:AB7"/>
    <mergeCell ref="AC6:AC7"/>
    <mergeCell ref="AD6:AD7"/>
    <mergeCell ref="AE6:AE7"/>
    <mergeCell ref="AF6:AF7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AF3:AF4"/>
    <mergeCell ref="AG3:AG4"/>
    <mergeCell ref="AH3:AH4"/>
    <mergeCell ref="AI18:AI19"/>
    <mergeCell ref="AJ18:AJ19"/>
    <mergeCell ref="X15:X16"/>
    <mergeCell ref="Y15:Y16"/>
    <mergeCell ref="Z15:Z16"/>
    <mergeCell ref="AA15:AA16"/>
    <mergeCell ref="AB15:AB16"/>
    <mergeCell ref="AC15:AC16"/>
    <mergeCell ref="AD15:AD16"/>
    <mergeCell ref="A19:B19"/>
    <mergeCell ref="D19:E19"/>
    <mergeCell ref="J18:J19"/>
    <mergeCell ref="K18:K19"/>
    <mergeCell ref="L18:L19"/>
    <mergeCell ref="M18:M19"/>
    <mergeCell ref="N18:N19"/>
    <mergeCell ref="O18:O19"/>
    <mergeCell ref="P18:P19"/>
    <mergeCell ref="X18:X19"/>
    <mergeCell ref="Y18:Y19"/>
    <mergeCell ref="Q18:Q19"/>
    <mergeCell ref="R18:R19"/>
    <mergeCell ref="S18:S19"/>
    <mergeCell ref="T18:T19"/>
    <mergeCell ref="U18:U19"/>
    <mergeCell ref="V18:V19"/>
    <mergeCell ref="W18:W19"/>
    <mergeCell ref="AG18:AG19"/>
    <mergeCell ref="AH18:AH19"/>
    <mergeCell ref="Z18:Z19"/>
    <mergeCell ref="AA18:AA19"/>
    <mergeCell ref="AB18:AB19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V15:V16"/>
    <mergeCell ref="W15:W16"/>
    <mergeCell ref="AE15:AE16"/>
    <mergeCell ref="AF15:AF16"/>
    <mergeCell ref="AG15:AG16"/>
    <mergeCell ref="AH15:AH16"/>
    <mergeCell ref="AI15:AI16"/>
    <mergeCell ref="AJ15:AJ16"/>
    <mergeCell ref="C9:C10"/>
    <mergeCell ref="F9:F10"/>
    <mergeCell ref="G9:G10"/>
    <mergeCell ref="H9:H10"/>
    <mergeCell ref="I9:I10"/>
    <mergeCell ref="J9:J10"/>
    <mergeCell ref="K9:K10"/>
    <mergeCell ref="A10:B10"/>
    <mergeCell ref="D10:E10"/>
    <mergeCell ref="C12:C13"/>
    <mergeCell ref="F12:F13"/>
    <mergeCell ref="G12:G13"/>
    <mergeCell ref="H12:H13"/>
    <mergeCell ref="I12:I13"/>
    <mergeCell ref="J15:J16"/>
    <mergeCell ref="K15:K16"/>
    <mergeCell ref="L15:L16"/>
    <mergeCell ref="A13:B13"/>
    <mergeCell ref="D13:E13"/>
    <mergeCell ref="AG9:AG10"/>
    <mergeCell ref="AH9:AH10"/>
    <mergeCell ref="AI9:AI10"/>
    <mergeCell ref="AJ9:AJ10"/>
    <mergeCell ref="AI12:AI13"/>
    <mergeCell ref="AJ12:AJ13"/>
    <mergeCell ref="Z9:Z10"/>
    <mergeCell ref="AA9:AA10"/>
    <mergeCell ref="AB9:AB10"/>
    <mergeCell ref="AC9:AC10"/>
    <mergeCell ref="AD9:AD10"/>
    <mergeCell ref="AE9:AE10"/>
    <mergeCell ref="AF9:AF10"/>
    <mergeCell ref="J12:J13"/>
    <mergeCell ref="K12:K13"/>
    <mergeCell ref="L12:L13"/>
    <mergeCell ref="M12:M13"/>
    <mergeCell ref="N12:N13"/>
    <mergeCell ref="O12:O13"/>
    <mergeCell ref="P12:P13"/>
    <mergeCell ref="X6:X7"/>
    <mergeCell ref="Y6:Y7"/>
    <mergeCell ref="Q6:Q7"/>
    <mergeCell ref="R6:R7"/>
    <mergeCell ref="S6:S7"/>
    <mergeCell ref="T6:T7"/>
    <mergeCell ref="U6:U7"/>
    <mergeCell ref="V6:V7"/>
    <mergeCell ref="W6:W7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</mergeCells>
  <pageMargins left="0.19685039370078738" right="0.31496062992125984" top="0.39370078740157477" bottom="0.19685039370078738" header="0" footer="0"/>
  <pageSetup paperSize="9" pageOrder="overThenDown" orientation="landscape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fitToPage="1"/>
  </sheetPr>
  <dimension ref="A1:V1032"/>
  <sheetViews>
    <sheetView topLeftCell="D1" workbookViewId="0"/>
  </sheetViews>
  <sheetFormatPr defaultColWidth="12.5703125" defaultRowHeight="15" customHeight="1" outlineLevelCol="1"/>
  <cols>
    <col min="1" max="1" width="6.7109375" hidden="1" customWidth="1"/>
    <col min="2" max="2" width="6.7109375" hidden="1" customWidth="1" outlineLevel="1"/>
    <col min="3" max="3" width="13.42578125" hidden="1" customWidth="1" outlineLevel="1"/>
    <col min="4" max="4" width="15.85546875" customWidth="1"/>
    <col min="5" max="5" width="75" customWidth="1"/>
    <col min="6" max="20" width="6.28515625" customWidth="1"/>
    <col min="21" max="21" width="6.28515625" customWidth="1" collapsed="1"/>
    <col min="22" max="22" width="19.7109375" hidden="1" customWidth="1" outlineLevel="1"/>
  </cols>
  <sheetData>
    <row r="1" spans="1:22" ht="22.5" customHeight="1">
      <c r="C1" s="273"/>
      <c r="D1" s="510">
        <v>45261</v>
      </c>
      <c r="E1" s="478"/>
      <c r="F1" s="259">
        <f t="shared" ref="F1:T1" si="0">F2</f>
        <v>45261</v>
      </c>
      <c r="G1" s="258">
        <f t="shared" si="0"/>
        <v>45262</v>
      </c>
      <c r="H1" s="259">
        <f t="shared" si="0"/>
        <v>45263</v>
      </c>
      <c r="I1" s="259">
        <f t="shared" si="0"/>
        <v>45264</v>
      </c>
      <c r="J1" s="259">
        <f t="shared" si="0"/>
        <v>45265</v>
      </c>
      <c r="K1" s="259">
        <f t="shared" si="0"/>
        <v>45266</v>
      </c>
      <c r="L1" s="259">
        <f t="shared" si="0"/>
        <v>45267</v>
      </c>
      <c r="M1" s="258">
        <f t="shared" si="0"/>
        <v>45268</v>
      </c>
      <c r="N1" s="259">
        <f t="shared" si="0"/>
        <v>45269</v>
      </c>
      <c r="O1" s="259">
        <f t="shared" si="0"/>
        <v>45270</v>
      </c>
      <c r="P1" s="259">
        <f t="shared" si="0"/>
        <v>45271</v>
      </c>
      <c r="Q1" s="259">
        <f t="shared" si="0"/>
        <v>45272</v>
      </c>
      <c r="R1" s="258">
        <f t="shared" si="0"/>
        <v>45273</v>
      </c>
      <c r="S1" s="259">
        <f t="shared" si="0"/>
        <v>45274</v>
      </c>
      <c r="T1" s="258">
        <f t="shared" si="0"/>
        <v>45275</v>
      </c>
      <c r="U1" s="259"/>
      <c r="V1" s="274"/>
    </row>
    <row r="2" spans="1:22" ht="25.5" customHeight="1">
      <c r="A2" s="275"/>
      <c r="B2" s="276"/>
      <c r="C2" s="277"/>
      <c r="D2" s="513" t="e">
        <f>VLOOKUP(V45,#REF!,2, FALSE())</f>
        <v>#REF!</v>
      </c>
      <c r="E2" s="478"/>
      <c r="F2" s="262">
        <f>D1</f>
        <v>45261</v>
      </c>
      <c r="G2" s="262">
        <f t="shared" ref="G2:T2" si="1">F2+1</f>
        <v>45262</v>
      </c>
      <c r="H2" s="262">
        <f t="shared" si="1"/>
        <v>45263</v>
      </c>
      <c r="I2" s="262">
        <f t="shared" si="1"/>
        <v>45264</v>
      </c>
      <c r="J2" s="262">
        <f t="shared" si="1"/>
        <v>45265</v>
      </c>
      <c r="K2" s="262">
        <f t="shared" si="1"/>
        <v>45266</v>
      </c>
      <c r="L2" s="262">
        <f t="shared" si="1"/>
        <v>45267</v>
      </c>
      <c r="M2" s="262">
        <f t="shared" si="1"/>
        <v>45268</v>
      </c>
      <c r="N2" s="262">
        <f t="shared" si="1"/>
        <v>45269</v>
      </c>
      <c r="O2" s="262">
        <f t="shared" si="1"/>
        <v>45270</v>
      </c>
      <c r="P2" s="262">
        <f t="shared" si="1"/>
        <v>45271</v>
      </c>
      <c r="Q2" s="262">
        <f t="shared" si="1"/>
        <v>45272</v>
      </c>
      <c r="R2" s="262">
        <f t="shared" si="1"/>
        <v>45273</v>
      </c>
      <c r="S2" s="262">
        <f t="shared" si="1"/>
        <v>45274</v>
      </c>
      <c r="T2" s="262">
        <f t="shared" si="1"/>
        <v>45275</v>
      </c>
      <c r="U2" s="262"/>
      <c r="V2" s="278" t="s">
        <v>2767</v>
      </c>
    </row>
    <row r="3" spans="1:22" ht="15" customHeight="1">
      <c r="A3" s="279"/>
      <c r="B3" s="200" t="s">
        <v>2765</v>
      </c>
      <c r="C3" s="200" t="s">
        <v>2768</v>
      </c>
      <c r="D3" s="280" t="e">
        <f>VLOOKUP(B4,[1]velho!$A$31:$Y$207,11, FALSE())</f>
        <v>#N/A</v>
      </c>
      <c r="E3" s="281" t="e">
        <f>VLOOKUP(B4,#REF!,2, FALSE())</f>
        <v>#REF!</v>
      </c>
      <c r="F3" s="489" t="e">
        <f>VLOOKUP($B4,[1]velho!$A$31:$BG$207,28, FALSE())</f>
        <v>#N/A</v>
      </c>
      <c r="G3" s="490" t="e">
        <f>VLOOKUP($B4,[1]velho!$A$31:$BG$207,29, FALSE())</f>
        <v>#N/A</v>
      </c>
      <c r="H3" s="489" t="e">
        <f>VLOOKUP($B4,[1]velho!$A$31:$BG$207,30, FALSE())</f>
        <v>#N/A</v>
      </c>
      <c r="I3" s="490" t="e">
        <f>VLOOKUP($B4,[1]velho!$A$31:$BG$207,31, FALSE())</f>
        <v>#N/A</v>
      </c>
      <c r="J3" s="489" t="e">
        <f>VLOOKUP($B4,[1]velho!$A$31:$BG$207,32, FALSE())</f>
        <v>#N/A</v>
      </c>
      <c r="K3" s="490" t="e">
        <f>VLOOKUP($B4,[1]velho!$A$31:$BG$207,33, FALSE())</f>
        <v>#N/A</v>
      </c>
      <c r="L3" s="489" t="e">
        <f>VLOOKUP($B4,[1]velho!$A$31:$BG$207,34, FALSE())</f>
        <v>#N/A</v>
      </c>
      <c r="M3" s="490" t="e">
        <f>VLOOKUP($B4,[1]velho!$A$31:$BG$207,35, FALSE())</f>
        <v>#N/A</v>
      </c>
      <c r="N3" s="489" t="e">
        <f>VLOOKUP($B4,[1]velho!$A$31:$BG$207,36, FALSE())</f>
        <v>#N/A</v>
      </c>
      <c r="O3" s="490" t="e">
        <f>VLOOKUP($B4,[1]velho!$A$31:$BG$207,37, FALSE())</f>
        <v>#N/A</v>
      </c>
      <c r="P3" s="489" t="e">
        <f>VLOOKUP($B4,[1]velho!$A$31:$BG$207,38, FALSE())</f>
        <v>#N/A</v>
      </c>
      <c r="Q3" s="490" t="e">
        <f>VLOOKUP($B4,[1]velho!$A$31:$BG$207,39, FALSE())</f>
        <v>#N/A</v>
      </c>
      <c r="R3" s="489" t="e">
        <f>VLOOKUP($B4,[1]velho!$A$31:$BG$207,40, FALSE())</f>
        <v>#N/A</v>
      </c>
      <c r="S3" s="490" t="e">
        <f>VLOOKUP($B4,[1]velho!$A$31:$BG$207,41, FALSE())</f>
        <v>#N/A</v>
      </c>
      <c r="T3" s="489" t="e">
        <f>VLOOKUP($B4,[1]velho!$A$31:$BG$207,42, FALSE())</f>
        <v>#N/A</v>
      </c>
      <c r="U3" s="490"/>
      <c r="V3" s="282" t="s">
        <v>2383</v>
      </c>
    </row>
    <row r="4" spans="1:22" ht="15" customHeight="1">
      <c r="A4" s="283"/>
      <c r="B4" s="514" t="str">
        <f>V3</f>
        <v>AG062 - LD-B/1</v>
      </c>
      <c r="C4" s="499"/>
      <c r="D4" s="508" t="e">
        <f>VLOOKUP(B4,[1]velho!$A$31:$Y$207,25, FALSE())</f>
        <v>#N/A</v>
      </c>
      <c r="E4" s="496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284" t="s">
        <v>1487</v>
      </c>
    </row>
    <row r="5" spans="1:22" ht="3.75" customHeight="1">
      <c r="F5" s="285"/>
      <c r="G5" s="285"/>
      <c r="H5" s="285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 t="s">
        <v>2385</v>
      </c>
    </row>
    <row r="6" spans="1:22" ht="15" customHeight="1">
      <c r="D6" s="280" t="e">
        <f>VLOOKUP(B7,[1]velho!$A$31:$Y$207,11, FALSE())</f>
        <v>#N/A</v>
      </c>
      <c r="E6" s="281" t="e">
        <f>VLOOKUP(B7,#REF!,2, FALSE())</f>
        <v>#REF!</v>
      </c>
      <c r="F6" s="489" t="e">
        <f>VLOOKUP($B7,[1]velho!$A$31:$BG$207,28, FALSE())</f>
        <v>#N/A</v>
      </c>
      <c r="G6" s="490" t="e">
        <f>VLOOKUP($B7,[1]velho!$A$31:$BG$207,29, FALSE())</f>
        <v>#N/A</v>
      </c>
      <c r="H6" s="489" t="e">
        <f>VLOOKUP($B7,[1]velho!$A$31:$BG$207,30, FALSE())</f>
        <v>#N/A</v>
      </c>
      <c r="I6" s="490" t="e">
        <f>VLOOKUP($B7,[1]velho!$A$31:$BG$207,31, FALSE())</f>
        <v>#N/A</v>
      </c>
      <c r="J6" s="489" t="e">
        <f>VLOOKUP($B7,[1]velho!$A$31:$BG$207,32, FALSE())</f>
        <v>#N/A</v>
      </c>
      <c r="K6" s="490" t="e">
        <f>VLOOKUP($B7,[1]velho!$A$31:$BG$207,33, FALSE())</f>
        <v>#N/A</v>
      </c>
      <c r="L6" s="489" t="e">
        <f>VLOOKUP($B7,[1]velho!$A$31:$BG$207,34, FALSE())</f>
        <v>#N/A</v>
      </c>
      <c r="M6" s="490" t="e">
        <f>VLOOKUP($B7,[1]velho!$A$31:$BG$207,35, FALSE())</f>
        <v>#N/A</v>
      </c>
      <c r="N6" s="489" t="e">
        <f>VLOOKUP($B7,[1]velho!$A$31:$BG$207,36, FALSE())</f>
        <v>#N/A</v>
      </c>
      <c r="O6" s="490" t="e">
        <f>VLOOKUP($B7,[1]velho!$A$31:$BG$207,37, FALSE())</f>
        <v>#N/A</v>
      </c>
      <c r="P6" s="489" t="e">
        <f>VLOOKUP($B7,[1]velho!$A$31:$BG$207,38, FALSE())</f>
        <v>#N/A</v>
      </c>
      <c r="Q6" s="490" t="e">
        <f>VLOOKUP($B7,[1]velho!$A$31:$BG$207,39, FALSE())</f>
        <v>#N/A</v>
      </c>
      <c r="R6" s="489" t="e">
        <f>VLOOKUP($B7,[1]velho!$A$31:$BG$207,40, FALSE())</f>
        <v>#N/A</v>
      </c>
      <c r="S6" s="490" t="e">
        <f>VLOOKUP($B7,[1]velho!$A$31:$BG$207,41, FALSE())</f>
        <v>#N/A</v>
      </c>
      <c r="T6" s="489" t="e">
        <f>VLOOKUP($B7,[1]velho!$A$31:$BG$207,42, FALSE())</f>
        <v>#N/A</v>
      </c>
      <c r="U6" s="490"/>
      <c r="V6" s="284" t="s">
        <v>1993</v>
      </c>
    </row>
    <row r="7" spans="1:22" ht="15" customHeight="1">
      <c r="A7" s="145"/>
      <c r="B7" s="507" t="str">
        <f>V4</f>
        <v>AG062 - LD-B/2</v>
      </c>
      <c r="C7" s="499"/>
      <c r="D7" s="508" t="e">
        <f>VLOOKUP(B7,[1]velho!$A$31:$Y$207,25, FALSE())</f>
        <v>#N/A</v>
      </c>
      <c r="E7" s="496"/>
      <c r="F7" s="481"/>
      <c r="G7" s="481"/>
      <c r="H7" s="481"/>
      <c r="I7" s="481"/>
      <c r="J7" s="481"/>
      <c r="K7" s="481"/>
      <c r="L7" s="481"/>
      <c r="M7" s="481"/>
      <c r="N7" s="481"/>
      <c r="O7" s="481"/>
      <c r="P7" s="481"/>
      <c r="Q7" s="481"/>
      <c r="R7" s="481"/>
      <c r="S7" s="481"/>
      <c r="T7" s="481"/>
      <c r="U7" s="481"/>
      <c r="V7" s="284" t="s">
        <v>2443</v>
      </c>
    </row>
    <row r="8" spans="1:22" ht="3.75" customHeight="1"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  <c r="R8" s="285"/>
      <c r="S8" s="285"/>
      <c r="T8" s="285"/>
      <c r="U8" s="285"/>
      <c r="V8" s="285" t="s">
        <v>1549</v>
      </c>
    </row>
    <row r="9" spans="1:22" ht="15" customHeight="1">
      <c r="A9" s="279"/>
      <c r="B9" s="200" t="s">
        <v>2765</v>
      </c>
      <c r="C9" s="200" t="str">
        <f>C3</f>
        <v>ag005</v>
      </c>
      <c r="D9" s="280" t="e">
        <f>VLOOKUP(B10,[1]velho!$A$31:$Y$207,11, FALSE())</f>
        <v>#N/A</v>
      </c>
      <c r="E9" s="281" t="e">
        <f>VLOOKUP(B10,#REF!,2, FALSE())</f>
        <v>#REF!</v>
      </c>
      <c r="F9" s="489" t="e">
        <f>VLOOKUP($B10,[1]velho!$A$31:$BG$207,28, FALSE())</f>
        <v>#N/A</v>
      </c>
      <c r="G9" s="490" t="e">
        <f>VLOOKUP($B10,[1]velho!$A$31:$BG$207,29, FALSE())</f>
        <v>#N/A</v>
      </c>
      <c r="H9" s="489" t="e">
        <f>VLOOKUP($B10,[1]velho!$A$31:$BG$207,30, FALSE())</f>
        <v>#N/A</v>
      </c>
      <c r="I9" s="490" t="e">
        <f>VLOOKUP($B10,[1]velho!$A$31:$BG$207,31, FALSE())</f>
        <v>#N/A</v>
      </c>
      <c r="J9" s="489" t="e">
        <f>VLOOKUP($B10,[1]velho!$A$31:$BG$207,32, FALSE())</f>
        <v>#N/A</v>
      </c>
      <c r="K9" s="490" t="e">
        <f>VLOOKUP($B10,[1]velho!$A$31:$BG$207,33, FALSE())</f>
        <v>#N/A</v>
      </c>
      <c r="L9" s="489" t="e">
        <f>VLOOKUP($B10,[1]velho!$A$31:$BG$207,34, FALSE())</f>
        <v>#N/A</v>
      </c>
      <c r="M9" s="490" t="e">
        <f>VLOOKUP($B10,[1]velho!$A$31:$BG$207,35, FALSE())</f>
        <v>#N/A</v>
      </c>
      <c r="N9" s="489" t="e">
        <f>VLOOKUP($B10,[1]velho!$A$31:$BG$207,36, FALSE())</f>
        <v>#N/A</v>
      </c>
      <c r="O9" s="490" t="e">
        <f>VLOOKUP($B10,[1]velho!$A$31:$BG$207,37, FALSE())</f>
        <v>#N/A</v>
      </c>
      <c r="P9" s="489" t="e">
        <f>VLOOKUP($B10,[1]velho!$A$31:$BG$207,38, FALSE())</f>
        <v>#N/A</v>
      </c>
      <c r="Q9" s="490" t="e">
        <f>VLOOKUP($B10,[1]velho!$A$31:$BG$207,39, FALSE())</f>
        <v>#N/A</v>
      </c>
      <c r="R9" s="489" t="e">
        <f>VLOOKUP($B10,[1]velho!$A$31:$BG$207,40, FALSE())</f>
        <v>#N/A</v>
      </c>
      <c r="S9" s="490" t="e">
        <f>VLOOKUP($B10,[1]velho!$A$31:$BG$207,41, FALSE())</f>
        <v>#N/A</v>
      </c>
      <c r="T9" s="489" t="e">
        <f>VLOOKUP($B10,[1]velho!$A$31:$BG$207,42, FALSE())</f>
        <v>#N/A</v>
      </c>
      <c r="U9" s="490"/>
      <c r="V9" s="284" t="s">
        <v>1461</v>
      </c>
    </row>
    <row r="10" spans="1:22" ht="15" customHeight="1">
      <c r="A10" s="145"/>
      <c r="B10" s="507" t="str">
        <f>V5</f>
        <v>AG062 - LD-B/3</v>
      </c>
      <c r="C10" s="499"/>
      <c r="D10" s="508" t="e">
        <f>VLOOKUP(B10,[1]velho!$A$31:$Y$207,25, FALSE())</f>
        <v>#N/A</v>
      </c>
      <c r="E10" s="496"/>
      <c r="F10" s="481"/>
      <c r="G10" s="481"/>
      <c r="H10" s="481"/>
      <c r="I10" s="481"/>
      <c r="J10" s="481"/>
      <c r="K10" s="481"/>
      <c r="L10" s="481"/>
      <c r="M10" s="481"/>
      <c r="N10" s="481"/>
      <c r="O10" s="481"/>
      <c r="P10" s="481"/>
      <c r="Q10" s="481"/>
      <c r="R10" s="481"/>
      <c r="S10" s="481"/>
      <c r="T10" s="481"/>
      <c r="U10" s="481"/>
      <c r="V10" s="284" t="s">
        <v>2068</v>
      </c>
    </row>
    <row r="11" spans="1:22" ht="3.75" customHeight="1">
      <c r="F11" s="285"/>
      <c r="G11" s="285"/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 t="s">
        <v>1421</v>
      </c>
    </row>
    <row r="12" spans="1:22" ht="15" customHeight="1">
      <c r="A12" s="279"/>
      <c r="B12" s="200" t="s">
        <v>2765</v>
      </c>
      <c r="C12" s="200" t="str">
        <f>C3</f>
        <v>ag005</v>
      </c>
      <c r="D12" s="280" t="e">
        <f>VLOOKUP(B13,[1]velho!$A$31:$Y$207,11, FALSE())</f>
        <v>#N/A</v>
      </c>
      <c r="E12" s="281" t="e">
        <f>VLOOKUP(B13,#REF!,2, FALSE())</f>
        <v>#REF!</v>
      </c>
      <c r="F12" s="489" t="e">
        <f>VLOOKUP($B13,[1]velho!$A$31:$BG$207,28, FALSE())</f>
        <v>#N/A</v>
      </c>
      <c r="G12" s="490" t="e">
        <f>VLOOKUP($B13,[1]velho!$A$31:$BG$207,29, FALSE())</f>
        <v>#N/A</v>
      </c>
      <c r="H12" s="489" t="e">
        <f>VLOOKUP($B13,[1]velho!$A$31:$BG$207,30, FALSE())</f>
        <v>#N/A</v>
      </c>
      <c r="I12" s="490" t="e">
        <f>VLOOKUP($B13,[1]velho!$A$31:$BG$207,31, FALSE())</f>
        <v>#N/A</v>
      </c>
      <c r="J12" s="489" t="e">
        <f>VLOOKUP($B13,[1]velho!$A$31:$BG$207,32, FALSE())</f>
        <v>#N/A</v>
      </c>
      <c r="K12" s="490" t="e">
        <f>VLOOKUP($B13,[1]velho!$A$31:$BG$207,33, FALSE())</f>
        <v>#N/A</v>
      </c>
      <c r="L12" s="489" t="e">
        <f>VLOOKUP($B13,[1]velho!$A$31:$BG$207,34, FALSE())</f>
        <v>#N/A</v>
      </c>
      <c r="M12" s="490" t="e">
        <f>VLOOKUP($B13,[1]velho!$A$31:$BG$207,35, FALSE())</f>
        <v>#N/A</v>
      </c>
      <c r="N12" s="489" t="e">
        <f>VLOOKUP($B13,[1]velho!$A$31:$BG$207,36, FALSE())</f>
        <v>#N/A</v>
      </c>
      <c r="O12" s="490" t="e">
        <f>VLOOKUP($B13,[1]velho!$A$31:$BG$207,37, FALSE())</f>
        <v>#N/A</v>
      </c>
      <c r="P12" s="489" t="e">
        <f>VLOOKUP($B13,[1]velho!$A$31:$BG$207,38, FALSE())</f>
        <v>#N/A</v>
      </c>
      <c r="Q12" s="490" t="e">
        <f>VLOOKUP($B13,[1]velho!$A$31:$BG$207,39, FALSE())</f>
        <v>#N/A</v>
      </c>
      <c r="R12" s="489" t="e">
        <f>VLOOKUP($B13,[1]velho!$A$31:$BG$207,40, FALSE())</f>
        <v>#N/A</v>
      </c>
      <c r="S12" s="490" t="e">
        <f>VLOOKUP($B13,[1]velho!$A$31:$BG$207,41, FALSE())</f>
        <v>#N/A</v>
      </c>
      <c r="T12" s="489" t="e">
        <f>VLOOKUP($B13,[1]velho!$A$31:$BG$207,42, FALSE())</f>
        <v>#N/A</v>
      </c>
      <c r="U12" s="490"/>
      <c r="V12" s="284" t="s">
        <v>1475</v>
      </c>
    </row>
    <row r="13" spans="1:22" ht="15" customHeight="1">
      <c r="A13" s="145"/>
      <c r="B13" s="507" t="str">
        <f>V6</f>
        <v>AG062 - LD-B/4</v>
      </c>
      <c r="C13" s="499"/>
      <c r="D13" s="508" t="e">
        <f>VLOOKUP(B13,[1]velho!$A$31:$Y$207,25, FALSE())</f>
        <v>#N/A</v>
      </c>
      <c r="E13" s="496"/>
      <c r="F13" s="481"/>
      <c r="G13" s="481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284" t="s">
        <v>1535</v>
      </c>
    </row>
    <row r="14" spans="1:22" ht="3.75" customHeight="1"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 t="s">
        <v>2771</v>
      </c>
    </row>
    <row r="15" spans="1:22" ht="15" customHeight="1">
      <c r="A15" s="279"/>
      <c r="B15" s="200" t="s">
        <v>2765</v>
      </c>
      <c r="C15" s="200" t="str">
        <f>C3</f>
        <v>ag005</v>
      </c>
      <c r="D15" s="280" t="e">
        <f>VLOOKUP(B16,[1]velho!$A$31:$Y$207,11, FALSE())</f>
        <v>#N/A</v>
      </c>
      <c r="E15" s="281" t="e">
        <f>VLOOKUP(B16,#REF!,2, FALSE())</f>
        <v>#REF!</v>
      </c>
      <c r="F15" s="489" t="e">
        <f>VLOOKUP($B16,[1]velho!$A$31:$BG$207,28, FALSE())</f>
        <v>#N/A</v>
      </c>
      <c r="G15" s="490" t="e">
        <f>VLOOKUP($B16,[1]velho!$A$31:$BG$207,29, FALSE())</f>
        <v>#N/A</v>
      </c>
      <c r="H15" s="489" t="e">
        <f>VLOOKUP($B16,[1]velho!$A$31:$BG$207,30, FALSE())</f>
        <v>#N/A</v>
      </c>
      <c r="I15" s="490" t="e">
        <f>VLOOKUP($B16,[1]velho!$A$31:$BG$207,31, FALSE())</f>
        <v>#N/A</v>
      </c>
      <c r="J15" s="489" t="e">
        <f>VLOOKUP($B16,[1]velho!$A$31:$BG$207,32, FALSE())</f>
        <v>#N/A</v>
      </c>
      <c r="K15" s="490" t="e">
        <f>VLOOKUP($B16,[1]velho!$A$31:$BG$207,33, FALSE())</f>
        <v>#N/A</v>
      </c>
      <c r="L15" s="489" t="e">
        <f>VLOOKUP($B16,[1]velho!$A$31:$BG$207,34, FALSE())</f>
        <v>#N/A</v>
      </c>
      <c r="M15" s="490" t="e">
        <f>VLOOKUP($B16,[1]velho!$A$31:$BG$207,35, FALSE())</f>
        <v>#N/A</v>
      </c>
      <c r="N15" s="489" t="e">
        <f>VLOOKUP($B16,[1]velho!$A$31:$BG$207,36, FALSE())</f>
        <v>#N/A</v>
      </c>
      <c r="O15" s="490" t="e">
        <f>VLOOKUP($B16,[1]velho!$A$31:$BG$207,37, FALSE())</f>
        <v>#N/A</v>
      </c>
      <c r="P15" s="489" t="e">
        <f>VLOOKUP($B16,[1]velho!$A$31:$BG$207,38, FALSE())</f>
        <v>#N/A</v>
      </c>
      <c r="Q15" s="490" t="e">
        <f>VLOOKUP($B16,[1]velho!$A$31:$BG$207,39, FALSE())</f>
        <v>#N/A</v>
      </c>
      <c r="R15" s="489" t="e">
        <f>VLOOKUP($B16,[1]velho!$A$31:$BG$207,40, FALSE())</f>
        <v>#N/A</v>
      </c>
      <c r="S15" s="490" t="e">
        <f>VLOOKUP($B16,[1]velho!$A$31:$BG$207,41, FALSE())</f>
        <v>#N/A</v>
      </c>
      <c r="T15" s="489" t="e">
        <f>VLOOKUP($B16,[1]velho!$A$31:$BG$207,42, FALSE())</f>
        <v>#N/A</v>
      </c>
      <c r="U15" s="490"/>
      <c r="V15" s="284" t="s">
        <v>1542</v>
      </c>
    </row>
    <row r="16" spans="1:22" ht="15" customHeight="1">
      <c r="A16" s="145"/>
      <c r="B16" s="507" t="str">
        <f>V7</f>
        <v>AG062 - LD-B/5</v>
      </c>
      <c r="C16" s="499"/>
      <c r="D16" s="508" t="e">
        <f>VLOOKUP(B16,[1]velho!$A$31:$Y$207,25, FALSE())</f>
        <v>#N/A</v>
      </c>
      <c r="E16" s="496"/>
      <c r="F16" s="481"/>
      <c r="G16" s="481"/>
      <c r="H16" s="481"/>
      <c r="I16" s="481"/>
      <c r="J16" s="481"/>
      <c r="K16" s="481"/>
      <c r="L16" s="481"/>
      <c r="M16" s="481"/>
      <c r="N16" s="481"/>
      <c r="O16" s="481"/>
      <c r="P16" s="481"/>
      <c r="Q16" s="481"/>
      <c r="R16" s="481"/>
      <c r="S16" s="481"/>
      <c r="T16" s="481"/>
      <c r="U16" s="481"/>
      <c r="V16" s="284" t="s">
        <v>1538</v>
      </c>
    </row>
    <row r="17" spans="1:22" ht="3.75" customHeight="1">
      <c r="F17" s="285"/>
      <c r="G17" s="285"/>
      <c r="H17" s="285"/>
      <c r="I17" s="285"/>
      <c r="J17" s="285"/>
      <c r="K17" s="285"/>
      <c r="L17" s="285"/>
      <c r="M17" s="285"/>
      <c r="N17" s="285"/>
      <c r="O17" s="285"/>
      <c r="P17" s="285"/>
      <c r="Q17" s="285"/>
      <c r="R17" s="285"/>
      <c r="S17" s="285"/>
      <c r="T17" s="285"/>
      <c r="U17" s="285"/>
      <c r="V17" s="285"/>
    </row>
    <row r="18" spans="1:22" ht="15" customHeight="1">
      <c r="A18" s="279"/>
      <c r="B18" s="200" t="s">
        <v>2765</v>
      </c>
      <c r="C18" s="200" t="str">
        <f>C3</f>
        <v>ag005</v>
      </c>
      <c r="D18" s="280" t="e">
        <f>VLOOKUP(B19,[1]velho!$A$31:$Y$207,11, FALSE())</f>
        <v>#N/A</v>
      </c>
      <c r="E18" s="281" t="e">
        <f>VLOOKUP(B19,#REF!,2, FALSE())</f>
        <v>#REF!</v>
      </c>
      <c r="F18" s="489" t="e">
        <f>VLOOKUP($B19,[1]velho!$A$31:$BG$207,28, FALSE())</f>
        <v>#N/A</v>
      </c>
      <c r="G18" s="490" t="e">
        <f>VLOOKUP($B19,[1]velho!$A$31:$BG$207,29, FALSE())</f>
        <v>#N/A</v>
      </c>
      <c r="H18" s="489" t="e">
        <f>VLOOKUP($B19,[1]velho!$A$31:$BG$207,30, FALSE())</f>
        <v>#N/A</v>
      </c>
      <c r="I18" s="490" t="e">
        <f>VLOOKUP($B19,[1]velho!$A$31:$BG$207,31, FALSE())</f>
        <v>#N/A</v>
      </c>
      <c r="J18" s="489" t="e">
        <f>VLOOKUP($B19,[1]velho!$A$31:$BG$207,32, FALSE())</f>
        <v>#N/A</v>
      </c>
      <c r="K18" s="490" t="e">
        <f>VLOOKUP($B19,[1]velho!$A$31:$BG$207,33, FALSE())</f>
        <v>#N/A</v>
      </c>
      <c r="L18" s="489" t="e">
        <f>VLOOKUP($B19,[1]velho!$A$31:$BG$207,34, FALSE())</f>
        <v>#N/A</v>
      </c>
      <c r="M18" s="490" t="e">
        <f>VLOOKUP($B19,[1]velho!$A$31:$BG$207,35, FALSE())</f>
        <v>#N/A</v>
      </c>
      <c r="N18" s="489" t="e">
        <f>VLOOKUP($B19,[1]velho!$A$31:$BG$207,36, FALSE())</f>
        <v>#N/A</v>
      </c>
      <c r="O18" s="490" t="e">
        <f>VLOOKUP($B19,[1]velho!$A$31:$BG$207,37, FALSE())</f>
        <v>#N/A</v>
      </c>
      <c r="P18" s="489" t="e">
        <f>VLOOKUP($B19,[1]velho!$A$31:$BG$207,38, FALSE())</f>
        <v>#N/A</v>
      </c>
      <c r="Q18" s="490" t="e">
        <f>VLOOKUP($B19,[1]velho!$A$31:$BG$207,39, FALSE())</f>
        <v>#N/A</v>
      </c>
      <c r="R18" s="489" t="e">
        <f>VLOOKUP($B19,[1]velho!$A$31:$BG$207,40, FALSE())</f>
        <v>#N/A</v>
      </c>
      <c r="S18" s="490" t="e">
        <f>VLOOKUP($B19,[1]velho!$A$31:$BG$207,41, FALSE())</f>
        <v>#N/A</v>
      </c>
      <c r="T18" s="489" t="e">
        <f>VLOOKUP($B19,[1]velho!$A$31:$BG$207,42, FALSE())</f>
        <v>#N/A</v>
      </c>
      <c r="U18" s="490"/>
      <c r="V18" s="284"/>
    </row>
    <row r="19" spans="1:22" ht="15" customHeight="1">
      <c r="A19" s="145"/>
      <c r="B19" s="507" t="str">
        <f>V8</f>
        <v>AG062 - LD-B/6</v>
      </c>
      <c r="C19" s="499"/>
      <c r="D19" s="508" t="e">
        <f>VLOOKUP(B19,[1]velho!$A$31:$Y$207,25, FALSE())</f>
        <v>#N/A</v>
      </c>
      <c r="E19" s="496"/>
      <c r="F19" s="481"/>
      <c r="G19" s="481"/>
      <c r="H19" s="481"/>
      <c r="I19" s="481"/>
      <c r="J19" s="481"/>
      <c r="K19" s="481"/>
      <c r="L19" s="481"/>
      <c r="M19" s="481"/>
      <c r="N19" s="481"/>
      <c r="O19" s="481"/>
      <c r="P19" s="481"/>
      <c r="Q19" s="481"/>
      <c r="R19" s="481"/>
      <c r="S19" s="481"/>
      <c r="T19" s="481"/>
      <c r="U19" s="481"/>
      <c r="V19" s="284"/>
    </row>
    <row r="20" spans="1:22" ht="3.75" customHeight="1"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</row>
    <row r="21" spans="1:22" ht="15" customHeight="1">
      <c r="A21" s="279"/>
      <c r="B21" s="200" t="s">
        <v>2765</v>
      </c>
      <c r="C21" s="200" t="str">
        <f>C3</f>
        <v>ag005</v>
      </c>
      <c r="D21" s="280" t="e">
        <f>VLOOKUP(B22,[1]velho!$A$31:$Y$207,11, FALSE())</f>
        <v>#N/A</v>
      </c>
      <c r="E21" s="281" t="e">
        <f>VLOOKUP(B22,#REF!,2, FALSE())</f>
        <v>#REF!</v>
      </c>
      <c r="F21" s="489" t="e">
        <f>VLOOKUP($B22,[1]velho!$A$31:$BG$207,28, FALSE())</f>
        <v>#N/A</v>
      </c>
      <c r="G21" s="490" t="e">
        <f>VLOOKUP($B22,[1]velho!$A$31:$BG$207,29, FALSE())</f>
        <v>#N/A</v>
      </c>
      <c r="H21" s="489" t="e">
        <f>VLOOKUP($B22,[1]velho!$A$31:$BG$207,30, FALSE())</f>
        <v>#N/A</v>
      </c>
      <c r="I21" s="490" t="e">
        <f>VLOOKUP($B22,[1]velho!$A$31:$BG$207,31, FALSE())</f>
        <v>#N/A</v>
      </c>
      <c r="J21" s="489" t="e">
        <f>VLOOKUP($B22,[1]velho!$A$31:$BG$207,32, FALSE())</f>
        <v>#N/A</v>
      </c>
      <c r="K21" s="490" t="e">
        <f>VLOOKUP($B22,[1]velho!$A$31:$BG$207,33, FALSE())</f>
        <v>#N/A</v>
      </c>
      <c r="L21" s="489" t="e">
        <f>VLOOKUP($B22,[1]velho!$A$31:$BG$207,34, FALSE())</f>
        <v>#N/A</v>
      </c>
      <c r="M21" s="490" t="e">
        <f>VLOOKUP($B22,[1]velho!$A$31:$BG$207,35, FALSE())</f>
        <v>#N/A</v>
      </c>
      <c r="N21" s="489" t="e">
        <f>VLOOKUP($B22,[1]velho!$A$31:$BG$207,36, FALSE())</f>
        <v>#N/A</v>
      </c>
      <c r="O21" s="490" t="e">
        <f>VLOOKUP($B22,[1]velho!$A$31:$BG$207,37, FALSE())</f>
        <v>#N/A</v>
      </c>
      <c r="P21" s="489" t="e">
        <f>VLOOKUP($B22,[1]velho!$A$31:$BG$207,38, FALSE())</f>
        <v>#N/A</v>
      </c>
      <c r="Q21" s="490" t="e">
        <f>VLOOKUP($B22,[1]velho!$A$31:$BG$207,39, FALSE())</f>
        <v>#N/A</v>
      </c>
      <c r="R21" s="489" t="e">
        <f>VLOOKUP($B22,[1]velho!$A$31:$BG$207,40, FALSE())</f>
        <v>#N/A</v>
      </c>
      <c r="S21" s="490" t="e">
        <f>VLOOKUP($B22,[1]velho!$A$31:$BG$207,41, FALSE())</f>
        <v>#N/A</v>
      </c>
      <c r="T21" s="489" t="e">
        <f>VLOOKUP($B22,[1]velho!$A$31:$BG$207,42, FALSE())</f>
        <v>#N/A</v>
      </c>
      <c r="U21" s="490"/>
      <c r="V21" s="284"/>
    </row>
    <row r="22" spans="1:22" ht="15" customHeight="1">
      <c r="A22" s="145"/>
      <c r="B22" s="507" t="str">
        <f>V9</f>
        <v>AG062 - LDEB/1</v>
      </c>
      <c r="C22" s="499"/>
      <c r="D22" s="508" t="e">
        <f>VLOOKUP(B22,[1]velho!$A$31:$Y$207,25, FALSE())</f>
        <v>#N/A</v>
      </c>
      <c r="E22" s="496"/>
      <c r="F22" s="481"/>
      <c r="G22" s="481"/>
      <c r="H22" s="481"/>
      <c r="I22" s="481"/>
      <c r="J22" s="481"/>
      <c r="K22" s="481"/>
      <c r="L22" s="481"/>
      <c r="M22" s="481"/>
      <c r="N22" s="481"/>
      <c r="O22" s="481"/>
      <c r="P22" s="481"/>
      <c r="Q22" s="481"/>
      <c r="R22" s="481"/>
      <c r="S22" s="481"/>
      <c r="T22" s="481"/>
      <c r="U22" s="481"/>
      <c r="V22" s="284"/>
    </row>
    <row r="23" spans="1:22" ht="3.75" customHeight="1">
      <c r="D23" s="286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P23" s="285"/>
      <c r="Q23" s="285"/>
      <c r="R23" s="285"/>
      <c r="S23" s="285"/>
      <c r="T23" s="285"/>
      <c r="U23" s="285"/>
      <c r="V23" s="285"/>
    </row>
    <row r="24" spans="1:22" ht="15.75" customHeight="1">
      <c r="D24" s="280" t="e">
        <f>VLOOKUP(B25,[1]velho!$A$31:$Y$207,11, FALSE())</f>
        <v>#N/A</v>
      </c>
      <c r="E24" s="281" t="e">
        <f>VLOOKUP(B25,#REF!,2, FALSE())</f>
        <v>#REF!</v>
      </c>
      <c r="F24" s="489" t="e">
        <f>VLOOKUP($B25,[1]velho!$A$31:$BG$207,28, FALSE())</f>
        <v>#N/A</v>
      </c>
      <c r="G24" s="490" t="e">
        <f>VLOOKUP($B25,[1]velho!$A$31:$BG$207,29, FALSE())</f>
        <v>#N/A</v>
      </c>
      <c r="H24" s="489" t="e">
        <f>VLOOKUP($B25,[1]velho!$A$31:$BG$207,30, FALSE())</f>
        <v>#N/A</v>
      </c>
      <c r="I24" s="490" t="e">
        <f>VLOOKUP($B25,[1]velho!$A$31:$BG$207,31, FALSE())</f>
        <v>#N/A</v>
      </c>
      <c r="J24" s="489" t="e">
        <f>VLOOKUP($B25,[1]velho!$A$31:$BG$207,32, FALSE())</f>
        <v>#N/A</v>
      </c>
      <c r="K24" s="490" t="e">
        <f>VLOOKUP($B25,[1]velho!$A$31:$BG$207,33, FALSE())</f>
        <v>#N/A</v>
      </c>
      <c r="L24" s="489" t="e">
        <f>VLOOKUP($B25,[1]velho!$A$31:$BG$207,34, FALSE())</f>
        <v>#N/A</v>
      </c>
      <c r="M24" s="490" t="e">
        <f>VLOOKUP($B25,[1]velho!$A$31:$BG$207,35, FALSE())</f>
        <v>#N/A</v>
      </c>
      <c r="N24" s="489" t="e">
        <f>VLOOKUP($B25,[1]velho!$A$31:$BG$207,36, FALSE())</f>
        <v>#N/A</v>
      </c>
      <c r="O24" s="490" t="e">
        <f>VLOOKUP($B25,[1]velho!$A$31:$BG$207,37, FALSE())</f>
        <v>#N/A</v>
      </c>
      <c r="P24" s="489" t="e">
        <f>VLOOKUP($B25,[1]velho!$A$31:$BG$207,38, FALSE())</f>
        <v>#N/A</v>
      </c>
      <c r="Q24" s="490" t="e">
        <f>VLOOKUP($B25,[1]velho!$A$31:$BG$207,39, FALSE())</f>
        <v>#N/A</v>
      </c>
      <c r="R24" s="489" t="e">
        <f>VLOOKUP($B25,[1]velho!$A$31:$BG$207,40, FALSE())</f>
        <v>#N/A</v>
      </c>
      <c r="S24" s="490" t="e">
        <f>VLOOKUP($B25,[1]velho!$A$31:$BG$207,41, FALSE())</f>
        <v>#N/A</v>
      </c>
      <c r="T24" s="489" t="e">
        <f>VLOOKUP($B25,[1]velho!$A$31:$BG$207,42, FALSE())</f>
        <v>#N/A</v>
      </c>
      <c r="U24" s="490"/>
      <c r="V24" s="287"/>
    </row>
    <row r="25" spans="1:22" ht="15.75" customHeight="1">
      <c r="A25" s="145"/>
      <c r="B25" s="507" t="str">
        <f>V10</f>
        <v>AG062 - ENCAR</v>
      </c>
      <c r="C25" s="499"/>
      <c r="D25" s="508" t="e">
        <f>VLOOKUP(B25,[1]velho!$A$31:$Y$207,25, FALSE())</f>
        <v>#N/A</v>
      </c>
      <c r="E25" s="496"/>
      <c r="F25" s="481"/>
      <c r="G25" s="481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287"/>
    </row>
    <row r="26" spans="1:22" ht="3.75" hidden="1" customHeight="1"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</row>
    <row r="27" spans="1:22" ht="15.75" hidden="1" customHeight="1">
      <c r="D27" s="280" t="e">
        <f>VLOOKUP(B28,[1]velho!$A$31:$Y$207,11, FALSE())</f>
        <v>#N/A</v>
      </c>
      <c r="E27" s="281" t="e">
        <f>VLOOKUP(B28,#REF!,2, FALSE())</f>
        <v>#REF!</v>
      </c>
      <c r="F27" s="489" t="e">
        <f>VLOOKUP($B28,[1]velho!$A$31:$BG$207,28, FALSE())</f>
        <v>#N/A</v>
      </c>
      <c r="G27" s="509" t="e">
        <f>VLOOKUP($B28,[1]velho!$A$31:$BG$207,29, FALSE())</f>
        <v>#N/A</v>
      </c>
      <c r="H27" s="489" t="e">
        <f>VLOOKUP($B28,[1]velho!$A$31:$BG$207,30, FALSE())</f>
        <v>#N/A</v>
      </c>
      <c r="I27" s="490" t="e">
        <f>VLOOKUP($B28,[1]velho!$A$31:$BG$207,31, FALSE())</f>
        <v>#N/A</v>
      </c>
      <c r="J27" s="489" t="e">
        <f>VLOOKUP($B28,[1]velho!$A$31:$BG$207,32, FALSE())</f>
        <v>#N/A</v>
      </c>
      <c r="K27" s="490" t="e">
        <f>VLOOKUP($B28,[1]velho!$A$31:$BG$207,33, FALSE())</f>
        <v>#N/A</v>
      </c>
      <c r="L27" s="489" t="e">
        <f>VLOOKUP($B28,[1]velho!$A$31:$BG$207,34, FALSE())</f>
        <v>#N/A</v>
      </c>
      <c r="M27" s="490" t="e">
        <f>VLOOKUP($B28,[1]velho!$A$31:$BG$207,35, FALSE())</f>
        <v>#N/A</v>
      </c>
      <c r="N27" s="489" t="e">
        <f>VLOOKUP($B28,[1]velho!$A$31:$BG$207,36, FALSE())</f>
        <v>#N/A</v>
      </c>
      <c r="O27" s="490" t="e">
        <f>VLOOKUP($B28,[1]velho!$A$31:$BG$207,37, FALSE())</f>
        <v>#N/A</v>
      </c>
      <c r="P27" s="489" t="e">
        <f>VLOOKUP($B28,[1]velho!$A$31:$BG$207,38, FALSE())</f>
        <v>#N/A</v>
      </c>
      <c r="Q27" s="490" t="e">
        <f>VLOOKUP($B28,[1]velho!$A$31:$BG$207,39, FALSE())</f>
        <v>#N/A</v>
      </c>
      <c r="R27" s="489" t="e">
        <f>VLOOKUP($B28,[1]velho!$A$31:$BG$207,40, FALSE())</f>
        <v>#N/A</v>
      </c>
      <c r="S27" s="490" t="e">
        <f>VLOOKUP($B28,[1]velho!$A$31:$BG$207,41, FALSE())</f>
        <v>#N/A</v>
      </c>
      <c r="T27" s="489" t="e">
        <f>VLOOKUP($B28,[1]velho!$A$31:$BG$207,42, FALSE())</f>
        <v>#N/A</v>
      </c>
      <c r="U27" s="490"/>
      <c r="V27" s="287"/>
    </row>
    <row r="28" spans="1:22" ht="15.75" hidden="1" customHeight="1">
      <c r="A28" s="145"/>
      <c r="B28" s="507" t="str">
        <f>V11</f>
        <v>AG029 - LD-B/6</v>
      </c>
      <c r="C28" s="499"/>
      <c r="D28" s="508" t="e">
        <f>VLOOKUP(B28,[1]velho!$A$31:$Y$207,25, FALSE())</f>
        <v>#N/A</v>
      </c>
      <c r="E28" s="496"/>
      <c r="F28" s="481"/>
      <c r="G28" s="481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287"/>
    </row>
    <row r="29" spans="1:22" ht="3.75" hidden="1" customHeight="1"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P29" s="285"/>
      <c r="Q29" s="285"/>
      <c r="R29" s="285"/>
      <c r="S29" s="285"/>
      <c r="T29" s="285"/>
      <c r="U29" s="285"/>
      <c r="V29" s="285"/>
    </row>
    <row r="30" spans="1:22" ht="15.75" hidden="1" customHeight="1">
      <c r="D30" s="280" t="e">
        <f>VLOOKUP(B31,[1]velho!$A$31:$Y$207,11, FALSE())</f>
        <v>#N/A</v>
      </c>
      <c r="E30" s="281" t="e">
        <f>VLOOKUP(B31,#REF!,2, FALSE())</f>
        <v>#REF!</v>
      </c>
      <c r="F30" s="489" t="e">
        <f>VLOOKUP($B31,[1]velho!$A$31:$BG$207,28, FALSE())</f>
        <v>#N/A</v>
      </c>
      <c r="G30" s="509" t="e">
        <f>VLOOKUP($B31,[1]velho!$A$31:$BG$207,29, FALSE())</f>
        <v>#N/A</v>
      </c>
      <c r="H30" s="489" t="e">
        <f>VLOOKUP($B31,[1]velho!$A$31:$BG$207,30, FALSE())</f>
        <v>#N/A</v>
      </c>
      <c r="I30" s="490" t="e">
        <f>VLOOKUP($B31,[1]velho!$A$31:$BG$207,31, FALSE())</f>
        <v>#N/A</v>
      </c>
      <c r="J30" s="489" t="e">
        <f>VLOOKUP($B31,[1]velho!$A$31:$BG$207,32, FALSE())</f>
        <v>#N/A</v>
      </c>
      <c r="K30" s="490" t="e">
        <f>VLOOKUP($B31,[1]velho!$A$31:$BG$207,33, FALSE())</f>
        <v>#N/A</v>
      </c>
      <c r="L30" s="489" t="e">
        <f>VLOOKUP($B31,[1]velho!$A$31:$BG$207,34, FALSE())</f>
        <v>#N/A</v>
      </c>
      <c r="M30" s="490" t="e">
        <f>VLOOKUP($B31,[1]velho!$A$31:$BG$207,35, FALSE())</f>
        <v>#N/A</v>
      </c>
      <c r="N30" s="489" t="e">
        <f>VLOOKUP($B31,[1]velho!$A$31:$BG$207,36, FALSE())</f>
        <v>#N/A</v>
      </c>
      <c r="O30" s="490" t="e">
        <f>VLOOKUP($B31,[1]velho!$A$31:$BG$207,37, FALSE())</f>
        <v>#N/A</v>
      </c>
      <c r="P30" s="489" t="e">
        <f>VLOOKUP($B31,[1]velho!$A$31:$BG$207,38, FALSE())</f>
        <v>#N/A</v>
      </c>
      <c r="Q30" s="490" t="e">
        <f>VLOOKUP($B31,[1]velho!$A$31:$BG$207,39, FALSE())</f>
        <v>#N/A</v>
      </c>
      <c r="R30" s="489" t="e">
        <f>VLOOKUP($B31,[1]velho!$A$31:$BG$207,40, FALSE())</f>
        <v>#N/A</v>
      </c>
      <c r="S30" s="490" t="e">
        <f>VLOOKUP($B31,[1]velho!$A$31:$BG$207,41, FALSE())</f>
        <v>#N/A</v>
      </c>
      <c r="T30" s="489" t="e">
        <f>VLOOKUP($B31,[1]velho!$A$31:$BG$207,42, FALSE())</f>
        <v>#N/A</v>
      </c>
      <c r="U30" s="490"/>
      <c r="V30" s="287"/>
    </row>
    <row r="31" spans="1:22" ht="15.75" hidden="1" customHeight="1">
      <c r="A31" s="145"/>
      <c r="B31" s="507" t="str">
        <f>V12</f>
        <v>AG029 - LD-B/7</v>
      </c>
      <c r="C31" s="499"/>
      <c r="D31" s="508" t="e">
        <f>VLOOKUP(B31,[1]velho!$A$31:$Y$207,25, FALSE())</f>
        <v>#N/A</v>
      </c>
      <c r="E31" s="496"/>
      <c r="F31" s="481"/>
      <c r="G31" s="481"/>
      <c r="H31" s="481"/>
      <c r="I31" s="481"/>
      <c r="J31" s="481"/>
      <c r="K31" s="481"/>
      <c r="L31" s="481"/>
      <c r="M31" s="481"/>
      <c r="N31" s="481"/>
      <c r="O31" s="481"/>
      <c r="P31" s="481"/>
      <c r="Q31" s="481"/>
      <c r="R31" s="481"/>
      <c r="S31" s="481"/>
      <c r="T31" s="481"/>
      <c r="U31" s="481"/>
      <c r="V31" s="287"/>
    </row>
    <row r="32" spans="1:22" ht="3.75" hidden="1" customHeight="1"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</row>
    <row r="33" spans="1:22" ht="15.75" hidden="1" customHeight="1">
      <c r="D33" s="280" t="e">
        <f>VLOOKUP(B34,[1]velho!$A$31:$Y$207,11, FALSE())</f>
        <v>#N/A</v>
      </c>
      <c r="E33" s="281" t="e">
        <f>VLOOKUP(B34,#REF!,2, FALSE())</f>
        <v>#REF!</v>
      </c>
      <c r="F33" s="489" t="e">
        <f>VLOOKUP($B34,[1]velho!$A$31:$BG$207,28, FALSE())</f>
        <v>#N/A</v>
      </c>
      <c r="G33" s="509" t="e">
        <f>VLOOKUP($B34,[1]velho!$A$31:$BG$207,29, FALSE())</f>
        <v>#N/A</v>
      </c>
      <c r="H33" s="489" t="e">
        <f>VLOOKUP($B34,[1]velho!$A$31:$BG$207,30, FALSE())</f>
        <v>#N/A</v>
      </c>
      <c r="I33" s="490" t="e">
        <f>VLOOKUP($B34,[1]velho!$A$31:$BG$207,31, FALSE())</f>
        <v>#N/A</v>
      </c>
      <c r="J33" s="489" t="e">
        <f>VLOOKUP($B34,[1]velho!$A$31:$BG$207,32, FALSE())</f>
        <v>#N/A</v>
      </c>
      <c r="K33" s="490" t="e">
        <f>VLOOKUP($B34,[1]velho!$A$31:$BG$207,33, FALSE())</f>
        <v>#N/A</v>
      </c>
      <c r="L33" s="489" t="e">
        <f>VLOOKUP($B34,[1]velho!$A$31:$BG$207,34, FALSE())</f>
        <v>#N/A</v>
      </c>
      <c r="M33" s="490" t="e">
        <f>VLOOKUP($B34,[1]velho!$A$31:$BG$207,35, FALSE())</f>
        <v>#N/A</v>
      </c>
      <c r="N33" s="489" t="e">
        <f>VLOOKUP($B34,[1]velho!$A$31:$BG$207,36, FALSE())</f>
        <v>#N/A</v>
      </c>
      <c r="O33" s="490" t="e">
        <f>VLOOKUP($B34,[1]velho!$A$31:$BG$207,37, FALSE())</f>
        <v>#N/A</v>
      </c>
      <c r="P33" s="489" t="e">
        <f>VLOOKUP($B34,[1]velho!$A$31:$BG$207,38, FALSE())</f>
        <v>#N/A</v>
      </c>
      <c r="Q33" s="490" t="e">
        <f>VLOOKUP($B34,[1]velho!$A$31:$BG$207,39, FALSE())</f>
        <v>#N/A</v>
      </c>
      <c r="R33" s="489" t="e">
        <f>VLOOKUP($B34,[1]velho!$A$31:$BG$207,40, FALSE())</f>
        <v>#N/A</v>
      </c>
      <c r="S33" s="490" t="e">
        <f>VLOOKUP($B34,[1]velho!$A$31:$BG$207,41, FALSE())</f>
        <v>#N/A</v>
      </c>
      <c r="T33" s="489" t="e">
        <f>VLOOKUP($B34,[1]velho!$A$31:$BG$207,42, FALSE())</f>
        <v>#N/A</v>
      </c>
      <c r="U33" s="490"/>
      <c r="V33" s="287"/>
    </row>
    <row r="34" spans="1:22" ht="15.75" hidden="1" customHeight="1">
      <c r="A34" s="145"/>
      <c r="B34" s="507" t="str">
        <f>V13</f>
        <v>AG029 - LD-B/8</v>
      </c>
      <c r="C34" s="499"/>
      <c r="D34" s="508" t="e">
        <f>VLOOKUP(B34,[1]velho!$A$31:$Y$207,25, FALSE())</f>
        <v>#N/A</v>
      </c>
      <c r="E34" s="496"/>
      <c r="F34" s="481"/>
      <c r="G34" s="481"/>
      <c r="H34" s="481"/>
      <c r="I34" s="481"/>
      <c r="J34" s="481"/>
      <c r="K34" s="481"/>
      <c r="L34" s="481"/>
      <c r="M34" s="481"/>
      <c r="N34" s="481"/>
      <c r="O34" s="481"/>
      <c r="P34" s="481"/>
      <c r="Q34" s="481"/>
      <c r="R34" s="481"/>
      <c r="S34" s="481"/>
      <c r="T34" s="481"/>
      <c r="U34" s="481"/>
      <c r="V34" s="287"/>
    </row>
    <row r="35" spans="1:22" ht="3.75" hidden="1" customHeight="1"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5"/>
      <c r="R35" s="285"/>
      <c r="S35" s="285"/>
      <c r="T35" s="285"/>
      <c r="U35" s="285"/>
      <c r="V35" s="285"/>
    </row>
    <row r="36" spans="1:22" ht="15.75" hidden="1" customHeight="1">
      <c r="D36" s="280" t="e">
        <f>VLOOKUP(B37,[1]velho!$A$31:$Y$207,11, FALSE())</f>
        <v>#N/A</v>
      </c>
      <c r="E36" s="281" t="e">
        <f>VLOOKUP(B37,#REF!,2, FALSE())</f>
        <v>#REF!</v>
      </c>
      <c r="F36" s="489" t="e">
        <f>VLOOKUP($B37,[1]velho!$A$31:$BG$207,28, FALSE())</f>
        <v>#N/A</v>
      </c>
      <c r="G36" s="509" t="e">
        <f>VLOOKUP($B37,[1]velho!$A$31:$BG$207,29, FALSE())</f>
        <v>#N/A</v>
      </c>
      <c r="H36" s="489" t="e">
        <f>VLOOKUP($B37,[1]velho!$A$31:$BG$207,30, FALSE())</f>
        <v>#N/A</v>
      </c>
      <c r="I36" s="490" t="e">
        <f>VLOOKUP($B37,[1]velho!$A$31:$BG$207,31, FALSE())</f>
        <v>#N/A</v>
      </c>
      <c r="J36" s="489" t="e">
        <f>VLOOKUP($B37,[1]velho!$A$31:$BG$207,32, FALSE())</f>
        <v>#N/A</v>
      </c>
      <c r="K36" s="490" t="e">
        <f>VLOOKUP($B37,[1]velho!$A$31:$BG$207,33, FALSE())</f>
        <v>#N/A</v>
      </c>
      <c r="L36" s="489" t="e">
        <f>VLOOKUP($B37,[1]velho!$A$31:$BG$207,34, FALSE())</f>
        <v>#N/A</v>
      </c>
      <c r="M36" s="490" t="e">
        <f>VLOOKUP($B37,[1]velho!$A$31:$BG$207,35, FALSE())</f>
        <v>#N/A</v>
      </c>
      <c r="N36" s="489" t="e">
        <f>VLOOKUP($B37,[1]velho!$A$31:$BG$207,36, FALSE())</f>
        <v>#N/A</v>
      </c>
      <c r="O36" s="490" t="e">
        <f>VLOOKUP($B37,[1]velho!$A$31:$BG$207,37, FALSE())</f>
        <v>#N/A</v>
      </c>
      <c r="P36" s="489" t="e">
        <f>VLOOKUP($B37,[1]velho!$A$31:$BG$207,38, FALSE())</f>
        <v>#N/A</v>
      </c>
      <c r="Q36" s="490" t="e">
        <f>VLOOKUP($B37,[1]velho!$A$31:$BG$207,39, FALSE())</f>
        <v>#N/A</v>
      </c>
      <c r="R36" s="489" t="e">
        <f>VLOOKUP($B37,[1]velho!$A$31:$BG$207,40, FALSE())</f>
        <v>#N/A</v>
      </c>
      <c r="S36" s="490" t="e">
        <f>VLOOKUP($B37,[1]velho!$A$31:$BG$207,41, FALSE())</f>
        <v>#N/A</v>
      </c>
      <c r="T36" s="489" t="e">
        <f>VLOOKUP($B37,[1]velho!$A$31:$BG$207,42, FALSE())</f>
        <v>#N/A</v>
      </c>
      <c r="U36" s="490"/>
      <c r="V36" s="287"/>
    </row>
    <row r="37" spans="1:22" ht="15.75" hidden="1" customHeight="1">
      <c r="A37" s="145"/>
      <c r="B37" s="507" t="str">
        <f>V14</f>
        <v>AG029 - LD-C/U</v>
      </c>
      <c r="C37" s="499"/>
      <c r="D37" s="508" t="e">
        <f>VLOOKUP(B37,[1]velho!$A$31:$Y$207,25, FALSE())</f>
        <v>#N/A</v>
      </c>
      <c r="E37" s="496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481"/>
      <c r="R37" s="481"/>
      <c r="S37" s="481"/>
      <c r="T37" s="481"/>
      <c r="U37" s="481"/>
      <c r="V37" s="287"/>
    </row>
    <row r="38" spans="1:22" ht="3.75" hidden="1" customHeight="1"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</row>
    <row r="39" spans="1:22" ht="15.75" hidden="1" customHeight="1">
      <c r="D39" s="280" t="e">
        <f>VLOOKUP(B40,[1]velho!$A$31:$Y$207,11, FALSE())</f>
        <v>#N/A</v>
      </c>
      <c r="E39" s="281" t="e">
        <f>VLOOKUP(B40,#REF!,2, FALSE())</f>
        <v>#REF!</v>
      </c>
      <c r="F39" s="489" t="e">
        <f>VLOOKUP($B40,[1]velho!$A$31:$BG$207,28, FALSE())</f>
        <v>#N/A</v>
      </c>
      <c r="G39" s="509" t="e">
        <f>VLOOKUP($B40,[1]velho!$A$31:$BG$207,29, FALSE())</f>
        <v>#N/A</v>
      </c>
      <c r="H39" s="489" t="e">
        <f>VLOOKUP($B40,[1]velho!$A$31:$BG$207,30, FALSE())</f>
        <v>#N/A</v>
      </c>
      <c r="I39" s="490" t="e">
        <f>VLOOKUP($B40,[1]velho!$A$31:$BG$207,31, FALSE())</f>
        <v>#N/A</v>
      </c>
      <c r="J39" s="489" t="e">
        <f>VLOOKUP($B40,[1]velho!$A$31:$BG$207,32, FALSE())</f>
        <v>#N/A</v>
      </c>
      <c r="K39" s="490" t="e">
        <f>VLOOKUP($B40,[1]velho!$A$31:$BG$207,33, FALSE())</f>
        <v>#N/A</v>
      </c>
      <c r="L39" s="489" t="e">
        <f>VLOOKUP($B40,[1]velho!$A$31:$BG$207,34, FALSE())</f>
        <v>#N/A</v>
      </c>
      <c r="M39" s="490" t="e">
        <f>VLOOKUP($B40,[1]velho!$A$31:$BG$207,35, FALSE())</f>
        <v>#N/A</v>
      </c>
      <c r="N39" s="489" t="e">
        <f>VLOOKUP($B40,[1]velho!$A$31:$BG$207,36, FALSE())</f>
        <v>#N/A</v>
      </c>
      <c r="O39" s="490" t="e">
        <f>VLOOKUP($B40,[1]velho!$A$31:$BG$207,37, FALSE())</f>
        <v>#N/A</v>
      </c>
      <c r="P39" s="489" t="e">
        <f>VLOOKUP($B40,[1]velho!$A$31:$BG$207,38, FALSE())</f>
        <v>#N/A</v>
      </c>
      <c r="Q39" s="490" t="e">
        <f>VLOOKUP($B40,[1]velho!$A$31:$BG$207,39, FALSE())</f>
        <v>#N/A</v>
      </c>
      <c r="R39" s="489" t="e">
        <f>VLOOKUP($B40,[1]velho!$A$31:$BG$207,40, FALSE())</f>
        <v>#N/A</v>
      </c>
      <c r="S39" s="490" t="e">
        <f>VLOOKUP($B40,[1]velho!$A$31:$BG$207,41, FALSE())</f>
        <v>#N/A</v>
      </c>
      <c r="T39" s="489" t="e">
        <f>VLOOKUP($B40,[1]velho!$A$31:$BG$207,42, FALSE())</f>
        <v>#N/A</v>
      </c>
      <c r="U39" s="490"/>
      <c r="V39" s="287"/>
    </row>
    <row r="40" spans="1:22" ht="15.75" hidden="1" customHeight="1">
      <c r="A40" s="145"/>
      <c r="B40" s="507" t="str">
        <f>V15</f>
        <v>AG029 - LN-B/1</v>
      </c>
      <c r="C40" s="499"/>
      <c r="D40" s="508" t="e">
        <f>VLOOKUP(B40,[1]velho!$A$31:$Y$207,25, FALSE())</f>
        <v>#N/A</v>
      </c>
      <c r="E40" s="496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287"/>
    </row>
    <row r="41" spans="1:22" ht="3.75" hidden="1" customHeight="1"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</row>
    <row r="42" spans="1:22" ht="15.75" hidden="1" customHeight="1">
      <c r="D42" s="280" t="e">
        <f>VLOOKUP(B43,[1]velho!$A$31:$Y$207,11, FALSE())</f>
        <v>#N/A</v>
      </c>
      <c r="E42" s="281" t="e">
        <f>VLOOKUP(B43,#REF!,2, FALSE())</f>
        <v>#REF!</v>
      </c>
      <c r="F42" s="489" t="e">
        <f>VLOOKUP($B43,[1]velho!$A$31:$BG$207,28, FALSE())</f>
        <v>#N/A</v>
      </c>
      <c r="G42" s="509" t="e">
        <f>VLOOKUP($B43,[1]velho!$A$31:$BG$207,29, FALSE())</f>
        <v>#N/A</v>
      </c>
      <c r="H42" s="489" t="e">
        <f>VLOOKUP($B43,[1]velho!$A$31:$BG$207,30, FALSE())</f>
        <v>#N/A</v>
      </c>
      <c r="I42" s="490" t="e">
        <f>VLOOKUP($B43,[1]velho!$A$31:$BG$207,31, FALSE())</f>
        <v>#N/A</v>
      </c>
      <c r="J42" s="489" t="e">
        <f>VLOOKUP($B43,[1]velho!$A$31:$BG$207,32, FALSE())</f>
        <v>#N/A</v>
      </c>
      <c r="K42" s="490" t="e">
        <f>VLOOKUP($B43,[1]velho!$A$31:$BG$207,33, FALSE())</f>
        <v>#N/A</v>
      </c>
      <c r="L42" s="489" t="e">
        <f>VLOOKUP($B43,[1]velho!$A$31:$BG$207,34, FALSE())</f>
        <v>#N/A</v>
      </c>
      <c r="M42" s="490" t="e">
        <f>VLOOKUP($B43,[1]velho!$A$31:$BG$207,35, FALSE())</f>
        <v>#N/A</v>
      </c>
      <c r="N42" s="489" t="e">
        <f>VLOOKUP($B43,[1]velho!$A$31:$BG$207,36, FALSE())</f>
        <v>#N/A</v>
      </c>
      <c r="O42" s="490" t="e">
        <f>VLOOKUP($B43,[1]velho!$A$31:$BG$207,37, FALSE())</f>
        <v>#N/A</v>
      </c>
      <c r="P42" s="489" t="e">
        <f>VLOOKUP($B43,[1]velho!$A$31:$BG$207,38, FALSE())</f>
        <v>#N/A</v>
      </c>
      <c r="Q42" s="490" t="e">
        <f>VLOOKUP($B43,[1]velho!$A$31:$BG$207,39, FALSE())</f>
        <v>#N/A</v>
      </c>
      <c r="R42" s="489" t="e">
        <f>VLOOKUP($B43,[1]velho!$A$31:$BG$207,40, FALSE())</f>
        <v>#N/A</v>
      </c>
      <c r="S42" s="490" t="e">
        <f>VLOOKUP($B43,[1]velho!$A$31:$BG$207,41, FALSE())</f>
        <v>#N/A</v>
      </c>
      <c r="T42" s="489" t="e">
        <f>VLOOKUP($B43,[1]velho!$A$31:$BG$207,42, FALSE())</f>
        <v>#N/A</v>
      </c>
      <c r="U42" s="490"/>
      <c r="V42" s="287"/>
    </row>
    <row r="43" spans="1:22" ht="15.75" hidden="1" customHeight="1">
      <c r="A43" s="145"/>
      <c r="B43" s="507" t="str">
        <f>V16</f>
        <v>AG029 - LN-B/2</v>
      </c>
      <c r="C43" s="499"/>
      <c r="D43" s="508" t="e">
        <f>VLOOKUP(B43,[1]velho!$A$31:$Y$207,20, FALSE())</f>
        <v>#N/A</v>
      </c>
      <c r="E43" s="496"/>
      <c r="F43" s="481"/>
      <c r="G43" s="481"/>
      <c r="H43" s="481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287"/>
    </row>
    <row r="44" spans="1:22" ht="12.75" customHeight="1">
      <c r="B44" s="288"/>
      <c r="C44" s="288"/>
      <c r="D44" s="289"/>
      <c r="E44" s="290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2"/>
      <c r="S44" s="291"/>
      <c r="T44" s="292"/>
      <c r="U44" s="291"/>
      <c r="V44" s="274"/>
    </row>
    <row r="45" spans="1:22" ht="15.75" customHeight="1">
      <c r="D45" s="510">
        <f t="shared" ref="D45:D48" si="2">D1</f>
        <v>45261</v>
      </c>
      <c r="E45" s="478"/>
      <c r="F45" s="293">
        <f t="shared" ref="F45:U45" si="3">F46</f>
        <v>45276</v>
      </c>
      <c r="G45" s="293">
        <f t="shared" si="3"/>
        <v>45277</v>
      </c>
      <c r="H45" s="293">
        <f t="shared" si="3"/>
        <v>45278</v>
      </c>
      <c r="I45" s="293">
        <f t="shared" si="3"/>
        <v>45279</v>
      </c>
      <c r="J45" s="294">
        <f t="shared" si="3"/>
        <v>45280</v>
      </c>
      <c r="K45" s="293">
        <f t="shared" si="3"/>
        <v>45281</v>
      </c>
      <c r="L45" s="293">
        <f t="shared" si="3"/>
        <v>45282</v>
      </c>
      <c r="M45" s="293">
        <f t="shared" si="3"/>
        <v>45283</v>
      </c>
      <c r="N45" s="293">
        <f t="shared" si="3"/>
        <v>45284</v>
      </c>
      <c r="O45" s="295">
        <f t="shared" si="3"/>
        <v>45285</v>
      </c>
      <c r="P45" s="293">
        <f t="shared" si="3"/>
        <v>45286</v>
      </c>
      <c r="Q45" s="293">
        <f t="shared" si="3"/>
        <v>45287</v>
      </c>
      <c r="R45" s="294">
        <f t="shared" si="3"/>
        <v>45288</v>
      </c>
      <c r="S45" s="294">
        <f t="shared" si="3"/>
        <v>45289</v>
      </c>
      <c r="T45" s="294">
        <f t="shared" si="3"/>
        <v>45290</v>
      </c>
      <c r="U45" s="293">
        <f t="shared" si="3"/>
        <v>45291</v>
      </c>
      <c r="V45" s="296" t="s">
        <v>2772</v>
      </c>
    </row>
    <row r="46" spans="1:22" ht="25.5" customHeight="1">
      <c r="D46" s="511" t="e">
        <f t="shared" si="2"/>
        <v>#REF!</v>
      </c>
      <c r="E46" s="499"/>
      <c r="F46" s="262">
        <f>T2+1</f>
        <v>45276</v>
      </c>
      <c r="G46" s="262">
        <f t="shared" ref="G46:U46" si="4">F46+1</f>
        <v>45277</v>
      </c>
      <c r="H46" s="262">
        <f t="shared" si="4"/>
        <v>45278</v>
      </c>
      <c r="I46" s="262">
        <f t="shared" si="4"/>
        <v>45279</v>
      </c>
      <c r="J46" s="262">
        <f t="shared" si="4"/>
        <v>45280</v>
      </c>
      <c r="K46" s="262">
        <f t="shared" si="4"/>
        <v>45281</v>
      </c>
      <c r="L46" s="262">
        <f t="shared" si="4"/>
        <v>45282</v>
      </c>
      <c r="M46" s="262">
        <f t="shared" si="4"/>
        <v>45283</v>
      </c>
      <c r="N46" s="262">
        <f t="shared" si="4"/>
        <v>45284</v>
      </c>
      <c r="O46" s="263">
        <f t="shared" si="4"/>
        <v>45285</v>
      </c>
      <c r="P46" s="262">
        <f t="shared" si="4"/>
        <v>45286</v>
      </c>
      <c r="Q46" s="262">
        <f t="shared" si="4"/>
        <v>45287</v>
      </c>
      <c r="R46" s="262">
        <f t="shared" si="4"/>
        <v>45288</v>
      </c>
      <c r="S46" s="262">
        <f t="shared" si="4"/>
        <v>45289</v>
      </c>
      <c r="T46" s="262">
        <f t="shared" si="4"/>
        <v>45290</v>
      </c>
      <c r="U46" s="262">
        <f t="shared" si="4"/>
        <v>45291</v>
      </c>
      <c r="V46" s="297"/>
    </row>
    <row r="47" spans="1:22" ht="15.75" customHeight="1">
      <c r="D47" s="298" t="e">
        <f t="shared" si="2"/>
        <v>#N/A</v>
      </c>
      <c r="E47" s="299" t="e">
        <f t="array" ref="E47">VLOOKUP(B48,#REF!,2, FALSE())</f>
        <v>#REF!</v>
      </c>
      <c r="F47" s="490" t="e">
        <f>VLOOKUP($B48,[1]velho!$A$31:$BG$207,43, FALSE())</f>
        <v>#N/A</v>
      </c>
      <c r="G47" s="489" t="e">
        <f>VLOOKUP($B48,[1]velho!$A$31:$BG$207,44, FALSE())</f>
        <v>#N/A</v>
      </c>
      <c r="H47" s="490" t="e">
        <f>VLOOKUP($B48,[1]velho!$A$31:$BG$207,45, FALSE())</f>
        <v>#N/A</v>
      </c>
      <c r="I47" s="489" t="e">
        <f>VLOOKUP($B48,[1]velho!$A$31:$BG$207,46, FALSE())</f>
        <v>#N/A</v>
      </c>
      <c r="J47" s="490" t="e">
        <f>VLOOKUP($B48,[1]velho!$A$31:$BG$207,47, FALSE())</f>
        <v>#N/A</v>
      </c>
      <c r="K47" s="489" t="e">
        <f>VLOOKUP($B48,[1]velho!$A$31:$BG$207,48, FALSE())</f>
        <v>#N/A</v>
      </c>
      <c r="L47" s="490" t="e">
        <f>VLOOKUP($B48,[1]velho!$A$31:$BG$207,49, FALSE())</f>
        <v>#N/A</v>
      </c>
      <c r="M47" s="489" t="e">
        <f>VLOOKUP($B48,[1]velho!$A$31:$BG$207,50, FALSE())</f>
        <v>#N/A</v>
      </c>
      <c r="N47" s="490" t="e">
        <f>VLOOKUP($B48,[1]velho!$A$31:$BG$207,51, FALSE())</f>
        <v>#N/A</v>
      </c>
      <c r="O47" s="509" t="e">
        <f>VLOOKUP($B48,[1]velho!$A$31:$BG$207,52, FALSE())</f>
        <v>#N/A</v>
      </c>
      <c r="P47" s="490" t="e">
        <f>VLOOKUP($B48,[1]velho!$A$31:$BG$207,53, FALSE())</f>
        <v>#N/A</v>
      </c>
      <c r="Q47" s="489" t="e">
        <f>VLOOKUP($B48,[1]velho!$A$31:$BG$207,54, FALSE())</f>
        <v>#N/A</v>
      </c>
      <c r="R47" s="490" t="e">
        <f>VLOOKUP($B48,[1]velho!$A$31:$BG$207,55, FALSE())</f>
        <v>#N/A</v>
      </c>
      <c r="S47" s="489" t="e">
        <f>VLOOKUP($B48,[1]velho!$A$31:$BG$207,56, FALSE())</f>
        <v>#N/A</v>
      </c>
      <c r="T47" s="490" t="e">
        <f>VLOOKUP($B48,[1]velho!$A$31:$BG$207,57, FALSE())</f>
        <v>#N/A</v>
      </c>
      <c r="U47" s="489" t="e">
        <f>VLOOKUP($B48,[1]velho!$A$31:$BG$207,58, FALSE())</f>
        <v>#N/A</v>
      </c>
      <c r="V47" s="287"/>
    </row>
    <row r="48" spans="1:22" ht="15.75" customHeight="1">
      <c r="A48" s="300"/>
      <c r="B48" s="512" t="str">
        <f>B4</f>
        <v>AG062 - LD-B/1</v>
      </c>
      <c r="C48" s="478"/>
      <c r="D48" s="508" t="e">
        <f t="shared" si="2"/>
        <v>#N/A</v>
      </c>
      <c r="E48" s="496"/>
      <c r="F48" s="481"/>
      <c r="G48" s="481"/>
      <c r="H48" s="481"/>
      <c r="I48" s="481"/>
      <c r="J48" s="481"/>
      <c r="K48" s="481"/>
      <c r="L48" s="481"/>
      <c r="M48" s="481"/>
      <c r="N48" s="481"/>
      <c r="O48" s="481"/>
      <c r="P48" s="481"/>
      <c r="Q48" s="481"/>
      <c r="R48" s="481"/>
      <c r="S48" s="481"/>
      <c r="T48" s="481"/>
      <c r="U48" s="481"/>
      <c r="V48" s="287"/>
    </row>
    <row r="49" spans="1:22" ht="3.75" customHeight="1">
      <c r="D49" s="79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</row>
    <row r="50" spans="1:22" ht="15" customHeight="1">
      <c r="D50" s="264" t="e">
        <f t="shared" ref="D50:D51" si="5">D6</f>
        <v>#N/A</v>
      </c>
      <c r="E50" s="281" t="e">
        <f>VLOOKUP(B51,#REF!,2, FALSE())</f>
        <v>#REF!</v>
      </c>
      <c r="F50" s="490" t="e">
        <f>VLOOKUP($B51,[1]velho!$A$31:$BG$207,43, FALSE())</f>
        <v>#N/A</v>
      </c>
      <c r="G50" s="489" t="e">
        <f>VLOOKUP($B51,[1]velho!$A$31:$BG$207,44, FALSE())</f>
        <v>#N/A</v>
      </c>
      <c r="H50" s="490" t="e">
        <f>VLOOKUP($B51,[1]velho!$A$31:$BG$207,45, FALSE())</f>
        <v>#N/A</v>
      </c>
      <c r="I50" s="489" t="e">
        <f>VLOOKUP($B51,[1]velho!$A$31:$BG$207,46, FALSE())</f>
        <v>#N/A</v>
      </c>
      <c r="J50" s="490" t="e">
        <f>VLOOKUP($B51,[1]velho!$A$31:$BG$207,47, FALSE())</f>
        <v>#N/A</v>
      </c>
      <c r="K50" s="489" t="e">
        <f>VLOOKUP($B51,[1]velho!$A$31:$BG$207,48, FALSE())</f>
        <v>#N/A</v>
      </c>
      <c r="L50" s="490" t="e">
        <f>VLOOKUP($B51,[1]velho!$A$31:$BG$207,49, FALSE())</f>
        <v>#N/A</v>
      </c>
      <c r="M50" s="489" t="e">
        <f>VLOOKUP($B51,[1]velho!$A$31:$BG$207,50, FALSE())</f>
        <v>#N/A</v>
      </c>
      <c r="N50" s="490" t="e">
        <f>VLOOKUP($B51,[1]velho!$A$31:$BG$207,51, FALSE())</f>
        <v>#N/A</v>
      </c>
      <c r="O50" s="509" t="e">
        <f>VLOOKUP($B51,[1]velho!$A$31:$BG$207,52, FALSE())</f>
        <v>#N/A</v>
      </c>
      <c r="P50" s="490" t="e">
        <f>VLOOKUP($B51,[1]velho!$A$31:$BG$207,53, FALSE())</f>
        <v>#N/A</v>
      </c>
      <c r="Q50" s="489" t="e">
        <f>VLOOKUP($B51,[1]velho!$A$31:$BG$207,54, FALSE())</f>
        <v>#N/A</v>
      </c>
      <c r="R50" s="490" t="e">
        <f>VLOOKUP($B51,[1]velho!$A$31:$BG$207,55, FALSE())</f>
        <v>#N/A</v>
      </c>
      <c r="S50" s="489" t="e">
        <f>VLOOKUP($B51,[1]velho!$A$31:$BG$207,56, FALSE())</f>
        <v>#N/A</v>
      </c>
      <c r="T50" s="490" t="e">
        <f>VLOOKUP($B51,[1]velho!$A$31:$BG$207,57, FALSE())</f>
        <v>#N/A</v>
      </c>
      <c r="U50" s="489" t="e">
        <f>VLOOKUP($B51,[1]velho!$A$31:$BG$207,58, FALSE())</f>
        <v>#N/A</v>
      </c>
      <c r="V50" s="287"/>
    </row>
    <row r="51" spans="1:22" ht="15" customHeight="1">
      <c r="A51" s="145"/>
      <c r="B51" s="507" t="str">
        <f>B7</f>
        <v>AG062 - LD-B/2</v>
      </c>
      <c r="C51" s="499"/>
      <c r="D51" s="508" t="e">
        <f t="shared" si="5"/>
        <v>#N/A</v>
      </c>
      <c r="E51" s="496"/>
      <c r="F51" s="481"/>
      <c r="G51" s="481"/>
      <c r="H51" s="481"/>
      <c r="I51" s="481"/>
      <c r="J51" s="481"/>
      <c r="K51" s="481"/>
      <c r="L51" s="481"/>
      <c r="M51" s="481"/>
      <c r="N51" s="481"/>
      <c r="O51" s="481"/>
      <c r="P51" s="481"/>
      <c r="Q51" s="481"/>
      <c r="R51" s="481"/>
      <c r="S51" s="481"/>
      <c r="T51" s="481"/>
      <c r="U51" s="481"/>
      <c r="V51" s="287"/>
    </row>
    <row r="52" spans="1:22" ht="3.75" customHeight="1">
      <c r="D52" s="79">
        <v>5</v>
      </c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</row>
    <row r="53" spans="1:22" ht="15.75" customHeight="1">
      <c r="D53" s="264" t="e">
        <f t="shared" ref="D53:D54" si="6">D9</f>
        <v>#N/A</v>
      </c>
      <c r="E53" s="281" t="e">
        <f>VLOOKUP(B54,#REF!,2, FALSE())</f>
        <v>#REF!</v>
      </c>
      <c r="F53" s="490" t="e">
        <f>VLOOKUP($B54,[1]velho!$A$31:$BG$207,43, FALSE())</f>
        <v>#N/A</v>
      </c>
      <c r="G53" s="489" t="e">
        <f>VLOOKUP($B54,[1]velho!$A$31:$BG$207,44, FALSE())</f>
        <v>#N/A</v>
      </c>
      <c r="H53" s="490" t="e">
        <f>VLOOKUP($B54,[1]velho!$A$31:$BG$207,45, FALSE())</f>
        <v>#N/A</v>
      </c>
      <c r="I53" s="489" t="e">
        <f>VLOOKUP($B54,[1]velho!$A$31:$BG$207,46, FALSE())</f>
        <v>#N/A</v>
      </c>
      <c r="J53" s="490" t="e">
        <f>VLOOKUP($B54,[1]velho!$A$31:$BG$207,47, FALSE())</f>
        <v>#N/A</v>
      </c>
      <c r="K53" s="489" t="e">
        <f>VLOOKUP($B54,[1]velho!$A$31:$BG$207,48, FALSE())</f>
        <v>#N/A</v>
      </c>
      <c r="L53" s="490" t="e">
        <f>VLOOKUP($B54,[1]velho!$A$31:$BG$207,49, FALSE())</f>
        <v>#N/A</v>
      </c>
      <c r="M53" s="489" t="e">
        <f>VLOOKUP($B54,[1]velho!$A$31:$BG$207,50, FALSE())</f>
        <v>#N/A</v>
      </c>
      <c r="N53" s="490" t="e">
        <f>VLOOKUP($B54,[1]velho!$A$31:$BG$207,51, FALSE())</f>
        <v>#N/A</v>
      </c>
      <c r="O53" s="509" t="e">
        <f>VLOOKUP($B54,[1]velho!$A$31:$BG$207,52, FALSE())</f>
        <v>#N/A</v>
      </c>
      <c r="P53" s="490" t="e">
        <f>VLOOKUP($B54,[1]velho!$A$31:$BG$207,53, FALSE())</f>
        <v>#N/A</v>
      </c>
      <c r="Q53" s="489" t="e">
        <f>VLOOKUP($B54,[1]velho!$A$31:$BG$207,54, FALSE())</f>
        <v>#N/A</v>
      </c>
      <c r="R53" s="490" t="e">
        <f>VLOOKUP($B54,[1]velho!$A$31:$BG$207,55, FALSE())</f>
        <v>#N/A</v>
      </c>
      <c r="S53" s="489" t="e">
        <f>VLOOKUP($B54,[1]velho!$A$31:$BG$207,56, FALSE())</f>
        <v>#N/A</v>
      </c>
      <c r="T53" s="490" t="e">
        <f>VLOOKUP($B54,[1]velho!$A$31:$BG$207,57, FALSE())</f>
        <v>#N/A</v>
      </c>
      <c r="U53" s="489" t="e">
        <f>VLOOKUP($B54,[1]velho!$A$31:$BG$207,58, FALSE())</f>
        <v>#N/A</v>
      </c>
      <c r="V53" s="287"/>
    </row>
    <row r="54" spans="1:22" ht="15.75" customHeight="1">
      <c r="A54" s="145"/>
      <c r="B54" s="507" t="str">
        <f>B10</f>
        <v>AG062 - LD-B/3</v>
      </c>
      <c r="C54" s="499"/>
      <c r="D54" s="508" t="e">
        <f t="shared" si="6"/>
        <v>#N/A</v>
      </c>
      <c r="E54" s="496"/>
      <c r="F54" s="481"/>
      <c r="G54" s="481"/>
      <c r="H54" s="481"/>
      <c r="I54" s="481"/>
      <c r="J54" s="481"/>
      <c r="K54" s="481"/>
      <c r="L54" s="481"/>
      <c r="M54" s="481"/>
      <c r="N54" s="481"/>
      <c r="O54" s="481"/>
      <c r="P54" s="481"/>
      <c r="Q54" s="481"/>
      <c r="R54" s="481"/>
      <c r="S54" s="481"/>
      <c r="T54" s="481"/>
      <c r="U54" s="481"/>
      <c r="V54" s="287"/>
    </row>
    <row r="55" spans="1:22" ht="3.75" customHeight="1"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85"/>
      <c r="U55" s="285"/>
      <c r="V55" s="285"/>
    </row>
    <row r="56" spans="1:22" ht="15.75" customHeight="1">
      <c r="D56" s="264" t="e">
        <f t="shared" ref="D56:D57" si="7">D12</f>
        <v>#N/A</v>
      </c>
      <c r="E56" s="281" t="e">
        <f>VLOOKUP(B57,#REF!,2, FALSE())</f>
        <v>#REF!</v>
      </c>
      <c r="F56" s="490" t="e">
        <f>VLOOKUP($B57,[1]velho!$A$31:$BG$207,43, FALSE())</f>
        <v>#N/A</v>
      </c>
      <c r="G56" s="489" t="e">
        <f>VLOOKUP($B57,[1]velho!$A$31:$BG$207,44, FALSE())</f>
        <v>#N/A</v>
      </c>
      <c r="H56" s="490" t="e">
        <f>VLOOKUP($B57,[1]velho!$A$31:$BG$207,45, FALSE())</f>
        <v>#N/A</v>
      </c>
      <c r="I56" s="489" t="e">
        <f>VLOOKUP($B57,[1]velho!$A$31:$BG$207,46, FALSE())</f>
        <v>#N/A</v>
      </c>
      <c r="J56" s="490" t="e">
        <f>VLOOKUP($B57,[1]velho!$A$31:$BG$207,47, FALSE())</f>
        <v>#N/A</v>
      </c>
      <c r="K56" s="489" t="e">
        <f>VLOOKUP($B57,[1]velho!$A$31:$BG$207,48, FALSE())</f>
        <v>#N/A</v>
      </c>
      <c r="L56" s="490" t="e">
        <f>VLOOKUP($B57,[1]velho!$A$31:$BG$207,49, FALSE())</f>
        <v>#N/A</v>
      </c>
      <c r="M56" s="489" t="e">
        <f>VLOOKUP($B57,[1]velho!$A$31:$BG$207,50, FALSE())</f>
        <v>#N/A</v>
      </c>
      <c r="N56" s="490" t="e">
        <f>VLOOKUP($B57,[1]velho!$A$31:$BG$207,51, FALSE())</f>
        <v>#N/A</v>
      </c>
      <c r="O56" s="509" t="e">
        <f>VLOOKUP($B57,[1]velho!$A$31:$BG$207,52, FALSE())</f>
        <v>#N/A</v>
      </c>
      <c r="P56" s="490" t="e">
        <f>VLOOKUP($B57,[1]velho!$A$31:$BG$207,53, FALSE())</f>
        <v>#N/A</v>
      </c>
      <c r="Q56" s="489" t="e">
        <f>VLOOKUP($B57,[1]velho!$A$31:$BG$207,54, FALSE())</f>
        <v>#N/A</v>
      </c>
      <c r="R56" s="490" t="e">
        <f>VLOOKUP($B57,[1]velho!$A$31:$BG$207,55, FALSE())</f>
        <v>#N/A</v>
      </c>
      <c r="S56" s="489" t="e">
        <f>VLOOKUP($B57,[1]velho!$A$31:$BG$207,56, FALSE())</f>
        <v>#N/A</v>
      </c>
      <c r="T56" s="490" t="e">
        <f>VLOOKUP($B57,[1]velho!$A$31:$BG$207,57, FALSE())</f>
        <v>#N/A</v>
      </c>
      <c r="U56" s="489" t="e">
        <f>VLOOKUP($B57,[1]velho!$A$31:$BG$207,58, FALSE())</f>
        <v>#N/A</v>
      </c>
      <c r="V56" s="287"/>
    </row>
    <row r="57" spans="1:22" ht="15.75" customHeight="1">
      <c r="A57" s="145"/>
      <c r="B57" s="507" t="str">
        <f>B13</f>
        <v>AG062 - LD-B/4</v>
      </c>
      <c r="C57" s="499"/>
      <c r="D57" s="508" t="e">
        <f t="shared" si="7"/>
        <v>#N/A</v>
      </c>
      <c r="E57" s="496"/>
      <c r="F57" s="481"/>
      <c r="G57" s="481"/>
      <c r="H57" s="481"/>
      <c r="I57" s="481"/>
      <c r="J57" s="481"/>
      <c r="K57" s="481"/>
      <c r="L57" s="481"/>
      <c r="M57" s="481"/>
      <c r="N57" s="481"/>
      <c r="O57" s="481"/>
      <c r="P57" s="481"/>
      <c r="Q57" s="481"/>
      <c r="R57" s="481"/>
      <c r="S57" s="481"/>
      <c r="T57" s="481"/>
      <c r="U57" s="481"/>
      <c r="V57" s="287"/>
    </row>
    <row r="58" spans="1:22" ht="3.75" customHeight="1"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</row>
    <row r="59" spans="1:22" ht="15.75" customHeight="1">
      <c r="D59" s="264" t="e">
        <f t="shared" ref="D59:D60" si="8">D15</f>
        <v>#N/A</v>
      </c>
      <c r="E59" s="281" t="e">
        <f>VLOOKUP(B60,#REF!,2, FALSE())</f>
        <v>#REF!</v>
      </c>
      <c r="F59" s="490" t="e">
        <f>VLOOKUP($B60,[1]velho!$A$31:$BG$207,43, FALSE())</f>
        <v>#N/A</v>
      </c>
      <c r="G59" s="489" t="e">
        <f>VLOOKUP($B60,[1]velho!$A$31:$BG$207,44, FALSE())</f>
        <v>#N/A</v>
      </c>
      <c r="H59" s="490" t="e">
        <f>VLOOKUP($B60,[1]velho!$A$31:$BG$207,45, FALSE())</f>
        <v>#N/A</v>
      </c>
      <c r="I59" s="489" t="e">
        <f>VLOOKUP($B60,[1]velho!$A$31:$BG$207,46, FALSE())</f>
        <v>#N/A</v>
      </c>
      <c r="J59" s="490" t="e">
        <f>VLOOKUP($B60,[1]velho!$A$31:$BG$207,47, FALSE())</f>
        <v>#N/A</v>
      </c>
      <c r="K59" s="489" t="e">
        <f>VLOOKUP($B60,[1]velho!$A$31:$BG$207,48, FALSE())</f>
        <v>#N/A</v>
      </c>
      <c r="L59" s="490" t="e">
        <f>VLOOKUP($B60,[1]velho!$A$31:$BG$207,49, FALSE())</f>
        <v>#N/A</v>
      </c>
      <c r="M59" s="489" t="e">
        <f>VLOOKUP($B60,[1]velho!$A$31:$BG$207,50, FALSE())</f>
        <v>#N/A</v>
      </c>
      <c r="N59" s="490" t="e">
        <f>VLOOKUP($B60,[1]velho!$A$31:$BG$207,51, FALSE())</f>
        <v>#N/A</v>
      </c>
      <c r="O59" s="509" t="e">
        <f>VLOOKUP($B60,[1]velho!$A$31:$BG$207,52, FALSE())</f>
        <v>#N/A</v>
      </c>
      <c r="P59" s="490" t="e">
        <f>VLOOKUP($B60,[1]velho!$A$31:$BG$207,53, FALSE())</f>
        <v>#N/A</v>
      </c>
      <c r="Q59" s="489" t="e">
        <f>VLOOKUP($B60,[1]velho!$A$31:$BG$207,54, FALSE())</f>
        <v>#N/A</v>
      </c>
      <c r="R59" s="490" t="e">
        <f>VLOOKUP($B60,[1]velho!$A$31:$BG$207,55, FALSE())</f>
        <v>#N/A</v>
      </c>
      <c r="S59" s="489" t="e">
        <f>VLOOKUP($B60,[1]velho!$A$31:$BG$207,56, FALSE())</f>
        <v>#N/A</v>
      </c>
      <c r="T59" s="490" t="e">
        <f>VLOOKUP($B60,[1]velho!$A$31:$BG$207,57, FALSE())</f>
        <v>#N/A</v>
      </c>
      <c r="U59" s="489" t="e">
        <f>VLOOKUP($B60,[1]velho!$A$31:$BG$207,58, FALSE())</f>
        <v>#N/A</v>
      </c>
      <c r="V59" s="287"/>
    </row>
    <row r="60" spans="1:22" ht="15.75" customHeight="1">
      <c r="A60" s="145"/>
      <c r="B60" s="507" t="str">
        <f>B16</f>
        <v>AG062 - LD-B/5</v>
      </c>
      <c r="C60" s="499"/>
      <c r="D60" s="508" t="e">
        <f t="shared" si="8"/>
        <v>#N/A</v>
      </c>
      <c r="E60" s="496"/>
      <c r="F60" s="481"/>
      <c r="G60" s="481"/>
      <c r="H60" s="481"/>
      <c r="I60" s="481"/>
      <c r="J60" s="481"/>
      <c r="K60" s="481"/>
      <c r="L60" s="481"/>
      <c r="M60" s="481"/>
      <c r="N60" s="481"/>
      <c r="O60" s="481"/>
      <c r="P60" s="481"/>
      <c r="Q60" s="481"/>
      <c r="R60" s="481"/>
      <c r="S60" s="481"/>
      <c r="T60" s="481"/>
      <c r="U60" s="481"/>
      <c r="V60" s="287"/>
    </row>
    <row r="61" spans="1:22" ht="3.75" customHeight="1"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</row>
    <row r="62" spans="1:22" ht="15.75" customHeight="1">
      <c r="D62" s="264" t="e">
        <f t="shared" ref="D62:D63" si="9">D18</f>
        <v>#N/A</v>
      </c>
      <c r="E62" s="281" t="e">
        <f>VLOOKUP(B63,#REF!,2, FALSE())</f>
        <v>#REF!</v>
      </c>
      <c r="F62" s="490" t="e">
        <f>VLOOKUP($B63,[1]velho!$A$31:$BG$207,43, FALSE())</f>
        <v>#N/A</v>
      </c>
      <c r="G62" s="489" t="e">
        <f>VLOOKUP($B63,[1]velho!$A$31:$BG$207,44, FALSE())</f>
        <v>#N/A</v>
      </c>
      <c r="H62" s="490" t="e">
        <f>VLOOKUP($B63,[1]velho!$A$31:$BG$207,45, FALSE())</f>
        <v>#N/A</v>
      </c>
      <c r="I62" s="489" t="e">
        <f>VLOOKUP($B63,[1]velho!$A$31:$BG$207,46, FALSE())</f>
        <v>#N/A</v>
      </c>
      <c r="J62" s="490" t="e">
        <f>VLOOKUP($B63,[1]velho!$A$31:$BG$207,47, FALSE())</f>
        <v>#N/A</v>
      </c>
      <c r="K62" s="489" t="e">
        <f>VLOOKUP($B63,[1]velho!$A$31:$BG$207,48, FALSE())</f>
        <v>#N/A</v>
      </c>
      <c r="L62" s="490" t="e">
        <f>VLOOKUP($B63,[1]velho!$A$31:$BG$207,49, FALSE())</f>
        <v>#N/A</v>
      </c>
      <c r="M62" s="489" t="e">
        <f>VLOOKUP($B63,[1]velho!$A$31:$BG$207,50, FALSE())</f>
        <v>#N/A</v>
      </c>
      <c r="N62" s="490" t="e">
        <f>VLOOKUP($B63,[1]velho!$A$31:$BG$207,51, FALSE())</f>
        <v>#N/A</v>
      </c>
      <c r="O62" s="509" t="e">
        <f>VLOOKUP($B63,[1]velho!$A$31:$BG$207,52, FALSE())</f>
        <v>#N/A</v>
      </c>
      <c r="P62" s="490" t="e">
        <f>VLOOKUP($B63,[1]velho!$A$31:$BG$207,53, FALSE())</f>
        <v>#N/A</v>
      </c>
      <c r="Q62" s="489" t="e">
        <f>VLOOKUP($B63,[1]velho!$A$31:$BG$207,54, FALSE())</f>
        <v>#N/A</v>
      </c>
      <c r="R62" s="490" t="e">
        <f>VLOOKUP($B63,[1]velho!$A$31:$BG$207,55, FALSE())</f>
        <v>#N/A</v>
      </c>
      <c r="S62" s="489" t="e">
        <f>VLOOKUP($B63,[1]velho!$A$31:$BG$207,56, FALSE())</f>
        <v>#N/A</v>
      </c>
      <c r="T62" s="490" t="e">
        <f>VLOOKUP($B63,[1]velho!$A$31:$BG$207,57, FALSE())</f>
        <v>#N/A</v>
      </c>
      <c r="U62" s="489" t="e">
        <f>VLOOKUP($B63,[1]velho!$A$31:$BG$207,58, FALSE())</f>
        <v>#N/A</v>
      </c>
      <c r="V62" s="287"/>
    </row>
    <row r="63" spans="1:22" ht="15.75" customHeight="1">
      <c r="A63" s="145"/>
      <c r="B63" s="507" t="str">
        <f>B19</f>
        <v>AG062 - LD-B/6</v>
      </c>
      <c r="C63" s="499"/>
      <c r="D63" s="508" t="e">
        <f t="shared" si="9"/>
        <v>#N/A</v>
      </c>
      <c r="E63" s="496"/>
      <c r="F63" s="481"/>
      <c r="G63" s="481"/>
      <c r="H63" s="481"/>
      <c r="I63" s="481"/>
      <c r="J63" s="481"/>
      <c r="K63" s="481"/>
      <c r="L63" s="481"/>
      <c r="M63" s="481"/>
      <c r="N63" s="481"/>
      <c r="O63" s="481"/>
      <c r="P63" s="481"/>
      <c r="Q63" s="481"/>
      <c r="R63" s="481"/>
      <c r="S63" s="481"/>
      <c r="T63" s="481"/>
      <c r="U63" s="481"/>
      <c r="V63" s="287"/>
    </row>
    <row r="64" spans="1:22" ht="3.75" customHeight="1"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  <c r="S64" s="285"/>
      <c r="T64" s="285"/>
      <c r="U64" s="285"/>
      <c r="V64" s="285"/>
    </row>
    <row r="65" spans="1:22" ht="15.75" customHeight="1">
      <c r="D65" s="264" t="e">
        <f t="shared" ref="D65:D66" si="10">D21</f>
        <v>#N/A</v>
      </c>
      <c r="E65" s="281" t="e">
        <f>VLOOKUP(B66,#REF!,2, FALSE())</f>
        <v>#REF!</v>
      </c>
      <c r="F65" s="490" t="e">
        <f>VLOOKUP($B66,[1]velho!$A$31:$BG$207,43, FALSE())</f>
        <v>#N/A</v>
      </c>
      <c r="G65" s="489" t="e">
        <f>VLOOKUP($B66,[1]velho!$A$31:$BG$207,44, FALSE())</f>
        <v>#N/A</v>
      </c>
      <c r="H65" s="490" t="e">
        <f>VLOOKUP($B66,[1]velho!$A$31:$BG$207,45, FALSE())</f>
        <v>#N/A</v>
      </c>
      <c r="I65" s="489" t="e">
        <f>VLOOKUP($B66,[1]velho!$A$31:$BG$207,46, FALSE())</f>
        <v>#N/A</v>
      </c>
      <c r="J65" s="490" t="e">
        <f>VLOOKUP($B66,[1]velho!$A$31:$BG$207,47, FALSE())</f>
        <v>#N/A</v>
      </c>
      <c r="K65" s="489" t="e">
        <f>VLOOKUP($B66,[1]velho!$A$31:$BG$207,48, FALSE())</f>
        <v>#N/A</v>
      </c>
      <c r="L65" s="490" t="e">
        <f>VLOOKUP($B66,[1]velho!$A$31:$BG$207,49, FALSE())</f>
        <v>#N/A</v>
      </c>
      <c r="M65" s="489" t="e">
        <f>VLOOKUP($B66,[1]velho!$A$31:$BG$207,50, FALSE())</f>
        <v>#N/A</v>
      </c>
      <c r="N65" s="490" t="e">
        <f>VLOOKUP($B66,[1]velho!$A$31:$BG$207,51, FALSE())</f>
        <v>#N/A</v>
      </c>
      <c r="O65" s="509" t="e">
        <f>VLOOKUP($B66,[1]velho!$A$31:$BG$207,52, FALSE())</f>
        <v>#N/A</v>
      </c>
      <c r="P65" s="490" t="e">
        <f>VLOOKUP($B66,[1]velho!$A$31:$BG$207,53, FALSE())</f>
        <v>#N/A</v>
      </c>
      <c r="Q65" s="489" t="e">
        <f>VLOOKUP($B66,[1]velho!$A$31:$BG$207,54, FALSE())</f>
        <v>#N/A</v>
      </c>
      <c r="R65" s="490" t="e">
        <f>VLOOKUP($B66,[1]velho!$A$31:$BG$207,55, FALSE())</f>
        <v>#N/A</v>
      </c>
      <c r="S65" s="489" t="e">
        <f>VLOOKUP($B66,[1]velho!$A$31:$BG$207,56, FALSE())</f>
        <v>#N/A</v>
      </c>
      <c r="T65" s="490" t="e">
        <f>VLOOKUP($B66,[1]velho!$A$31:$BG$207,57, FALSE())</f>
        <v>#N/A</v>
      </c>
      <c r="U65" s="489" t="e">
        <f>VLOOKUP($B66,[1]velho!$A$31:$BG$207,58, FALSE())</f>
        <v>#N/A</v>
      </c>
      <c r="V65" s="287"/>
    </row>
    <row r="66" spans="1:22" ht="15.75" customHeight="1">
      <c r="A66" s="145"/>
      <c r="B66" s="507" t="str">
        <f>B22</f>
        <v>AG062 - LDEB/1</v>
      </c>
      <c r="C66" s="499"/>
      <c r="D66" s="508" t="e">
        <f t="shared" si="10"/>
        <v>#N/A</v>
      </c>
      <c r="E66" s="496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1"/>
      <c r="Q66" s="481"/>
      <c r="R66" s="481"/>
      <c r="S66" s="481"/>
      <c r="T66" s="481"/>
      <c r="U66" s="481"/>
      <c r="V66" s="287"/>
    </row>
    <row r="67" spans="1:22" ht="3.75" customHeight="1"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</row>
    <row r="68" spans="1:22" ht="15.75" customHeight="1">
      <c r="D68" s="264" t="e">
        <f t="shared" ref="D68:D69" si="11">D24</f>
        <v>#N/A</v>
      </c>
      <c r="E68" s="281" t="e">
        <f>VLOOKUP(B69,#REF!,2, FALSE())</f>
        <v>#REF!</v>
      </c>
      <c r="F68" s="490" t="e">
        <f>VLOOKUP($B69,[1]velho!$A$31:$BG$207,43, FALSE())</f>
        <v>#N/A</v>
      </c>
      <c r="G68" s="489" t="e">
        <f>VLOOKUP($B69,[1]velho!$A$31:$BG$207,44, FALSE())</f>
        <v>#N/A</v>
      </c>
      <c r="H68" s="490" t="e">
        <f>VLOOKUP($B69,[1]velho!$A$31:$BG$207,45, FALSE())</f>
        <v>#N/A</v>
      </c>
      <c r="I68" s="489" t="e">
        <f>VLOOKUP($B69,[1]velho!$A$31:$BG$207,46, FALSE())</f>
        <v>#N/A</v>
      </c>
      <c r="J68" s="490" t="e">
        <f>VLOOKUP($B69,[1]velho!$A$31:$BG$207,47, FALSE())</f>
        <v>#N/A</v>
      </c>
      <c r="K68" s="489" t="e">
        <f>VLOOKUP($B69,[1]velho!$A$31:$BG$207,48, FALSE())</f>
        <v>#N/A</v>
      </c>
      <c r="L68" s="490" t="e">
        <f>VLOOKUP($B69,[1]velho!$A$31:$BG$207,49, FALSE())</f>
        <v>#N/A</v>
      </c>
      <c r="M68" s="489" t="e">
        <f>VLOOKUP($B69,[1]velho!$A$31:$BG$207,50, FALSE())</f>
        <v>#N/A</v>
      </c>
      <c r="N68" s="490" t="e">
        <f>VLOOKUP($B69,[1]velho!$A$31:$BG$207,51, FALSE())</f>
        <v>#N/A</v>
      </c>
      <c r="O68" s="509" t="e">
        <f>VLOOKUP($B69,[1]velho!$A$31:$BG$207,52, FALSE())</f>
        <v>#N/A</v>
      </c>
      <c r="P68" s="490" t="e">
        <f>VLOOKUP($B69,[1]velho!$A$31:$BG$207,53, FALSE())</f>
        <v>#N/A</v>
      </c>
      <c r="Q68" s="489" t="e">
        <f>VLOOKUP($B69,[1]velho!$A$31:$BG$207,54, FALSE())</f>
        <v>#N/A</v>
      </c>
      <c r="R68" s="490" t="e">
        <f>VLOOKUP($B69,[1]velho!$A$31:$BG$207,55, FALSE())</f>
        <v>#N/A</v>
      </c>
      <c r="S68" s="489" t="e">
        <f>VLOOKUP($B69,[1]velho!$A$31:$BG$207,56, FALSE())</f>
        <v>#N/A</v>
      </c>
      <c r="T68" s="490" t="e">
        <f>VLOOKUP($B69,[1]velho!$A$31:$BG$207,57, FALSE())</f>
        <v>#N/A</v>
      </c>
      <c r="U68" s="489" t="e">
        <f>VLOOKUP($B69,[1]velho!$A$31:$BG$207,58, FALSE())</f>
        <v>#N/A</v>
      </c>
      <c r="V68" s="287"/>
    </row>
    <row r="69" spans="1:22" ht="15.75" customHeight="1">
      <c r="A69" s="145"/>
      <c r="B69" s="507" t="str">
        <f>B25</f>
        <v>AG062 - ENCAR</v>
      </c>
      <c r="C69" s="499"/>
      <c r="D69" s="508" t="e">
        <f t="shared" si="11"/>
        <v>#N/A</v>
      </c>
      <c r="E69" s="496"/>
      <c r="F69" s="481"/>
      <c r="G69" s="481"/>
      <c r="H69" s="481"/>
      <c r="I69" s="481"/>
      <c r="J69" s="481"/>
      <c r="K69" s="481"/>
      <c r="L69" s="481"/>
      <c r="M69" s="481"/>
      <c r="N69" s="481"/>
      <c r="O69" s="481"/>
      <c r="P69" s="481"/>
      <c r="Q69" s="481"/>
      <c r="R69" s="481"/>
      <c r="S69" s="481"/>
      <c r="T69" s="481"/>
      <c r="U69" s="481"/>
      <c r="V69" s="287"/>
    </row>
    <row r="70" spans="1:22" ht="3.75" customHeight="1"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285"/>
      <c r="S70" s="285"/>
      <c r="T70" s="285"/>
      <c r="U70" s="285"/>
      <c r="V70" s="285"/>
    </row>
    <row r="71" spans="1:22" ht="15.75" hidden="1" customHeight="1">
      <c r="D71" s="264" t="e">
        <f t="shared" ref="D71:D72" si="12">D27</f>
        <v>#N/A</v>
      </c>
      <c r="E71" s="281" t="e">
        <f>VLOOKUP(B72,#REF!,2, FALSE())</f>
        <v>#REF!</v>
      </c>
      <c r="F71" s="490" t="e">
        <f>VLOOKUP($B72,[1]velho!$A$31:$BG$207,43, FALSE())</f>
        <v>#N/A</v>
      </c>
      <c r="G71" s="489" t="e">
        <f>VLOOKUP($B72,[1]velho!$A$31:$BG$207,44, FALSE())</f>
        <v>#N/A</v>
      </c>
      <c r="H71" s="490" t="e">
        <f>VLOOKUP($B72,[1]velho!$A$31:$BG$207,45, FALSE())</f>
        <v>#N/A</v>
      </c>
      <c r="I71" s="489" t="e">
        <f>VLOOKUP($B72,[1]velho!$A$31:$BG$207,46, FALSE())</f>
        <v>#N/A</v>
      </c>
      <c r="J71" s="509" t="e">
        <f>VLOOKUP($B72,[1]velho!$A$31:$BG$207,47, FALSE())</f>
        <v>#N/A</v>
      </c>
      <c r="K71" s="489" t="e">
        <f>VLOOKUP($B72,[1]velho!$A$31:$BG$207,48, FALSE())</f>
        <v>#N/A</v>
      </c>
      <c r="L71" s="490" t="e">
        <f>VLOOKUP($B72,[1]velho!$A$31:$BG$207,49, FALSE())</f>
        <v>#N/A</v>
      </c>
      <c r="M71" s="489" t="e">
        <f>VLOOKUP($B72,[1]velho!$A$31:$BG$207,50, FALSE())</f>
        <v>#N/A</v>
      </c>
      <c r="N71" s="490" t="e">
        <f>VLOOKUP($B72,[1]velho!$A$31:$BG$207,51, FALSE())</f>
        <v>#N/A</v>
      </c>
      <c r="O71" s="489" t="e">
        <f>VLOOKUP($B72,[1]velho!$A$31:$BG$207,52, FALSE())</f>
        <v>#N/A</v>
      </c>
      <c r="P71" s="490" t="e">
        <f>VLOOKUP($B72,[1]velho!$A$31:$BG$207,53, FALSE())</f>
        <v>#N/A</v>
      </c>
      <c r="Q71" s="489" t="e">
        <f>VLOOKUP($B72,[1]velho!$A$31:$BG$207,54, FALSE())</f>
        <v>#N/A</v>
      </c>
      <c r="R71" s="490" t="e">
        <f>VLOOKUP($B72,[1]velho!$A$31:$BG$207,55, FALSE())</f>
        <v>#N/A</v>
      </c>
      <c r="S71" s="489" t="e">
        <f>VLOOKUP($B72,[1]velho!$A$31:$BG$207,56, FALSE())</f>
        <v>#N/A</v>
      </c>
      <c r="T71" s="490" t="e">
        <f>VLOOKUP($B72,[1]velho!$A$31:$BG$207,57, FALSE())</f>
        <v>#N/A</v>
      </c>
      <c r="U71" s="489" t="e">
        <f>VLOOKUP($B72,[1]velho!$A$31:$BG$207,58, FALSE())</f>
        <v>#N/A</v>
      </c>
      <c r="V71" s="287"/>
    </row>
    <row r="72" spans="1:22" ht="15.75" hidden="1" customHeight="1">
      <c r="A72" s="145"/>
      <c r="B72" s="507" t="str">
        <f>B28</f>
        <v>AG029 - LD-B/6</v>
      </c>
      <c r="C72" s="499"/>
      <c r="D72" s="508" t="e">
        <f t="shared" si="12"/>
        <v>#N/A</v>
      </c>
      <c r="E72" s="496"/>
      <c r="F72" s="481"/>
      <c r="G72" s="481"/>
      <c r="H72" s="481"/>
      <c r="I72" s="481"/>
      <c r="J72" s="481"/>
      <c r="K72" s="481"/>
      <c r="L72" s="481"/>
      <c r="M72" s="481"/>
      <c r="N72" s="481"/>
      <c r="O72" s="481"/>
      <c r="P72" s="481"/>
      <c r="Q72" s="481"/>
      <c r="R72" s="481"/>
      <c r="S72" s="481"/>
      <c r="T72" s="481"/>
      <c r="U72" s="481"/>
      <c r="V72" s="287"/>
    </row>
    <row r="73" spans="1:22" ht="3.75" hidden="1" customHeight="1"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</row>
    <row r="74" spans="1:22" ht="15.75" hidden="1" customHeight="1">
      <c r="D74" s="264" t="e">
        <f t="shared" ref="D74:D75" si="13">D30</f>
        <v>#N/A</v>
      </c>
      <c r="E74" s="281" t="e">
        <f>VLOOKUP(B75,#REF!,2, FALSE())</f>
        <v>#REF!</v>
      </c>
      <c r="F74" s="490" t="e">
        <f>VLOOKUP($B75,[1]velho!$A$31:$BG$207,43, FALSE())</f>
        <v>#N/A</v>
      </c>
      <c r="G74" s="489" t="e">
        <f>VLOOKUP($B75,[1]velho!$A$31:$BG$207,44, FALSE())</f>
        <v>#N/A</v>
      </c>
      <c r="H74" s="490" t="e">
        <f>VLOOKUP($B75,[1]velho!$A$31:$BG$207,45, FALSE())</f>
        <v>#N/A</v>
      </c>
      <c r="I74" s="489" t="e">
        <f>VLOOKUP($B75,[1]velho!$A$31:$BG$207,46, FALSE())</f>
        <v>#N/A</v>
      </c>
      <c r="J74" s="509" t="e">
        <f>VLOOKUP($B75,[1]velho!$A$31:$BG$207,47, FALSE())</f>
        <v>#N/A</v>
      </c>
      <c r="K74" s="489" t="e">
        <f>VLOOKUP($B75,[1]velho!$A$31:$BG$207,48, FALSE())</f>
        <v>#N/A</v>
      </c>
      <c r="L74" s="490" t="e">
        <f>VLOOKUP($B75,[1]velho!$A$31:$BG$207,49, FALSE())</f>
        <v>#N/A</v>
      </c>
      <c r="M74" s="489" t="e">
        <f>VLOOKUP($B75,[1]velho!$A$31:$BG$207,50, FALSE())</f>
        <v>#N/A</v>
      </c>
      <c r="N74" s="490" t="e">
        <f>VLOOKUP($B75,[1]velho!$A$31:$BG$207,51, FALSE())</f>
        <v>#N/A</v>
      </c>
      <c r="O74" s="489" t="e">
        <f>VLOOKUP($B75,[1]velho!$A$31:$BG$207,52, FALSE())</f>
        <v>#N/A</v>
      </c>
      <c r="P74" s="490" t="e">
        <f>VLOOKUP($B75,[1]velho!$A$31:$BG$207,53, FALSE())</f>
        <v>#N/A</v>
      </c>
      <c r="Q74" s="489" t="e">
        <f>VLOOKUP($B75,[1]velho!$A$31:$BG$207,54, FALSE())</f>
        <v>#N/A</v>
      </c>
      <c r="R74" s="490" t="e">
        <f>VLOOKUP($B75,[1]velho!$A$31:$BG$207,55, FALSE())</f>
        <v>#N/A</v>
      </c>
      <c r="S74" s="489" t="e">
        <f>VLOOKUP($B75,[1]velho!$A$31:$BG$207,56, FALSE())</f>
        <v>#N/A</v>
      </c>
      <c r="T74" s="490" t="e">
        <f>VLOOKUP($B75,[1]velho!$A$31:$BG$207,57, FALSE())</f>
        <v>#N/A</v>
      </c>
      <c r="U74" s="489" t="e">
        <f>VLOOKUP($B75,[1]velho!$A$31:$BG$207,58, FALSE())</f>
        <v>#N/A</v>
      </c>
      <c r="V74" s="287"/>
    </row>
    <row r="75" spans="1:22" ht="15.75" hidden="1" customHeight="1">
      <c r="A75" s="145"/>
      <c r="B75" s="507" t="str">
        <f>B31</f>
        <v>AG029 - LD-B/7</v>
      </c>
      <c r="C75" s="499"/>
      <c r="D75" s="508" t="e">
        <f t="shared" si="13"/>
        <v>#N/A</v>
      </c>
      <c r="E75" s="496"/>
      <c r="F75" s="481"/>
      <c r="G75" s="481"/>
      <c r="H75" s="481"/>
      <c r="I75" s="481"/>
      <c r="J75" s="481"/>
      <c r="K75" s="481"/>
      <c r="L75" s="481"/>
      <c r="M75" s="481"/>
      <c r="N75" s="481"/>
      <c r="O75" s="481"/>
      <c r="P75" s="481"/>
      <c r="Q75" s="481"/>
      <c r="R75" s="481"/>
      <c r="S75" s="481"/>
      <c r="T75" s="481"/>
      <c r="U75" s="481"/>
      <c r="V75" s="287"/>
    </row>
    <row r="76" spans="1:22" ht="3.75" hidden="1" customHeight="1"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</row>
    <row r="77" spans="1:22" ht="15.75" hidden="1" customHeight="1">
      <c r="D77" s="264" t="e">
        <f t="shared" ref="D77:D78" si="14">D33</f>
        <v>#N/A</v>
      </c>
      <c r="E77" s="281" t="e">
        <f>VLOOKUP(B78,#REF!,2, FALSE())</f>
        <v>#REF!</v>
      </c>
      <c r="F77" s="490" t="e">
        <f>VLOOKUP($B78,[1]velho!$A$31:$BG$207,43, FALSE())</f>
        <v>#N/A</v>
      </c>
      <c r="G77" s="489" t="e">
        <f>VLOOKUP($B78,[1]velho!$A$31:$BG$207,44, FALSE())</f>
        <v>#N/A</v>
      </c>
      <c r="H77" s="490" t="e">
        <f>VLOOKUP($B78,[1]velho!$A$31:$BG$207,45, FALSE())</f>
        <v>#N/A</v>
      </c>
      <c r="I77" s="489" t="e">
        <f>VLOOKUP($B78,[1]velho!$A$31:$BG$207,46, FALSE())</f>
        <v>#N/A</v>
      </c>
      <c r="J77" s="509" t="e">
        <f>VLOOKUP($B78,[1]velho!$A$31:$BG$207,47, FALSE())</f>
        <v>#N/A</v>
      </c>
      <c r="K77" s="489" t="e">
        <f>VLOOKUP($B78,[1]velho!$A$31:$BG$207,48, FALSE())</f>
        <v>#N/A</v>
      </c>
      <c r="L77" s="490" t="e">
        <f>VLOOKUP($B78,[1]velho!$A$31:$BG$207,49, FALSE())</f>
        <v>#N/A</v>
      </c>
      <c r="M77" s="489" t="e">
        <f>VLOOKUP($B78,[1]velho!$A$31:$BG$207,50, FALSE())</f>
        <v>#N/A</v>
      </c>
      <c r="N77" s="490" t="e">
        <f>VLOOKUP($B78,[1]velho!$A$31:$BG$207,51, FALSE())</f>
        <v>#N/A</v>
      </c>
      <c r="O77" s="489" t="e">
        <f>VLOOKUP($B78,[1]velho!$A$31:$BG$207,52, FALSE())</f>
        <v>#N/A</v>
      </c>
      <c r="P77" s="490" t="e">
        <f>VLOOKUP($B78,[1]velho!$A$31:$BG$207,53, FALSE())</f>
        <v>#N/A</v>
      </c>
      <c r="Q77" s="489" t="e">
        <f>VLOOKUP($B78,[1]velho!$A$31:$BG$207,54, FALSE())</f>
        <v>#N/A</v>
      </c>
      <c r="R77" s="490" t="e">
        <f>VLOOKUP($B78,[1]velho!$A$31:$BG$207,55, FALSE())</f>
        <v>#N/A</v>
      </c>
      <c r="S77" s="489" t="e">
        <f>VLOOKUP($B78,[1]velho!$A$31:$BG$207,56, FALSE())</f>
        <v>#N/A</v>
      </c>
      <c r="T77" s="490" t="e">
        <f>VLOOKUP($B78,[1]velho!$A$31:$BG$207,57, FALSE())</f>
        <v>#N/A</v>
      </c>
      <c r="U77" s="489" t="e">
        <f>VLOOKUP($B78,[1]velho!$A$31:$BG$207,58, FALSE())</f>
        <v>#N/A</v>
      </c>
      <c r="V77" s="287"/>
    </row>
    <row r="78" spans="1:22" ht="15.75" hidden="1" customHeight="1">
      <c r="A78" s="145"/>
      <c r="B78" s="507" t="str">
        <f>B34</f>
        <v>AG029 - LD-B/8</v>
      </c>
      <c r="C78" s="499"/>
      <c r="D78" s="508" t="e">
        <f t="shared" si="14"/>
        <v>#N/A</v>
      </c>
      <c r="E78" s="496"/>
      <c r="F78" s="481"/>
      <c r="G78" s="481"/>
      <c r="H78" s="481"/>
      <c r="I78" s="481"/>
      <c r="J78" s="481"/>
      <c r="K78" s="481"/>
      <c r="L78" s="481"/>
      <c r="M78" s="481"/>
      <c r="N78" s="481"/>
      <c r="O78" s="481"/>
      <c r="P78" s="481"/>
      <c r="Q78" s="481"/>
      <c r="R78" s="481"/>
      <c r="S78" s="481"/>
      <c r="T78" s="481"/>
      <c r="U78" s="481"/>
      <c r="V78" s="287"/>
    </row>
    <row r="79" spans="1:22" ht="3.75" hidden="1" customHeight="1"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</row>
    <row r="80" spans="1:22" ht="15.75" hidden="1" customHeight="1">
      <c r="D80" s="264" t="e">
        <f t="shared" ref="D80:D81" si="15">D36</f>
        <v>#N/A</v>
      </c>
      <c r="E80" s="281" t="e">
        <f>VLOOKUP(B81,#REF!,2, FALSE())</f>
        <v>#REF!</v>
      </c>
      <c r="F80" s="490" t="e">
        <f>VLOOKUP($B81,[1]velho!$A$31:$BG$207,43, FALSE())</f>
        <v>#N/A</v>
      </c>
      <c r="G80" s="489" t="e">
        <f>VLOOKUP($B81,[1]velho!$A$31:$BG$207,44, FALSE())</f>
        <v>#N/A</v>
      </c>
      <c r="H80" s="490" t="e">
        <f>VLOOKUP($B81,[1]velho!$A$31:$BG$207,45, FALSE())</f>
        <v>#N/A</v>
      </c>
      <c r="I80" s="489" t="e">
        <f>VLOOKUP($B81,[1]velho!$A$31:$BG$207,46, FALSE())</f>
        <v>#N/A</v>
      </c>
      <c r="J80" s="509" t="e">
        <f>VLOOKUP($B81,[1]velho!$A$31:$BG$207,47, FALSE())</f>
        <v>#N/A</v>
      </c>
      <c r="K80" s="489" t="e">
        <f>VLOOKUP($B81,[1]velho!$A$31:$BG$207,48, FALSE())</f>
        <v>#N/A</v>
      </c>
      <c r="L80" s="490" t="e">
        <f>VLOOKUP($B81,[1]velho!$A$31:$BG$207,49, FALSE())</f>
        <v>#N/A</v>
      </c>
      <c r="M80" s="489" t="e">
        <f>VLOOKUP($B81,[1]velho!$A$31:$BG$207,50, FALSE())</f>
        <v>#N/A</v>
      </c>
      <c r="N80" s="490" t="e">
        <f>VLOOKUP($B81,[1]velho!$A$31:$BG$207,51, FALSE())</f>
        <v>#N/A</v>
      </c>
      <c r="O80" s="489" t="e">
        <f>VLOOKUP($B81,[1]velho!$A$31:$BG$207,52, FALSE())</f>
        <v>#N/A</v>
      </c>
      <c r="P80" s="490" t="e">
        <f>VLOOKUP($B81,[1]velho!$A$31:$BG$207,53, FALSE())</f>
        <v>#N/A</v>
      </c>
      <c r="Q80" s="489" t="e">
        <f>VLOOKUP($B81,[1]velho!$A$31:$BG$207,54, FALSE())</f>
        <v>#N/A</v>
      </c>
      <c r="R80" s="490" t="e">
        <f>VLOOKUP($B81,[1]velho!$A$31:$BG$207,55, FALSE())</f>
        <v>#N/A</v>
      </c>
      <c r="S80" s="489" t="e">
        <f>VLOOKUP($B81,[1]velho!$A$31:$BG$207,56, FALSE())</f>
        <v>#N/A</v>
      </c>
      <c r="T80" s="490" t="e">
        <f>VLOOKUP($B81,[1]velho!$A$31:$BG$207,57, FALSE())</f>
        <v>#N/A</v>
      </c>
      <c r="U80" s="489" t="e">
        <f>VLOOKUP($B81,[1]velho!$A$31:$BG$207,58, FALSE())</f>
        <v>#N/A</v>
      </c>
      <c r="V80" s="287"/>
    </row>
    <row r="81" spans="1:22" ht="15.75" hidden="1" customHeight="1">
      <c r="A81" s="145"/>
      <c r="B81" s="507" t="str">
        <f>B37</f>
        <v>AG029 - LD-C/U</v>
      </c>
      <c r="C81" s="499"/>
      <c r="D81" s="508" t="e">
        <f t="shared" si="15"/>
        <v>#N/A</v>
      </c>
      <c r="E81" s="496"/>
      <c r="F81" s="481"/>
      <c r="G81" s="481"/>
      <c r="H81" s="481"/>
      <c r="I81" s="481"/>
      <c r="J81" s="481"/>
      <c r="K81" s="481"/>
      <c r="L81" s="481"/>
      <c r="M81" s="481"/>
      <c r="N81" s="481"/>
      <c r="O81" s="481"/>
      <c r="P81" s="481"/>
      <c r="Q81" s="481"/>
      <c r="R81" s="481"/>
      <c r="S81" s="481"/>
      <c r="T81" s="481"/>
      <c r="U81" s="481"/>
      <c r="V81" s="287"/>
    </row>
    <row r="82" spans="1:22" ht="3.75" hidden="1" customHeight="1"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</row>
    <row r="83" spans="1:22" ht="15.75" hidden="1" customHeight="1">
      <c r="D83" s="264" t="e">
        <f t="shared" ref="D83:D84" si="16">D39</f>
        <v>#N/A</v>
      </c>
      <c r="E83" s="281" t="e">
        <f>VLOOKUP(B84,#REF!,2, FALSE())</f>
        <v>#REF!</v>
      </c>
      <c r="F83" s="490" t="e">
        <f>VLOOKUP($B84,[1]velho!$A$31:$BG$207,43, FALSE())</f>
        <v>#N/A</v>
      </c>
      <c r="G83" s="489" t="e">
        <f>VLOOKUP($B84,[1]velho!$A$31:$BG$207,44, FALSE())</f>
        <v>#N/A</v>
      </c>
      <c r="H83" s="490" t="e">
        <f>VLOOKUP($B84,[1]velho!$A$31:$BG$207,45, FALSE())</f>
        <v>#N/A</v>
      </c>
      <c r="I83" s="489" t="e">
        <f>VLOOKUP($B84,[1]velho!$A$31:$BG$207,46, FALSE())</f>
        <v>#N/A</v>
      </c>
      <c r="J83" s="509" t="e">
        <f>VLOOKUP($B84,[1]velho!$A$31:$BG$207,47, FALSE())</f>
        <v>#N/A</v>
      </c>
      <c r="K83" s="489" t="e">
        <f>VLOOKUP($B84,[1]velho!$A$31:$BG$207,48, FALSE())</f>
        <v>#N/A</v>
      </c>
      <c r="L83" s="490" t="e">
        <f>VLOOKUP($B84,[1]velho!$A$31:$BG$207,49, FALSE())</f>
        <v>#N/A</v>
      </c>
      <c r="M83" s="489" t="e">
        <f>VLOOKUP($B84,[1]velho!$A$31:$BG$207,50, FALSE())</f>
        <v>#N/A</v>
      </c>
      <c r="N83" s="490" t="e">
        <f>VLOOKUP($B84,[1]velho!$A$31:$BG$207,51, FALSE())</f>
        <v>#N/A</v>
      </c>
      <c r="O83" s="489" t="e">
        <f>VLOOKUP($B84,[1]velho!$A$31:$BG$207,52, FALSE())</f>
        <v>#N/A</v>
      </c>
      <c r="P83" s="490" t="e">
        <f>VLOOKUP($B84,[1]velho!$A$31:$BG$207,53, FALSE())</f>
        <v>#N/A</v>
      </c>
      <c r="Q83" s="489" t="e">
        <f>VLOOKUP($B84,[1]velho!$A$31:$BG$207,54, FALSE())</f>
        <v>#N/A</v>
      </c>
      <c r="R83" s="490" t="e">
        <f>VLOOKUP($B84,[1]velho!$A$31:$BG$207,55, FALSE())</f>
        <v>#N/A</v>
      </c>
      <c r="S83" s="489" t="e">
        <f>VLOOKUP($B84,[1]velho!$A$31:$BG$207,56, FALSE())</f>
        <v>#N/A</v>
      </c>
      <c r="T83" s="490" t="e">
        <f>VLOOKUP($B84,[1]velho!$A$31:$BG$207,57, FALSE())</f>
        <v>#N/A</v>
      </c>
      <c r="U83" s="489" t="e">
        <f>VLOOKUP($B84,[1]velho!$A$31:$BG$207,58, FALSE())</f>
        <v>#N/A</v>
      </c>
      <c r="V83" s="287"/>
    </row>
    <row r="84" spans="1:22" ht="15.75" hidden="1" customHeight="1">
      <c r="A84" s="145"/>
      <c r="B84" s="507" t="str">
        <f>B40</f>
        <v>AG029 - LN-B/1</v>
      </c>
      <c r="C84" s="499"/>
      <c r="D84" s="508" t="e">
        <f t="shared" si="16"/>
        <v>#N/A</v>
      </c>
      <c r="E84" s="496"/>
      <c r="F84" s="481"/>
      <c r="G84" s="481"/>
      <c r="H84" s="481"/>
      <c r="I84" s="481"/>
      <c r="J84" s="481"/>
      <c r="K84" s="481"/>
      <c r="L84" s="481"/>
      <c r="M84" s="481"/>
      <c r="N84" s="481"/>
      <c r="O84" s="481"/>
      <c r="P84" s="481"/>
      <c r="Q84" s="481"/>
      <c r="R84" s="481"/>
      <c r="S84" s="481"/>
      <c r="T84" s="481"/>
      <c r="U84" s="481"/>
      <c r="V84" s="287"/>
    </row>
    <row r="85" spans="1:22" ht="3.75" hidden="1" customHeight="1"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</row>
    <row r="86" spans="1:22" ht="15.75" hidden="1" customHeight="1">
      <c r="D86" s="264" t="e">
        <f t="shared" ref="D86:D87" si="17">D42</f>
        <v>#N/A</v>
      </c>
      <c r="E86" s="281" t="e">
        <f>VLOOKUP(B87,#REF!,2, FALSE())</f>
        <v>#REF!</v>
      </c>
      <c r="F86" s="490" t="e">
        <f>VLOOKUP($B87,[1]velho!$A$31:$BG$207,43, FALSE())</f>
        <v>#N/A</v>
      </c>
      <c r="G86" s="489" t="e">
        <f>VLOOKUP($B87,[1]velho!$A$31:$BG$207,44, FALSE())</f>
        <v>#N/A</v>
      </c>
      <c r="H86" s="490" t="e">
        <f>VLOOKUP($B87,[1]velho!$A$31:$BG$207,45, FALSE())</f>
        <v>#N/A</v>
      </c>
      <c r="I86" s="489" t="e">
        <f>VLOOKUP($B87,[1]velho!$A$31:$BG$207,46, FALSE())</f>
        <v>#N/A</v>
      </c>
      <c r="J86" s="509" t="e">
        <f>VLOOKUP($B87,[1]velho!$A$31:$BG$207,47, FALSE())</f>
        <v>#N/A</v>
      </c>
      <c r="K86" s="489" t="e">
        <f>VLOOKUP($B87,[1]velho!$A$31:$BG$207,48, FALSE())</f>
        <v>#N/A</v>
      </c>
      <c r="L86" s="490" t="e">
        <f>VLOOKUP($B87,[1]velho!$A$31:$BG$207,49, FALSE())</f>
        <v>#N/A</v>
      </c>
      <c r="M86" s="489" t="e">
        <f>VLOOKUP($B87,[1]velho!$A$31:$BG$207,50, FALSE())</f>
        <v>#N/A</v>
      </c>
      <c r="N86" s="490" t="e">
        <f>VLOOKUP($B87,[1]velho!$A$31:$BG$207,51, FALSE())</f>
        <v>#N/A</v>
      </c>
      <c r="O86" s="489" t="e">
        <f>VLOOKUP($B87,[1]velho!$A$31:$BG$207,52, FALSE())</f>
        <v>#N/A</v>
      </c>
      <c r="P86" s="490" t="e">
        <f>VLOOKUP($B87,[1]velho!$A$31:$BG$207,53, FALSE())</f>
        <v>#N/A</v>
      </c>
      <c r="Q86" s="489" t="e">
        <f>VLOOKUP($B87,[1]velho!$A$31:$BG$207,54, FALSE())</f>
        <v>#N/A</v>
      </c>
      <c r="R86" s="490" t="e">
        <f>VLOOKUP($B87,[1]velho!$A$31:$BG$207,55, FALSE())</f>
        <v>#N/A</v>
      </c>
      <c r="S86" s="489" t="e">
        <f>VLOOKUP($B87,[1]velho!$A$31:$BG$207,56, FALSE())</f>
        <v>#N/A</v>
      </c>
      <c r="T86" s="490" t="e">
        <f>VLOOKUP($B87,[1]velho!$A$31:$BG$207,57, FALSE())</f>
        <v>#N/A</v>
      </c>
      <c r="U86" s="489" t="e">
        <f>VLOOKUP($B87,[1]velho!$A$31:$BG$207,58, FALSE())</f>
        <v>#N/A</v>
      </c>
      <c r="V86" s="287"/>
    </row>
    <row r="87" spans="1:22" ht="15.75" hidden="1" customHeight="1">
      <c r="A87" s="145"/>
      <c r="B87" s="507" t="str">
        <f>B43</f>
        <v>AG029 - LN-B/2</v>
      </c>
      <c r="C87" s="499"/>
      <c r="D87" s="508" t="e">
        <f t="shared" si="17"/>
        <v>#N/A</v>
      </c>
      <c r="E87" s="496"/>
      <c r="F87" s="481"/>
      <c r="G87" s="481"/>
      <c r="H87" s="481"/>
      <c r="I87" s="481"/>
      <c r="J87" s="481"/>
      <c r="K87" s="481"/>
      <c r="L87" s="481"/>
      <c r="M87" s="481"/>
      <c r="N87" s="481"/>
      <c r="O87" s="481"/>
      <c r="P87" s="481"/>
      <c r="Q87" s="481"/>
      <c r="R87" s="481"/>
      <c r="S87" s="481"/>
      <c r="T87" s="481"/>
      <c r="U87" s="481"/>
      <c r="V87" s="287"/>
    </row>
    <row r="88" spans="1:22" ht="15.75" customHeight="1">
      <c r="D88" s="79" t="s">
        <v>1434</v>
      </c>
    </row>
    <row r="89" spans="1:22" ht="15.75" customHeight="1">
      <c r="D89" s="301"/>
      <c r="E89" s="302"/>
    </row>
    <row r="90" spans="1:22" ht="15.75" customHeight="1">
      <c r="E90" s="302"/>
    </row>
    <row r="91" spans="1:22" ht="15.75" customHeight="1"/>
    <row r="92" spans="1:22" ht="15.75" customHeight="1"/>
    <row r="93" spans="1:22" ht="15.75" customHeight="1"/>
    <row r="94" spans="1:22" ht="15.75" customHeight="1"/>
    <row r="95" spans="1:22" ht="15.75" customHeight="1"/>
    <row r="96" spans="1:2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</sheetData>
  <mergeCells count="508">
    <mergeCell ref="T80:T81"/>
    <mergeCell ref="U80:U81"/>
    <mergeCell ref="K80:K81"/>
    <mergeCell ref="L80:L81"/>
    <mergeCell ref="M80:M81"/>
    <mergeCell ref="N80:N81"/>
    <mergeCell ref="O80:O81"/>
    <mergeCell ref="P80:P81"/>
    <mergeCell ref="Q80:Q81"/>
    <mergeCell ref="F77:F78"/>
    <mergeCell ref="G77:G78"/>
    <mergeCell ref="H77:H78"/>
    <mergeCell ref="I77:I78"/>
    <mergeCell ref="J77:J78"/>
    <mergeCell ref="K77:K78"/>
    <mergeCell ref="L77:L78"/>
    <mergeCell ref="R80:R81"/>
    <mergeCell ref="S80:S81"/>
    <mergeCell ref="I74:I75"/>
    <mergeCell ref="J74:J75"/>
    <mergeCell ref="T77:T78"/>
    <mergeCell ref="U77:U78"/>
    <mergeCell ref="M77:M78"/>
    <mergeCell ref="N77:N78"/>
    <mergeCell ref="O77:O78"/>
    <mergeCell ref="P77:P78"/>
    <mergeCell ref="Q77:Q78"/>
    <mergeCell ref="R77:R78"/>
    <mergeCell ref="S77:S78"/>
    <mergeCell ref="B87:C87"/>
    <mergeCell ref="D87:E87"/>
    <mergeCell ref="B84:C84"/>
    <mergeCell ref="D84:E84"/>
    <mergeCell ref="F86:F87"/>
    <mergeCell ref="G86:G87"/>
    <mergeCell ref="H86:H87"/>
    <mergeCell ref="I86:I87"/>
    <mergeCell ref="J86:J87"/>
    <mergeCell ref="F83:F84"/>
    <mergeCell ref="G83:G84"/>
    <mergeCell ref="H83:H84"/>
    <mergeCell ref="I83:I84"/>
    <mergeCell ref="J83:J84"/>
    <mergeCell ref="R86:R87"/>
    <mergeCell ref="S86:S87"/>
    <mergeCell ref="T86:T87"/>
    <mergeCell ref="U86:U87"/>
    <mergeCell ref="K86:K87"/>
    <mergeCell ref="L86:L87"/>
    <mergeCell ref="M86:M87"/>
    <mergeCell ref="N86:N87"/>
    <mergeCell ref="O86:O87"/>
    <mergeCell ref="P86:P87"/>
    <mergeCell ref="Q86:Q87"/>
    <mergeCell ref="R83:R84"/>
    <mergeCell ref="S83:S84"/>
    <mergeCell ref="T83:T84"/>
    <mergeCell ref="U83:U84"/>
    <mergeCell ref="K83:K84"/>
    <mergeCell ref="L83:L84"/>
    <mergeCell ref="M83:M84"/>
    <mergeCell ref="N83:N84"/>
    <mergeCell ref="O83:O84"/>
    <mergeCell ref="P83:P84"/>
    <mergeCell ref="Q83:Q84"/>
    <mergeCell ref="M47:M48"/>
    <mergeCell ref="N47:N48"/>
    <mergeCell ref="O47:O48"/>
    <mergeCell ref="B78:C78"/>
    <mergeCell ref="D78:E78"/>
    <mergeCell ref="F80:F81"/>
    <mergeCell ref="G80:G81"/>
    <mergeCell ref="H80:H81"/>
    <mergeCell ref="I80:I81"/>
    <mergeCell ref="J80:J81"/>
    <mergeCell ref="B81:C81"/>
    <mergeCell ref="D81:E81"/>
    <mergeCell ref="B69:C69"/>
    <mergeCell ref="D69:E69"/>
    <mergeCell ref="F71:F72"/>
    <mergeCell ref="G71:G72"/>
    <mergeCell ref="H71:H72"/>
    <mergeCell ref="I71:I72"/>
    <mergeCell ref="J71:J72"/>
    <mergeCell ref="B72:C72"/>
    <mergeCell ref="D72:E72"/>
    <mergeCell ref="F74:F75"/>
    <mergeCell ref="G74:G75"/>
    <mergeCell ref="H74:H75"/>
    <mergeCell ref="R42:R43"/>
    <mergeCell ref="S42:S43"/>
    <mergeCell ref="T42:T43"/>
    <mergeCell ref="U42:U43"/>
    <mergeCell ref="K42:K43"/>
    <mergeCell ref="L42:L43"/>
    <mergeCell ref="M42:M43"/>
    <mergeCell ref="N42:N43"/>
    <mergeCell ref="O42:O43"/>
    <mergeCell ref="P42:P43"/>
    <mergeCell ref="Q42:Q43"/>
    <mergeCell ref="T39:T40"/>
    <mergeCell ref="U39:U40"/>
    <mergeCell ref="K39:K40"/>
    <mergeCell ref="L39:L40"/>
    <mergeCell ref="M39:M40"/>
    <mergeCell ref="N39:N40"/>
    <mergeCell ref="O39:O40"/>
    <mergeCell ref="P39:P40"/>
    <mergeCell ref="Q39:Q40"/>
    <mergeCell ref="B34:C34"/>
    <mergeCell ref="D34:E34"/>
    <mergeCell ref="F36:F37"/>
    <mergeCell ref="G36:G37"/>
    <mergeCell ref="H36:H37"/>
    <mergeCell ref="I36:I37"/>
    <mergeCell ref="J36:J37"/>
    <mergeCell ref="R39:R40"/>
    <mergeCell ref="S39:S40"/>
    <mergeCell ref="B37:C37"/>
    <mergeCell ref="D37:E37"/>
    <mergeCell ref="F39:F40"/>
    <mergeCell ref="G39:G40"/>
    <mergeCell ref="H39:H40"/>
    <mergeCell ref="I39:I40"/>
    <mergeCell ref="J39:J40"/>
    <mergeCell ref="T36:T37"/>
    <mergeCell ref="U36:U37"/>
    <mergeCell ref="K36:K37"/>
    <mergeCell ref="L36:L37"/>
    <mergeCell ref="M36:M37"/>
    <mergeCell ref="N36:N37"/>
    <mergeCell ref="O36:O37"/>
    <mergeCell ref="P36:P37"/>
    <mergeCell ref="Q36:Q37"/>
    <mergeCell ref="F33:F34"/>
    <mergeCell ref="G33:G34"/>
    <mergeCell ref="H33:H34"/>
    <mergeCell ref="I33:I34"/>
    <mergeCell ref="J33:J34"/>
    <mergeCell ref="K33:K34"/>
    <mergeCell ref="L33:L34"/>
    <mergeCell ref="R36:R37"/>
    <mergeCell ref="S36:S37"/>
    <mergeCell ref="T33:T34"/>
    <mergeCell ref="U33:U34"/>
    <mergeCell ref="M33:M34"/>
    <mergeCell ref="N33:N34"/>
    <mergeCell ref="O33:O34"/>
    <mergeCell ref="P33:P34"/>
    <mergeCell ref="Q33:Q34"/>
    <mergeCell ref="R33:R34"/>
    <mergeCell ref="S33:S34"/>
    <mergeCell ref="B31:C31"/>
    <mergeCell ref="D31:E31"/>
    <mergeCell ref="B25:C25"/>
    <mergeCell ref="D25:E25"/>
    <mergeCell ref="F27:F28"/>
    <mergeCell ref="G27:G28"/>
    <mergeCell ref="H27:H28"/>
    <mergeCell ref="I27:I28"/>
    <mergeCell ref="J27:J28"/>
    <mergeCell ref="B28:C28"/>
    <mergeCell ref="D28:E28"/>
    <mergeCell ref="F30:F31"/>
    <mergeCell ref="G30:G31"/>
    <mergeCell ref="H30:H31"/>
    <mergeCell ref="I30:I31"/>
    <mergeCell ref="J30:J31"/>
    <mergeCell ref="R30:R31"/>
    <mergeCell ref="S30:S31"/>
    <mergeCell ref="T30:T31"/>
    <mergeCell ref="U30:U31"/>
    <mergeCell ref="K30:K31"/>
    <mergeCell ref="L30:L31"/>
    <mergeCell ref="M30:M31"/>
    <mergeCell ref="N30:N31"/>
    <mergeCell ref="O30:O31"/>
    <mergeCell ref="P30:P31"/>
    <mergeCell ref="Q30:Q31"/>
    <mergeCell ref="R27:R28"/>
    <mergeCell ref="S27:S28"/>
    <mergeCell ref="T27:T28"/>
    <mergeCell ref="U27:U28"/>
    <mergeCell ref="K27:K28"/>
    <mergeCell ref="L27:L28"/>
    <mergeCell ref="M27:M28"/>
    <mergeCell ref="N27:N28"/>
    <mergeCell ref="O27:O28"/>
    <mergeCell ref="P27:P28"/>
    <mergeCell ref="Q27:Q28"/>
    <mergeCell ref="F21:F22"/>
    <mergeCell ref="G21:G22"/>
    <mergeCell ref="H21:H22"/>
    <mergeCell ref="I21:I22"/>
    <mergeCell ref="J21:J22"/>
    <mergeCell ref="B22:C22"/>
    <mergeCell ref="D22:E22"/>
    <mergeCell ref="F24:F25"/>
    <mergeCell ref="G24:G25"/>
    <mergeCell ref="H24:H25"/>
    <mergeCell ref="I24:I25"/>
    <mergeCell ref="J24:J25"/>
    <mergeCell ref="R24:R25"/>
    <mergeCell ref="S24:S25"/>
    <mergeCell ref="T24:T25"/>
    <mergeCell ref="U24:U25"/>
    <mergeCell ref="K24:K25"/>
    <mergeCell ref="L24:L25"/>
    <mergeCell ref="M24:M25"/>
    <mergeCell ref="N24:N25"/>
    <mergeCell ref="O24:O25"/>
    <mergeCell ref="P24:P25"/>
    <mergeCell ref="Q24:Q25"/>
    <mergeCell ref="R21:R22"/>
    <mergeCell ref="S21:S22"/>
    <mergeCell ref="T21:T22"/>
    <mergeCell ref="U21:U22"/>
    <mergeCell ref="K21:K22"/>
    <mergeCell ref="L21:L22"/>
    <mergeCell ref="M21:M22"/>
    <mergeCell ref="N21:N22"/>
    <mergeCell ref="O21:O22"/>
    <mergeCell ref="P21:P22"/>
    <mergeCell ref="Q21:Q22"/>
    <mergeCell ref="T18:T19"/>
    <mergeCell ref="U18:U19"/>
    <mergeCell ref="K18:K19"/>
    <mergeCell ref="L18:L19"/>
    <mergeCell ref="M18:M19"/>
    <mergeCell ref="N18:N19"/>
    <mergeCell ref="O18:O19"/>
    <mergeCell ref="P18:P19"/>
    <mergeCell ref="Q18:Q19"/>
    <mergeCell ref="B13:C13"/>
    <mergeCell ref="D13:E13"/>
    <mergeCell ref="F15:F16"/>
    <mergeCell ref="G15:G16"/>
    <mergeCell ref="H15:H16"/>
    <mergeCell ref="I15:I16"/>
    <mergeCell ref="J15:J16"/>
    <mergeCell ref="R18:R19"/>
    <mergeCell ref="S18:S19"/>
    <mergeCell ref="B16:C16"/>
    <mergeCell ref="D16:E16"/>
    <mergeCell ref="F18:F19"/>
    <mergeCell ref="G18:G19"/>
    <mergeCell ref="H18:H19"/>
    <mergeCell ref="I18:I19"/>
    <mergeCell ref="J18:J19"/>
    <mergeCell ref="B19:C19"/>
    <mergeCell ref="D19:E19"/>
    <mergeCell ref="T15:T16"/>
    <mergeCell ref="U15:U16"/>
    <mergeCell ref="K15:K16"/>
    <mergeCell ref="L15:L16"/>
    <mergeCell ref="M15:M16"/>
    <mergeCell ref="N15:N16"/>
    <mergeCell ref="O15:O16"/>
    <mergeCell ref="P15:P16"/>
    <mergeCell ref="Q15:Q16"/>
    <mergeCell ref="F12:F13"/>
    <mergeCell ref="G12:G13"/>
    <mergeCell ref="H12:H13"/>
    <mergeCell ref="I12:I13"/>
    <mergeCell ref="J12:J13"/>
    <mergeCell ref="K12:K13"/>
    <mergeCell ref="L12:L13"/>
    <mergeCell ref="R15:R16"/>
    <mergeCell ref="S15:S16"/>
    <mergeCell ref="T12:T13"/>
    <mergeCell ref="U12:U13"/>
    <mergeCell ref="M12:M13"/>
    <mergeCell ref="N12:N13"/>
    <mergeCell ref="O12:O13"/>
    <mergeCell ref="P12:P13"/>
    <mergeCell ref="Q12:Q13"/>
    <mergeCell ref="R12:R13"/>
    <mergeCell ref="S12:S13"/>
    <mergeCell ref="I9:I10"/>
    <mergeCell ref="J9:J10"/>
    <mergeCell ref="R9:R10"/>
    <mergeCell ref="S9:S10"/>
    <mergeCell ref="K9:K10"/>
    <mergeCell ref="L9:L10"/>
    <mergeCell ref="M9:M10"/>
    <mergeCell ref="N9:N10"/>
    <mergeCell ref="O9:O10"/>
    <mergeCell ref="P9:P10"/>
    <mergeCell ref="Q9:Q10"/>
    <mergeCell ref="D1:E1"/>
    <mergeCell ref="D2:E2"/>
    <mergeCell ref="F3:F4"/>
    <mergeCell ref="G3:G4"/>
    <mergeCell ref="H3:H4"/>
    <mergeCell ref="I3:I4"/>
    <mergeCell ref="J3:J4"/>
    <mergeCell ref="R6:R7"/>
    <mergeCell ref="S6:S7"/>
    <mergeCell ref="K6:K7"/>
    <mergeCell ref="L6:L7"/>
    <mergeCell ref="M6:M7"/>
    <mergeCell ref="N6:N7"/>
    <mergeCell ref="O6:O7"/>
    <mergeCell ref="P6:P7"/>
    <mergeCell ref="Q6:Q7"/>
    <mergeCell ref="D4:E4"/>
    <mergeCell ref="F6:F7"/>
    <mergeCell ref="G6:G7"/>
    <mergeCell ref="H6:H7"/>
    <mergeCell ref="I6:I7"/>
    <mergeCell ref="J6:J7"/>
    <mergeCell ref="D7:E7"/>
    <mergeCell ref="B75:C75"/>
    <mergeCell ref="D75:E75"/>
    <mergeCell ref="R3:R4"/>
    <mergeCell ref="S3:S4"/>
    <mergeCell ref="T3:T4"/>
    <mergeCell ref="U3:U4"/>
    <mergeCell ref="K3:K4"/>
    <mergeCell ref="L3:L4"/>
    <mergeCell ref="M3:M4"/>
    <mergeCell ref="N3:N4"/>
    <mergeCell ref="O3:O4"/>
    <mergeCell ref="P3:P4"/>
    <mergeCell ref="Q3:Q4"/>
    <mergeCell ref="T6:T7"/>
    <mergeCell ref="U6:U7"/>
    <mergeCell ref="T9:T10"/>
    <mergeCell ref="U9:U10"/>
    <mergeCell ref="B4:C4"/>
    <mergeCell ref="B10:C10"/>
    <mergeCell ref="D10:E10"/>
    <mergeCell ref="B7:C7"/>
    <mergeCell ref="F9:F10"/>
    <mergeCell ref="G9:G10"/>
    <mergeCell ref="H9:H10"/>
    <mergeCell ref="R74:R75"/>
    <mergeCell ref="S74:S75"/>
    <mergeCell ref="T74:T75"/>
    <mergeCell ref="U74:U75"/>
    <mergeCell ref="K74:K75"/>
    <mergeCell ref="L74:L75"/>
    <mergeCell ref="M74:M75"/>
    <mergeCell ref="N74:N75"/>
    <mergeCell ref="O74:O75"/>
    <mergeCell ref="P74:P75"/>
    <mergeCell ref="Q74:Q75"/>
    <mergeCell ref="R71:R72"/>
    <mergeCell ref="S71:S72"/>
    <mergeCell ref="T71:T72"/>
    <mergeCell ref="U71:U72"/>
    <mergeCell ref="K71:K72"/>
    <mergeCell ref="L71:L72"/>
    <mergeCell ref="M71:M72"/>
    <mergeCell ref="N71:N72"/>
    <mergeCell ref="O71:O72"/>
    <mergeCell ref="P71:P72"/>
    <mergeCell ref="Q71:Q72"/>
    <mergeCell ref="F65:F66"/>
    <mergeCell ref="G65:G66"/>
    <mergeCell ref="H65:H66"/>
    <mergeCell ref="I65:I66"/>
    <mergeCell ref="J65:J66"/>
    <mergeCell ref="B66:C66"/>
    <mergeCell ref="D66:E66"/>
    <mergeCell ref="F68:F69"/>
    <mergeCell ref="G68:G69"/>
    <mergeCell ref="H68:H69"/>
    <mergeCell ref="I68:I69"/>
    <mergeCell ref="J68:J69"/>
    <mergeCell ref="R68:R69"/>
    <mergeCell ref="S68:S69"/>
    <mergeCell ref="T68:T69"/>
    <mergeCell ref="U68:U69"/>
    <mergeCell ref="K68:K69"/>
    <mergeCell ref="L68:L69"/>
    <mergeCell ref="M68:M69"/>
    <mergeCell ref="N68:N69"/>
    <mergeCell ref="O68:O69"/>
    <mergeCell ref="P68:P69"/>
    <mergeCell ref="Q68:Q69"/>
    <mergeCell ref="R65:R66"/>
    <mergeCell ref="S65:S66"/>
    <mergeCell ref="T65:T66"/>
    <mergeCell ref="U65:U66"/>
    <mergeCell ref="K65:K66"/>
    <mergeCell ref="L65:L66"/>
    <mergeCell ref="M65:M66"/>
    <mergeCell ref="N65:N66"/>
    <mergeCell ref="O65:O66"/>
    <mergeCell ref="P65:P66"/>
    <mergeCell ref="Q65:Q66"/>
    <mergeCell ref="T62:T63"/>
    <mergeCell ref="U62:U63"/>
    <mergeCell ref="K62:K63"/>
    <mergeCell ref="L62:L63"/>
    <mergeCell ref="M62:M63"/>
    <mergeCell ref="N62:N63"/>
    <mergeCell ref="O62:O63"/>
    <mergeCell ref="P62:P63"/>
    <mergeCell ref="Q62:Q63"/>
    <mergeCell ref="B57:C57"/>
    <mergeCell ref="D57:E57"/>
    <mergeCell ref="F59:F60"/>
    <mergeCell ref="G59:G60"/>
    <mergeCell ref="H59:H60"/>
    <mergeCell ref="I59:I60"/>
    <mergeCell ref="J59:J60"/>
    <mergeCell ref="R62:R63"/>
    <mergeCell ref="S62:S63"/>
    <mergeCell ref="B60:C60"/>
    <mergeCell ref="D60:E60"/>
    <mergeCell ref="F62:F63"/>
    <mergeCell ref="G62:G63"/>
    <mergeCell ref="H62:H63"/>
    <mergeCell ref="I62:I63"/>
    <mergeCell ref="J62:J63"/>
    <mergeCell ref="B63:C63"/>
    <mergeCell ref="D63:E63"/>
    <mergeCell ref="T59:T60"/>
    <mergeCell ref="U59:U60"/>
    <mergeCell ref="K59:K60"/>
    <mergeCell ref="L59:L60"/>
    <mergeCell ref="M59:M60"/>
    <mergeCell ref="N59:N60"/>
    <mergeCell ref="O59:O60"/>
    <mergeCell ref="P59:P60"/>
    <mergeCell ref="Q59:Q60"/>
    <mergeCell ref="F56:F57"/>
    <mergeCell ref="G56:G57"/>
    <mergeCell ref="H56:H57"/>
    <mergeCell ref="I56:I57"/>
    <mergeCell ref="J56:J57"/>
    <mergeCell ref="K56:K57"/>
    <mergeCell ref="L56:L57"/>
    <mergeCell ref="R59:R60"/>
    <mergeCell ref="S59:S60"/>
    <mergeCell ref="T56:T57"/>
    <mergeCell ref="U56:U57"/>
    <mergeCell ref="M56:M57"/>
    <mergeCell ref="N56:N57"/>
    <mergeCell ref="O56:O57"/>
    <mergeCell ref="P56:P57"/>
    <mergeCell ref="Q56:Q57"/>
    <mergeCell ref="R56:R57"/>
    <mergeCell ref="S56:S57"/>
    <mergeCell ref="B54:C54"/>
    <mergeCell ref="D54:E54"/>
    <mergeCell ref="B48:C48"/>
    <mergeCell ref="D48:E48"/>
    <mergeCell ref="F50:F51"/>
    <mergeCell ref="G50:G51"/>
    <mergeCell ref="H50:H51"/>
    <mergeCell ref="I50:I51"/>
    <mergeCell ref="J50:J51"/>
    <mergeCell ref="B51:C51"/>
    <mergeCell ref="D51:E51"/>
    <mergeCell ref="F53:F54"/>
    <mergeCell ref="G53:G54"/>
    <mergeCell ref="H53:H54"/>
    <mergeCell ref="I53:I54"/>
    <mergeCell ref="J53:J54"/>
    <mergeCell ref="I47:I48"/>
    <mergeCell ref="J47:J48"/>
    <mergeCell ref="R53:R54"/>
    <mergeCell ref="S53:S54"/>
    <mergeCell ref="T53:T54"/>
    <mergeCell ref="U53:U54"/>
    <mergeCell ref="K53:K54"/>
    <mergeCell ref="L53:L54"/>
    <mergeCell ref="M53:M54"/>
    <mergeCell ref="N53:N54"/>
    <mergeCell ref="O53:O54"/>
    <mergeCell ref="P53:P54"/>
    <mergeCell ref="Q53:Q54"/>
    <mergeCell ref="D45:E45"/>
    <mergeCell ref="D46:E46"/>
    <mergeCell ref="F47:F48"/>
    <mergeCell ref="G47:G48"/>
    <mergeCell ref="H47:H48"/>
    <mergeCell ref="R50:R51"/>
    <mergeCell ref="S50:S51"/>
    <mergeCell ref="T50:T51"/>
    <mergeCell ref="U50:U51"/>
    <mergeCell ref="K50:K51"/>
    <mergeCell ref="L50:L51"/>
    <mergeCell ref="M50:M51"/>
    <mergeCell ref="N50:N51"/>
    <mergeCell ref="O50:O51"/>
    <mergeCell ref="P50:P51"/>
    <mergeCell ref="Q50:Q51"/>
    <mergeCell ref="P47:P48"/>
    <mergeCell ref="Q47:Q48"/>
    <mergeCell ref="R47:R48"/>
    <mergeCell ref="S47:S48"/>
    <mergeCell ref="T47:T48"/>
    <mergeCell ref="U47:U48"/>
    <mergeCell ref="K47:K48"/>
    <mergeCell ref="L47:L48"/>
    <mergeCell ref="B40:C40"/>
    <mergeCell ref="D40:E40"/>
    <mergeCell ref="F42:F43"/>
    <mergeCell ref="G42:G43"/>
    <mergeCell ref="H42:H43"/>
    <mergeCell ref="I42:I43"/>
    <mergeCell ref="J42:J43"/>
    <mergeCell ref="B43:C43"/>
    <mergeCell ref="D43:E43"/>
  </mergeCells>
  <printOptions horizontalCentered="1" verticalCentered="1"/>
  <pageMargins left="0.23622047244094488" right="0.23622047244094488" top="0.19685039370078738" bottom="0.19685039370078738" header="0" footer="0"/>
  <pageSetup paperSize="9" fitToHeight="0" pageOrder="overThenDown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L980"/>
  <sheetViews>
    <sheetView workbookViewId="0"/>
  </sheetViews>
  <sheetFormatPr defaultColWidth="12.5703125" defaultRowHeight="15" customHeight="1" outlineLevelCol="1"/>
  <cols>
    <col min="1" max="1" width="3.85546875" customWidth="1"/>
    <col min="2" max="2" width="13.5703125" customWidth="1"/>
    <col min="3" max="3" width="6.28515625" customWidth="1"/>
    <col min="4" max="4" width="6.5703125" customWidth="1"/>
    <col min="5" max="5" width="34.140625" customWidth="1" collapsed="1"/>
    <col min="6" max="6" width="6" hidden="1" customWidth="1" outlineLevel="1"/>
    <col min="7" max="7" width="34.42578125" hidden="1" customWidth="1" outlineLevel="1"/>
    <col min="8" max="36" width="4" customWidth="1"/>
    <col min="37" max="38" width="4" hidden="1" customWidth="1"/>
  </cols>
  <sheetData>
    <row r="1" spans="1:38" ht="22.5" customHeight="1">
      <c r="A1" s="497">
        <v>45474</v>
      </c>
      <c r="B1" s="498"/>
      <c r="C1" s="498"/>
      <c r="D1" s="498"/>
      <c r="E1" s="499"/>
      <c r="F1" s="303"/>
      <c r="G1" s="303"/>
      <c r="H1" s="304">
        <f>H2</f>
        <v>45474</v>
      </c>
      <c r="I1" s="305">
        <f t="shared" ref="I1:AL1" si="0">H1+1</f>
        <v>45475</v>
      </c>
      <c r="J1" s="304">
        <f t="shared" si="0"/>
        <v>45476</v>
      </c>
      <c r="K1" s="305">
        <f t="shared" si="0"/>
        <v>45477</v>
      </c>
      <c r="L1" s="304">
        <f t="shared" si="0"/>
        <v>45478</v>
      </c>
      <c r="M1" s="305">
        <f t="shared" si="0"/>
        <v>45479</v>
      </c>
      <c r="N1" s="304">
        <f t="shared" si="0"/>
        <v>45480</v>
      </c>
      <c r="O1" s="305">
        <f t="shared" si="0"/>
        <v>45481</v>
      </c>
      <c r="P1" s="304">
        <f t="shared" si="0"/>
        <v>45482</v>
      </c>
      <c r="Q1" s="305">
        <f t="shared" si="0"/>
        <v>45483</v>
      </c>
      <c r="R1" s="304">
        <f t="shared" si="0"/>
        <v>45484</v>
      </c>
      <c r="S1" s="305">
        <f t="shared" si="0"/>
        <v>45485</v>
      </c>
      <c r="T1" s="304">
        <f t="shared" si="0"/>
        <v>45486</v>
      </c>
      <c r="U1" s="305">
        <f t="shared" si="0"/>
        <v>45487</v>
      </c>
      <c r="V1" s="304">
        <f t="shared" si="0"/>
        <v>45488</v>
      </c>
      <c r="W1" s="305">
        <f t="shared" si="0"/>
        <v>45489</v>
      </c>
      <c r="X1" s="304">
        <f t="shared" si="0"/>
        <v>45490</v>
      </c>
      <c r="Y1" s="305">
        <f t="shared" si="0"/>
        <v>45491</v>
      </c>
      <c r="Z1" s="304">
        <f t="shared" si="0"/>
        <v>45492</v>
      </c>
      <c r="AA1" s="305">
        <f t="shared" si="0"/>
        <v>45493</v>
      </c>
      <c r="AB1" s="304">
        <f t="shared" si="0"/>
        <v>45494</v>
      </c>
      <c r="AC1" s="305">
        <f t="shared" si="0"/>
        <v>45495</v>
      </c>
      <c r="AD1" s="304">
        <f t="shared" si="0"/>
        <v>45496</v>
      </c>
      <c r="AE1" s="305">
        <f t="shared" si="0"/>
        <v>45497</v>
      </c>
      <c r="AF1" s="304">
        <f t="shared" si="0"/>
        <v>45498</v>
      </c>
      <c r="AG1" s="305">
        <f t="shared" si="0"/>
        <v>45499</v>
      </c>
      <c r="AH1" s="304">
        <f t="shared" si="0"/>
        <v>45500</v>
      </c>
      <c r="AI1" s="305">
        <f t="shared" si="0"/>
        <v>45501</v>
      </c>
      <c r="AJ1" s="304">
        <f t="shared" si="0"/>
        <v>45502</v>
      </c>
      <c r="AK1" s="305">
        <f t="shared" si="0"/>
        <v>45503</v>
      </c>
      <c r="AL1" s="304">
        <f t="shared" si="0"/>
        <v>45504</v>
      </c>
    </row>
    <row r="2" spans="1:38" ht="20.25" customHeight="1">
      <c r="A2" s="500"/>
      <c r="B2" s="501"/>
      <c r="C2" s="501"/>
      <c r="D2" s="501"/>
      <c r="E2" s="496"/>
      <c r="F2" s="303"/>
      <c r="G2" s="303"/>
      <c r="H2" s="306">
        <f>A1</f>
        <v>45474</v>
      </c>
      <c r="I2" s="307">
        <f t="shared" ref="I2:AL2" si="1">H2+1</f>
        <v>45475</v>
      </c>
      <c r="J2" s="306">
        <f t="shared" si="1"/>
        <v>45476</v>
      </c>
      <c r="K2" s="307">
        <f t="shared" si="1"/>
        <v>45477</v>
      </c>
      <c r="L2" s="306">
        <f t="shared" si="1"/>
        <v>45478</v>
      </c>
      <c r="M2" s="307">
        <f t="shared" si="1"/>
        <v>45479</v>
      </c>
      <c r="N2" s="306">
        <f t="shared" si="1"/>
        <v>45480</v>
      </c>
      <c r="O2" s="307">
        <f t="shared" si="1"/>
        <v>45481</v>
      </c>
      <c r="P2" s="306">
        <f t="shared" si="1"/>
        <v>45482</v>
      </c>
      <c r="Q2" s="307">
        <f t="shared" si="1"/>
        <v>45483</v>
      </c>
      <c r="R2" s="306">
        <f t="shared" si="1"/>
        <v>45484</v>
      </c>
      <c r="S2" s="307">
        <f t="shared" si="1"/>
        <v>45485</v>
      </c>
      <c r="T2" s="306">
        <f t="shared" si="1"/>
        <v>45486</v>
      </c>
      <c r="U2" s="307">
        <f t="shared" si="1"/>
        <v>45487</v>
      </c>
      <c r="V2" s="306">
        <f t="shared" si="1"/>
        <v>45488</v>
      </c>
      <c r="W2" s="307">
        <f t="shared" si="1"/>
        <v>45489</v>
      </c>
      <c r="X2" s="306">
        <f t="shared" si="1"/>
        <v>45490</v>
      </c>
      <c r="Y2" s="307">
        <f t="shared" si="1"/>
        <v>45491</v>
      </c>
      <c r="Z2" s="306">
        <f t="shared" si="1"/>
        <v>45492</v>
      </c>
      <c r="AA2" s="307">
        <f t="shared" si="1"/>
        <v>45493</v>
      </c>
      <c r="AB2" s="306">
        <f t="shared" si="1"/>
        <v>45494</v>
      </c>
      <c r="AC2" s="307">
        <f t="shared" si="1"/>
        <v>45495</v>
      </c>
      <c r="AD2" s="306">
        <f t="shared" si="1"/>
        <v>45496</v>
      </c>
      <c r="AE2" s="307">
        <f t="shared" si="1"/>
        <v>45497</v>
      </c>
      <c r="AF2" s="306">
        <f t="shared" si="1"/>
        <v>45498</v>
      </c>
      <c r="AG2" s="307">
        <f t="shared" si="1"/>
        <v>45499</v>
      </c>
      <c r="AH2" s="306">
        <f t="shared" si="1"/>
        <v>45500</v>
      </c>
      <c r="AI2" s="307">
        <f t="shared" si="1"/>
        <v>45501</v>
      </c>
      <c r="AJ2" s="306">
        <f t="shared" si="1"/>
        <v>45502</v>
      </c>
      <c r="AK2" s="307">
        <f t="shared" si="1"/>
        <v>45503</v>
      </c>
      <c r="AL2" s="306">
        <f t="shared" si="1"/>
        <v>45504</v>
      </c>
    </row>
    <row r="3" spans="1:38" ht="18.75" customHeight="1">
      <c r="A3" s="308" t="s">
        <v>2765</v>
      </c>
      <c r="B3" s="308" t="s">
        <v>119</v>
      </c>
      <c r="C3" s="556" t="e">
        <f>VLOOKUP(B3,#REF!,2, FALSE())</f>
        <v>#REF!</v>
      </c>
      <c r="D3" s="521" t="s">
        <v>2773</v>
      </c>
      <c r="E3" s="309" t="e">
        <f>VLOOKUP(D3,#REF!,2, FALSE())</f>
        <v>#REF!</v>
      </c>
      <c r="F3" s="310" t="e">
        <f>VLOOKUP(E3,#REF!,20)</f>
        <v>#REF!</v>
      </c>
      <c r="G3" s="310" t="e">
        <f>IF(F3=FALSE,, VLOOKUP(E3,#REF!, 21))</f>
        <v>#REF!</v>
      </c>
      <c r="H3" s="515" t="s">
        <v>2774</v>
      </c>
      <c r="I3" s="517"/>
      <c r="J3" s="515" t="s">
        <v>2774</v>
      </c>
      <c r="K3" s="517"/>
      <c r="L3" s="515" t="s">
        <v>2774</v>
      </c>
      <c r="M3" s="517"/>
      <c r="N3" s="515" t="s">
        <v>2774</v>
      </c>
      <c r="O3" s="517"/>
      <c r="P3" s="515" t="s">
        <v>2774</v>
      </c>
      <c r="Q3" s="517"/>
      <c r="R3" s="515" t="s">
        <v>2774</v>
      </c>
      <c r="S3" s="517"/>
      <c r="T3" s="515" t="s">
        <v>2774</v>
      </c>
      <c r="U3" s="517"/>
      <c r="V3" s="515" t="s">
        <v>2774</v>
      </c>
      <c r="W3" s="517"/>
      <c r="X3" s="515" t="s">
        <v>2774</v>
      </c>
      <c r="Y3" s="517"/>
      <c r="Z3" s="515" t="s">
        <v>2774</v>
      </c>
      <c r="AA3" s="517"/>
      <c r="AB3" s="515" t="s">
        <v>2774</v>
      </c>
      <c r="AC3" s="517"/>
      <c r="AD3" s="515" t="s">
        <v>2774</v>
      </c>
      <c r="AE3" s="517"/>
      <c r="AF3" s="515" t="s">
        <v>2774</v>
      </c>
      <c r="AG3" s="517"/>
      <c r="AH3" s="515" t="s">
        <v>2774</v>
      </c>
      <c r="AI3" s="517"/>
      <c r="AJ3" s="515" t="s">
        <v>2774</v>
      </c>
      <c r="AK3" s="517"/>
      <c r="AL3" s="515" t="s">
        <v>2774</v>
      </c>
    </row>
    <row r="4" spans="1:38" ht="18.75" customHeight="1">
      <c r="A4" s="542" t="s">
        <v>2775</v>
      </c>
      <c r="B4" s="543"/>
      <c r="C4" s="520"/>
      <c r="D4" s="516"/>
      <c r="E4" s="309" t="e">
        <f>CONCATENATE("(Plantão ",VLOOKUP(D3,[1]velho!$A$2:$BG$207,27, FALSE()),")")</f>
        <v>#N/A</v>
      </c>
      <c r="F4" s="310"/>
      <c r="G4" s="310"/>
      <c r="H4" s="516"/>
      <c r="I4" s="516"/>
      <c r="J4" s="516"/>
      <c r="K4" s="516"/>
      <c r="L4" s="516"/>
      <c r="M4" s="516"/>
      <c r="N4" s="516"/>
      <c r="O4" s="516"/>
      <c r="P4" s="516"/>
      <c r="Q4" s="516"/>
      <c r="R4" s="516"/>
      <c r="S4" s="516"/>
      <c r="T4" s="516"/>
      <c r="U4" s="516"/>
      <c r="V4" s="516"/>
      <c r="W4" s="516"/>
      <c r="X4" s="516"/>
      <c r="Y4" s="516"/>
      <c r="Z4" s="516"/>
      <c r="AA4" s="516"/>
      <c r="AB4" s="516"/>
      <c r="AC4" s="516"/>
      <c r="AD4" s="516"/>
      <c r="AE4" s="516"/>
      <c r="AF4" s="516"/>
      <c r="AG4" s="516"/>
      <c r="AH4" s="516"/>
      <c r="AI4" s="516"/>
      <c r="AJ4" s="516"/>
      <c r="AK4" s="516"/>
      <c r="AL4" s="516"/>
    </row>
    <row r="5" spans="1:38" ht="18.75" customHeight="1">
      <c r="A5" s="312" t="s">
        <v>2776</v>
      </c>
      <c r="B5" s="313"/>
      <c r="C5" s="520"/>
      <c r="D5" s="521" t="s">
        <v>2770</v>
      </c>
      <c r="E5" s="309" t="e">
        <f>VLOOKUP(D5,#REF!,2, FALSE())</f>
        <v>#REF!</v>
      </c>
      <c r="F5" s="310" t="e">
        <f>VLOOKUP(E5,#REF!,20)</f>
        <v>#REF!</v>
      </c>
      <c r="G5" s="310"/>
      <c r="H5" s="515" t="s">
        <v>2777</v>
      </c>
      <c r="I5" s="517"/>
      <c r="J5" s="515" t="s">
        <v>2777</v>
      </c>
      <c r="K5" s="517"/>
      <c r="L5" s="515" t="s">
        <v>2777</v>
      </c>
      <c r="M5" s="517"/>
      <c r="N5" s="515" t="s">
        <v>2777</v>
      </c>
      <c r="O5" s="517"/>
      <c r="P5" s="515" t="s">
        <v>2777</v>
      </c>
      <c r="Q5" s="517"/>
      <c r="R5" s="515" t="s">
        <v>2777</v>
      </c>
      <c r="S5" s="517"/>
      <c r="T5" s="515" t="s">
        <v>2777</v>
      </c>
      <c r="U5" s="517"/>
      <c r="V5" s="515" t="s">
        <v>2777</v>
      </c>
      <c r="W5" s="517"/>
      <c r="X5" s="515" t="s">
        <v>2777</v>
      </c>
      <c r="Y5" s="517"/>
      <c r="Z5" s="515" t="s">
        <v>2777</v>
      </c>
      <c r="AA5" s="517"/>
      <c r="AB5" s="515" t="s">
        <v>2777</v>
      </c>
      <c r="AC5" s="517"/>
      <c r="AD5" s="515" t="s">
        <v>2777</v>
      </c>
      <c r="AE5" s="517"/>
      <c r="AF5" s="515" t="s">
        <v>2777</v>
      </c>
      <c r="AG5" s="517"/>
      <c r="AH5" s="515" t="s">
        <v>2777</v>
      </c>
      <c r="AI5" s="517"/>
      <c r="AJ5" s="515" t="s">
        <v>2777</v>
      </c>
      <c r="AK5" s="517"/>
      <c r="AL5" s="515" t="s">
        <v>2777</v>
      </c>
    </row>
    <row r="6" spans="1:38" ht="18.75" customHeight="1">
      <c r="A6" s="314" t="s">
        <v>2778</v>
      </c>
      <c r="B6" s="315" t="s">
        <v>142</v>
      </c>
      <c r="C6" s="520"/>
      <c r="D6" s="516"/>
      <c r="E6" s="309" t="e">
        <f>CONCATENATE("(Plantão ",VLOOKUP(D5,[1]velho!$A$2:$BG$207,27, FALSE()),")")</f>
        <v>#N/A</v>
      </c>
      <c r="F6" s="310"/>
      <c r="G6" s="310"/>
      <c r="H6" s="516"/>
      <c r="I6" s="516"/>
      <c r="J6" s="516"/>
      <c r="K6" s="516"/>
      <c r="L6" s="516"/>
      <c r="M6" s="516"/>
      <c r="N6" s="516"/>
      <c r="O6" s="516"/>
      <c r="P6" s="516"/>
      <c r="Q6" s="516"/>
      <c r="R6" s="516"/>
      <c r="S6" s="516"/>
      <c r="T6" s="516"/>
      <c r="U6" s="516"/>
      <c r="V6" s="516"/>
      <c r="W6" s="516"/>
      <c r="X6" s="516"/>
      <c r="Y6" s="516"/>
      <c r="Z6" s="516"/>
      <c r="AA6" s="516"/>
      <c r="AB6" s="516"/>
      <c r="AC6" s="516"/>
      <c r="AD6" s="516"/>
      <c r="AE6" s="516"/>
      <c r="AF6" s="516"/>
      <c r="AG6" s="516"/>
      <c r="AH6" s="516"/>
      <c r="AI6" s="516"/>
      <c r="AJ6" s="516"/>
      <c r="AK6" s="516"/>
      <c r="AL6" s="516"/>
    </row>
    <row r="7" spans="1:38" ht="18.75" customHeight="1">
      <c r="A7" s="316" t="s">
        <v>2779</v>
      </c>
      <c r="B7" s="317" t="s">
        <v>2780</v>
      </c>
      <c r="C7" s="520"/>
      <c r="D7" s="521" t="s">
        <v>1485</v>
      </c>
      <c r="E7" s="309" t="e">
        <f>VLOOKUP(D7,#REF!,2, FALSE())</f>
        <v>#REF!</v>
      </c>
      <c r="F7" s="310" t="e">
        <f>VLOOKUP(E7,#REF!,20)</f>
        <v>#REF!</v>
      </c>
      <c r="G7" s="310"/>
      <c r="H7" s="515"/>
      <c r="I7" s="517" t="s">
        <v>2774</v>
      </c>
      <c r="J7" s="515"/>
      <c r="K7" s="517" t="s">
        <v>2774</v>
      </c>
      <c r="L7" s="515"/>
      <c r="M7" s="517" t="s">
        <v>2774</v>
      </c>
      <c r="N7" s="515"/>
      <c r="O7" s="517" t="s">
        <v>2774</v>
      </c>
      <c r="P7" s="515"/>
      <c r="Q7" s="517" t="s">
        <v>2774</v>
      </c>
      <c r="R7" s="515"/>
      <c r="S7" s="517" t="s">
        <v>2774</v>
      </c>
      <c r="T7" s="515"/>
      <c r="U7" s="517" t="s">
        <v>2774</v>
      </c>
      <c r="V7" s="515"/>
      <c r="W7" s="517" t="s">
        <v>2774</v>
      </c>
      <c r="X7" s="515"/>
      <c r="Y7" s="517" t="s">
        <v>2774</v>
      </c>
      <c r="Z7" s="515"/>
      <c r="AA7" s="517" t="s">
        <v>2774</v>
      </c>
      <c r="AB7" s="515"/>
      <c r="AC7" s="517" t="s">
        <v>2774</v>
      </c>
      <c r="AD7" s="515"/>
      <c r="AE7" s="517" t="s">
        <v>2774</v>
      </c>
      <c r="AF7" s="515"/>
      <c r="AG7" s="517" t="s">
        <v>2774</v>
      </c>
      <c r="AH7" s="515"/>
      <c r="AI7" s="517" t="s">
        <v>2774</v>
      </c>
      <c r="AJ7" s="515"/>
      <c r="AK7" s="517" t="s">
        <v>2774</v>
      </c>
      <c r="AL7" s="515"/>
    </row>
    <row r="8" spans="1:38" ht="18.75" customHeight="1">
      <c r="A8" s="318"/>
      <c r="B8" s="318"/>
      <c r="C8" s="520"/>
      <c r="D8" s="516"/>
      <c r="E8" s="309" t="e">
        <f>CONCATENATE("(Plantão ",VLOOKUP(D7,[1]velho!$A$2:$BG$207,27, FALSE()),")")</f>
        <v>#N/A</v>
      </c>
      <c r="F8" s="310"/>
      <c r="G8" s="310"/>
      <c r="H8" s="516"/>
      <c r="I8" s="516"/>
      <c r="J8" s="516"/>
      <c r="K8" s="516"/>
      <c r="L8" s="516"/>
      <c r="M8" s="516"/>
      <c r="N8" s="516"/>
      <c r="O8" s="516"/>
      <c r="P8" s="516"/>
      <c r="Q8" s="516"/>
      <c r="R8" s="516"/>
      <c r="S8" s="516"/>
      <c r="T8" s="516"/>
      <c r="U8" s="516"/>
      <c r="V8" s="516"/>
      <c r="W8" s="516"/>
      <c r="X8" s="516"/>
      <c r="Y8" s="516"/>
      <c r="Z8" s="516"/>
      <c r="AA8" s="516"/>
      <c r="AB8" s="516"/>
      <c r="AC8" s="516"/>
      <c r="AD8" s="516"/>
      <c r="AE8" s="516"/>
      <c r="AF8" s="516"/>
      <c r="AG8" s="516"/>
      <c r="AH8" s="516"/>
      <c r="AI8" s="516"/>
      <c r="AJ8" s="516"/>
      <c r="AK8" s="516"/>
      <c r="AL8" s="516"/>
    </row>
    <row r="9" spans="1:38" ht="18.75" customHeight="1">
      <c r="A9" s="314" t="s">
        <v>2781</v>
      </c>
      <c r="B9" s="315" t="s">
        <v>2782</v>
      </c>
      <c r="C9" s="520"/>
      <c r="D9" s="521" t="s">
        <v>2783</v>
      </c>
      <c r="E9" s="309" t="e">
        <f>VLOOKUP(D9,#REF!,2, FALSE())</f>
        <v>#REF!</v>
      </c>
      <c r="F9" s="310" t="e">
        <f>VLOOKUP(E9,#REF!,20)</f>
        <v>#REF!</v>
      </c>
      <c r="G9" s="310"/>
      <c r="H9" s="515"/>
      <c r="I9" s="517" t="s">
        <v>2777</v>
      </c>
      <c r="J9" s="515"/>
      <c r="K9" s="517" t="s">
        <v>2777</v>
      </c>
      <c r="L9" s="515"/>
      <c r="M9" s="517" t="s">
        <v>2777</v>
      </c>
      <c r="N9" s="515"/>
      <c r="O9" s="517" t="s">
        <v>2777</v>
      </c>
      <c r="P9" s="515"/>
      <c r="Q9" s="517" t="s">
        <v>2777</v>
      </c>
      <c r="R9" s="515"/>
      <c r="S9" s="517" t="s">
        <v>2777</v>
      </c>
      <c r="T9" s="515"/>
      <c r="U9" s="517" t="s">
        <v>2777</v>
      </c>
      <c r="V9" s="515"/>
      <c r="W9" s="517" t="s">
        <v>2777</v>
      </c>
      <c r="X9" s="515"/>
      <c r="Y9" s="517" t="s">
        <v>2777</v>
      </c>
      <c r="Z9" s="515"/>
      <c r="AA9" s="517" t="s">
        <v>2777</v>
      </c>
      <c r="AB9" s="515"/>
      <c r="AC9" s="517" t="s">
        <v>2777</v>
      </c>
      <c r="AD9" s="515"/>
      <c r="AE9" s="517" t="s">
        <v>2777</v>
      </c>
      <c r="AF9" s="515"/>
      <c r="AG9" s="517" t="s">
        <v>2777</v>
      </c>
      <c r="AH9" s="515"/>
      <c r="AI9" s="517" t="s">
        <v>2777</v>
      </c>
      <c r="AJ9" s="515"/>
      <c r="AK9" s="517" t="s">
        <v>2777</v>
      </c>
      <c r="AL9" s="518"/>
    </row>
    <row r="10" spans="1:38" ht="18.75" customHeight="1">
      <c r="A10" s="316" t="s">
        <v>2779</v>
      </c>
      <c r="B10" s="319" t="s">
        <v>2784</v>
      </c>
      <c r="C10" s="516"/>
      <c r="D10" s="516"/>
      <c r="E10" s="309" t="e">
        <f>CONCATENATE("(Plantão ",VLOOKUP(D9,[1]velho!$A$2:$BG$207,27, FALSE()),")")</f>
        <v>#N/A</v>
      </c>
      <c r="F10" s="310"/>
      <c r="G10" s="310"/>
      <c r="H10" s="516"/>
      <c r="I10" s="516"/>
      <c r="J10" s="516"/>
      <c r="K10" s="516"/>
      <c r="L10" s="516"/>
      <c r="M10" s="516"/>
      <c r="N10" s="516"/>
      <c r="O10" s="516"/>
      <c r="P10" s="516"/>
      <c r="Q10" s="516"/>
      <c r="R10" s="516"/>
      <c r="S10" s="516"/>
      <c r="T10" s="516"/>
      <c r="U10" s="516"/>
      <c r="V10" s="516"/>
      <c r="W10" s="516"/>
      <c r="X10" s="516"/>
      <c r="Y10" s="516"/>
      <c r="Z10" s="516"/>
      <c r="AA10" s="516"/>
      <c r="AB10" s="516"/>
      <c r="AC10" s="516"/>
      <c r="AD10" s="516"/>
      <c r="AE10" s="516"/>
      <c r="AF10" s="516"/>
      <c r="AG10" s="516"/>
      <c r="AH10" s="516"/>
      <c r="AI10" s="516"/>
      <c r="AJ10" s="516"/>
      <c r="AK10" s="516"/>
      <c r="AL10" s="516"/>
    </row>
    <row r="11" spans="1:38" ht="3.75" customHeight="1">
      <c r="C11" s="320"/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  <c r="AH11" s="285"/>
      <c r="AI11" s="285"/>
      <c r="AJ11" s="285"/>
      <c r="AK11" s="285"/>
      <c r="AL11" s="285"/>
    </row>
    <row r="12" spans="1:38" ht="18.75" customHeight="1">
      <c r="A12" s="308" t="s">
        <v>2765</v>
      </c>
      <c r="B12" s="308" t="s">
        <v>2432</v>
      </c>
      <c r="C12" s="556" t="e">
        <f>VLOOKUP(B12,#REF!,2, FALSE())</f>
        <v>#REF!</v>
      </c>
      <c r="D12" s="521" t="s">
        <v>2069</v>
      </c>
      <c r="E12" s="309" t="e">
        <f>VLOOKUP(D12,#REF!,2, FALSE())</f>
        <v>#REF!</v>
      </c>
      <c r="F12" s="310" t="e">
        <f>VLOOKUP(E12,#REF!,20)</f>
        <v>#REF!</v>
      </c>
      <c r="G12" s="310"/>
      <c r="H12" s="515" t="s">
        <v>2774</v>
      </c>
      <c r="I12" s="517"/>
      <c r="J12" s="515" t="s">
        <v>2774</v>
      </c>
      <c r="K12" s="517"/>
      <c r="L12" s="515" t="s">
        <v>2774</v>
      </c>
      <c r="M12" s="517"/>
      <c r="N12" s="515" t="s">
        <v>2774</v>
      </c>
      <c r="O12" s="517"/>
      <c r="P12" s="515" t="s">
        <v>2774</v>
      </c>
      <c r="Q12" s="517"/>
      <c r="R12" s="515" t="s">
        <v>2774</v>
      </c>
      <c r="S12" s="517"/>
      <c r="T12" s="515" t="s">
        <v>2774</v>
      </c>
      <c r="U12" s="517"/>
      <c r="V12" s="515" t="s">
        <v>2774</v>
      </c>
      <c r="W12" s="517"/>
      <c r="X12" s="515" t="s">
        <v>2774</v>
      </c>
      <c r="Y12" s="517"/>
      <c r="Z12" s="515" t="s">
        <v>2774</v>
      </c>
      <c r="AA12" s="517"/>
      <c r="AB12" s="515" t="s">
        <v>2774</v>
      </c>
      <c r="AC12" s="517"/>
      <c r="AD12" s="515" t="s">
        <v>2774</v>
      </c>
      <c r="AE12" s="517"/>
      <c r="AF12" s="515" t="s">
        <v>2774</v>
      </c>
      <c r="AG12" s="517"/>
      <c r="AH12" s="515" t="s">
        <v>2774</v>
      </c>
      <c r="AI12" s="517"/>
      <c r="AJ12" s="515" t="s">
        <v>2774</v>
      </c>
      <c r="AK12" s="517"/>
      <c r="AL12" s="515" t="s">
        <v>2774</v>
      </c>
    </row>
    <row r="13" spans="1:38" ht="18.75" customHeight="1">
      <c r="A13" s="542" t="s">
        <v>2775</v>
      </c>
      <c r="B13" s="543"/>
      <c r="C13" s="520"/>
      <c r="D13" s="516"/>
      <c r="E13" s="309" t="e">
        <f>CONCATENATE("(Plantão ",VLOOKUP(D12,[1]velho!$A$2:$BG$207,27, FALSE()),")")</f>
        <v>#N/A</v>
      </c>
      <c r="F13" s="310"/>
      <c r="G13" s="310"/>
      <c r="H13" s="516"/>
      <c r="I13" s="516"/>
      <c r="J13" s="516"/>
      <c r="K13" s="516"/>
      <c r="L13" s="516"/>
      <c r="M13" s="516"/>
      <c r="N13" s="516"/>
      <c r="O13" s="516"/>
      <c r="P13" s="516"/>
      <c r="Q13" s="516"/>
      <c r="R13" s="516"/>
      <c r="S13" s="516"/>
      <c r="T13" s="516"/>
      <c r="U13" s="516"/>
      <c r="V13" s="516"/>
      <c r="W13" s="516"/>
      <c r="X13" s="516"/>
      <c r="Y13" s="516"/>
      <c r="Z13" s="516"/>
      <c r="AA13" s="516"/>
      <c r="AB13" s="516"/>
      <c r="AC13" s="516"/>
      <c r="AD13" s="516"/>
      <c r="AE13" s="516"/>
      <c r="AF13" s="516"/>
      <c r="AG13" s="516"/>
      <c r="AH13" s="516"/>
      <c r="AI13" s="516"/>
      <c r="AJ13" s="516"/>
      <c r="AK13" s="516"/>
      <c r="AL13" s="516"/>
    </row>
    <row r="14" spans="1:38" ht="18.75" customHeight="1">
      <c r="A14" s="312" t="s">
        <v>2776</v>
      </c>
      <c r="B14" s="321"/>
      <c r="C14" s="520"/>
      <c r="D14" s="521" t="s">
        <v>2455</v>
      </c>
      <c r="E14" s="309" t="e">
        <f>VLOOKUP(D14,#REF!,2, FALSE())</f>
        <v>#REF!</v>
      </c>
      <c r="F14" s="310" t="e">
        <f>VLOOKUP(E14,#REF!,20)</f>
        <v>#REF!</v>
      </c>
      <c r="G14" s="310"/>
      <c r="H14" s="515" t="s">
        <v>2777</v>
      </c>
      <c r="I14" s="517"/>
      <c r="J14" s="515" t="s">
        <v>2777</v>
      </c>
      <c r="K14" s="517"/>
      <c r="L14" s="515" t="s">
        <v>2777</v>
      </c>
      <c r="M14" s="517"/>
      <c r="N14" s="515" t="s">
        <v>2777</v>
      </c>
      <c r="O14" s="517"/>
      <c r="P14" s="515" t="s">
        <v>2777</v>
      </c>
      <c r="Q14" s="517"/>
      <c r="R14" s="515" t="s">
        <v>2777</v>
      </c>
      <c r="S14" s="517"/>
      <c r="T14" s="515" t="s">
        <v>2777</v>
      </c>
      <c r="U14" s="517"/>
      <c r="V14" s="515" t="s">
        <v>2777</v>
      </c>
      <c r="W14" s="517"/>
      <c r="X14" s="515" t="s">
        <v>2777</v>
      </c>
      <c r="Y14" s="517"/>
      <c r="Z14" s="515" t="s">
        <v>2777</v>
      </c>
      <c r="AA14" s="517"/>
      <c r="AB14" s="515" t="s">
        <v>2777</v>
      </c>
      <c r="AC14" s="517"/>
      <c r="AD14" s="515" t="s">
        <v>2777</v>
      </c>
      <c r="AE14" s="517"/>
      <c r="AF14" s="515" t="s">
        <v>2777</v>
      </c>
      <c r="AG14" s="517"/>
      <c r="AH14" s="515" t="s">
        <v>2777</v>
      </c>
      <c r="AI14" s="517"/>
      <c r="AJ14" s="515" t="s">
        <v>2777</v>
      </c>
      <c r="AK14" s="517"/>
      <c r="AL14" s="515" t="s">
        <v>2777</v>
      </c>
    </row>
    <row r="15" spans="1:38" ht="18.75" customHeight="1">
      <c r="A15" s="314" t="s">
        <v>2778</v>
      </c>
      <c r="B15" s="315" t="s">
        <v>1211</v>
      </c>
      <c r="C15" s="520"/>
      <c r="D15" s="516"/>
      <c r="E15" s="309" t="e">
        <f>CONCATENATE("(Plantão ",VLOOKUP(D14,[1]velho!$A$2:$BG$207,27, FALSE()),")")</f>
        <v>#N/A</v>
      </c>
      <c r="F15" s="310"/>
      <c r="G15" s="310"/>
      <c r="H15" s="516"/>
      <c r="I15" s="516"/>
      <c r="J15" s="516"/>
      <c r="K15" s="516"/>
      <c r="L15" s="516"/>
      <c r="M15" s="516"/>
      <c r="N15" s="516"/>
      <c r="O15" s="516"/>
      <c r="P15" s="516"/>
      <c r="Q15" s="516"/>
      <c r="R15" s="516"/>
      <c r="S15" s="516"/>
      <c r="T15" s="516"/>
      <c r="U15" s="516"/>
      <c r="V15" s="516"/>
      <c r="W15" s="516"/>
      <c r="X15" s="516"/>
      <c r="Y15" s="516"/>
      <c r="Z15" s="516"/>
      <c r="AA15" s="516"/>
      <c r="AB15" s="516"/>
      <c r="AC15" s="516"/>
      <c r="AD15" s="516"/>
      <c r="AE15" s="516"/>
      <c r="AF15" s="516"/>
      <c r="AG15" s="516"/>
      <c r="AH15" s="516"/>
      <c r="AI15" s="516"/>
      <c r="AJ15" s="516"/>
      <c r="AK15" s="516"/>
      <c r="AL15" s="516"/>
    </row>
    <row r="16" spans="1:38" ht="18.75" customHeight="1">
      <c r="A16" s="316" t="s">
        <v>2779</v>
      </c>
      <c r="B16" s="315" t="s">
        <v>2278</v>
      </c>
      <c r="C16" s="520"/>
      <c r="D16" s="521" t="s">
        <v>2633</v>
      </c>
      <c r="E16" s="309" t="e">
        <f>VLOOKUP(D16,#REF!,2, FALSE())</f>
        <v>#REF!</v>
      </c>
      <c r="F16" s="310" t="e">
        <f>VLOOKUP(E16,#REF!,20)</f>
        <v>#REF!</v>
      </c>
      <c r="G16" s="310"/>
      <c r="H16" s="515"/>
      <c r="I16" s="517" t="s">
        <v>2774</v>
      </c>
      <c r="J16" s="515"/>
      <c r="K16" s="517" t="s">
        <v>2774</v>
      </c>
      <c r="L16" s="515"/>
      <c r="M16" s="517" t="s">
        <v>2774</v>
      </c>
      <c r="N16" s="515"/>
      <c r="O16" s="517" t="s">
        <v>2774</v>
      </c>
      <c r="P16" s="515"/>
      <c r="Q16" s="517" t="s">
        <v>2774</v>
      </c>
      <c r="R16" s="515"/>
      <c r="S16" s="517" t="s">
        <v>2774</v>
      </c>
      <c r="T16" s="515"/>
      <c r="U16" s="517" t="s">
        <v>2774</v>
      </c>
      <c r="V16" s="515"/>
      <c r="W16" s="517" t="s">
        <v>2774</v>
      </c>
      <c r="X16" s="515"/>
      <c r="Y16" s="517" t="s">
        <v>2774</v>
      </c>
      <c r="Z16" s="515"/>
      <c r="AA16" s="517" t="s">
        <v>2774</v>
      </c>
      <c r="AB16" s="515"/>
      <c r="AC16" s="517" t="s">
        <v>2774</v>
      </c>
      <c r="AD16" s="515"/>
      <c r="AE16" s="517" t="s">
        <v>2774</v>
      </c>
      <c r="AF16" s="515"/>
      <c r="AG16" s="517" t="s">
        <v>2774</v>
      </c>
      <c r="AH16" s="515"/>
      <c r="AI16" s="517" t="s">
        <v>2774</v>
      </c>
      <c r="AJ16" s="515"/>
      <c r="AK16" s="517" t="s">
        <v>2774</v>
      </c>
      <c r="AL16" s="515"/>
    </row>
    <row r="17" spans="1:38" ht="18.75" customHeight="1">
      <c r="A17" s="318"/>
      <c r="B17" s="318"/>
      <c r="C17" s="520"/>
      <c r="D17" s="516"/>
      <c r="E17" s="309" t="e">
        <f>CONCATENATE("(Plantão ",VLOOKUP(D16,[1]velho!$A$2:$BG$207,27, FALSE()),")")</f>
        <v>#N/A</v>
      </c>
      <c r="F17" s="310"/>
      <c r="G17" s="310"/>
      <c r="H17" s="516"/>
      <c r="I17" s="516"/>
      <c r="J17" s="516"/>
      <c r="K17" s="516"/>
      <c r="L17" s="516"/>
      <c r="M17" s="516"/>
      <c r="N17" s="516"/>
      <c r="O17" s="516"/>
      <c r="P17" s="516"/>
      <c r="Q17" s="516"/>
      <c r="R17" s="516"/>
      <c r="S17" s="516"/>
      <c r="T17" s="516"/>
      <c r="U17" s="516"/>
      <c r="V17" s="516"/>
      <c r="W17" s="516"/>
      <c r="X17" s="516"/>
      <c r="Y17" s="516"/>
      <c r="Z17" s="516"/>
      <c r="AA17" s="516"/>
      <c r="AB17" s="516"/>
      <c r="AC17" s="516"/>
      <c r="AD17" s="516"/>
      <c r="AE17" s="516"/>
      <c r="AF17" s="516"/>
      <c r="AG17" s="516"/>
      <c r="AH17" s="516"/>
      <c r="AI17" s="516"/>
      <c r="AJ17" s="516"/>
      <c r="AK17" s="516"/>
      <c r="AL17" s="516"/>
    </row>
    <row r="18" spans="1:38" ht="18.75" customHeight="1">
      <c r="A18" s="314" t="s">
        <v>2781</v>
      </c>
      <c r="B18" s="315" t="s">
        <v>1230</v>
      </c>
      <c r="C18" s="520"/>
      <c r="D18" s="521" t="s">
        <v>1484</v>
      </c>
      <c r="E18" s="309" t="e">
        <f>VLOOKUP(D18,#REF!,2, FALSE())</f>
        <v>#REF!</v>
      </c>
      <c r="F18" s="310" t="e">
        <f>VLOOKUP(E18,#REF!,20)</f>
        <v>#REF!</v>
      </c>
      <c r="G18" s="310"/>
      <c r="H18" s="515"/>
      <c r="I18" s="517" t="s">
        <v>2777</v>
      </c>
      <c r="J18" s="515"/>
      <c r="K18" s="517" t="s">
        <v>2777</v>
      </c>
      <c r="L18" s="515"/>
      <c r="M18" s="517" t="s">
        <v>2777</v>
      </c>
      <c r="N18" s="515"/>
      <c r="O18" s="517" t="s">
        <v>2777</v>
      </c>
      <c r="P18" s="515"/>
      <c r="Q18" s="517" t="s">
        <v>2777</v>
      </c>
      <c r="R18" s="515"/>
      <c r="S18" s="517" t="s">
        <v>2777</v>
      </c>
      <c r="T18" s="515"/>
      <c r="U18" s="517" t="s">
        <v>2777</v>
      </c>
      <c r="V18" s="515"/>
      <c r="W18" s="517" t="s">
        <v>2777</v>
      </c>
      <c r="X18" s="515"/>
      <c r="Y18" s="517" t="s">
        <v>2777</v>
      </c>
      <c r="Z18" s="515"/>
      <c r="AA18" s="517" t="s">
        <v>2777</v>
      </c>
      <c r="AB18" s="515"/>
      <c r="AC18" s="517" t="s">
        <v>2777</v>
      </c>
      <c r="AD18" s="515"/>
      <c r="AE18" s="517" t="s">
        <v>2777</v>
      </c>
      <c r="AF18" s="515"/>
      <c r="AG18" s="517" t="s">
        <v>2777</v>
      </c>
      <c r="AH18" s="515"/>
      <c r="AI18" s="517" t="s">
        <v>2777</v>
      </c>
      <c r="AJ18" s="515"/>
      <c r="AK18" s="517" t="s">
        <v>2777</v>
      </c>
      <c r="AL18" s="518"/>
    </row>
    <row r="19" spans="1:38" ht="18.75" customHeight="1">
      <c r="A19" s="316" t="s">
        <v>2779</v>
      </c>
      <c r="B19" s="315" t="s">
        <v>2785</v>
      </c>
      <c r="C19" s="516"/>
      <c r="D19" s="516"/>
      <c r="E19" s="309" t="e">
        <f>CONCATENATE("(Plantão ",VLOOKUP(D18,[1]velho!$A$2:$BG$207,27, FALSE()),")")</f>
        <v>#N/A</v>
      </c>
      <c r="F19" s="310"/>
      <c r="G19" s="310"/>
      <c r="H19" s="516"/>
      <c r="I19" s="516"/>
      <c r="J19" s="516"/>
      <c r="K19" s="516"/>
      <c r="L19" s="516"/>
      <c r="M19" s="516"/>
      <c r="N19" s="516"/>
      <c r="O19" s="516"/>
      <c r="P19" s="516"/>
      <c r="Q19" s="516"/>
      <c r="R19" s="516"/>
      <c r="S19" s="516"/>
      <c r="T19" s="516"/>
      <c r="U19" s="516"/>
      <c r="V19" s="516"/>
      <c r="W19" s="516"/>
      <c r="X19" s="516"/>
      <c r="Y19" s="516"/>
      <c r="Z19" s="516"/>
      <c r="AA19" s="516"/>
      <c r="AB19" s="516"/>
      <c r="AC19" s="516"/>
      <c r="AD19" s="516"/>
      <c r="AE19" s="516"/>
      <c r="AF19" s="516"/>
      <c r="AG19" s="516"/>
      <c r="AH19" s="516"/>
      <c r="AI19" s="516"/>
      <c r="AJ19" s="516"/>
      <c r="AK19" s="516"/>
      <c r="AL19" s="516"/>
    </row>
    <row r="20" spans="1:38" ht="3.75" customHeight="1">
      <c r="B20" s="79" t="s">
        <v>2786</v>
      </c>
      <c r="C20" s="320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85"/>
      <c r="AB20" s="285"/>
      <c r="AC20" s="285"/>
      <c r="AD20" s="285"/>
      <c r="AE20" s="285"/>
      <c r="AF20" s="285"/>
      <c r="AG20" s="285"/>
      <c r="AH20" s="285"/>
      <c r="AI20" s="285"/>
      <c r="AJ20" s="285"/>
      <c r="AK20" s="285"/>
      <c r="AL20" s="285"/>
    </row>
    <row r="21" spans="1:38" ht="18.75" customHeight="1">
      <c r="A21" s="308" t="s">
        <v>2765</v>
      </c>
      <c r="B21" s="308" t="s">
        <v>2722</v>
      </c>
      <c r="C21" s="556" t="e">
        <f>VLOOKUP(B21,#REF!,2, FALSE())</f>
        <v>#REF!</v>
      </c>
      <c r="D21" s="521" t="s">
        <v>2147</v>
      </c>
      <c r="E21" s="309" t="e">
        <f>VLOOKUP(D21,#REF!,2, FALSE())</f>
        <v>#REF!</v>
      </c>
      <c r="F21" s="310" t="e">
        <f>VLOOKUP(E21,#REF!,20)</f>
        <v>#REF!</v>
      </c>
      <c r="G21" s="310"/>
      <c r="H21" s="515" t="s">
        <v>2774</v>
      </c>
      <c r="I21" s="517"/>
      <c r="J21" s="515" t="s">
        <v>2774</v>
      </c>
      <c r="K21" s="517"/>
      <c r="L21" s="515" t="s">
        <v>2774</v>
      </c>
      <c r="M21" s="517"/>
      <c r="N21" s="515" t="s">
        <v>2774</v>
      </c>
      <c r="O21" s="517"/>
      <c r="P21" s="515" t="s">
        <v>2774</v>
      </c>
      <c r="Q21" s="517"/>
      <c r="R21" s="515" t="s">
        <v>2774</v>
      </c>
      <c r="S21" s="517"/>
      <c r="T21" s="515" t="s">
        <v>2774</v>
      </c>
      <c r="U21" s="517"/>
      <c r="V21" s="515" t="s">
        <v>2774</v>
      </c>
      <c r="W21" s="517"/>
      <c r="X21" s="515" t="s">
        <v>2774</v>
      </c>
      <c r="Y21" s="517"/>
      <c r="Z21" s="515" t="s">
        <v>2774</v>
      </c>
      <c r="AA21" s="517"/>
      <c r="AB21" s="515" t="s">
        <v>2774</v>
      </c>
      <c r="AC21" s="517"/>
      <c r="AD21" s="515" t="s">
        <v>2774</v>
      </c>
      <c r="AE21" s="517"/>
      <c r="AF21" s="515" t="s">
        <v>2774</v>
      </c>
      <c r="AG21" s="517"/>
      <c r="AH21" s="515" t="s">
        <v>2774</v>
      </c>
      <c r="AI21" s="517"/>
      <c r="AJ21" s="515" t="s">
        <v>2774</v>
      </c>
      <c r="AK21" s="517"/>
      <c r="AL21" s="515" t="s">
        <v>2774</v>
      </c>
    </row>
    <row r="22" spans="1:38" ht="18.75" customHeight="1">
      <c r="A22" s="542" t="s">
        <v>2775</v>
      </c>
      <c r="B22" s="543"/>
      <c r="C22" s="520"/>
      <c r="D22" s="516"/>
      <c r="E22" s="309" t="e">
        <f>CONCATENATE("(Plantão ",VLOOKUP(D21,[1]velho!$A$2:$BG$207,27, FALSE()),")")</f>
        <v>#N/A</v>
      </c>
      <c r="F22" s="310"/>
      <c r="G22" s="310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6"/>
      <c r="W22" s="516"/>
      <c r="X22" s="516"/>
      <c r="Y22" s="516"/>
      <c r="Z22" s="516"/>
      <c r="AA22" s="516"/>
      <c r="AB22" s="516"/>
      <c r="AC22" s="516"/>
      <c r="AD22" s="516"/>
      <c r="AE22" s="516"/>
      <c r="AF22" s="516"/>
      <c r="AG22" s="516"/>
      <c r="AH22" s="516"/>
      <c r="AI22" s="516"/>
      <c r="AJ22" s="516"/>
      <c r="AK22" s="516"/>
      <c r="AL22" s="516"/>
    </row>
    <row r="23" spans="1:38" ht="18.75" customHeight="1">
      <c r="A23" s="312" t="s">
        <v>2776</v>
      </c>
      <c r="B23" s="321"/>
      <c r="C23" s="520"/>
      <c r="D23" s="521" t="s">
        <v>2333</v>
      </c>
      <c r="E23" s="309" t="e">
        <f>VLOOKUP(D23,#REF!,2, FALSE())</f>
        <v>#REF!</v>
      </c>
      <c r="F23" s="310" t="e">
        <f>VLOOKUP(E23,#REF!,20)</f>
        <v>#REF!</v>
      </c>
      <c r="G23" s="310"/>
      <c r="H23" s="515" t="s">
        <v>2777</v>
      </c>
      <c r="I23" s="517"/>
      <c r="J23" s="515" t="s">
        <v>2777</v>
      </c>
      <c r="K23" s="517"/>
      <c r="L23" s="515" t="s">
        <v>2777</v>
      </c>
      <c r="M23" s="517"/>
      <c r="N23" s="515" t="s">
        <v>2777</v>
      </c>
      <c r="O23" s="517"/>
      <c r="P23" s="515" t="s">
        <v>2777</v>
      </c>
      <c r="Q23" s="517"/>
      <c r="R23" s="515" t="s">
        <v>2777</v>
      </c>
      <c r="S23" s="517"/>
      <c r="T23" s="515" t="s">
        <v>2777</v>
      </c>
      <c r="U23" s="517"/>
      <c r="V23" s="515" t="s">
        <v>2777</v>
      </c>
      <c r="W23" s="517"/>
      <c r="X23" s="515" t="s">
        <v>2777</v>
      </c>
      <c r="Y23" s="517"/>
      <c r="Z23" s="515" t="s">
        <v>2777</v>
      </c>
      <c r="AA23" s="517"/>
      <c r="AB23" s="515" t="s">
        <v>2777</v>
      </c>
      <c r="AC23" s="517"/>
      <c r="AD23" s="515" t="s">
        <v>2777</v>
      </c>
      <c r="AE23" s="517"/>
      <c r="AF23" s="515" t="s">
        <v>2777</v>
      </c>
      <c r="AG23" s="517"/>
      <c r="AH23" s="515" t="s">
        <v>2777</v>
      </c>
      <c r="AI23" s="517"/>
      <c r="AJ23" s="515" t="s">
        <v>2777</v>
      </c>
      <c r="AK23" s="517"/>
      <c r="AL23" s="515" t="s">
        <v>2777</v>
      </c>
    </row>
    <row r="24" spans="1:38" ht="18.75" customHeight="1">
      <c r="A24" s="314" t="s">
        <v>2778</v>
      </c>
      <c r="B24" s="315" t="s">
        <v>1211</v>
      </c>
      <c r="C24" s="520"/>
      <c r="D24" s="516"/>
      <c r="E24" s="309" t="e">
        <f>CONCATENATE("(Plantão ",VLOOKUP(D23,[1]velho!$A$2:$BG$207,27, FALSE()),")")</f>
        <v>#N/A</v>
      </c>
      <c r="F24" s="310"/>
      <c r="G24" s="310"/>
      <c r="H24" s="516"/>
      <c r="I24" s="516"/>
      <c r="J24" s="516"/>
      <c r="K24" s="516"/>
      <c r="L24" s="516"/>
      <c r="M24" s="516"/>
      <c r="N24" s="516"/>
      <c r="O24" s="516"/>
      <c r="P24" s="516"/>
      <c r="Q24" s="516"/>
      <c r="R24" s="516"/>
      <c r="S24" s="516"/>
      <c r="T24" s="516"/>
      <c r="U24" s="516"/>
      <c r="V24" s="516"/>
      <c r="W24" s="516"/>
      <c r="X24" s="516"/>
      <c r="Y24" s="516"/>
      <c r="Z24" s="516"/>
      <c r="AA24" s="516"/>
      <c r="AB24" s="516"/>
      <c r="AC24" s="516"/>
      <c r="AD24" s="516"/>
      <c r="AE24" s="516"/>
      <c r="AF24" s="516"/>
      <c r="AG24" s="516"/>
      <c r="AH24" s="516"/>
      <c r="AI24" s="516"/>
      <c r="AJ24" s="516"/>
      <c r="AK24" s="516"/>
      <c r="AL24" s="516"/>
    </row>
    <row r="25" spans="1:38" ht="18.75" customHeight="1">
      <c r="A25" s="316" t="s">
        <v>2779</v>
      </c>
      <c r="B25" s="322" t="s">
        <v>2278</v>
      </c>
      <c r="C25" s="520"/>
      <c r="D25" s="521" t="s">
        <v>2704</v>
      </c>
      <c r="E25" s="309" t="e">
        <f>VLOOKUP(D25,#REF!,2, FALSE())</f>
        <v>#REF!</v>
      </c>
      <c r="F25" s="310" t="e">
        <f>VLOOKUP(E25,#REF!,20)</f>
        <v>#REF!</v>
      </c>
      <c r="G25" s="310"/>
      <c r="H25" s="515"/>
      <c r="I25" s="517" t="s">
        <v>2774</v>
      </c>
      <c r="J25" s="515"/>
      <c r="K25" s="517" t="s">
        <v>2774</v>
      </c>
      <c r="L25" s="515"/>
      <c r="M25" s="517" t="s">
        <v>2774</v>
      </c>
      <c r="N25" s="515"/>
      <c r="O25" s="517" t="s">
        <v>2774</v>
      </c>
      <c r="P25" s="515"/>
      <c r="Q25" s="517" t="s">
        <v>2774</v>
      </c>
      <c r="R25" s="515"/>
      <c r="S25" s="517" t="s">
        <v>2774</v>
      </c>
      <c r="T25" s="515"/>
      <c r="U25" s="517" t="s">
        <v>2774</v>
      </c>
      <c r="V25" s="515"/>
      <c r="W25" s="517" t="s">
        <v>2774</v>
      </c>
      <c r="X25" s="515"/>
      <c r="Y25" s="517" t="s">
        <v>2774</v>
      </c>
      <c r="Z25" s="515"/>
      <c r="AA25" s="517" t="s">
        <v>2774</v>
      </c>
      <c r="AB25" s="515"/>
      <c r="AC25" s="517" t="s">
        <v>2774</v>
      </c>
      <c r="AD25" s="515"/>
      <c r="AE25" s="517" t="s">
        <v>2774</v>
      </c>
      <c r="AF25" s="515"/>
      <c r="AG25" s="517" t="s">
        <v>2774</v>
      </c>
      <c r="AH25" s="515"/>
      <c r="AI25" s="517" t="s">
        <v>2774</v>
      </c>
      <c r="AJ25" s="515"/>
      <c r="AK25" s="517" t="s">
        <v>2774</v>
      </c>
      <c r="AL25" s="515"/>
    </row>
    <row r="26" spans="1:38" ht="18.75" customHeight="1">
      <c r="A26" s="318"/>
      <c r="B26" s="318"/>
      <c r="C26" s="520"/>
      <c r="D26" s="516"/>
      <c r="E26" s="309" t="e">
        <f>CONCATENATE("(Plantão ",VLOOKUP(D25,[1]velho!$A$2:$BG$207,27, FALSE()),")")</f>
        <v>#N/A</v>
      </c>
      <c r="F26" s="310"/>
      <c r="G26" s="310"/>
      <c r="H26" s="516"/>
      <c r="I26" s="516"/>
      <c r="J26" s="516"/>
      <c r="K26" s="516"/>
      <c r="L26" s="516"/>
      <c r="M26" s="516"/>
      <c r="N26" s="516"/>
      <c r="O26" s="516"/>
      <c r="P26" s="516"/>
      <c r="Q26" s="516"/>
      <c r="R26" s="516"/>
      <c r="S26" s="516"/>
      <c r="T26" s="516"/>
      <c r="U26" s="516"/>
      <c r="V26" s="516"/>
      <c r="W26" s="516"/>
      <c r="X26" s="516"/>
      <c r="Y26" s="516"/>
      <c r="Z26" s="516"/>
      <c r="AA26" s="516"/>
      <c r="AB26" s="516"/>
      <c r="AC26" s="516"/>
      <c r="AD26" s="516"/>
      <c r="AE26" s="516"/>
      <c r="AF26" s="516"/>
      <c r="AG26" s="516"/>
      <c r="AH26" s="516"/>
      <c r="AI26" s="516"/>
      <c r="AJ26" s="516"/>
      <c r="AK26" s="516"/>
      <c r="AL26" s="516"/>
    </row>
    <row r="27" spans="1:38" ht="18.75" customHeight="1">
      <c r="A27" s="314" t="s">
        <v>2781</v>
      </c>
      <c r="B27" s="315" t="s">
        <v>1230</v>
      </c>
      <c r="C27" s="520"/>
      <c r="D27" s="521" t="s">
        <v>2707</v>
      </c>
      <c r="E27" s="309" t="e">
        <f>VLOOKUP(D27,#REF!,2, FALSE())</f>
        <v>#REF!</v>
      </c>
      <c r="F27" s="310" t="e">
        <f>VLOOKUP(E27,#REF!,20)</f>
        <v>#REF!</v>
      </c>
      <c r="G27" s="310"/>
      <c r="H27" s="515"/>
      <c r="I27" s="517" t="s">
        <v>2777</v>
      </c>
      <c r="J27" s="515"/>
      <c r="K27" s="517" t="s">
        <v>2777</v>
      </c>
      <c r="L27" s="515"/>
      <c r="M27" s="517" t="s">
        <v>2777</v>
      </c>
      <c r="N27" s="515"/>
      <c r="O27" s="517" t="s">
        <v>2777</v>
      </c>
      <c r="P27" s="515"/>
      <c r="Q27" s="517" t="s">
        <v>2777</v>
      </c>
      <c r="R27" s="515"/>
      <c r="S27" s="517" t="s">
        <v>2777</v>
      </c>
      <c r="T27" s="515"/>
      <c r="U27" s="517" t="s">
        <v>2777</v>
      </c>
      <c r="V27" s="515"/>
      <c r="W27" s="517" t="s">
        <v>2777</v>
      </c>
      <c r="X27" s="515"/>
      <c r="Y27" s="517" t="s">
        <v>2777</v>
      </c>
      <c r="Z27" s="515"/>
      <c r="AA27" s="517" t="s">
        <v>2777</v>
      </c>
      <c r="AB27" s="515"/>
      <c r="AC27" s="517" t="s">
        <v>2777</v>
      </c>
      <c r="AD27" s="515"/>
      <c r="AE27" s="517" t="s">
        <v>2777</v>
      </c>
      <c r="AF27" s="515"/>
      <c r="AG27" s="517" t="s">
        <v>2777</v>
      </c>
      <c r="AH27" s="515"/>
      <c r="AI27" s="517" t="s">
        <v>2777</v>
      </c>
      <c r="AJ27" s="515"/>
      <c r="AK27" s="517" t="s">
        <v>2777</v>
      </c>
      <c r="AL27" s="518"/>
    </row>
    <row r="28" spans="1:38" ht="18.75" customHeight="1">
      <c r="A28" s="316" t="s">
        <v>2779</v>
      </c>
      <c r="B28" s="315" t="s">
        <v>2785</v>
      </c>
      <c r="C28" s="516"/>
      <c r="D28" s="516"/>
      <c r="E28" s="309" t="e">
        <f>CONCATENATE("(Plantão ",VLOOKUP(D27,[1]velho!$A$2:$BG$207,27, FALSE()),")")</f>
        <v>#N/A</v>
      </c>
      <c r="F28" s="310"/>
      <c r="G28" s="310"/>
      <c r="H28" s="516"/>
      <c r="I28" s="516"/>
      <c r="J28" s="516"/>
      <c r="K28" s="516"/>
      <c r="L28" s="516"/>
      <c r="M28" s="516"/>
      <c r="N28" s="516"/>
      <c r="O28" s="516"/>
      <c r="P28" s="516"/>
      <c r="Q28" s="516"/>
      <c r="R28" s="516"/>
      <c r="S28" s="516"/>
      <c r="T28" s="516"/>
      <c r="U28" s="516"/>
      <c r="V28" s="516"/>
      <c r="W28" s="516"/>
      <c r="X28" s="516"/>
      <c r="Y28" s="516"/>
      <c r="Z28" s="516"/>
      <c r="AA28" s="516"/>
      <c r="AB28" s="516"/>
      <c r="AC28" s="516"/>
      <c r="AD28" s="516"/>
      <c r="AE28" s="516"/>
      <c r="AF28" s="516"/>
      <c r="AG28" s="516"/>
      <c r="AH28" s="516"/>
      <c r="AI28" s="516"/>
      <c r="AJ28" s="516"/>
      <c r="AK28" s="516"/>
      <c r="AL28" s="516"/>
    </row>
    <row r="29" spans="1:38" ht="3.75" customHeight="1">
      <c r="C29" s="320"/>
      <c r="H29" s="285"/>
      <c r="I29" s="285"/>
      <c r="J29" s="285"/>
      <c r="K29" s="285"/>
      <c r="L29" s="285"/>
      <c r="M29" s="285"/>
      <c r="N29" s="285"/>
      <c r="O29" s="285"/>
      <c r="P29" s="285"/>
      <c r="Q29" s="285"/>
      <c r="R29" s="285"/>
      <c r="S29" s="285"/>
      <c r="T29" s="285"/>
      <c r="U29" s="285"/>
      <c r="V29" s="285"/>
      <c r="W29" s="285"/>
      <c r="X29" s="285"/>
      <c r="Y29" s="285"/>
      <c r="Z29" s="285"/>
      <c r="AA29" s="285"/>
      <c r="AB29" s="285"/>
      <c r="AC29" s="285"/>
      <c r="AD29" s="285"/>
      <c r="AE29" s="285"/>
      <c r="AF29" s="285"/>
      <c r="AG29" s="285"/>
      <c r="AH29" s="285"/>
      <c r="AI29" s="285"/>
      <c r="AJ29" s="285"/>
      <c r="AK29" s="285"/>
      <c r="AL29" s="285"/>
    </row>
    <row r="30" spans="1:38" ht="18.75" customHeight="1">
      <c r="A30" s="308" t="s">
        <v>2765</v>
      </c>
      <c r="B30" s="308" t="s">
        <v>2461</v>
      </c>
      <c r="C30" s="556" t="e">
        <f>VLOOKUP(B30,#REF!,2, FALSE())</f>
        <v>#REF!</v>
      </c>
      <c r="D30" s="521" t="s">
        <v>2370</v>
      </c>
      <c r="E30" s="309" t="e">
        <f>VLOOKUP(D30,#REF!,2, FALSE())</f>
        <v>#REF!</v>
      </c>
      <c r="F30" s="310" t="e">
        <f>VLOOKUP(E30,#REF!,20)</f>
        <v>#REF!</v>
      </c>
      <c r="G30" s="310"/>
      <c r="H30" s="515" t="s">
        <v>2774</v>
      </c>
      <c r="I30" s="517"/>
      <c r="J30" s="515" t="s">
        <v>2774</v>
      </c>
      <c r="K30" s="517"/>
      <c r="L30" s="515" t="s">
        <v>2774</v>
      </c>
      <c r="M30" s="517"/>
      <c r="N30" s="515" t="s">
        <v>2774</v>
      </c>
      <c r="O30" s="517"/>
      <c r="P30" s="515" t="s">
        <v>2774</v>
      </c>
      <c r="Q30" s="517"/>
      <c r="R30" s="515" t="s">
        <v>2774</v>
      </c>
      <c r="S30" s="517"/>
      <c r="T30" s="515" t="s">
        <v>2774</v>
      </c>
      <c r="U30" s="517"/>
      <c r="V30" s="515" t="s">
        <v>2774</v>
      </c>
      <c r="W30" s="517"/>
      <c r="X30" s="515" t="s">
        <v>2774</v>
      </c>
      <c r="Y30" s="517"/>
      <c r="Z30" s="515" t="s">
        <v>2774</v>
      </c>
      <c r="AA30" s="517"/>
      <c r="AB30" s="515" t="s">
        <v>2774</v>
      </c>
      <c r="AC30" s="517"/>
      <c r="AD30" s="515" t="s">
        <v>2774</v>
      </c>
      <c r="AE30" s="517"/>
      <c r="AF30" s="515" t="s">
        <v>2774</v>
      </c>
      <c r="AG30" s="517"/>
      <c r="AH30" s="515" t="s">
        <v>2774</v>
      </c>
      <c r="AI30" s="517"/>
      <c r="AJ30" s="515" t="s">
        <v>2774</v>
      </c>
      <c r="AK30" s="517"/>
      <c r="AL30" s="515" t="s">
        <v>2774</v>
      </c>
    </row>
    <row r="31" spans="1:38" ht="18.75" customHeight="1">
      <c r="A31" s="542" t="s">
        <v>2775</v>
      </c>
      <c r="B31" s="543"/>
      <c r="C31" s="520"/>
      <c r="D31" s="516"/>
      <c r="E31" s="309" t="e">
        <f>CONCATENATE("(Plantão ",VLOOKUP(D30,[1]velho!$A$2:$BG$207,27, FALSE()),")")</f>
        <v>#N/A</v>
      </c>
      <c r="F31" s="310"/>
      <c r="G31" s="310"/>
      <c r="H31" s="516"/>
      <c r="I31" s="516"/>
      <c r="J31" s="516"/>
      <c r="K31" s="516"/>
      <c r="L31" s="516"/>
      <c r="M31" s="516"/>
      <c r="N31" s="516"/>
      <c r="O31" s="516"/>
      <c r="P31" s="516"/>
      <c r="Q31" s="516"/>
      <c r="R31" s="516"/>
      <c r="S31" s="516"/>
      <c r="T31" s="516"/>
      <c r="U31" s="516"/>
      <c r="V31" s="516"/>
      <c r="W31" s="516"/>
      <c r="X31" s="516"/>
      <c r="Y31" s="516"/>
      <c r="Z31" s="516"/>
      <c r="AA31" s="516"/>
      <c r="AB31" s="516"/>
      <c r="AC31" s="516"/>
      <c r="AD31" s="516"/>
      <c r="AE31" s="516"/>
      <c r="AF31" s="516"/>
      <c r="AG31" s="516"/>
      <c r="AH31" s="516"/>
      <c r="AI31" s="516"/>
      <c r="AJ31" s="516"/>
      <c r="AK31" s="516"/>
      <c r="AL31" s="516"/>
    </row>
    <row r="32" spans="1:38" ht="18.75" customHeight="1">
      <c r="A32" s="312" t="s">
        <v>2776</v>
      </c>
      <c r="B32" s="321"/>
      <c r="C32" s="520"/>
      <c r="D32" s="521" t="s">
        <v>1402</v>
      </c>
      <c r="E32" s="309" t="e">
        <f>VLOOKUP(D32,#REF!,2, FALSE())</f>
        <v>#REF!</v>
      </c>
      <c r="F32" s="310" t="e">
        <f>VLOOKUP(E32,#REF!,20)</f>
        <v>#REF!</v>
      </c>
      <c r="G32" s="310"/>
      <c r="H32" s="515" t="s">
        <v>2777</v>
      </c>
      <c r="I32" s="517"/>
      <c r="J32" s="515" t="s">
        <v>2777</v>
      </c>
      <c r="K32" s="517"/>
      <c r="L32" s="515" t="s">
        <v>2777</v>
      </c>
      <c r="M32" s="517"/>
      <c r="N32" s="515" t="s">
        <v>2777</v>
      </c>
      <c r="O32" s="517"/>
      <c r="P32" s="515" t="s">
        <v>2777</v>
      </c>
      <c r="Q32" s="517"/>
      <c r="R32" s="515" t="s">
        <v>2777</v>
      </c>
      <c r="S32" s="517"/>
      <c r="T32" s="515" t="s">
        <v>2777</v>
      </c>
      <c r="U32" s="517"/>
      <c r="V32" s="515" t="s">
        <v>2777</v>
      </c>
      <c r="W32" s="517"/>
      <c r="X32" s="515" t="s">
        <v>2777</v>
      </c>
      <c r="Y32" s="517"/>
      <c r="Z32" s="515" t="s">
        <v>2777</v>
      </c>
      <c r="AA32" s="517"/>
      <c r="AB32" s="515" t="s">
        <v>2777</v>
      </c>
      <c r="AC32" s="517"/>
      <c r="AD32" s="515" t="s">
        <v>2777</v>
      </c>
      <c r="AE32" s="517"/>
      <c r="AF32" s="515" t="s">
        <v>2777</v>
      </c>
      <c r="AG32" s="517"/>
      <c r="AH32" s="515" t="s">
        <v>2777</v>
      </c>
      <c r="AI32" s="517"/>
      <c r="AJ32" s="515" t="s">
        <v>2777</v>
      </c>
      <c r="AK32" s="517"/>
      <c r="AL32" s="515" t="s">
        <v>2777</v>
      </c>
    </row>
    <row r="33" spans="1:38" ht="18.75" customHeight="1">
      <c r="A33" s="314" t="s">
        <v>2778</v>
      </c>
      <c r="B33" s="315" t="s">
        <v>1211</v>
      </c>
      <c r="C33" s="520"/>
      <c r="D33" s="516"/>
      <c r="E33" s="309" t="e">
        <f>CONCATENATE("(Plantão ",VLOOKUP(D32,[1]velho!$A$2:$BG$207,27, FALSE()),")")</f>
        <v>#N/A</v>
      </c>
      <c r="F33" s="310"/>
      <c r="G33" s="310"/>
      <c r="H33" s="516"/>
      <c r="I33" s="516"/>
      <c r="J33" s="516"/>
      <c r="K33" s="516"/>
      <c r="L33" s="516"/>
      <c r="M33" s="516"/>
      <c r="N33" s="516"/>
      <c r="O33" s="516"/>
      <c r="P33" s="516"/>
      <c r="Q33" s="516"/>
      <c r="R33" s="516"/>
      <c r="S33" s="516"/>
      <c r="T33" s="516"/>
      <c r="U33" s="516"/>
      <c r="V33" s="516"/>
      <c r="W33" s="516"/>
      <c r="X33" s="516"/>
      <c r="Y33" s="516"/>
      <c r="Z33" s="516"/>
      <c r="AA33" s="516"/>
      <c r="AB33" s="516"/>
      <c r="AC33" s="516"/>
      <c r="AD33" s="516"/>
      <c r="AE33" s="516"/>
      <c r="AF33" s="516"/>
      <c r="AG33" s="516"/>
      <c r="AH33" s="516"/>
      <c r="AI33" s="516"/>
      <c r="AJ33" s="516"/>
      <c r="AK33" s="516"/>
      <c r="AL33" s="516"/>
    </row>
    <row r="34" spans="1:38" ht="18.75" customHeight="1">
      <c r="A34" s="316" t="s">
        <v>2779</v>
      </c>
      <c r="B34" s="322" t="s">
        <v>2787</v>
      </c>
      <c r="C34" s="520"/>
      <c r="D34" s="521" t="s">
        <v>2561</v>
      </c>
      <c r="E34" s="309" t="e">
        <f>VLOOKUP(D34,#REF!,2, FALSE())</f>
        <v>#REF!</v>
      </c>
      <c r="F34" s="310" t="e">
        <f>VLOOKUP(E34,#REF!,20)</f>
        <v>#REF!</v>
      </c>
      <c r="G34" s="310"/>
      <c r="H34" s="515"/>
      <c r="I34" s="517" t="s">
        <v>2774</v>
      </c>
      <c r="J34" s="515"/>
      <c r="K34" s="517" t="s">
        <v>2774</v>
      </c>
      <c r="L34" s="515"/>
      <c r="M34" s="517" t="s">
        <v>2774</v>
      </c>
      <c r="N34" s="515"/>
      <c r="O34" s="517" t="s">
        <v>2774</v>
      </c>
      <c r="P34" s="515"/>
      <c r="Q34" s="517" t="s">
        <v>2774</v>
      </c>
      <c r="R34" s="515"/>
      <c r="S34" s="517" t="s">
        <v>2774</v>
      </c>
      <c r="T34" s="515"/>
      <c r="U34" s="517" t="s">
        <v>2774</v>
      </c>
      <c r="V34" s="515"/>
      <c r="W34" s="517" t="s">
        <v>2774</v>
      </c>
      <c r="X34" s="515"/>
      <c r="Y34" s="517" t="s">
        <v>2774</v>
      </c>
      <c r="Z34" s="515"/>
      <c r="AA34" s="517" t="s">
        <v>2774</v>
      </c>
      <c r="AB34" s="515"/>
      <c r="AC34" s="517" t="s">
        <v>2774</v>
      </c>
      <c r="AD34" s="515"/>
      <c r="AE34" s="517" t="s">
        <v>2774</v>
      </c>
      <c r="AF34" s="515"/>
      <c r="AG34" s="517" t="s">
        <v>2774</v>
      </c>
      <c r="AH34" s="515"/>
      <c r="AI34" s="517" t="s">
        <v>2774</v>
      </c>
      <c r="AJ34" s="515"/>
      <c r="AK34" s="517" t="s">
        <v>2774</v>
      </c>
      <c r="AL34" s="515"/>
    </row>
    <row r="35" spans="1:38" ht="18.75" customHeight="1">
      <c r="A35" s="318"/>
      <c r="B35" s="318"/>
      <c r="C35" s="520"/>
      <c r="D35" s="516"/>
      <c r="E35" s="309" t="e">
        <f>CONCATENATE("(Plantão ",VLOOKUP(D34,[1]velho!$A$2:$BG$207,27, FALSE()),")")</f>
        <v>#N/A</v>
      </c>
      <c r="F35" s="310"/>
      <c r="G35" s="310"/>
      <c r="H35" s="516"/>
      <c r="I35" s="516"/>
      <c r="J35" s="516"/>
      <c r="K35" s="516"/>
      <c r="L35" s="516"/>
      <c r="M35" s="516"/>
      <c r="N35" s="516"/>
      <c r="O35" s="516"/>
      <c r="P35" s="516"/>
      <c r="Q35" s="516"/>
      <c r="R35" s="516"/>
      <c r="S35" s="516"/>
      <c r="T35" s="516"/>
      <c r="U35" s="516"/>
      <c r="V35" s="516"/>
      <c r="W35" s="516"/>
      <c r="X35" s="516"/>
      <c r="Y35" s="516"/>
      <c r="Z35" s="516"/>
      <c r="AA35" s="516"/>
      <c r="AB35" s="516"/>
      <c r="AC35" s="516"/>
      <c r="AD35" s="516"/>
      <c r="AE35" s="516"/>
      <c r="AF35" s="516"/>
      <c r="AG35" s="516"/>
      <c r="AH35" s="516"/>
      <c r="AI35" s="516"/>
      <c r="AJ35" s="516"/>
      <c r="AK35" s="516"/>
      <c r="AL35" s="516"/>
    </row>
    <row r="36" spans="1:38" ht="18.75" customHeight="1">
      <c r="A36" s="314" t="s">
        <v>2781</v>
      </c>
      <c r="B36" s="315" t="s">
        <v>1230</v>
      </c>
      <c r="C36" s="520"/>
      <c r="D36" s="521" t="s">
        <v>2714</v>
      </c>
      <c r="E36" s="309" t="e">
        <f>VLOOKUP(D36,#REF!,2, FALSE())</f>
        <v>#REF!</v>
      </c>
      <c r="F36" s="310" t="e">
        <f>VLOOKUP(E36,#REF!,20)</f>
        <v>#REF!</v>
      </c>
      <c r="G36" s="310"/>
      <c r="H36" s="515"/>
      <c r="I36" s="517" t="s">
        <v>2777</v>
      </c>
      <c r="J36" s="515"/>
      <c r="K36" s="517" t="s">
        <v>2777</v>
      </c>
      <c r="L36" s="515"/>
      <c r="M36" s="517" t="s">
        <v>2777</v>
      </c>
      <c r="N36" s="515"/>
      <c r="O36" s="517" t="s">
        <v>2777</v>
      </c>
      <c r="P36" s="515"/>
      <c r="Q36" s="517" t="s">
        <v>2777</v>
      </c>
      <c r="R36" s="515"/>
      <c r="S36" s="517" t="s">
        <v>2777</v>
      </c>
      <c r="T36" s="515"/>
      <c r="U36" s="517" t="s">
        <v>2777</v>
      </c>
      <c r="V36" s="515"/>
      <c r="W36" s="517" t="s">
        <v>2777</v>
      </c>
      <c r="X36" s="515"/>
      <c r="Y36" s="517" t="s">
        <v>2777</v>
      </c>
      <c r="Z36" s="515"/>
      <c r="AA36" s="517" t="s">
        <v>2777</v>
      </c>
      <c r="AB36" s="515"/>
      <c r="AC36" s="517" t="s">
        <v>2777</v>
      </c>
      <c r="AD36" s="515"/>
      <c r="AE36" s="517" t="s">
        <v>2777</v>
      </c>
      <c r="AF36" s="515"/>
      <c r="AG36" s="517" t="s">
        <v>2777</v>
      </c>
      <c r="AH36" s="515"/>
      <c r="AI36" s="517" t="s">
        <v>2777</v>
      </c>
      <c r="AJ36" s="515"/>
      <c r="AK36" s="517" t="s">
        <v>2777</v>
      </c>
      <c r="AL36" s="518"/>
    </row>
    <row r="37" spans="1:38" ht="18.75" customHeight="1">
      <c r="A37" s="316" t="s">
        <v>2779</v>
      </c>
      <c r="B37" s="315" t="s">
        <v>2785</v>
      </c>
      <c r="C37" s="516"/>
      <c r="D37" s="516"/>
      <c r="E37" s="309" t="e">
        <f>CONCATENATE("(Plantão ",VLOOKUP(D36,[1]velho!$A$2:$BG$207,27, FALSE()),")")</f>
        <v>#N/A</v>
      </c>
      <c r="F37" s="310"/>
      <c r="G37" s="310"/>
      <c r="H37" s="516"/>
      <c r="I37" s="516"/>
      <c r="J37" s="516"/>
      <c r="K37" s="516"/>
      <c r="L37" s="516"/>
      <c r="M37" s="516"/>
      <c r="N37" s="516"/>
      <c r="O37" s="516"/>
      <c r="P37" s="516"/>
      <c r="Q37" s="516"/>
      <c r="R37" s="516"/>
      <c r="S37" s="516"/>
      <c r="T37" s="516"/>
      <c r="U37" s="516"/>
      <c r="V37" s="516"/>
      <c r="W37" s="516"/>
      <c r="X37" s="516"/>
      <c r="Y37" s="516"/>
      <c r="Z37" s="516"/>
      <c r="AA37" s="516"/>
      <c r="AB37" s="516"/>
      <c r="AC37" s="516"/>
      <c r="AD37" s="516"/>
      <c r="AE37" s="516"/>
      <c r="AF37" s="516"/>
      <c r="AG37" s="516"/>
      <c r="AH37" s="516"/>
      <c r="AI37" s="516"/>
      <c r="AJ37" s="516"/>
      <c r="AK37" s="516"/>
      <c r="AL37" s="516"/>
    </row>
    <row r="38" spans="1:38" ht="3.75" customHeight="1">
      <c r="C38" s="320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85"/>
      <c r="AG38" s="285"/>
      <c r="AH38" s="285"/>
      <c r="AI38" s="285"/>
      <c r="AJ38" s="285"/>
      <c r="AK38" s="285"/>
      <c r="AL38" s="285"/>
    </row>
    <row r="39" spans="1:38" ht="18.75" customHeight="1">
      <c r="A39" s="308" t="s">
        <v>2765</v>
      </c>
      <c r="B39" s="308" t="s">
        <v>1524</v>
      </c>
      <c r="C39" s="519" t="e">
        <f>VLOOKUP(B39,#REF!,2, FALSE())</f>
        <v>#REF!</v>
      </c>
      <c r="D39" s="521" t="s">
        <v>1420</v>
      </c>
      <c r="E39" s="309" t="e">
        <f>VLOOKUP(D39,#REF!,2, FALSE())</f>
        <v>#REF!</v>
      </c>
      <c r="F39" s="310" t="e">
        <f>VLOOKUP(E39,#REF!,20)</f>
        <v>#REF!</v>
      </c>
      <c r="G39" s="310"/>
      <c r="H39" s="515" t="s">
        <v>2774</v>
      </c>
      <c r="I39" s="517"/>
      <c r="J39" s="515" t="s">
        <v>2774</v>
      </c>
      <c r="K39" s="517"/>
      <c r="L39" s="515" t="s">
        <v>2774</v>
      </c>
      <c r="M39" s="517"/>
      <c r="N39" s="515" t="s">
        <v>2774</v>
      </c>
      <c r="O39" s="517"/>
      <c r="P39" s="515" t="s">
        <v>2774</v>
      </c>
      <c r="Q39" s="517"/>
      <c r="R39" s="515" t="s">
        <v>2774</v>
      </c>
      <c r="S39" s="517"/>
      <c r="T39" s="515" t="s">
        <v>2774</v>
      </c>
      <c r="U39" s="517"/>
      <c r="V39" s="515" t="s">
        <v>2774</v>
      </c>
      <c r="W39" s="517"/>
      <c r="X39" s="515" t="s">
        <v>2774</v>
      </c>
      <c r="Y39" s="517"/>
      <c r="Z39" s="515" t="s">
        <v>2774</v>
      </c>
      <c r="AA39" s="517"/>
      <c r="AB39" s="515" t="s">
        <v>2774</v>
      </c>
      <c r="AC39" s="517"/>
      <c r="AD39" s="515" t="s">
        <v>2774</v>
      </c>
      <c r="AE39" s="517"/>
      <c r="AF39" s="515" t="s">
        <v>2774</v>
      </c>
      <c r="AG39" s="517"/>
      <c r="AH39" s="515" t="s">
        <v>2774</v>
      </c>
      <c r="AI39" s="517"/>
      <c r="AJ39" s="515" t="s">
        <v>2774</v>
      </c>
      <c r="AK39" s="517"/>
      <c r="AL39" s="515" t="s">
        <v>2774</v>
      </c>
    </row>
    <row r="40" spans="1:38" ht="18.75" customHeight="1">
      <c r="A40" s="542" t="s">
        <v>2775</v>
      </c>
      <c r="B40" s="543"/>
      <c r="C40" s="520"/>
      <c r="D40" s="516"/>
      <c r="E40" s="309" t="e">
        <f>CONCATENATE("(Plantão ",VLOOKUP(D39,[1]velho!$A$2:$BG$207,27, FALSE()),")")</f>
        <v>#N/A</v>
      </c>
      <c r="F40" s="310"/>
      <c r="G40" s="310"/>
      <c r="H40" s="516"/>
      <c r="I40" s="516"/>
      <c r="J40" s="516"/>
      <c r="K40" s="516"/>
      <c r="L40" s="516"/>
      <c r="M40" s="516"/>
      <c r="N40" s="516"/>
      <c r="O40" s="516"/>
      <c r="P40" s="516"/>
      <c r="Q40" s="516"/>
      <c r="R40" s="516"/>
      <c r="S40" s="516"/>
      <c r="T40" s="516"/>
      <c r="U40" s="516"/>
      <c r="V40" s="516"/>
      <c r="W40" s="516"/>
      <c r="X40" s="516"/>
      <c r="Y40" s="516"/>
      <c r="Z40" s="516"/>
      <c r="AA40" s="516"/>
      <c r="AB40" s="516"/>
      <c r="AC40" s="516"/>
      <c r="AD40" s="516"/>
      <c r="AE40" s="516"/>
      <c r="AF40" s="516"/>
      <c r="AG40" s="516"/>
      <c r="AH40" s="516"/>
      <c r="AI40" s="516"/>
      <c r="AJ40" s="516"/>
      <c r="AK40" s="516"/>
      <c r="AL40" s="516"/>
    </row>
    <row r="41" spans="1:38" ht="18.75" customHeight="1">
      <c r="A41" s="312" t="s">
        <v>2776</v>
      </c>
      <c r="B41" s="321"/>
      <c r="C41" s="520"/>
      <c r="D41" s="521" t="s">
        <v>1742</v>
      </c>
      <c r="E41" s="309" t="e">
        <f>VLOOKUP(D41,#REF!,2, FALSE())</f>
        <v>#REF!</v>
      </c>
      <c r="F41" s="310" t="e">
        <f>VLOOKUP(E41,#REF!,20)</f>
        <v>#REF!</v>
      </c>
      <c r="G41" s="310"/>
      <c r="H41" s="515" t="s">
        <v>2777</v>
      </c>
      <c r="I41" s="517"/>
      <c r="J41" s="515" t="s">
        <v>2777</v>
      </c>
      <c r="K41" s="517"/>
      <c r="L41" s="515" t="s">
        <v>2777</v>
      </c>
      <c r="M41" s="517"/>
      <c r="N41" s="515" t="s">
        <v>2777</v>
      </c>
      <c r="O41" s="517"/>
      <c r="P41" s="515" t="s">
        <v>2777</v>
      </c>
      <c r="Q41" s="517"/>
      <c r="R41" s="515" t="s">
        <v>2777</v>
      </c>
      <c r="S41" s="517"/>
      <c r="T41" s="515" t="s">
        <v>2777</v>
      </c>
      <c r="U41" s="517"/>
      <c r="V41" s="515" t="s">
        <v>2777</v>
      </c>
      <c r="W41" s="517"/>
      <c r="X41" s="515" t="s">
        <v>2777</v>
      </c>
      <c r="Y41" s="517"/>
      <c r="Z41" s="515" t="s">
        <v>2777</v>
      </c>
      <c r="AA41" s="517"/>
      <c r="AB41" s="515" t="s">
        <v>2777</v>
      </c>
      <c r="AC41" s="517"/>
      <c r="AD41" s="515" t="s">
        <v>2777</v>
      </c>
      <c r="AE41" s="517"/>
      <c r="AF41" s="515" t="s">
        <v>2777</v>
      </c>
      <c r="AG41" s="517"/>
      <c r="AH41" s="515" t="s">
        <v>2777</v>
      </c>
      <c r="AI41" s="517"/>
      <c r="AJ41" s="515" t="s">
        <v>2777</v>
      </c>
      <c r="AK41" s="517"/>
      <c r="AL41" s="515" t="s">
        <v>2777</v>
      </c>
    </row>
    <row r="42" spans="1:38" ht="18.75" customHeight="1">
      <c r="A42" s="314" t="s">
        <v>2778</v>
      </c>
      <c r="B42" s="315" t="s">
        <v>1211</v>
      </c>
      <c r="C42" s="520"/>
      <c r="D42" s="516"/>
      <c r="E42" s="309" t="e">
        <f>CONCATENATE("(Plantão ",VLOOKUP(D41,[1]velho!$A$2:$BG$207,27, FALSE()),")")</f>
        <v>#N/A</v>
      </c>
      <c r="F42" s="310"/>
      <c r="G42" s="310"/>
      <c r="H42" s="516"/>
      <c r="I42" s="516"/>
      <c r="J42" s="516"/>
      <c r="K42" s="516"/>
      <c r="L42" s="516"/>
      <c r="M42" s="516"/>
      <c r="N42" s="516"/>
      <c r="O42" s="516"/>
      <c r="P42" s="516"/>
      <c r="Q42" s="516"/>
      <c r="R42" s="516"/>
      <c r="S42" s="516"/>
      <c r="T42" s="516"/>
      <c r="U42" s="516"/>
      <c r="V42" s="516"/>
      <c r="W42" s="516"/>
      <c r="X42" s="516"/>
      <c r="Y42" s="516"/>
      <c r="Z42" s="516"/>
      <c r="AA42" s="516"/>
      <c r="AB42" s="516"/>
      <c r="AC42" s="516"/>
      <c r="AD42" s="516"/>
      <c r="AE42" s="516"/>
      <c r="AF42" s="516"/>
      <c r="AG42" s="516"/>
      <c r="AH42" s="516"/>
      <c r="AI42" s="516"/>
      <c r="AJ42" s="516"/>
      <c r="AK42" s="516"/>
      <c r="AL42" s="516"/>
    </row>
    <row r="43" spans="1:38" ht="18.75" customHeight="1">
      <c r="A43" s="316" t="s">
        <v>2779</v>
      </c>
      <c r="B43" s="322" t="s">
        <v>2278</v>
      </c>
      <c r="C43" s="520"/>
      <c r="D43" s="521" t="s">
        <v>1877</v>
      </c>
      <c r="E43" s="309" t="e">
        <f>VLOOKUP(D43,#REF!,2, FALSE())</f>
        <v>#REF!</v>
      </c>
      <c r="F43" s="310" t="e">
        <f>VLOOKUP(E43,#REF!,20)</f>
        <v>#REF!</v>
      </c>
      <c r="G43" s="310"/>
      <c r="H43" s="515"/>
      <c r="I43" s="517" t="s">
        <v>2774</v>
      </c>
      <c r="J43" s="515"/>
      <c r="K43" s="517" t="s">
        <v>2774</v>
      </c>
      <c r="L43" s="515"/>
      <c r="M43" s="517" t="s">
        <v>2774</v>
      </c>
      <c r="N43" s="515"/>
      <c r="O43" s="517" t="s">
        <v>2774</v>
      </c>
      <c r="P43" s="515"/>
      <c r="Q43" s="517" t="s">
        <v>2774</v>
      </c>
      <c r="R43" s="515"/>
      <c r="S43" s="517" t="s">
        <v>2774</v>
      </c>
      <c r="T43" s="515"/>
      <c r="U43" s="517" t="s">
        <v>2774</v>
      </c>
      <c r="V43" s="515"/>
      <c r="W43" s="517" t="s">
        <v>2774</v>
      </c>
      <c r="X43" s="515"/>
      <c r="Y43" s="517" t="s">
        <v>2774</v>
      </c>
      <c r="Z43" s="515"/>
      <c r="AA43" s="517" t="s">
        <v>2774</v>
      </c>
      <c r="AB43" s="515"/>
      <c r="AC43" s="517" t="s">
        <v>2774</v>
      </c>
      <c r="AD43" s="515"/>
      <c r="AE43" s="517" t="s">
        <v>2774</v>
      </c>
      <c r="AF43" s="515"/>
      <c r="AG43" s="517" t="s">
        <v>2774</v>
      </c>
      <c r="AH43" s="515"/>
      <c r="AI43" s="517" t="s">
        <v>2774</v>
      </c>
      <c r="AJ43" s="515"/>
      <c r="AK43" s="517" t="s">
        <v>2774</v>
      </c>
      <c r="AL43" s="515"/>
    </row>
    <row r="44" spans="1:38" ht="18.75" customHeight="1">
      <c r="A44" s="318"/>
      <c r="B44" s="318"/>
      <c r="C44" s="520"/>
      <c r="D44" s="516"/>
      <c r="E44" s="309" t="e">
        <f>CONCATENATE("(Plantão ",VLOOKUP(D43,[1]velho!$A$2:$BG$207,27, FALSE()),")")</f>
        <v>#N/A</v>
      </c>
      <c r="F44" s="310"/>
      <c r="G44" s="310"/>
      <c r="H44" s="516"/>
      <c r="I44" s="516"/>
      <c r="J44" s="516"/>
      <c r="K44" s="516"/>
      <c r="L44" s="516"/>
      <c r="M44" s="516"/>
      <c r="N44" s="516"/>
      <c r="O44" s="516"/>
      <c r="P44" s="516"/>
      <c r="Q44" s="516"/>
      <c r="R44" s="516"/>
      <c r="S44" s="516"/>
      <c r="T44" s="516"/>
      <c r="U44" s="516"/>
      <c r="V44" s="516"/>
      <c r="W44" s="516"/>
      <c r="X44" s="516"/>
      <c r="Y44" s="516"/>
      <c r="Z44" s="516"/>
      <c r="AA44" s="516"/>
      <c r="AB44" s="516"/>
      <c r="AC44" s="516"/>
      <c r="AD44" s="516"/>
      <c r="AE44" s="516"/>
      <c r="AF44" s="516"/>
      <c r="AG44" s="516"/>
      <c r="AH44" s="516"/>
      <c r="AI44" s="516"/>
      <c r="AJ44" s="516"/>
      <c r="AK44" s="516"/>
      <c r="AL44" s="516"/>
    </row>
    <row r="45" spans="1:38" ht="18.75" customHeight="1">
      <c r="A45" s="314" t="s">
        <v>2781</v>
      </c>
      <c r="B45" s="315" t="s">
        <v>1230</v>
      </c>
      <c r="C45" s="520"/>
      <c r="D45" s="521" t="s">
        <v>1413</v>
      </c>
      <c r="E45" s="309" t="e">
        <f>VLOOKUP(D45,#REF!,2, FALSE())</f>
        <v>#REF!</v>
      </c>
      <c r="F45" s="310" t="e">
        <f>VLOOKUP(E45,#REF!,20)</f>
        <v>#REF!</v>
      </c>
      <c r="G45" s="310"/>
      <c r="H45" s="515"/>
      <c r="I45" s="517" t="s">
        <v>2777</v>
      </c>
      <c r="J45" s="515"/>
      <c r="K45" s="517" t="s">
        <v>2777</v>
      </c>
      <c r="L45" s="515"/>
      <c r="M45" s="517" t="s">
        <v>2777</v>
      </c>
      <c r="N45" s="515"/>
      <c r="O45" s="517" t="s">
        <v>2777</v>
      </c>
      <c r="P45" s="515"/>
      <c r="Q45" s="517" t="s">
        <v>2777</v>
      </c>
      <c r="R45" s="515"/>
      <c r="S45" s="517" t="s">
        <v>2777</v>
      </c>
      <c r="T45" s="515"/>
      <c r="U45" s="517" t="s">
        <v>2777</v>
      </c>
      <c r="V45" s="515"/>
      <c r="W45" s="517" t="s">
        <v>2777</v>
      </c>
      <c r="X45" s="515"/>
      <c r="Y45" s="517" t="s">
        <v>2777</v>
      </c>
      <c r="Z45" s="515"/>
      <c r="AA45" s="517" t="s">
        <v>2777</v>
      </c>
      <c r="AB45" s="515"/>
      <c r="AC45" s="517" t="s">
        <v>2777</v>
      </c>
      <c r="AD45" s="515"/>
      <c r="AE45" s="517" t="s">
        <v>2777</v>
      </c>
      <c r="AF45" s="515"/>
      <c r="AG45" s="517" t="s">
        <v>2777</v>
      </c>
      <c r="AH45" s="515"/>
      <c r="AI45" s="517" t="s">
        <v>2777</v>
      </c>
      <c r="AJ45" s="515"/>
      <c r="AK45" s="517" t="s">
        <v>2777</v>
      </c>
      <c r="AL45" s="518"/>
    </row>
    <row r="46" spans="1:38" ht="18.75" customHeight="1">
      <c r="A46" s="323" t="s">
        <v>2779</v>
      </c>
      <c r="B46" s="324" t="s">
        <v>2785</v>
      </c>
      <c r="C46" s="516"/>
      <c r="D46" s="516"/>
      <c r="E46" s="309" t="e">
        <f>CONCATENATE("(Plantão ",VLOOKUP(D45,[1]velho!$A$2:$BG$207,27, FALSE()),")")</f>
        <v>#N/A</v>
      </c>
      <c r="F46" s="310"/>
      <c r="G46" s="310"/>
      <c r="H46" s="516"/>
      <c r="I46" s="516"/>
      <c r="J46" s="516"/>
      <c r="K46" s="516"/>
      <c r="L46" s="516"/>
      <c r="M46" s="516"/>
      <c r="N46" s="516"/>
      <c r="O46" s="516"/>
      <c r="P46" s="516"/>
      <c r="Q46" s="516"/>
      <c r="R46" s="516"/>
      <c r="S46" s="516"/>
      <c r="T46" s="516"/>
      <c r="U46" s="516"/>
      <c r="V46" s="516"/>
      <c r="W46" s="516"/>
      <c r="X46" s="516"/>
      <c r="Y46" s="516"/>
      <c r="Z46" s="516"/>
      <c r="AA46" s="516"/>
      <c r="AB46" s="516"/>
      <c r="AC46" s="516"/>
      <c r="AD46" s="516"/>
      <c r="AE46" s="516"/>
      <c r="AF46" s="516"/>
      <c r="AG46" s="516"/>
      <c r="AH46" s="516"/>
      <c r="AI46" s="516"/>
      <c r="AJ46" s="516"/>
      <c r="AK46" s="516"/>
      <c r="AL46" s="516"/>
    </row>
    <row r="47" spans="1:38" ht="22.5" customHeight="1">
      <c r="A47" s="557">
        <f>A1</f>
        <v>45474</v>
      </c>
      <c r="B47" s="558"/>
      <c r="C47" s="558"/>
      <c r="D47" s="558"/>
      <c r="E47" s="531"/>
      <c r="F47" s="325"/>
      <c r="G47" s="325"/>
      <c r="H47" s="304">
        <f t="shared" ref="H47:AL47" si="2">H1</f>
        <v>45474</v>
      </c>
      <c r="I47" s="305">
        <f t="shared" si="2"/>
        <v>45475</v>
      </c>
      <c r="J47" s="304">
        <f t="shared" si="2"/>
        <v>45476</v>
      </c>
      <c r="K47" s="305">
        <f t="shared" si="2"/>
        <v>45477</v>
      </c>
      <c r="L47" s="304">
        <f t="shared" si="2"/>
        <v>45478</v>
      </c>
      <c r="M47" s="305">
        <f t="shared" si="2"/>
        <v>45479</v>
      </c>
      <c r="N47" s="304">
        <f t="shared" si="2"/>
        <v>45480</v>
      </c>
      <c r="O47" s="305">
        <f t="shared" si="2"/>
        <v>45481</v>
      </c>
      <c r="P47" s="304">
        <f t="shared" si="2"/>
        <v>45482</v>
      </c>
      <c r="Q47" s="305">
        <f t="shared" si="2"/>
        <v>45483</v>
      </c>
      <c r="R47" s="304">
        <f t="shared" si="2"/>
        <v>45484</v>
      </c>
      <c r="S47" s="305">
        <f t="shared" si="2"/>
        <v>45485</v>
      </c>
      <c r="T47" s="326">
        <f t="shared" si="2"/>
        <v>45486</v>
      </c>
      <c r="U47" s="305">
        <f t="shared" si="2"/>
        <v>45487</v>
      </c>
      <c r="V47" s="304">
        <f t="shared" si="2"/>
        <v>45488</v>
      </c>
      <c r="W47" s="305">
        <f t="shared" si="2"/>
        <v>45489</v>
      </c>
      <c r="X47" s="304">
        <f t="shared" si="2"/>
        <v>45490</v>
      </c>
      <c r="Y47" s="305">
        <f t="shared" si="2"/>
        <v>45491</v>
      </c>
      <c r="Z47" s="304">
        <f t="shared" si="2"/>
        <v>45492</v>
      </c>
      <c r="AA47" s="305">
        <f t="shared" si="2"/>
        <v>45493</v>
      </c>
      <c r="AB47" s="304">
        <f t="shared" si="2"/>
        <v>45494</v>
      </c>
      <c r="AC47" s="305">
        <f t="shared" si="2"/>
        <v>45495</v>
      </c>
      <c r="AD47" s="304">
        <f t="shared" si="2"/>
        <v>45496</v>
      </c>
      <c r="AE47" s="305">
        <f t="shared" si="2"/>
        <v>45497</v>
      </c>
      <c r="AF47" s="304">
        <f t="shared" si="2"/>
        <v>45498</v>
      </c>
      <c r="AG47" s="305">
        <f t="shared" si="2"/>
        <v>45499</v>
      </c>
      <c r="AH47" s="304">
        <f t="shared" si="2"/>
        <v>45500</v>
      </c>
      <c r="AI47" s="305">
        <f t="shared" si="2"/>
        <v>45501</v>
      </c>
      <c r="AJ47" s="304">
        <f t="shared" si="2"/>
        <v>45502</v>
      </c>
      <c r="AK47" s="305">
        <f t="shared" si="2"/>
        <v>45503</v>
      </c>
      <c r="AL47" s="304">
        <f t="shared" si="2"/>
        <v>45504</v>
      </c>
    </row>
    <row r="48" spans="1:38" ht="20.25" customHeight="1">
      <c r="A48" s="553"/>
      <c r="B48" s="550"/>
      <c r="C48" s="550"/>
      <c r="D48" s="550"/>
      <c r="E48" s="535"/>
      <c r="F48" s="325"/>
      <c r="G48" s="325"/>
      <c r="H48" s="306">
        <f t="shared" ref="H48:AL48" si="3">H2</f>
        <v>45474</v>
      </c>
      <c r="I48" s="307">
        <f t="shared" si="3"/>
        <v>45475</v>
      </c>
      <c r="J48" s="306">
        <f t="shared" si="3"/>
        <v>45476</v>
      </c>
      <c r="K48" s="307">
        <f t="shared" si="3"/>
        <v>45477</v>
      </c>
      <c r="L48" s="306">
        <f t="shared" si="3"/>
        <v>45478</v>
      </c>
      <c r="M48" s="307">
        <f t="shared" si="3"/>
        <v>45479</v>
      </c>
      <c r="N48" s="306">
        <f t="shared" si="3"/>
        <v>45480</v>
      </c>
      <c r="O48" s="307">
        <f t="shared" si="3"/>
        <v>45481</v>
      </c>
      <c r="P48" s="306">
        <f t="shared" si="3"/>
        <v>45482</v>
      </c>
      <c r="Q48" s="307">
        <f t="shared" si="3"/>
        <v>45483</v>
      </c>
      <c r="R48" s="306">
        <f t="shared" si="3"/>
        <v>45484</v>
      </c>
      <c r="S48" s="307">
        <f t="shared" si="3"/>
        <v>45485</v>
      </c>
      <c r="T48" s="327">
        <f t="shared" si="3"/>
        <v>45486</v>
      </c>
      <c r="U48" s="307">
        <f t="shared" si="3"/>
        <v>45487</v>
      </c>
      <c r="V48" s="306">
        <f t="shared" si="3"/>
        <v>45488</v>
      </c>
      <c r="W48" s="307">
        <f t="shared" si="3"/>
        <v>45489</v>
      </c>
      <c r="X48" s="306">
        <f t="shared" si="3"/>
        <v>45490</v>
      </c>
      <c r="Y48" s="307">
        <f t="shared" si="3"/>
        <v>45491</v>
      </c>
      <c r="Z48" s="306">
        <f t="shared" si="3"/>
        <v>45492</v>
      </c>
      <c r="AA48" s="307">
        <f t="shared" si="3"/>
        <v>45493</v>
      </c>
      <c r="AB48" s="306">
        <f t="shared" si="3"/>
        <v>45494</v>
      </c>
      <c r="AC48" s="307">
        <f t="shared" si="3"/>
        <v>45495</v>
      </c>
      <c r="AD48" s="306">
        <f t="shared" si="3"/>
        <v>45496</v>
      </c>
      <c r="AE48" s="307">
        <f t="shared" si="3"/>
        <v>45497</v>
      </c>
      <c r="AF48" s="306">
        <f t="shared" si="3"/>
        <v>45498</v>
      </c>
      <c r="AG48" s="307">
        <f t="shared" si="3"/>
        <v>45499</v>
      </c>
      <c r="AH48" s="306">
        <f t="shared" si="3"/>
        <v>45500</v>
      </c>
      <c r="AI48" s="307">
        <f t="shared" si="3"/>
        <v>45501</v>
      </c>
      <c r="AJ48" s="306">
        <f t="shared" si="3"/>
        <v>45502</v>
      </c>
      <c r="AK48" s="307">
        <f t="shared" si="3"/>
        <v>45503</v>
      </c>
      <c r="AL48" s="306">
        <f t="shared" si="3"/>
        <v>45504</v>
      </c>
    </row>
    <row r="49" spans="1:38" ht="18.75" customHeight="1">
      <c r="A49" s="328" t="s">
        <v>2765</v>
      </c>
      <c r="B49" s="328" t="s">
        <v>2468</v>
      </c>
      <c r="C49" s="556" t="e">
        <f>VLOOKUP(B49,#REF!,2, FALSE())</f>
        <v>#REF!</v>
      </c>
      <c r="D49" s="524" t="s">
        <v>2528</v>
      </c>
      <c r="E49" s="559" t="e">
        <f>VLOOKUP(D49,#REF!,2, FALSE())</f>
        <v>#REF!</v>
      </c>
      <c r="F49" s="310" t="e">
        <f>VLOOKUP(E49,#REF!,20)</f>
        <v>#REF!</v>
      </c>
      <c r="G49" s="329"/>
      <c r="H49" s="518" t="s">
        <v>2777</v>
      </c>
      <c r="I49" s="522" t="s">
        <v>2777</v>
      </c>
      <c r="J49" s="518" t="s">
        <v>2777</v>
      </c>
      <c r="K49" s="522" t="s">
        <v>2777</v>
      </c>
      <c r="L49" s="518" t="s">
        <v>2777</v>
      </c>
      <c r="M49" s="522" t="s">
        <v>2777</v>
      </c>
      <c r="N49" s="518" t="s">
        <v>2777</v>
      </c>
      <c r="O49" s="525" t="s">
        <v>2789</v>
      </c>
      <c r="P49" s="518" t="s">
        <v>2777</v>
      </c>
      <c r="Q49" s="522" t="s">
        <v>2777</v>
      </c>
      <c r="R49" s="518" t="s">
        <v>2777</v>
      </c>
      <c r="S49" s="522" t="s">
        <v>2777</v>
      </c>
      <c r="T49" s="526" t="s">
        <v>2777</v>
      </c>
      <c r="U49" s="522" t="s">
        <v>2777</v>
      </c>
      <c r="V49" s="523" t="s">
        <v>2789</v>
      </c>
      <c r="W49" s="522" t="s">
        <v>2777</v>
      </c>
      <c r="X49" s="518" t="s">
        <v>2777</v>
      </c>
      <c r="Y49" s="522" t="s">
        <v>2777</v>
      </c>
      <c r="Z49" s="518" t="s">
        <v>2777</v>
      </c>
      <c r="AA49" s="522" t="s">
        <v>2777</v>
      </c>
      <c r="AB49" s="518" t="s">
        <v>2777</v>
      </c>
      <c r="AC49" s="525" t="s">
        <v>2789</v>
      </c>
      <c r="AD49" s="518" t="s">
        <v>2777</v>
      </c>
      <c r="AE49" s="522" t="s">
        <v>2777</v>
      </c>
      <c r="AF49" s="523" t="s">
        <v>2789</v>
      </c>
      <c r="AG49" s="522" t="s">
        <v>2777</v>
      </c>
      <c r="AH49" s="518" t="s">
        <v>2777</v>
      </c>
      <c r="AI49" s="522" t="s">
        <v>2777</v>
      </c>
      <c r="AJ49" s="523" t="s">
        <v>2789</v>
      </c>
      <c r="AK49" s="522" t="s">
        <v>2777</v>
      </c>
      <c r="AL49" s="518" t="s">
        <v>2777</v>
      </c>
    </row>
    <row r="50" spans="1:38" ht="18.75" customHeight="1">
      <c r="A50" s="542" t="s">
        <v>2790</v>
      </c>
      <c r="B50" s="543"/>
      <c r="C50" s="520"/>
      <c r="D50" s="516"/>
      <c r="E50" s="516"/>
      <c r="F50" s="329"/>
      <c r="G50" s="329"/>
      <c r="H50" s="516"/>
      <c r="I50" s="516"/>
      <c r="J50" s="516"/>
      <c r="K50" s="516"/>
      <c r="L50" s="516"/>
      <c r="M50" s="516"/>
      <c r="N50" s="516"/>
      <c r="O50" s="516"/>
      <c r="P50" s="516"/>
      <c r="Q50" s="516"/>
      <c r="R50" s="516"/>
      <c r="S50" s="516"/>
      <c r="T50" s="516"/>
      <c r="U50" s="516"/>
      <c r="V50" s="516"/>
      <c r="W50" s="516"/>
      <c r="X50" s="516"/>
      <c r="Y50" s="516"/>
      <c r="Z50" s="516"/>
      <c r="AA50" s="516"/>
      <c r="AB50" s="516"/>
      <c r="AC50" s="516"/>
      <c r="AD50" s="516"/>
      <c r="AE50" s="516"/>
      <c r="AF50" s="516"/>
      <c r="AG50" s="516"/>
      <c r="AH50" s="516"/>
      <c r="AI50" s="516"/>
      <c r="AJ50" s="516"/>
      <c r="AK50" s="516"/>
      <c r="AL50" s="516"/>
    </row>
    <row r="51" spans="1:38" ht="18.75" customHeight="1">
      <c r="A51" s="312" t="s">
        <v>2776</v>
      </c>
      <c r="B51" s="313"/>
      <c r="C51" s="520"/>
      <c r="D51" s="521" t="s">
        <v>2530</v>
      </c>
      <c r="E51" s="539" t="e">
        <f>VLOOKUP(D51,#REF!,2, FALSE())</f>
        <v>#REF!</v>
      </c>
      <c r="F51" s="310" t="e">
        <f>VLOOKUP(E51,#REF!,20)</f>
        <v>#REF!</v>
      </c>
      <c r="G51" s="310"/>
      <c r="H51" s="515"/>
      <c r="I51" s="522"/>
      <c r="J51" s="518"/>
      <c r="K51" s="522"/>
      <c r="L51" s="518"/>
      <c r="M51" s="522"/>
      <c r="N51" s="518"/>
      <c r="O51" s="517" t="s">
        <v>2777</v>
      </c>
      <c r="P51" s="518"/>
      <c r="Q51" s="517"/>
      <c r="R51" s="518"/>
      <c r="S51" s="527"/>
      <c r="T51" s="526"/>
      <c r="U51" s="522"/>
      <c r="V51" s="518" t="s">
        <v>2777</v>
      </c>
      <c r="W51" s="522"/>
      <c r="X51" s="518"/>
      <c r="Y51" s="522"/>
      <c r="Z51" s="518"/>
      <c r="AA51" s="522"/>
      <c r="AB51" s="518"/>
      <c r="AC51" s="517" t="s">
        <v>2777</v>
      </c>
      <c r="AD51" s="518"/>
      <c r="AE51" s="522"/>
      <c r="AF51" s="518"/>
      <c r="AG51" s="522"/>
      <c r="AH51" s="518"/>
      <c r="AI51" s="522"/>
      <c r="AJ51" s="518" t="s">
        <v>2777</v>
      </c>
      <c r="AK51" s="517"/>
      <c r="AL51" s="518"/>
    </row>
    <row r="52" spans="1:38" ht="18.75" customHeight="1">
      <c r="A52" s="314" t="s">
        <v>2781</v>
      </c>
      <c r="B52" s="315" t="s">
        <v>638</v>
      </c>
      <c r="C52" s="520"/>
      <c r="D52" s="516"/>
      <c r="E52" s="516"/>
      <c r="F52" s="310"/>
      <c r="G52" s="310"/>
      <c r="H52" s="516"/>
      <c r="I52" s="516"/>
      <c r="J52" s="516"/>
      <c r="K52" s="516"/>
      <c r="L52" s="516"/>
      <c r="M52" s="516"/>
      <c r="N52" s="516"/>
      <c r="O52" s="516"/>
      <c r="P52" s="516"/>
      <c r="Q52" s="516"/>
      <c r="R52" s="516"/>
      <c r="S52" s="516"/>
      <c r="T52" s="516"/>
      <c r="U52" s="516"/>
      <c r="V52" s="516"/>
      <c r="W52" s="516"/>
      <c r="X52" s="516"/>
      <c r="Y52" s="516"/>
      <c r="Z52" s="516"/>
      <c r="AA52" s="516"/>
      <c r="AB52" s="516"/>
      <c r="AC52" s="516"/>
      <c r="AD52" s="516"/>
      <c r="AE52" s="516"/>
      <c r="AF52" s="516"/>
      <c r="AG52" s="516"/>
      <c r="AH52" s="516"/>
      <c r="AI52" s="516"/>
      <c r="AJ52" s="516"/>
      <c r="AK52" s="516"/>
      <c r="AL52" s="516"/>
    </row>
    <row r="53" spans="1:38" ht="18.75" customHeight="1">
      <c r="A53" s="316" t="s">
        <v>2779</v>
      </c>
      <c r="B53" s="315" t="s">
        <v>2785</v>
      </c>
      <c r="C53" s="520"/>
      <c r="D53" s="521" t="s">
        <v>2532</v>
      </c>
      <c r="E53" s="539" t="e">
        <f>VLOOKUP(D53,#REF!,2, FALSE())</f>
        <v>#REF!</v>
      </c>
      <c r="F53" s="310" t="e">
        <f>VLOOKUP(E53,#REF!,20)</f>
        <v>#REF!</v>
      </c>
      <c r="G53" s="310"/>
      <c r="H53" s="515"/>
      <c r="I53" s="517"/>
      <c r="J53" s="515"/>
      <c r="K53" s="517" t="s">
        <v>2774</v>
      </c>
      <c r="L53" s="515"/>
      <c r="M53" s="517"/>
      <c r="N53" s="515"/>
      <c r="O53" s="517"/>
      <c r="P53" s="515"/>
      <c r="Q53" s="517"/>
      <c r="R53" s="515" t="s">
        <v>2774</v>
      </c>
      <c r="S53" s="517"/>
      <c r="T53" s="537" t="s">
        <v>2774</v>
      </c>
      <c r="U53" s="517"/>
      <c r="V53" s="515"/>
      <c r="W53" s="517"/>
      <c r="X53" s="515"/>
      <c r="Y53" s="517" t="s">
        <v>2774</v>
      </c>
      <c r="Z53" s="515"/>
      <c r="AA53" s="517"/>
      <c r="AB53" s="515"/>
      <c r="AC53" s="517"/>
      <c r="AD53" s="515"/>
      <c r="AE53" s="517"/>
      <c r="AF53" s="515" t="s">
        <v>2774</v>
      </c>
      <c r="AG53" s="517"/>
      <c r="AH53" s="515"/>
      <c r="AI53" s="517"/>
      <c r="AJ53" s="515"/>
      <c r="AK53" s="517"/>
      <c r="AL53" s="515"/>
    </row>
    <row r="54" spans="1:38" ht="18.75" customHeight="1">
      <c r="A54" s="318"/>
      <c r="B54" s="318"/>
      <c r="C54" s="520"/>
      <c r="D54" s="516"/>
      <c r="E54" s="516"/>
      <c r="F54" s="310"/>
      <c r="G54" s="310"/>
      <c r="H54" s="516"/>
      <c r="I54" s="516"/>
      <c r="J54" s="516"/>
      <c r="K54" s="516"/>
      <c r="L54" s="516"/>
      <c r="M54" s="516"/>
      <c r="N54" s="516"/>
      <c r="O54" s="516"/>
      <c r="P54" s="516"/>
      <c r="Q54" s="516"/>
      <c r="R54" s="516"/>
      <c r="S54" s="516"/>
      <c r="T54" s="516"/>
      <c r="U54" s="516"/>
      <c r="V54" s="516"/>
      <c r="W54" s="516"/>
      <c r="X54" s="516"/>
      <c r="Y54" s="516"/>
      <c r="Z54" s="516"/>
      <c r="AA54" s="516"/>
      <c r="AB54" s="516"/>
      <c r="AC54" s="516"/>
      <c r="AD54" s="516"/>
      <c r="AE54" s="516"/>
      <c r="AF54" s="516"/>
      <c r="AG54" s="516"/>
      <c r="AH54" s="516"/>
      <c r="AI54" s="516"/>
      <c r="AJ54" s="516"/>
      <c r="AK54" s="516"/>
      <c r="AL54" s="516"/>
    </row>
    <row r="55" spans="1:38" ht="18.75" customHeight="1">
      <c r="A55" s="314" t="s">
        <v>2778</v>
      </c>
      <c r="B55" s="315" t="s">
        <v>636</v>
      </c>
      <c r="C55" s="520"/>
      <c r="D55" s="521"/>
      <c r="E55" s="536" t="s">
        <v>2792</v>
      </c>
      <c r="F55" s="310"/>
      <c r="G55" s="310"/>
      <c r="H55" s="515"/>
      <c r="I55" s="517"/>
      <c r="J55" s="515"/>
      <c r="K55" s="517"/>
      <c r="L55" s="515"/>
      <c r="M55" s="517"/>
      <c r="N55" s="515"/>
      <c r="O55" s="517"/>
      <c r="P55" s="515"/>
      <c r="Q55" s="517"/>
      <c r="R55" s="515"/>
      <c r="S55" s="517"/>
      <c r="T55" s="537" t="s">
        <v>2777</v>
      </c>
      <c r="U55" s="517"/>
      <c r="V55" s="515"/>
      <c r="W55" s="517"/>
      <c r="X55" s="515"/>
      <c r="Y55" s="517"/>
      <c r="Z55" s="515"/>
      <c r="AA55" s="517"/>
      <c r="AB55" s="515"/>
      <c r="AC55" s="517"/>
      <c r="AD55" s="515"/>
      <c r="AE55" s="517"/>
      <c r="AF55" s="515" t="s">
        <v>2777</v>
      </c>
      <c r="AG55" s="517"/>
      <c r="AH55" s="515"/>
      <c r="AI55" s="517"/>
      <c r="AJ55" s="515"/>
      <c r="AK55" s="517"/>
      <c r="AL55" s="515"/>
    </row>
    <row r="56" spans="1:38" ht="18.75" customHeight="1">
      <c r="A56" s="316" t="s">
        <v>2779</v>
      </c>
      <c r="B56" s="315" t="s">
        <v>2278</v>
      </c>
      <c r="C56" s="516"/>
      <c r="D56" s="516"/>
      <c r="E56" s="516"/>
      <c r="F56" s="310"/>
      <c r="G56" s="310"/>
      <c r="H56" s="516"/>
      <c r="I56" s="516"/>
      <c r="J56" s="516"/>
      <c r="K56" s="516"/>
      <c r="L56" s="516"/>
      <c r="M56" s="516"/>
      <c r="N56" s="516"/>
      <c r="O56" s="516"/>
      <c r="P56" s="516"/>
      <c r="Q56" s="516"/>
      <c r="R56" s="516"/>
      <c r="S56" s="516"/>
      <c r="T56" s="516"/>
      <c r="U56" s="516"/>
      <c r="V56" s="516"/>
      <c r="W56" s="516"/>
      <c r="X56" s="516"/>
      <c r="Y56" s="516"/>
      <c r="Z56" s="516"/>
      <c r="AA56" s="516"/>
      <c r="AB56" s="516"/>
      <c r="AC56" s="516"/>
      <c r="AD56" s="516"/>
      <c r="AE56" s="516"/>
      <c r="AF56" s="516"/>
      <c r="AG56" s="516"/>
      <c r="AH56" s="516"/>
      <c r="AI56" s="516"/>
      <c r="AJ56" s="516"/>
      <c r="AK56" s="516"/>
      <c r="AL56" s="516"/>
    </row>
    <row r="57" spans="1:38" ht="3.75" customHeight="1">
      <c r="C57" s="320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330"/>
      <c r="U57" s="285"/>
      <c r="V57" s="285"/>
      <c r="W57" s="285"/>
      <c r="X57" s="285"/>
      <c r="Y57" s="285"/>
      <c r="Z57" s="285"/>
      <c r="AA57" s="285"/>
      <c r="AB57" s="285"/>
      <c r="AC57" s="285"/>
      <c r="AD57" s="285"/>
      <c r="AE57" s="285"/>
      <c r="AF57" s="285"/>
      <c r="AG57" s="285"/>
      <c r="AH57" s="285"/>
      <c r="AI57" s="285"/>
      <c r="AJ57" s="285"/>
      <c r="AK57" s="285"/>
      <c r="AL57" s="285"/>
    </row>
    <row r="58" spans="1:38" ht="18.75" customHeight="1">
      <c r="A58" s="308" t="s">
        <v>2765</v>
      </c>
      <c r="B58" s="311" t="s">
        <v>2527</v>
      </c>
      <c r="C58" s="538" t="e">
        <f>VLOOKUP(B58,#REF!,2, FALSE())</f>
        <v>#REF!</v>
      </c>
      <c r="D58" s="534" t="s">
        <v>2794</v>
      </c>
      <c r="E58" s="539" t="e">
        <f>VLOOKUP(D58,#REF!,2, FALSE())</f>
        <v>#REF!</v>
      </c>
      <c r="F58" s="310" t="e">
        <f>VLOOKUP(E58,#REF!,20)</f>
        <v>#REF!</v>
      </c>
      <c r="G58" s="310"/>
      <c r="H58" s="529"/>
      <c r="I58" s="528"/>
      <c r="J58" s="529" t="s">
        <v>2795</v>
      </c>
      <c r="K58" s="528"/>
      <c r="L58" s="529"/>
      <c r="M58" s="528"/>
      <c r="N58" s="529"/>
      <c r="O58" s="528"/>
      <c r="P58" s="529"/>
      <c r="Q58" s="528" t="s">
        <v>2795</v>
      </c>
      <c r="R58" s="529"/>
      <c r="S58" s="528"/>
      <c r="T58" s="533"/>
      <c r="U58" s="528"/>
      <c r="V58" s="529"/>
      <c r="W58" s="528"/>
      <c r="X58" s="529" t="s">
        <v>2795</v>
      </c>
      <c r="Y58" s="528"/>
      <c r="Z58" s="529"/>
      <c r="AA58" s="528"/>
      <c r="AB58" s="529"/>
      <c r="AC58" s="528"/>
      <c r="AD58" s="529"/>
      <c r="AE58" s="528" t="s">
        <v>2795</v>
      </c>
      <c r="AF58" s="529"/>
      <c r="AG58" s="528"/>
      <c r="AH58" s="529"/>
      <c r="AI58" s="528"/>
      <c r="AJ58" s="529"/>
      <c r="AK58" s="528"/>
      <c r="AL58" s="529" t="s">
        <v>2795</v>
      </c>
    </row>
    <row r="59" spans="1:38" ht="18.75" customHeight="1">
      <c r="A59" s="530" t="s">
        <v>2790</v>
      </c>
      <c r="B59" s="531"/>
      <c r="C59" s="520"/>
      <c r="D59" s="535"/>
      <c r="E59" s="516"/>
      <c r="F59" s="310"/>
      <c r="G59" s="310"/>
      <c r="H59" s="516"/>
      <c r="I59" s="516"/>
      <c r="J59" s="516"/>
      <c r="K59" s="516"/>
      <c r="L59" s="516"/>
      <c r="M59" s="516"/>
      <c r="N59" s="516"/>
      <c r="O59" s="516"/>
      <c r="P59" s="516"/>
      <c r="Q59" s="516"/>
      <c r="R59" s="516"/>
      <c r="S59" s="516"/>
      <c r="T59" s="516"/>
      <c r="U59" s="516"/>
      <c r="V59" s="516"/>
      <c r="W59" s="516"/>
      <c r="X59" s="516"/>
      <c r="Y59" s="516"/>
      <c r="Z59" s="516"/>
      <c r="AA59" s="516"/>
      <c r="AB59" s="516"/>
      <c r="AC59" s="516"/>
      <c r="AD59" s="516"/>
      <c r="AE59" s="516"/>
      <c r="AF59" s="516"/>
      <c r="AG59" s="516"/>
      <c r="AH59" s="516"/>
      <c r="AI59" s="516"/>
      <c r="AJ59" s="516"/>
      <c r="AK59" s="516"/>
      <c r="AL59" s="516"/>
    </row>
    <row r="60" spans="1:38" ht="18.75" customHeight="1">
      <c r="A60" s="532" t="s">
        <v>2796</v>
      </c>
      <c r="B60" s="499"/>
      <c r="C60" s="520"/>
      <c r="D60" s="534" t="s">
        <v>2009</v>
      </c>
      <c r="E60" s="539" t="e">
        <f>VLOOKUP(D60,#REF!,2, FALSE())</f>
        <v>#REF!</v>
      </c>
      <c r="F60" s="310" t="e">
        <f>VLOOKUP(E60,#REF!,20)</f>
        <v>#REF!</v>
      </c>
      <c r="G60" s="310"/>
      <c r="H60" s="529"/>
      <c r="I60" s="560" t="s">
        <v>2797</v>
      </c>
      <c r="J60" s="529" t="s">
        <v>2798</v>
      </c>
      <c r="K60" s="560"/>
      <c r="L60" s="529"/>
      <c r="M60" s="528"/>
      <c r="N60" s="529"/>
      <c r="O60" s="528"/>
      <c r="P60" s="529" t="s">
        <v>2797</v>
      </c>
      <c r="Q60" s="560" t="s">
        <v>2798</v>
      </c>
      <c r="R60" s="529"/>
      <c r="S60" s="560"/>
      <c r="T60" s="533"/>
      <c r="U60" s="528"/>
      <c r="V60" s="529"/>
      <c r="W60" s="528" t="s">
        <v>2797</v>
      </c>
      <c r="X60" s="529" t="s">
        <v>2798</v>
      </c>
      <c r="Y60" s="528"/>
      <c r="Z60" s="529"/>
      <c r="AA60" s="528"/>
      <c r="AB60" s="529"/>
      <c r="AC60" s="528"/>
      <c r="AD60" s="529" t="s">
        <v>2797</v>
      </c>
      <c r="AE60" s="528" t="s">
        <v>2798</v>
      </c>
      <c r="AF60" s="529"/>
      <c r="AG60" s="528"/>
      <c r="AH60" s="529"/>
      <c r="AI60" s="528"/>
      <c r="AJ60" s="529"/>
      <c r="AK60" s="528" t="s">
        <v>2797</v>
      </c>
      <c r="AL60" s="529" t="s">
        <v>2798</v>
      </c>
    </row>
    <row r="61" spans="1:38" ht="18.75" customHeight="1">
      <c r="A61" s="500"/>
      <c r="B61" s="496"/>
      <c r="C61" s="516"/>
      <c r="D61" s="535"/>
      <c r="E61" s="516"/>
      <c r="F61" s="310"/>
      <c r="G61" s="310"/>
      <c r="H61" s="516"/>
      <c r="I61" s="516"/>
      <c r="J61" s="516"/>
      <c r="K61" s="516"/>
      <c r="L61" s="516"/>
      <c r="M61" s="516"/>
      <c r="N61" s="516"/>
      <c r="O61" s="516"/>
      <c r="P61" s="516"/>
      <c r="Q61" s="516"/>
      <c r="R61" s="516"/>
      <c r="S61" s="516"/>
      <c r="T61" s="516"/>
      <c r="U61" s="516"/>
      <c r="V61" s="516"/>
      <c r="W61" s="516"/>
      <c r="X61" s="516"/>
      <c r="Y61" s="516"/>
      <c r="Z61" s="516"/>
      <c r="AA61" s="516"/>
      <c r="AB61" s="516"/>
      <c r="AC61" s="516"/>
      <c r="AD61" s="516"/>
      <c r="AE61" s="516"/>
      <c r="AF61" s="516"/>
      <c r="AG61" s="516"/>
      <c r="AH61" s="516"/>
      <c r="AI61" s="516"/>
      <c r="AJ61" s="516"/>
      <c r="AK61" s="516"/>
      <c r="AL61" s="516"/>
    </row>
    <row r="62" spans="1:38" ht="3.75" customHeight="1">
      <c r="C62" s="320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330"/>
      <c r="U62" s="285"/>
      <c r="V62" s="285"/>
      <c r="W62" s="285"/>
      <c r="X62" s="285"/>
      <c r="Y62" s="285"/>
      <c r="Z62" s="285"/>
      <c r="AA62" s="285"/>
      <c r="AB62" s="285"/>
      <c r="AC62" s="285"/>
      <c r="AD62" s="285"/>
      <c r="AE62" s="285"/>
      <c r="AF62" s="285"/>
      <c r="AG62" s="285"/>
      <c r="AH62" s="285"/>
      <c r="AI62" s="285"/>
      <c r="AJ62" s="285"/>
      <c r="AK62" s="285"/>
      <c r="AL62" s="285"/>
    </row>
    <row r="63" spans="1:38" ht="18.75" customHeight="1">
      <c r="A63" s="308" t="s">
        <v>2765</v>
      </c>
      <c r="B63" s="311" t="s">
        <v>2693</v>
      </c>
      <c r="C63" s="519" t="e">
        <f>VLOOKUP(B63,#REF!,2, FALSE())</f>
        <v>#REF!</v>
      </c>
      <c r="D63" s="534" t="s">
        <v>2474</v>
      </c>
      <c r="E63" s="539" t="e">
        <f>VLOOKUP(D63,#REF!,2, FALSE())</f>
        <v>#REF!</v>
      </c>
      <c r="F63" s="310" t="e">
        <f>VLOOKUP(E63,#REF!,20)</f>
        <v>#REF!</v>
      </c>
      <c r="G63" s="331"/>
      <c r="H63" s="515" t="s">
        <v>2777</v>
      </c>
      <c r="I63" s="517" t="s">
        <v>2777</v>
      </c>
      <c r="J63" s="515" t="s">
        <v>2777</v>
      </c>
      <c r="K63" s="517" t="s">
        <v>2777</v>
      </c>
      <c r="L63" s="515" t="s">
        <v>2777</v>
      </c>
      <c r="M63" s="517" t="s">
        <v>2777</v>
      </c>
      <c r="N63" s="515" t="s">
        <v>2548</v>
      </c>
      <c r="O63" s="517" t="s">
        <v>2777</v>
      </c>
      <c r="P63" s="515" t="s">
        <v>2777</v>
      </c>
      <c r="Q63" s="517" t="s">
        <v>2777</v>
      </c>
      <c r="R63" s="515" t="s">
        <v>2777</v>
      </c>
      <c r="S63" s="517" t="s">
        <v>2777</v>
      </c>
      <c r="T63" s="537" t="s">
        <v>2777</v>
      </c>
      <c r="U63" s="517" t="s">
        <v>2548</v>
      </c>
      <c r="V63" s="515" t="s">
        <v>2777</v>
      </c>
      <c r="W63" s="517" t="s">
        <v>2777</v>
      </c>
      <c r="X63" s="515" t="s">
        <v>2777</v>
      </c>
      <c r="Y63" s="517" t="s">
        <v>2777</v>
      </c>
      <c r="Z63" s="515" t="s">
        <v>2777</v>
      </c>
      <c r="AA63" s="517" t="s">
        <v>2777</v>
      </c>
      <c r="AB63" s="515" t="s">
        <v>2548</v>
      </c>
      <c r="AC63" s="517" t="s">
        <v>2777</v>
      </c>
      <c r="AD63" s="515" t="s">
        <v>2777</v>
      </c>
      <c r="AE63" s="517" t="s">
        <v>2777</v>
      </c>
      <c r="AF63" s="515" t="s">
        <v>2548</v>
      </c>
      <c r="AG63" s="517" t="s">
        <v>2777</v>
      </c>
      <c r="AH63" s="515" t="s">
        <v>2777</v>
      </c>
      <c r="AI63" s="517" t="s">
        <v>2548</v>
      </c>
      <c r="AJ63" s="515" t="s">
        <v>2777</v>
      </c>
      <c r="AK63" s="517" t="s">
        <v>2777</v>
      </c>
      <c r="AL63" s="515" t="s">
        <v>2777</v>
      </c>
    </row>
    <row r="64" spans="1:38" ht="18.75" customHeight="1">
      <c r="A64" s="530" t="s">
        <v>2790</v>
      </c>
      <c r="B64" s="531"/>
      <c r="C64" s="520"/>
      <c r="D64" s="535"/>
      <c r="E64" s="516"/>
      <c r="F64" s="331"/>
      <c r="G64" s="331"/>
      <c r="H64" s="516"/>
      <c r="I64" s="516"/>
      <c r="J64" s="516"/>
      <c r="K64" s="516"/>
      <c r="L64" s="516"/>
      <c r="M64" s="516"/>
      <c r="N64" s="516"/>
      <c r="O64" s="516"/>
      <c r="P64" s="516"/>
      <c r="Q64" s="516"/>
      <c r="R64" s="516"/>
      <c r="S64" s="516"/>
      <c r="T64" s="516"/>
      <c r="U64" s="516"/>
      <c r="V64" s="516"/>
      <c r="W64" s="516"/>
      <c r="X64" s="516"/>
      <c r="Y64" s="516"/>
      <c r="Z64" s="516"/>
      <c r="AA64" s="516"/>
      <c r="AB64" s="516"/>
      <c r="AC64" s="516"/>
      <c r="AD64" s="516"/>
      <c r="AE64" s="516"/>
      <c r="AF64" s="516"/>
      <c r="AG64" s="516"/>
      <c r="AH64" s="516"/>
      <c r="AI64" s="516"/>
      <c r="AJ64" s="516"/>
      <c r="AK64" s="516"/>
      <c r="AL64" s="516"/>
    </row>
    <row r="65" spans="1:38" ht="18.75" customHeight="1">
      <c r="A65" s="332"/>
      <c r="B65" s="332"/>
      <c r="C65" s="520"/>
      <c r="D65" s="534" t="s">
        <v>1416</v>
      </c>
      <c r="E65" s="539" t="e">
        <f>VLOOKUP(D65,#REF!,2, FALSE())</f>
        <v>#REF!</v>
      </c>
      <c r="F65" s="331"/>
      <c r="G65" s="331"/>
      <c r="H65" s="515"/>
      <c r="I65" s="517"/>
      <c r="J65" s="515" t="s">
        <v>2774</v>
      </c>
      <c r="K65" s="517" t="s">
        <v>2774</v>
      </c>
      <c r="L65" s="515"/>
      <c r="M65" s="517"/>
      <c r="N65" s="515" t="s">
        <v>2777</v>
      </c>
      <c r="O65" s="517"/>
      <c r="P65" s="515"/>
      <c r="Q65" s="517" t="s">
        <v>2774</v>
      </c>
      <c r="R65" s="515" t="s">
        <v>2774</v>
      </c>
      <c r="S65" s="517"/>
      <c r="T65" s="537"/>
      <c r="U65" s="517" t="s">
        <v>2777</v>
      </c>
      <c r="V65" s="515"/>
      <c r="W65" s="517"/>
      <c r="X65" s="515" t="s">
        <v>2774</v>
      </c>
      <c r="Y65" s="517" t="s">
        <v>2774</v>
      </c>
      <c r="Z65" s="515"/>
      <c r="AA65" s="517"/>
      <c r="AB65" s="515" t="s">
        <v>2777</v>
      </c>
      <c r="AC65" s="517"/>
      <c r="AD65" s="515"/>
      <c r="AE65" s="517" t="s">
        <v>2774</v>
      </c>
      <c r="AF65" s="515" t="s">
        <v>2774</v>
      </c>
      <c r="AG65" s="517"/>
      <c r="AH65" s="515"/>
      <c r="AI65" s="517" t="s">
        <v>2777</v>
      </c>
      <c r="AJ65" s="515"/>
      <c r="AK65" s="517"/>
      <c r="AL65" s="515"/>
    </row>
    <row r="66" spans="1:38" ht="18.75" customHeight="1">
      <c r="A66" s="332"/>
      <c r="B66" s="332"/>
      <c r="C66" s="520"/>
      <c r="D66" s="535"/>
      <c r="E66" s="516"/>
      <c r="F66" s="331"/>
      <c r="G66" s="331"/>
      <c r="H66" s="516"/>
      <c r="I66" s="516"/>
      <c r="J66" s="516"/>
      <c r="K66" s="516"/>
      <c r="L66" s="516"/>
      <c r="M66" s="516"/>
      <c r="N66" s="516"/>
      <c r="O66" s="516"/>
      <c r="P66" s="516"/>
      <c r="Q66" s="516"/>
      <c r="R66" s="516"/>
      <c r="S66" s="516"/>
      <c r="T66" s="516"/>
      <c r="U66" s="516"/>
      <c r="V66" s="516"/>
      <c r="W66" s="516"/>
      <c r="X66" s="516"/>
      <c r="Y66" s="516"/>
      <c r="Z66" s="516"/>
      <c r="AA66" s="516"/>
      <c r="AB66" s="516"/>
      <c r="AC66" s="516"/>
      <c r="AD66" s="516"/>
      <c r="AE66" s="516"/>
      <c r="AF66" s="516"/>
      <c r="AG66" s="516"/>
      <c r="AH66" s="516"/>
      <c r="AI66" s="516"/>
      <c r="AJ66" s="516"/>
      <c r="AK66" s="516"/>
      <c r="AL66" s="516"/>
    </row>
    <row r="67" spans="1:38" ht="18.75" customHeight="1">
      <c r="A67" s="532" t="s">
        <v>2796</v>
      </c>
      <c r="B67" s="499"/>
      <c r="C67" s="520"/>
      <c r="D67" s="534"/>
      <c r="E67" s="536" t="s">
        <v>2792</v>
      </c>
      <c r="F67" s="310" t="e">
        <f>VLOOKUP(E67,#REF!,20)</f>
        <v>#REF!</v>
      </c>
      <c r="G67" s="331"/>
      <c r="H67" s="515"/>
      <c r="I67" s="517"/>
      <c r="J67" s="515"/>
      <c r="K67" s="517"/>
      <c r="L67" s="515"/>
      <c r="M67" s="517"/>
      <c r="N67" s="515"/>
      <c r="O67" s="517"/>
      <c r="P67" s="515"/>
      <c r="Q67" s="517"/>
      <c r="R67" s="515"/>
      <c r="S67" s="517"/>
      <c r="T67" s="537" t="s">
        <v>2774</v>
      </c>
      <c r="U67" s="517"/>
      <c r="V67" s="515"/>
      <c r="W67" s="517"/>
      <c r="X67" s="515"/>
      <c r="Y67" s="517"/>
      <c r="Z67" s="515"/>
      <c r="AA67" s="517"/>
      <c r="AB67" s="515"/>
      <c r="AC67" s="517"/>
      <c r="AD67" s="515"/>
      <c r="AE67" s="517"/>
      <c r="AF67" s="515" t="s">
        <v>2777</v>
      </c>
      <c r="AG67" s="517"/>
      <c r="AH67" s="515"/>
      <c r="AI67" s="517"/>
      <c r="AJ67" s="515"/>
      <c r="AK67" s="517"/>
      <c r="AL67" s="515"/>
    </row>
    <row r="68" spans="1:38" ht="18.75" customHeight="1">
      <c r="A68" s="500"/>
      <c r="B68" s="496"/>
      <c r="C68" s="516"/>
      <c r="D68" s="535"/>
      <c r="E68" s="516"/>
      <c r="F68" s="310"/>
      <c r="G68" s="331"/>
      <c r="H68" s="516"/>
      <c r="I68" s="516"/>
      <c r="J68" s="516"/>
      <c r="K68" s="516"/>
      <c r="L68" s="516"/>
      <c r="M68" s="516"/>
      <c r="N68" s="516"/>
      <c r="O68" s="516"/>
      <c r="P68" s="516"/>
      <c r="Q68" s="516"/>
      <c r="R68" s="516"/>
      <c r="S68" s="516"/>
      <c r="T68" s="516"/>
      <c r="U68" s="516"/>
      <c r="V68" s="516"/>
      <c r="W68" s="516"/>
      <c r="X68" s="516"/>
      <c r="Y68" s="516"/>
      <c r="Z68" s="516"/>
      <c r="AA68" s="516"/>
      <c r="AB68" s="516"/>
      <c r="AC68" s="516"/>
      <c r="AD68" s="516"/>
      <c r="AE68" s="516"/>
      <c r="AF68" s="516"/>
      <c r="AG68" s="516"/>
      <c r="AH68" s="516"/>
      <c r="AI68" s="516"/>
      <c r="AJ68" s="516"/>
      <c r="AK68" s="516"/>
      <c r="AL68" s="516"/>
    </row>
    <row r="69" spans="1:38" ht="3.75" customHeight="1">
      <c r="C69" s="320"/>
      <c r="H69" s="335"/>
      <c r="I69" s="285"/>
      <c r="J69" s="335"/>
      <c r="K69" s="285"/>
      <c r="L69" s="335"/>
      <c r="M69" s="285"/>
      <c r="N69" s="335"/>
      <c r="O69" s="285"/>
      <c r="P69" s="335"/>
      <c r="Q69" s="285"/>
      <c r="R69" s="335"/>
      <c r="S69" s="285"/>
      <c r="T69" s="330"/>
      <c r="U69" s="285"/>
      <c r="V69" s="335"/>
      <c r="W69" s="285"/>
      <c r="X69" s="335"/>
      <c r="Y69" s="285"/>
      <c r="Z69" s="335"/>
      <c r="AA69" s="285"/>
      <c r="AB69" s="335"/>
      <c r="AC69" s="285"/>
      <c r="AD69" s="335"/>
      <c r="AE69" s="285"/>
      <c r="AF69" s="335"/>
      <c r="AG69" s="285"/>
      <c r="AH69" s="335"/>
      <c r="AI69" s="285"/>
      <c r="AJ69" s="335"/>
      <c r="AK69" s="285"/>
      <c r="AL69" s="335"/>
    </row>
    <row r="70" spans="1:38" ht="18.75" customHeight="1">
      <c r="A70" s="308" t="s">
        <v>2765</v>
      </c>
      <c r="B70" s="308" t="s">
        <v>244</v>
      </c>
      <c r="C70" s="519" t="e">
        <f>VLOOKUP(B70,#REF!,2, FALSE())</f>
        <v>#REF!</v>
      </c>
      <c r="D70" s="534" t="s">
        <v>2517</v>
      </c>
      <c r="E70" s="309" t="e">
        <f>VLOOKUP(D70,#REF!,2, FALSE())</f>
        <v>#REF!</v>
      </c>
      <c r="F70" s="310" t="e">
        <f>VLOOKUP(E70,#REF!,20)</f>
        <v>#REF!</v>
      </c>
      <c r="G70" s="310"/>
      <c r="H70" s="515" t="s">
        <v>2777</v>
      </c>
      <c r="I70" s="517"/>
      <c r="J70" s="515" t="s">
        <v>2777</v>
      </c>
      <c r="K70" s="517"/>
      <c r="L70" s="515" t="s">
        <v>2777</v>
      </c>
      <c r="M70" s="517"/>
      <c r="N70" s="515" t="s">
        <v>2777</v>
      </c>
      <c r="O70" s="517"/>
      <c r="P70" s="515" t="s">
        <v>2777</v>
      </c>
      <c r="Q70" s="517"/>
      <c r="R70" s="515" t="s">
        <v>2777</v>
      </c>
      <c r="S70" s="517"/>
      <c r="T70" s="537" t="s">
        <v>2777</v>
      </c>
      <c r="U70" s="517"/>
      <c r="V70" s="515" t="s">
        <v>2777</v>
      </c>
      <c r="W70" s="517"/>
      <c r="X70" s="515" t="s">
        <v>2777</v>
      </c>
      <c r="Y70" s="517"/>
      <c r="Z70" s="515" t="s">
        <v>2777</v>
      </c>
      <c r="AA70" s="517"/>
      <c r="AB70" s="515" t="s">
        <v>2777</v>
      </c>
      <c r="AC70" s="517"/>
      <c r="AD70" s="515" t="s">
        <v>2777</v>
      </c>
      <c r="AE70" s="517"/>
      <c r="AF70" s="515" t="s">
        <v>2777</v>
      </c>
      <c r="AG70" s="517"/>
      <c r="AH70" s="515" t="s">
        <v>2777</v>
      </c>
      <c r="AI70" s="517"/>
      <c r="AJ70" s="515" t="s">
        <v>2777</v>
      </c>
      <c r="AK70" s="517"/>
      <c r="AL70" s="515"/>
    </row>
    <row r="71" spans="1:38" ht="18.75" customHeight="1">
      <c r="A71" s="542" t="s">
        <v>2801</v>
      </c>
      <c r="B71" s="543"/>
      <c r="C71" s="520"/>
      <c r="D71" s="535"/>
      <c r="E71" s="309" t="e">
        <f>CONCATENATE("(Plantão ",VLOOKUP(D70,[1]velho!$A$2:$BG$207,27, FALSE()),")")</f>
        <v>#N/A</v>
      </c>
      <c r="F71" s="310"/>
      <c r="G71" s="310"/>
      <c r="H71" s="516"/>
      <c r="I71" s="516"/>
      <c r="J71" s="516"/>
      <c r="K71" s="516"/>
      <c r="L71" s="516"/>
      <c r="M71" s="516"/>
      <c r="N71" s="516"/>
      <c r="O71" s="516"/>
      <c r="P71" s="516"/>
      <c r="Q71" s="516"/>
      <c r="R71" s="516"/>
      <c r="S71" s="516"/>
      <c r="T71" s="516"/>
      <c r="U71" s="516"/>
      <c r="V71" s="516"/>
      <c r="W71" s="516"/>
      <c r="X71" s="516"/>
      <c r="Y71" s="516"/>
      <c r="Z71" s="516"/>
      <c r="AA71" s="516"/>
      <c r="AB71" s="516"/>
      <c r="AC71" s="516"/>
      <c r="AD71" s="516"/>
      <c r="AE71" s="516"/>
      <c r="AF71" s="516"/>
      <c r="AG71" s="516"/>
      <c r="AH71" s="516"/>
      <c r="AI71" s="516"/>
      <c r="AJ71" s="516"/>
      <c r="AK71" s="516"/>
      <c r="AL71" s="516"/>
    </row>
    <row r="72" spans="1:38" ht="18.75" customHeight="1">
      <c r="A72" s="312" t="s">
        <v>2776</v>
      </c>
      <c r="B72" s="313"/>
      <c r="C72" s="520"/>
      <c r="D72" s="521" t="s">
        <v>2518</v>
      </c>
      <c r="E72" s="309" t="e">
        <f>VLOOKUP(D72,#REF!,2, FALSE())</f>
        <v>#REF!</v>
      </c>
      <c r="F72" s="310" t="e">
        <f>VLOOKUP(E72,#REF!,20)</f>
        <v>#REF!</v>
      </c>
      <c r="G72" s="310"/>
      <c r="H72" s="515"/>
      <c r="I72" s="517" t="s">
        <v>2777</v>
      </c>
      <c r="J72" s="515"/>
      <c r="K72" s="517" t="s">
        <v>2777</v>
      </c>
      <c r="L72" s="515"/>
      <c r="M72" s="517" t="s">
        <v>2777</v>
      </c>
      <c r="N72" s="515"/>
      <c r="O72" s="517" t="s">
        <v>2777</v>
      </c>
      <c r="P72" s="515"/>
      <c r="Q72" s="517" t="s">
        <v>2777</v>
      </c>
      <c r="R72" s="515"/>
      <c r="S72" s="517" t="s">
        <v>2777</v>
      </c>
      <c r="T72" s="537"/>
      <c r="U72" s="517" t="s">
        <v>2777</v>
      </c>
      <c r="V72" s="515"/>
      <c r="W72" s="517" t="s">
        <v>2777</v>
      </c>
      <c r="X72" s="515"/>
      <c r="Y72" s="517" t="s">
        <v>2777</v>
      </c>
      <c r="Z72" s="515"/>
      <c r="AA72" s="517" t="s">
        <v>2777</v>
      </c>
      <c r="AB72" s="515"/>
      <c r="AC72" s="517" t="s">
        <v>2777</v>
      </c>
      <c r="AD72" s="515"/>
      <c r="AE72" s="517" t="s">
        <v>2777</v>
      </c>
      <c r="AF72" s="515"/>
      <c r="AG72" s="517" t="s">
        <v>2777</v>
      </c>
      <c r="AH72" s="515"/>
      <c r="AI72" s="517" t="s">
        <v>2777</v>
      </c>
      <c r="AJ72" s="515"/>
      <c r="AK72" s="517" t="s">
        <v>2777</v>
      </c>
      <c r="AL72" s="515" t="s">
        <v>2777</v>
      </c>
    </row>
    <row r="73" spans="1:38" ht="18.75" customHeight="1">
      <c r="A73" s="339" t="s">
        <v>2804</v>
      </c>
      <c r="B73" s="315" t="s">
        <v>255</v>
      </c>
      <c r="C73" s="520"/>
      <c r="D73" s="516"/>
      <c r="E73" s="309" t="e">
        <f>CONCATENATE("(Plantão ",VLOOKUP(D72,[1]velho!$A$2:$BG$207,27, FALSE()),")")</f>
        <v>#N/A</v>
      </c>
      <c r="F73" s="310"/>
      <c r="G73" s="310"/>
      <c r="H73" s="516"/>
      <c r="I73" s="516"/>
      <c r="J73" s="516"/>
      <c r="K73" s="516"/>
      <c r="L73" s="516"/>
      <c r="M73" s="516"/>
      <c r="N73" s="516"/>
      <c r="O73" s="516"/>
      <c r="P73" s="516"/>
      <c r="Q73" s="516"/>
      <c r="R73" s="516"/>
      <c r="S73" s="516"/>
      <c r="T73" s="516"/>
      <c r="U73" s="516"/>
      <c r="V73" s="516"/>
      <c r="W73" s="516"/>
      <c r="X73" s="516"/>
      <c r="Y73" s="516"/>
      <c r="Z73" s="516"/>
      <c r="AA73" s="516"/>
      <c r="AB73" s="516"/>
      <c r="AC73" s="516"/>
      <c r="AD73" s="516"/>
      <c r="AE73" s="516"/>
      <c r="AF73" s="516"/>
      <c r="AG73" s="516"/>
      <c r="AH73" s="516"/>
      <c r="AI73" s="516"/>
      <c r="AJ73" s="516"/>
      <c r="AK73" s="516"/>
      <c r="AL73" s="516"/>
    </row>
    <row r="74" spans="1:38" ht="18.75" customHeight="1">
      <c r="A74" s="339" t="s">
        <v>2805</v>
      </c>
      <c r="B74" s="315" t="s">
        <v>1523</v>
      </c>
      <c r="C74" s="520"/>
      <c r="D74" s="521" t="s">
        <v>2452</v>
      </c>
      <c r="E74" s="539" t="e">
        <f>VLOOKUP(D74,#REF!,2, FALSE())</f>
        <v>#REF!</v>
      </c>
      <c r="F74" s="310" t="e">
        <f>VLOOKUP(E74,#REF!,20)</f>
        <v>#REF!</v>
      </c>
      <c r="G74" s="310"/>
      <c r="H74" s="515"/>
      <c r="I74" s="517"/>
      <c r="J74" s="515"/>
      <c r="K74" s="517"/>
      <c r="L74" s="515"/>
      <c r="M74" s="544"/>
      <c r="N74" s="554"/>
      <c r="O74" s="517"/>
      <c r="P74" s="546"/>
      <c r="Q74" s="517"/>
      <c r="R74" s="515"/>
      <c r="S74" s="544"/>
      <c r="T74" s="555"/>
      <c r="U74" s="544"/>
      <c r="V74" s="546"/>
      <c r="W74" s="544"/>
      <c r="X74" s="515"/>
      <c r="Y74" s="517"/>
      <c r="Z74" s="515"/>
      <c r="AA74" s="544"/>
      <c r="AB74" s="546"/>
      <c r="AC74" s="544"/>
      <c r="AD74" s="546"/>
      <c r="AE74" s="517"/>
      <c r="AF74" s="515"/>
      <c r="AG74" s="544"/>
      <c r="AH74" s="546"/>
      <c r="AI74" s="544"/>
      <c r="AJ74" s="545"/>
      <c r="AK74" s="544"/>
      <c r="AL74" s="515"/>
    </row>
    <row r="75" spans="1:38" ht="18.75" customHeight="1">
      <c r="A75" s="314"/>
      <c r="B75" s="318"/>
      <c r="C75" s="520"/>
      <c r="D75" s="516"/>
      <c r="E75" s="516"/>
      <c r="F75" s="310"/>
      <c r="G75" s="310"/>
      <c r="H75" s="516"/>
      <c r="I75" s="516"/>
      <c r="J75" s="516"/>
      <c r="K75" s="516"/>
      <c r="L75" s="516"/>
      <c r="M75" s="535"/>
      <c r="N75" s="550"/>
      <c r="O75" s="516"/>
      <c r="P75" s="535"/>
      <c r="Q75" s="516"/>
      <c r="R75" s="516"/>
      <c r="S75" s="535"/>
      <c r="T75" s="535"/>
      <c r="U75" s="535"/>
      <c r="V75" s="535"/>
      <c r="W75" s="535"/>
      <c r="X75" s="516"/>
      <c r="Y75" s="516"/>
      <c r="Z75" s="516"/>
      <c r="AA75" s="535"/>
      <c r="AB75" s="535"/>
      <c r="AC75" s="535"/>
      <c r="AD75" s="535"/>
      <c r="AE75" s="516"/>
      <c r="AF75" s="516"/>
      <c r="AG75" s="535"/>
      <c r="AH75" s="535"/>
      <c r="AI75" s="535"/>
      <c r="AJ75" s="481"/>
      <c r="AK75" s="535"/>
      <c r="AL75" s="516"/>
    </row>
    <row r="76" spans="1:38" ht="18.75" customHeight="1">
      <c r="A76" s="314" t="s">
        <v>2781</v>
      </c>
      <c r="B76" s="315" t="s">
        <v>1230</v>
      </c>
      <c r="C76" s="520"/>
      <c r="D76" s="521" t="s">
        <v>1490</v>
      </c>
      <c r="E76" s="539" t="e">
        <f>VLOOKUP(D76,#REF!,2, FALSE())</f>
        <v>#REF!</v>
      </c>
      <c r="F76" s="310" t="e">
        <f>VLOOKUP(E76,#REF!,20)</f>
        <v>#REF!</v>
      </c>
      <c r="G76" s="310"/>
      <c r="H76" s="515"/>
      <c r="I76" s="517"/>
      <c r="J76" s="515"/>
      <c r="K76" s="517"/>
      <c r="L76" s="518"/>
      <c r="M76" s="541"/>
      <c r="N76" s="549"/>
      <c r="O76" s="517"/>
      <c r="P76" s="540"/>
      <c r="Q76" s="517"/>
      <c r="R76" s="515"/>
      <c r="S76" s="541"/>
      <c r="T76" s="551"/>
      <c r="U76" s="541"/>
      <c r="V76" s="540"/>
      <c r="W76" s="541"/>
      <c r="X76" s="515"/>
      <c r="Y76" s="517"/>
      <c r="Z76" s="518"/>
      <c r="AA76" s="541"/>
      <c r="AB76" s="540"/>
      <c r="AC76" s="541"/>
      <c r="AD76" s="540"/>
      <c r="AE76" s="517"/>
      <c r="AF76" s="515"/>
      <c r="AG76" s="541"/>
      <c r="AH76" s="540"/>
      <c r="AI76" s="541"/>
      <c r="AJ76" s="545"/>
      <c r="AK76" s="541"/>
      <c r="AL76" s="515"/>
    </row>
    <row r="77" spans="1:38" ht="18.75" customHeight="1">
      <c r="A77" s="316" t="s">
        <v>2779</v>
      </c>
      <c r="B77" s="315"/>
      <c r="C77" s="516"/>
      <c r="D77" s="516"/>
      <c r="E77" s="516"/>
      <c r="F77" s="310"/>
      <c r="G77" s="310"/>
      <c r="H77" s="516"/>
      <c r="I77" s="516"/>
      <c r="J77" s="516"/>
      <c r="K77" s="516"/>
      <c r="L77" s="516"/>
      <c r="M77" s="535"/>
      <c r="N77" s="550"/>
      <c r="O77" s="516"/>
      <c r="P77" s="535"/>
      <c r="Q77" s="516"/>
      <c r="R77" s="516"/>
      <c r="S77" s="535"/>
      <c r="T77" s="535"/>
      <c r="U77" s="535"/>
      <c r="V77" s="535"/>
      <c r="W77" s="535"/>
      <c r="X77" s="516"/>
      <c r="Y77" s="516"/>
      <c r="Z77" s="516"/>
      <c r="AA77" s="535"/>
      <c r="AB77" s="535"/>
      <c r="AC77" s="535"/>
      <c r="AD77" s="535"/>
      <c r="AE77" s="516"/>
      <c r="AF77" s="516"/>
      <c r="AG77" s="535"/>
      <c r="AH77" s="535"/>
      <c r="AI77" s="535"/>
      <c r="AJ77" s="481"/>
      <c r="AK77" s="535"/>
      <c r="AL77" s="516"/>
    </row>
    <row r="78" spans="1:38" ht="10.5" customHeight="1">
      <c r="A78" s="279"/>
      <c r="B78" s="279"/>
      <c r="C78" s="341"/>
      <c r="D78" s="145"/>
      <c r="E78" s="344"/>
      <c r="F78" s="344"/>
      <c r="G78" s="344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330"/>
      <c r="U78" s="285"/>
      <c r="V78" s="285"/>
      <c r="W78" s="285"/>
      <c r="X78" s="285"/>
      <c r="Y78" s="285"/>
      <c r="Z78" s="285"/>
      <c r="AA78" s="285"/>
      <c r="AB78" s="285"/>
      <c r="AC78" s="285"/>
      <c r="AD78" s="285"/>
      <c r="AE78" s="285"/>
      <c r="AF78" s="285"/>
      <c r="AG78" s="285"/>
      <c r="AH78" s="285"/>
      <c r="AI78" s="285"/>
      <c r="AJ78" s="285"/>
      <c r="AK78" s="285"/>
      <c r="AL78" s="285"/>
    </row>
    <row r="79" spans="1:38" ht="18.75" customHeight="1">
      <c r="A79" s="308"/>
      <c r="B79" s="308"/>
      <c r="C79" s="519" t="s">
        <v>2806</v>
      </c>
      <c r="D79" s="552" t="s">
        <v>1412</v>
      </c>
      <c r="E79" s="531"/>
      <c r="F79" s="310" t="e">
        <f>VLOOKUP(E79,#REF!,20)</f>
        <v>#REF!</v>
      </c>
      <c r="G79" s="310"/>
      <c r="H79" s="547"/>
      <c r="I79" s="517"/>
      <c r="J79" s="515"/>
      <c r="K79" s="517"/>
      <c r="L79" s="515"/>
      <c r="M79" s="517"/>
      <c r="N79" s="515"/>
      <c r="O79" s="548"/>
      <c r="P79" s="515"/>
      <c r="Q79" s="517"/>
      <c r="R79" s="515"/>
      <c r="S79" s="517"/>
      <c r="T79" s="537"/>
      <c r="U79" s="517"/>
      <c r="V79" s="515"/>
      <c r="W79" s="517"/>
      <c r="X79" s="515"/>
      <c r="Y79" s="517"/>
      <c r="Z79" s="515"/>
      <c r="AA79" s="517"/>
      <c r="AB79" s="515"/>
      <c r="AC79" s="517"/>
      <c r="AD79" s="515"/>
      <c r="AE79" s="517"/>
      <c r="AF79" s="515"/>
      <c r="AG79" s="517"/>
      <c r="AH79" s="515"/>
      <c r="AI79" s="517"/>
      <c r="AJ79" s="515"/>
      <c r="AK79" s="517"/>
      <c r="AL79" s="515"/>
    </row>
    <row r="80" spans="1:38" ht="18.75" customHeight="1">
      <c r="A80" s="542" t="s">
        <v>2775</v>
      </c>
      <c r="B80" s="543"/>
      <c r="C80" s="520"/>
      <c r="D80" s="553"/>
      <c r="E80" s="535"/>
      <c r="F80" s="310"/>
      <c r="G80" s="310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6"/>
      <c r="W80" s="516"/>
      <c r="X80" s="516"/>
      <c r="Y80" s="516"/>
      <c r="Z80" s="516"/>
      <c r="AA80" s="516"/>
      <c r="AB80" s="516"/>
      <c r="AC80" s="516"/>
      <c r="AD80" s="516"/>
      <c r="AE80" s="516"/>
      <c r="AF80" s="516"/>
      <c r="AG80" s="516"/>
      <c r="AH80" s="516"/>
      <c r="AI80" s="516"/>
      <c r="AJ80" s="516"/>
      <c r="AK80" s="516"/>
      <c r="AL80" s="516"/>
    </row>
    <row r="81" spans="1:38" ht="18.75" customHeight="1">
      <c r="A81" s="348"/>
      <c r="B81" s="321"/>
      <c r="C81" s="520"/>
      <c r="D81" s="552"/>
      <c r="E81" s="531"/>
      <c r="F81" s="310" t="e">
        <f>VLOOKUP(E81,#REF!,20)</f>
        <v>#REF!</v>
      </c>
      <c r="G81" s="310"/>
      <c r="H81" s="515"/>
      <c r="I81" s="517"/>
      <c r="J81" s="515"/>
      <c r="K81" s="517"/>
      <c r="L81" s="515"/>
      <c r="M81" s="517"/>
      <c r="N81" s="515"/>
      <c r="O81" s="517"/>
      <c r="P81" s="515"/>
      <c r="Q81" s="517"/>
      <c r="R81" s="515"/>
      <c r="S81" s="517"/>
      <c r="T81" s="537"/>
      <c r="U81" s="517"/>
      <c r="V81" s="515"/>
      <c r="W81" s="517"/>
      <c r="X81" s="515"/>
      <c r="Y81" s="517"/>
      <c r="Z81" s="515"/>
      <c r="AA81" s="517"/>
      <c r="AB81" s="515"/>
      <c r="AC81" s="517"/>
      <c r="AD81" s="515"/>
      <c r="AE81" s="517"/>
      <c r="AF81" s="515"/>
      <c r="AG81" s="517"/>
      <c r="AH81" s="515"/>
      <c r="AI81" s="517"/>
      <c r="AJ81" s="515"/>
      <c r="AK81" s="517"/>
      <c r="AL81" s="515"/>
    </row>
    <row r="82" spans="1:38" ht="18.75" customHeight="1">
      <c r="A82" s="314"/>
      <c r="B82" s="315"/>
      <c r="C82" s="520"/>
      <c r="D82" s="553"/>
      <c r="E82" s="535"/>
      <c r="F82" s="310"/>
      <c r="G82" s="310"/>
      <c r="H82" s="516"/>
      <c r="I82" s="516"/>
      <c r="J82" s="516"/>
      <c r="K82" s="516"/>
      <c r="L82" s="516"/>
      <c r="M82" s="516"/>
      <c r="N82" s="516"/>
      <c r="O82" s="516"/>
      <c r="P82" s="516"/>
      <c r="Q82" s="516"/>
      <c r="R82" s="516"/>
      <c r="S82" s="516"/>
      <c r="T82" s="516"/>
      <c r="U82" s="516"/>
      <c r="V82" s="516"/>
      <c r="W82" s="516"/>
      <c r="X82" s="516"/>
      <c r="Y82" s="516"/>
      <c r="Z82" s="516"/>
      <c r="AA82" s="516"/>
      <c r="AB82" s="516"/>
      <c r="AC82" s="516"/>
      <c r="AD82" s="516"/>
      <c r="AE82" s="516"/>
      <c r="AF82" s="516"/>
      <c r="AG82" s="516"/>
      <c r="AH82" s="516"/>
      <c r="AI82" s="516"/>
      <c r="AJ82" s="516"/>
      <c r="AK82" s="516"/>
      <c r="AL82" s="516"/>
    </row>
    <row r="83" spans="1:38" ht="18.75" customHeight="1">
      <c r="A83" s="316"/>
      <c r="B83" s="322"/>
      <c r="C83" s="520"/>
      <c r="D83" s="552"/>
      <c r="E83" s="531"/>
      <c r="F83" s="310" t="e">
        <f>VLOOKUP(E83,#REF!,20)</f>
        <v>#REF!</v>
      </c>
      <c r="G83" s="310"/>
      <c r="H83" s="515"/>
      <c r="I83" s="517"/>
      <c r="J83" s="515"/>
      <c r="K83" s="517"/>
      <c r="L83" s="515"/>
      <c r="M83" s="517"/>
      <c r="N83" s="515"/>
      <c r="O83" s="517"/>
      <c r="P83" s="515"/>
      <c r="Q83" s="517"/>
      <c r="R83" s="515"/>
      <c r="S83" s="517"/>
      <c r="T83" s="537"/>
      <c r="U83" s="517"/>
      <c r="V83" s="515"/>
      <c r="W83" s="517"/>
      <c r="X83" s="515"/>
      <c r="Y83" s="517"/>
      <c r="Z83" s="515"/>
      <c r="AA83" s="517"/>
      <c r="AB83" s="515"/>
      <c r="AC83" s="517"/>
      <c r="AD83" s="515"/>
      <c r="AE83" s="517"/>
      <c r="AF83" s="515"/>
      <c r="AG83" s="517"/>
      <c r="AH83" s="515"/>
      <c r="AI83" s="517"/>
      <c r="AJ83" s="515"/>
      <c r="AK83" s="517"/>
      <c r="AL83" s="515"/>
    </row>
    <row r="84" spans="1:38" ht="18.75" customHeight="1">
      <c r="A84" s="318"/>
      <c r="B84" s="318"/>
      <c r="C84" s="520"/>
      <c r="D84" s="553"/>
      <c r="E84" s="535"/>
      <c r="F84" s="310"/>
      <c r="G84" s="310"/>
      <c r="H84" s="516"/>
      <c r="I84" s="516"/>
      <c r="J84" s="516"/>
      <c r="K84" s="516"/>
      <c r="L84" s="516"/>
      <c r="M84" s="516"/>
      <c r="N84" s="516"/>
      <c r="O84" s="516"/>
      <c r="P84" s="516"/>
      <c r="Q84" s="516"/>
      <c r="R84" s="516"/>
      <c r="S84" s="516"/>
      <c r="T84" s="516"/>
      <c r="U84" s="516"/>
      <c r="V84" s="516"/>
      <c r="W84" s="516"/>
      <c r="X84" s="516"/>
      <c r="Y84" s="516"/>
      <c r="Z84" s="516"/>
      <c r="AA84" s="516"/>
      <c r="AB84" s="516"/>
      <c r="AC84" s="516"/>
      <c r="AD84" s="516"/>
      <c r="AE84" s="516"/>
      <c r="AF84" s="516"/>
      <c r="AG84" s="516"/>
      <c r="AH84" s="516"/>
      <c r="AI84" s="516"/>
      <c r="AJ84" s="516"/>
      <c r="AK84" s="516"/>
      <c r="AL84" s="516"/>
    </row>
    <row r="85" spans="1:38" ht="18.75" customHeight="1">
      <c r="A85" s="314"/>
      <c r="B85" s="315"/>
      <c r="C85" s="520"/>
      <c r="D85" s="552"/>
      <c r="E85" s="531"/>
      <c r="F85" s="310" t="e">
        <f>VLOOKUP(E85,#REF!,20)</f>
        <v>#REF!</v>
      </c>
      <c r="G85" s="310"/>
      <c r="H85" s="515"/>
      <c r="I85" s="517"/>
      <c r="J85" s="515"/>
      <c r="K85" s="517"/>
      <c r="L85" s="515"/>
      <c r="M85" s="517"/>
      <c r="N85" s="515"/>
      <c r="O85" s="517"/>
      <c r="P85" s="515"/>
      <c r="Q85" s="517"/>
      <c r="R85" s="515"/>
      <c r="S85" s="517"/>
      <c r="T85" s="537"/>
      <c r="U85" s="517"/>
      <c r="V85" s="515"/>
      <c r="W85" s="517"/>
      <c r="X85" s="515"/>
      <c r="Y85" s="517"/>
      <c r="Z85" s="515"/>
      <c r="AA85" s="517"/>
      <c r="AB85" s="515"/>
      <c r="AC85" s="517"/>
      <c r="AD85" s="515"/>
      <c r="AE85" s="517"/>
      <c r="AF85" s="515"/>
      <c r="AG85" s="517"/>
      <c r="AH85" s="515"/>
      <c r="AI85" s="517"/>
      <c r="AJ85" s="515"/>
      <c r="AK85" s="517"/>
      <c r="AL85" s="518"/>
    </row>
    <row r="86" spans="1:38" ht="18.75" customHeight="1">
      <c r="A86" s="316"/>
      <c r="B86" s="315"/>
      <c r="C86" s="520"/>
      <c r="D86" s="553"/>
      <c r="E86" s="535"/>
      <c r="F86" s="310"/>
      <c r="G86" s="310"/>
      <c r="H86" s="516"/>
      <c r="I86" s="516"/>
      <c r="J86" s="516"/>
      <c r="K86" s="516"/>
      <c r="L86" s="516"/>
      <c r="M86" s="516"/>
      <c r="N86" s="516"/>
      <c r="O86" s="516"/>
      <c r="P86" s="516"/>
      <c r="Q86" s="516"/>
      <c r="R86" s="516"/>
      <c r="S86" s="516"/>
      <c r="T86" s="516"/>
      <c r="U86" s="516"/>
      <c r="V86" s="516"/>
      <c r="W86" s="516"/>
      <c r="X86" s="516"/>
      <c r="Y86" s="516"/>
      <c r="Z86" s="516"/>
      <c r="AA86" s="516"/>
      <c r="AB86" s="516"/>
      <c r="AC86" s="516"/>
      <c r="AD86" s="516"/>
      <c r="AE86" s="516"/>
      <c r="AF86" s="516"/>
      <c r="AG86" s="516"/>
      <c r="AH86" s="516"/>
      <c r="AI86" s="516"/>
      <c r="AJ86" s="516"/>
      <c r="AK86" s="516"/>
      <c r="AL86" s="516"/>
    </row>
    <row r="87" spans="1:38" ht="18.75" customHeight="1">
      <c r="A87" s="348"/>
      <c r="B87" s="321"/>
      <c r="C87" s="520"/>
      <c r="D87" s="552"/>
      <c r="E87" s="531"/>
      <c r="H87" s="515"/>
      <c r="I87" s="517"/>
      <c r="J87" s="515"/>
      <c r="K87" s="517"/>
      <c r="L87" s="515"/>
      <c r="M87" s="517"/>
      <c r="N87" s="515"/>
      <c r="O87" s="517"/>
      <c r="P87" s="515"/>
      <c r="Q87" s="517"/>
      <c r="R87" s="515"/>
      <c r="S87" s="517"/>
      <c r="T87" s="537"/>
      <c r="U87" s="517"/>
      <c r="V87" s="515"/>
      <c r="W87" s="517"/>
      <c r="X87" s="515"/>
      <c r="Y87" s="517"/>
      <c r="Z87" s="515"/>
      <c r="AA87" s="517"/>
      <c r="AB87" s="515"/>
      <c r="AC87" s="517"/>
      <c r="AD87" s="515"/>
      <c r="AE87" s="517"/>
      <c r="AF87" s="515"/>
      <c r="AG87" s="517"/>
      <c r="AH87" s="515"/>
      <c r="AI87" s="517"/>
      <c r="AJ87" s="515"/>
      <c r="AK87" s="517"/>
      <c r="AL87" s="515"/>
    </row>
    <row r="88" spans="1:38" ht="18.75" customHeight="1">
      <c r="A88" s="314"/>
      <c r="B88" s="315"/>
      <c r="C88" s="520"/>
      <c r="D88" s="553"/>
      <c r="E88" s="535"/>
      <c r="H88" s="516"/>
      <c r="I88" s="516"/>
      <c r="J88" s="516"/>
      <c r="K88" s="516"/>
      <c r="L88" s="516"/>
      <c r="M88" s="516"/>
      <c r="N88" s="516"/>
      <c r="O88" s="516"/>
      <c r="P88" s="516"/>
      <c r="Q88" s="516"/>
      <c r="R88" s="516"/>
      <c r="S88" s="516"/>
      <c r="T88" s="516"/>
      <c r="U88" s="516"/>
      <c r="V88" s="516"/>
      <c r="W88" s="516"/>
      <c r="X88" s="516"/>
      <c r="Y88" s="516"/>
      <c r="Z88" s="516"/>
      <c r="AA88" s="516"/>
      <c r="AB88" s="516"/>
      <c r="AC88" s="516"/>
      <c r="AD88" s="516"/>
      <c r="AE88" s="516"/>
      <c r="AF88" s="516"/>
      <c r="AG88" s="516"/>
      <c r="AH88" s="516"/>
      <c r="AI88" s="516"/>
      <c r="AJ88" s="516"/>
      <c r="AK88" s="516"/>
      <c r="AL88" s="516"/>
    </row>
    <row r="89" spans="1:38" ht="18.75" customHeight="1">
      <c r="A89" s="316"/>
      <c r="B89" s="322"/>
      <c r="C89" s="520"/>
      <c r="D89" s="552"/>
      <c r="E89" s="531"/>
      <c r="H89" s="515"/>
      <c r="I89" s="517"/>
      <c r="J89" s="515"/>
      <c r="K89" s="517"/>
      <c r="L89" s="515"/>
      <c r="M89" s="517"/>
      <c r="N89" s="515"/>
      <c r="O89" s="517"/>
      <c r="P89" s="515"/>
      <c r="Q89" s="517"/>
      <c r="R89" s="515"/>
      <c r="S89" s="517"/>
      <c r="T89" s="537"/>
      <c r="U89" s="517"/>
      <c r="V89" s="515"/>
      <c r="W89" s="517"/>
      <c r="X89" s="515"/>
      <c r="Y89" s="517"/>
      <c r="Z89" s="515"/>
      <c r="AA89" s="517"/>
      <c r="AB89" s="515"/>
      <c r="AC89" s="517"/>
      <c r="AD89" s="515"/>
      <c r="AE89" s="517"/>
      <c r="AF89" s="515"/>
      <c r="AG89" s="517"/>
      <c r="AH89" s="515"/>
      <c r="AI89" s="517"/>
      <c r="AJ89" s="515"/>
      <c r="AK89" s="517"/>
      <c r="AL89" s="515"/>
    </row>
    <row r="90" spans="1:38" ht="18.75" customHeight="1">
      <c r="A90" s="318"/>
      <c r="B90" s="318"/>
      <c r="C90" s="520"/>
      <c r="D90" s="553"/>
      <c r="E90" s="535"/>
      <c r="H90" s="516"/>
      <c r="I90" s="516"/>
      <c r="J90" s="516"/>
      <c r="K90" s="516"/>
      <c r="L90" s="516"/>
      <c r="M90" s="516"/>
      <c r="N90" s="516"/>
      <c r="O90" s="516"/>
      <c r="P90" s="516"/>
      <c r="Q90" s="516"/>
      <c r="R90" s="516"/>
      <c r="S90" s="516"/>
      <c r="T90" s="516"/>
      <c r="U90" s="516"/>
      <c r="V90" s="516"/>
      <c r="W90" s="516"/>
      <c r="X90" s="516"/>
      <c r="Y90" s="516"/>
      <c r="Z90" s="516"/>
      <c r="AA90" s="516"/>
      <c r="AB90" s="516"/>
      <c r="AC90" s="516"/>
      <c r="AD90" s="516"/>
      <c r="AE90" s="516"/>
      <c r="AF90" s="516"/>
      <c r="AG90" s="516"/>
      <c r="AH90" s="516"/>
      <c r="AI90" s="516"/>
      <c r="AJ90" s="516"/>
      <c r="AK90" s="516"/>
      <c r="AL90" s="516"/>
    </row>
    <row r="91" spans="1:38" ht="15.75" customHeight="1"/>
    <row r="92" spans="1:38" ht="15.75" customHeight="1"/>
    <row r="93" spans="1:38" ht="15.75" customHeight="1"/>
    <row r="94" spans="1:38" ht="15.75" customHeight="1"/>
    <row r="95" spans="1:38" ht="15.75" customHeight="1"/>
    <row r="96" spans="1:3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283">
    <mergeCell ref="Q65:Q66"/>
    <mergeCell ref="R65:R66"/>
    <mergeCell ref="S65:S66"/>
    <mergeCell ref="T65:T66"/>
    <mergeCell ref="U65:U66"/>
    <mergeCell ref="AK60:AK61"/>
    <mergeCell ref="AL60:AL61"/>
    <mergeCell ref="AD60:AD61"/>
    <mergeCell ref="AE60:AE61"/>
    <mergeCell ref="AF60:AF61"/>
    <mergeCell ref="AG60:AG61"/>
    <mergeCell ref="AH60:AH61"/>
    <mergeCell ref="AI60:AI61"/>
    <mergeCell ref="AJ60:AJ61"/>
    <mergeCell ref="J60:J61"/>
    <mergeCell ref="K60:K61"/>
    <mergeCell ref="H60:H61"/>
    <mergeCell ref="I60:I61"/>
    <mergeCell ref="H63:H64"/>
    <mergeCell ref="I63:I64"/>
    <mergeCell ref="J63:J64"/>
    <mergeCell ref="K63:K64"/>
    <mergeCell ref="L63:L64"/>
    <mergeCell ref="C49:C56"/>
    <mergeCell ref="D55:D56"/>
    <mergeCell ref="A47:E48"/>
    <mergeCell ref="E49:E50"/>
    <mergeCell ref="I49:I50"/>
    <mergeCell ref="J49:J50"/>
    <mergeCell ref="A50:B50"/>
    <mergeCell ref="E51:E52"/>
    <mergeCell ref="J53:J54"/>
    <mergeCell ref="N55:N56"/>
    <mergeCell ref="O55:O56"/>
    <mergeCell ref="P55:P56"/>
    <mergeCell ref="Q55:Q56"/>
    <mergeCell ref="R55:R56"/>
    <mergeCell ref="S55:S56"/>
    <mergeCell ref="T55:T56"/>
    <mergeCell ref="S60:S61"/>
    <mergeCell ref="T60:T61"/>
    <mergeCell ref="L60:L61"/>
    <mergeCell ref="M60:M61"/>
    <mergeCell ref="N60:N61"/>
    <mergeCell ref="O60:O61"/>
    <mergeCell ref="P60:P61"/>
    <mergeCell ref="Q60:Q61"/>
    <mergeCell ref="R60:R61"/>
    <mergeCell ref="H55:H56"/>
    <mergeCell ref="D53:D54"/>
    <mergeCell ref="E53:E54"/>
    <mergeCell ref="E55:E56"/>
    <mergeCell ref="P53:P54"/>
    <mergeCell ref="Q53:Q54"/>
    <mergeCell ref="R53:R54"/>
    <mergeCell ref="S53:S54"/>
    <mergeCell ref="T53:T54"/>
    <mergeCell ref="U53:U54"/>
    <mergeCell ref="V53:V54"/>
    <mergeCell ref="W53:W54"/>
    <mergeCell ref="X53:X54"/>
    <mergeCell ref="Y53:Y54"/>
    <mergeCell ref="Z53:Z54"/>
    <mergeCell ref="AA53:AA54"/>
    <mergeCell ref="AB53:AB54"/>
    <mergeCell ref="U55:U56"/>
    <mergeCell ref="V55:V56"/>
    <mergeCell ref="W55:W56"/>
    <mergeCell ref="X55:X56"/>
    <mergeCell ref="Y55:Y56"/>
    <mergeCell ref="Z55:Z56"/>
    <mergeCell ref="AA55:AA56"/>
    <mergeCell ref="AI55:AI56"/>
    <mergeCell ref="AJ55:AJ56"/>
    <mergeCell ref="AK55:AK56"/>
    <mergeCell ref="AL55:AL56"/>
    <mergeCell ref="AB55:AB56"/>
    <mergeCell ref="AC55:AC56"/>
    <mergeCell ref="AD55:AD56"/>
    <mergeCell ref="AE55:AE56"/>
    <mergeCell ref="AF55:AF56"/>
    <mergeCell ref="AG55:AG56"/>
    <mergeCell ref="AH55:AH56"/>
    <mergeCell ref="W41:W42"/>
    <mergeCell ref="X41:X42"/>
    <mergeCell ref="Y41:Y42"/>
    <mergeCell ref="Z41:Z42"/>
    <mergeCell ref="AA41:AA42"/>
    <mergeCell ref="AB41:AB42"/>
    <mergeCell ref="AC41:AC42"/>
    <mergeCell ref="H43:H44"/>
    <mergeCell ref="I43:I44"/>
    <mergeCell ref="J43:J44"/>
    <mergeCell ref="K43:K44"/>
    <mergeCell ref="L43:L44"/>
    <mergeCell ref="M43:M44"/>
    <mergeCell ref="H39:H40"/>
    <mergeCell ref="H41:H42"/>
    <mergeCell ref="I41:I42"/>
    <mergeCell ref="J41:J42"/>
    <mergeCell ref="K41:K42"/>
    <mergeCell ref="L41:L42"/>
    <mergeCell ref="M41:M42"/>
    <mergeCell ref="Z43:Z44"/>
    <mergeCell ref="AA43:AA44"/>
    <mergeCell ref="S43:S44"/>
    <mergeCell ref="T43:T44"/>
    <mergeCell ref="U43:U44"/>
    <mergeCell ref="V43:V44"/>
    <mergeCell ref="W43:W44"/>
    <mergeCell ref="X43:X44"/>
    <mergeCell ref="Y43:Y44"/>
    <mergeCell ref="R39:R40"/>
    <mergeCell ref="S39:S40"/>
    <mergeCell ref="T39:T40"/>
    <mergeCell ref="U39:U40"/>
    <mergeCell ref="I39:I40"/>
    <mergeCell ref="J39:J40"/>
    <mergeCell ref="K39:K40"/>
    <mergeCell ref="L39:L40"/>
    <mergeCell ref="M39:M40"/>
    <mergeCell ref="N39:N40"/>
    <mergeCell ref="A40:B40"/>
    <mergeCell ref="U41:U42"/>
    <mergeCell ref="V41:V42"/>
    <mergeCell ref="N41:N42"/>
    <mergeCell ref="O41:O42"/>
    <mergeCell ref="P41:P42"/>
    <mergeCell ref="Q41:Q42"/>
    <mergeCell ref="R41:R42"/>
    <mergeCell ref="S41:S42"/>
    <mergeCell ref="T41:T42"/>
    <mergeCell ref="A31:B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H34:H35"/>
    <mergeCell ref="I34:I35"/>
    <mergeCell ref="J34:J35"/>
    <mergeCell ref="K34:K35"/>
    <mergeCell ref="L34:L35"/>
    <mergeCell ref="M34:M35"/>
    <mergeCell ref="N34:N35"/>
    <mergeCell ref="Z32:Z33"/>
    <mergeCell ref="AA32:AA33"/>
    <mergeCell ref="AB32:AB33"/>
    <mergeCell ref="X34:X35"/>
    <mergeCell ref="Y34:Y35"/>
    <mergeCell ref="Z34:Z35"/>
    <mergeCell ref="AA34:AA35"/>
    <mergeCell ref="AI34:AI35"/>
    <mergeCell ref="AJ34:AJ35"/>
    <mergeCell ref="AK34:AK35"/>
    <mergeCell ref="AL34:AL35"/>
    <mergeCell ref="AB34:AB35"/>
    <mergeCell ref="AC34:AC35"/>
    <mergeCell ref="AD34:AD35"/>
    <mergeCell ref="AE34:AE35"/>
    <mergeCell ref="AF34:AF35"/>
    <mergeCell ref="AG34:AG35"/>
    <mergeCell ref="AH34:AH35"/>
    <mergeCell ref="V34:V35"/>
    <mergeCell ref="W34:W35"/>
    <mergeCell ref="O34:O35"/>
    <mergeCell ref="P34:P35"/>
    <mergeCell ref="Q34:Q35"/>
    <mergeCell ref="R34:R35"/>
    <mergeCell ref="S34:S35"/>
    <mergeCell ref="T34:T35"/>
    <mergeCell ref="U34:U35"/>
    <mergeCell ref="Y32:Y33"/>
    <mergeCell ref="AC32:AC33"/>
    <mergeCell ref="AD32:AD33"/>
    <mergeCell ref="AE32:AE33"/>
    <mergeCell ref="AF32:AF33"/>
    <mergeCell ref="AG32:AG33"/>
    <mergeCell ref="J23:J24"/>
    <mergeCell ref="K23:K24"/>
    <mergeCell ref="J25:J26"/>
    <mergeCell ref="K25:K26"/>
    <mergeCell ref="L25:L26"/>
    <mergeCell ref="M25:M26"/>
    <mergeCell ref="N25:N26"/>
    <mergeCell ref="H23:H24"/>
    <mergeCell ref="I23:I24"/>
    <mergeCell ref="H25:H26"/>
    <mergeCell ref="I25:I26"/>
    <mergeCell ref="H27:H28"/>
    <mergeCell ref="I27:I28"/>
    <mergeCell ref="J27:J28"/>
    <mergeCell ref="M27:M28"/>
    <mergeCell ref="N27:N28"/>
    <mergeCell ref="H30:H31"/>
    <mergeCell ref="I30:I31"/>
    <mergeCell ref="J30:J31"/>
    <mergeCell ref="K30:K31"/>
    <mergeCell ref="L30:L31"/>
    <mergeCell ref="M30:M31"/>
    <mergeCell ref="N30:N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AH30:AH31"/>
    <mergeCell ref="AI30:AI31"/>
    <mergeCell ref="O32:O33"/>
    <mergeCell ref="P32:P33"/>
    <mergeCell ref="H32:H33"/>
    <mergeCell ref="I32:I33"/>
    <mergeCell ref="J32:J33"/>
    <mergeCell ref="K32:K33"/>
    <mergeCell ref="L32:L33"/>
    <mergeCell ref="M32:M33"/>
    <mergeCell ref="N32:N33"/>
    <mergeCell ref="Q32:Q33"/>
    <mergeCell ref="R32:R33"/>
    <mergeCell ref="S32:S33"/>
    <mergeCell ref="T32:T33"/>
    <mergeCell ref="U32:U33"/>
    <mergeCell ref="V32:V33"/>
    <mergeCell ref="W32:W33"/>
    <mergeCell ref="AH32:AH33"/>
    <mergeCell ref="AI32:AI33"/>
    <mergeCell ref="AJ32:AJ33"/>
    <mergeCell ref="AK32:AK33"/>
    <mergeCell ref="AL32:AL33"/>
    <mergeCell ref="X32:X33"/>
    <mergeCell ref="V25:V26"/>
    <mergeCell ref="W25:W26"/>
    <mergeCell ref="X25:X26"/>
    <mergeCell ref="Y25:Y26"/>
    <mergeCell ref="Z25:Z26"/>
    <mergeCell ref="AA25:AA26"/>
    <mergeCell ref="AB25:AB26"/>
    <mergeCell ref="AJ25:AJ26"/>
    <mergeCell ref="AK25:AK26"/>
    <mergeCell ref="AL25:AL26"/>
    <mergeCell ref="AL27:AL28"/>
    <mergeCell ref="K27:K28"/>
    <mergeCell ref="L27:L28"/>
    <mergeCell ref="O27:O28"/>
    <mergeCell ref="P27:P28"/>
    <mergeCell ref="Q27:Q28"/>
    <mergeCell ref="R27:R28"/>
    <mergeCell ref="S27:S28"/>
    <mergeCell ref="AC25:AC26"/>
    <mergeCell ref="AD25:AD26"/>
    <mergeCell ref="AE25:AE26"/>
    <mergeCell ref="AF25:AF26"/>
    <mergeCell ref="AG25:AG26"/>
    <mergeCell ref="AH25:AH26"/>
    <mergeCell ref="AI25:AI26"/>
    <mergeCell ref="C21:C28"/>
    <mergeCell ref="D25:D26"/>
    <mergeCell ref="D27:D28"/>
    <mergeCell ref="H21:H22"/>
    <mergeCell ref="I21:I22"/>
    <mergeCell ref="J21:J22"/>
    <mergeCell ref="K21:K22"/>
    <mergeCell ref="L21:L22"/>
    <mergeCell ref="A22:B22"/>
    <mergeCell ref="L23:L24"/>
    <mergeCell ref="O25:O26"/>
    <mergeCell ref="P25:P26"/>
    <mergeCell ref="Q25:Q26"/>
    <mergeCell ref="R25:R26"/>
    <mergeCell ref="S25:S26"/>
    <mergeCell ref="T25:T26"/>
    <mergeCell ref="U25:U26"/>
    <mergeCell ref="AA27:AA28"/>
    <mergeCell ref="AB27:AB28"/>
    <mergeCell ref="T27:T28"/>
    <mergeCell ref="U27:U28"/>
    <mergeCell ref="V27:V28"/>
    <mergeCell ref="W27:W28"/>
    <mergeCell ref="X27:X28"/>
    <mergeCell ref="Y27:Y28"/>
    <mergeCell ref="Z27:Z28"/>
    <mergeCell ref="AJ27:AJ28"/>
    <mergeCell ref="AK27:AK28"/>
    <mergeCell ref="AC27:AC28"/>
    <mergeCell ref="AD27:AD28"/>
    <mergeCell ref="AE27:AE28"/>
    <mergeCell ref="AF27:AF28"/>
    <mergeCell ref="AG27:AG28"/>
    <mergeCell ref="AH27:AH28"/>
    <mergeCell ref="AI27:AI28"/>
    <mergeCell ref="I7:I8"/>
    <mergeCell ref="J7:J8"/>
    <mergeCell ref="L7:L8"/>
    <mergeCell ref="M7:M8"/>
    <mergeCell ref="N7:N8"/>
    <mergeCell ref="O7:O8"/>
    <mergeCell ref="P7:P8"/>
    <mergeCell ref="AI3:AI4"/>
    <mergeCell ref="AI7:AI8"/>
    <mergeCell ref="AJ7:AJ8"/>
    <mergeCell ref="AK7:AK8"/>
    <mergeCell ref="AL7:AL8"/>
    <mergeCell ref="AG3:AG4"/>
    <mergeCell ref="AH3:AH4"/>
    <mergeCell ref="AJ3:AJ4"/>
    <mergeCell ref="AK3:AK4"/>
    <mergeCell ref="AL3:AL4"/>
    <mergeCell ref="AK5:AK6"/>
    <mergeCell ref="AL5:AL6"/>
    <mergeCell ref="D3:D4"/>
    <mergeCell ref="D5:D6"/>
    <mergeCell ref="H5:H6"/>
    <mergeCell ref="I5:I6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Q7:Q8"/>
    <mergeCell ref="R7:R8"/>
    <mergeCell ref="S7:S8"/>
    <mergeCell ref="T7:T8"/>
    <mergeCell ref="U7:U8"/>
    <mergeCell ref="V7:V8"/>
    <mergeCell ref="W7:W8"/>
    <mergeCell ref="AG7:AG8"/>
    <mergeCell ref="AH7:AH8"/>
    <mergeCell ref="Z7:Z8"/>
    <mergeCell ref="AA7:AA8"/>
    <mergeCell ref="AB7:AB8"/>
    <mergeCell ref="AC7:AC8"/>
    <mergeCell ref="AD7:AD8"/>
    <mergeCell ref="AE7:AE8"/>
    <mergeCell ref="AF7:AF8"/>
    <mergeCell ref="L3:L4"/>
    <mergeCell ref="M3:M4"/>
    <mergeCell ref="N3:N4"/>
    <mergeCell ref="O3:O4"/>
    <mergeCell ref="P3:P4"/>
    <mergeCell ref="Q3:Q4"/>
    <mergeCell ref="R3:R4"/>
    <mergeCell ref="AF3:AF4"/>
    <mergeCell ref="S5:S6"/>
    <mergeCell ref="T5:T6"/>
    <mergeCell ref="U5:U6"/>
    <mergeCell ref="V5:V6"/>
    <mergeCell ref="W5:W6"/>
    <mergeCell ref="X5:X6"/>
    <mergeCell ref="Y5:Y6"/>
    <mergeCell ref="AI5:AI6"/>
    <mergeCell ref="AJ5:AJ6"/>
    <mergeCell ref="AB5:AB6"/>
    <mergeCell ref="AC5:AC6"/>
    <mergeCell ref="AD5:AD6"/>
    <mergeCell ref="AE5:AE6"/>
    <mergeCell ref="AF5:AF6"/>
    <mergeCell ref="AG5:AG6"/>
    <mergeCell ref="AH5:AH6"/>
    <mergeCell ref="X7:X8"/>
    <mergeCell ref="Y7:Y8"/>
    <mergeCell ref="AE23:AE24"/>
    <mergeCell ref="AF23:AF24"/>
    <mergeCell ref="AG23:AG24"/>
    <mergeCell ref="AH23:AH24"/>
    <mergeCell ref="AI23:AI24"/>
    <mergeCell ref="AJ23:AJ24"/>
    <mergeCell ref="AK23:AK24"/>
    <mergeCell ref="AL23:AL24"/>
    <mergeCell ref="AA21:AA22"/>
    <mergeCell ref="AB21:AB22"/>
    <mergeCell ref="AC21:AC22"/>
    <mergeCell ref="AD21:AD22"/>
    <mergeCell ref="AE21:AE22"/>
    <mergeCell ref="AF21:AF22"/>
    <mergeCell ref="AG21:AG22"/>
    <mergeCell ref="Z5:Z6"/>
    <mergeCell ref="AA5:AA6"/>
    <mergeCell ref="AA18:AA19"/>
    <mergeCell ref="AB18:AB19"/>
    <mergeCell ref="Z18:Z19"/>
    <mergeCell ref="AA23:AA24"/>
    <mergeCell ref="AB23:AB24"/>
    <mergeCell ref="T14:T15"/>
    <mergeCell ref="U14:U15"/>
    <mergeCell ref="M14:M15"/>
    <mergeCell ref="N14:N15"/>
    <mergeCell ref="O14:O15"/>
    <mergeCell ref="P14:P15"/>
    <mergeCell ref="Q14:Q15"/>
    <mergeCell ref="R14:R15"/>
    <mergeCell ref="S14:S15"/>
    <mergeCell ref="AH21:AH22"/>
    <mergeCell ref="AI21:AI22"/>
    <mergeCell ref="AJ21:AJ22"/>
    <mergeCell ref="AK21:AK22"/>
    <mergeCell ref="AL21:AL22"/>
    <mergeCell ref="D21:D22"/>
    <mergeCell ref="D23:D24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L16:AL17"/>
    <mergeCell ref="AL18:AL19"/>
    <mergeCell ref="K18:K19"/>
    <mergeCell ref="L18:L19"/>
    <mergeCell ref="O18:O19"/>
    <mergeCell ref="P18:P19"/>
    <mergeCell ref="Q18:Q19"/>
    <mergeCell ref="R18:R19"/>
    <mergeCell ref="S18:S19"/>
    <mergeCell ref="AC16:AC17"/>
    <mergeCell ref="AD16:AD17"/>
    <mergeCell ref="AE16:AE17"/>
    <mergeCell ref="AF16:AF17"/>
    <mergeCell ref="AG16:AG17"/>
    <mergeCell ref="AH16:AH17"/>
    <mergeCell ref="AI16:AI17"/>
    <mergeCell ref="T23:T24"/>
    <mergeCell ref="U23:U24"/>
    <mergeCell ref="M23:M24"/>
    <mergeCell ref="N23:N24"/>
    <mergeCell ref="O23:O24"/>
    <mergeCell ref="P23:P24"/>
    <mergeCell ref="Q23:Q24"/>
    <mergeCell ref="R23:R24"/>
    <mergeCell ref="S23:S24"/>
    <mergeCell ref="AC23:AC24"/>
    <mergeCell ref="AD23:AD24"/>
    <mergeCell ref="V23:V24"/>
    <mergeCell ref="W23:W24"/>
    <mergeCell ref="X23:X24"/>
    <mergeCell ref="Y23:Y24"/>
    <mergeCell ref="Z23:Z24"/>
    <mergeCell ref="A13:B13"/>
    <mergeCell ref="L14:L15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J16:AJ17"/>
    <mergeCell ref="AJ18:AJ19"/>
    <mergeCell ref="AK18:AK19"/>
    <mergeCell ref="AC18:AC19"/>
    <mergeCell ref="AD18:AD19"/>
    <mergeCell ref="AE18:AE19"/>
    <mergeCell ref="AF18:AF19"/>
    <mergeCell ref="AG18:AG19"/>
    <mergeCell ref="AH18:AH19"/>
    <mergeCell ref="AI18:AI19"/>
    <mergeCell ref="C12:C19"/>
    <mergeCell ref="D16:D17"/>
    <mergeCell ref="D18:D19"/>
    <mergeCell ref="H12:H13"/>
    <mergeCell ref="I12:I13"/>
    <mergeCell ref="J12:J13"/>
    <mergeCell ref="K12:K13"/>
    <mergeCell ref="L12:L13"/>
    <mergeCell ref="AK16:AK17"/>
    <mergeCell ref="T18:T19"/>
    <mergeCell ref="U18:U19"/>
    <mergeCell ref="V18:V19"/>
    <mergeCell ref="W18:W19"/>
    <mergeCell ref="X18:X19"/>
    <mergeCell ref="Y18:Y19"/>
    <mergeCell ref="AF12:AF13"/>
    <mergeCell ref="AG12:AG13"/>
    <mergeCell ref="H14:H15"/>
    <mergeCell ref="I14:I15"/>
    <mergeCell ref="H16:H17"/>
    <mergeCell ref="I16:I17"/>
    <mergeCell ref="H18:H19"/>
    <mergeCell ref="I18:I19"/>
    <mergeCell ref="J18:J19"/>
    <mergeCell ref="M18:M19"/>
    <mergeCell ref="N18:N19"/>
    <mergeCell ref="J14:J15"/>
    <mergeCell ref="K14:K15"/>
    <mergeCell ref="J16:J17"/>
    <mergeCell ref="K16:K17"/>
    <mergeCell ref="L16:L17"/>
    <mergeCell ref="M16:M17"/>
    <mergeCell ref="N16:N17"/>
    <mergeCell ref="R5:R6"/>
    <mergeCell ref="J5:J6"/>
    <mergeCell ref="K5:K6"/>
    <mergeCell ref="L5:L6"/>
    <mergeCell ref="M5:M6"/>
    <mergeCell ref="N5:N6"/>
    <mergeCell ref="O5:O6"/>
    <mergeCell ref="P5:P6"/>
    <mergeCell ref="AH12:AH13"/>
    <mergeCell ref="AI12:AI13"/>
    <mergeCell ref="AJ12:AJ13"/>
    <mergeCell ref="AK12:AK13"/>
    <mergeCell ref="AL12:AL13"/>
    <mergeCell ref="D12:D13"/>
    <mergeCell ref="D14:D15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E14:AE15"/>
    <mergeCell ref="AF14:AF15"/>
    <mergeCell ref="AG14:AG15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X9:X10"/>
    <mergeCell ref="Y9:Y10"/>
    <mergeCell ref="Z9:Z10"/>
    <mergeCell ref="AA9:AA10"/>
    <mergeCell ref="AB9:AB10"/>
    <mergeCell ref="AC9:AC10"/>
    <mergeCell ref="AD9:AD10"/>
    <mergeCell ref="AC14:AC15"/>
    <mergeCell ref="AD14:AD15"/>
    <mergeCell ref="X14:X15"/>
    <mergeCell ref="Y14:Y15"/>
    <mergeCell ref="Z14:Z15"/>
    <mergeCell ref="AA14:AA15"/>
    <mergeCell ref="AB14:AB15"/>
    <mergeCell ref="AH14:AH15"/>
    <mergeCell ref="AI14:AI15"/>
    <mergeCell ref="AJ14:AJ15"/>
    <mergeCell ref="AK14:AK15"/>
    <mergeCell ref="AL14:AL15"/>
    <mergeCell ref="AA12:AA13"/>
    <mergeCell ref="AB12:AB13"/>
    <mergeCell ref="AC12:AC13"/>
    <mergeCell ref="AD12:AD13"/>
    <mergeCell ref="AE12:AE13"/>
    <mergeCell ref="Y89:Y90"/>
    <mergeCell ref="Z89:Z90"/>
    <mergeCell ref="H3:H4"/>
    <mergeCell ref="H7:H8"/>
    <mergeCell ref="D7:D8"/>
    <mergeCell ref="D9:D10"/>
    <mergeCell ref="H9:H10"/>
    <mergeCell ref="I9:I10"/>
    <mergeCell ref="A1:E2"/>
    <mergeCell ref="C3:C10"/>
    <mergeCell ref="I3:I4"/>
    <mergeCell ref="J3:J4"/>
    <mergeCell ref="K3:K4"/>
    <mergeCell ref="A4:B4"/>
    <mergeCell ref="K7:K8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V14:V15"/>
    <mergeCell ref="W14:W15"/>
    <mergeCell ref="Q5:Q6"/>
    <mergeCell ref="M74:M75"/>
    <mergeCell ref="N74:N75"/>
    <mergeCell ref="D72:D73"/>
    <mergeCell ref="D74:D75"/>
    <mergeCell ref="H74:H75"/>
    <mergeCell ref="I74:I75"/>
    <mergeCell ref="J74:J75"/>
    <mergeCell ref="K74:K75"/>
    <mergeCell ref="L74:L75"/>
    <mergeCell ref="V74:V75"/>
    <mergeCell ref="W74:W75"/>
    <mergeCell ref="O74:O75"/>
    <mergeCell ref="P74:P75"/>
    <mergeCell ref="Q74:Q75"/>
    <mergeCell ref="R74:R75"/>
    <mergeCell ref="S74:S75"/>
    <mergeCell ref="T74:T75"/>
    <mergeCell ref="U74:U75"/>
    <mergeCell ref="E74:E75"/>
    <mergeCell ref="Q72:Q73"/>
    <mergeCell ref="R72:R73"/>
    <mergeCell ref="S72:S73"/>
    <mergeCell ref="T72:T73"/>
    <mergeCell ref="U72:U73"/>
    <mergeCell ref="V72:V73"/>
    <mergeCell ref="W72:W73"/>
    <mergeCell ref="AG72:AG73"/>
    <mergeCell ref="AH72:AH73"/>
    <mergeCell ref="AK72:AK73"/>
    <mergeCell ref="AL72:AL73"/>
    <mergeCell ref="Z72:Z73"/>
    <mergeCell ref="AA72:AA73"/>
    <mergeCell ref="AB72:AB73"/>
    <mergeCell ref="AC72:AC73"/>
    <mergeCell ref="AD72:AD73"/>
    <mergeCell ref="AE72:AE73"/>
    <mergeCell ref="AF72:AF73"/>
    <mergeCell ref="X87:X88"/>
    <mergeCell ref="Y87:Y88"/>
    <mergeCell ref="Z87:Z88"/>
    <mergeCell ref="AA87:AA88"/>
    <mergeCell ref="AB87:AB88"/>
    <mergeCell ref="AC87:AC88"/>
    <mergeCell ref="AD87:AD88"/>
    <mergeCell ref="AL87:AL88"/>
    <mergeCell ref="AL89:AL90"/>
    <mergeCell ref="AE87:AE88"/>
    <mergeCell ref="AF87:AF88"/>
    <mergeCell ref="AG87:AG88"/>
    <mergeCell ref="AH87:AH88"/>
    <mergeCell ref="AI87:AI88"/>
    <mergeCell ref="AJ87:AJ88"/>
    <mergeCell ref="AK87:AK88"/>
    <mergeCell ref="X72:X73"/>
    <mergeCell ref="Y72:Y73"/>
    <mergeCell ref="AE74:AE75"/>
    <mergeCell ref="AF74:AF75"/>
    <mergeCell ref="AK74:AK75"/>
    <mergeCell ref="AL74:AL75"/>
    <mergeCell ref="X74:X75"/>
    <mergeCell ref="Y74:Y75"/>
    <mergeCell ref="Z74:Z75"/>
    <mergeCell ref="AA74:AA75"/>
    <mergeCell ref="AB74:AB75"/>
    <mergeCell ref="AC74:AC75"/>
    <mergeCell ref="AD74:AD75"/>
    <mergeCell ref="AA89:AA90"/>
    <mergeCell ref="AB89:AB90"/>
    <mergeCell ref="X89:X90"/>
    <mergeCell ref="AJ89:AJ90"/>
    <mergeCell ref="AK89:AK90"/>
    <mergeCell ref="AC89:AC90"/>
    <mergeCell ref="AD89:AD90"/>
    <mergeCell ref="AE89:AE90"/>
    <mergeCell ref="AF89:AF90"/>
    <mergeCell ref="AG89:AG90"/>
    <mergeCell ref="AH89:AH90"/>
    <mergeCell ref="AI89:AI90"/>
    <mergeCell ref="D85:E86"/>
    <mergeCell ref="H85:H86"/>
    <mergeCell ref="I87:I88"/>
    <mergeCell ref="J87:J88"/>
    <mergeCell ref="L87:L88"/>
    <mergeCell ref="M87:M88"/>
    <mergeCell ref="N87:N88"/>
    <mergeCell ref="O87:O88"/>
    <mergeCell ref="P87:P88"/>
    <mergeCell ref="Q87:Q88"/>
    <mergeCell ref="R87:R88"/>
    <mergeCell ref="S87:S88"/>
    <mergeCell ref="T87:T88"/>
    <mergeCell ref="U87:U88"/>
    <mergeCell ref="V87:V88"/>
    <mergeCell ref="W87:W88"/>
    <mergeCell ref="D89:E90"/>
    <mergeCell ref="M89:M90"/>
    <mergeCell ref="N89:N90"/>
    <mergeCell ref="O89:O90"/>
    <mergeCell ref="P89:P90"/>
    <mergeCell ref="Q89:Q90"/>
    <mergeCell ref="R89:R90"/>
    <mergeCell ref="AE83:AE84"/>
    <mergeCell ref="AF83:AF84"/>
    <mergeCell ref="AG83:AG84"/>
    <mergeCell ref="AH83:AH84"/>
    <mergeCell ref="AI83:AI84"/>
    <mergeCell ref="AJ83:AJ84"/>
    <mergeCell ref="AK83:AK84"/>
    <mergeCell ref="AL83:AL84"/>
    <mergeCell ref="X83:X84"/>
    <mergeCell ref="Y83:Y84"/>
    <mergeCell ref="Z83:Z84"/>
    <mergeCell ref="AA83:AA84"/>
    <mergeCell ref="AB83:AB84"/>
    <mergeCell ref="AC83:AC84"/>
    <mergeCell ref="AD83:AD84"/>
    <mergeCell ref="AE85:AE86"/>
    <mergeCell ref="AF85:AF86"/>
    <mergeCell ref="AG85:AG86"/>
    <mergeCell ref="AH85:AH86"/>
    <mergeCell ref="AI85:AI86"/>
    <mergeCell ref="AJ85:AJ86"/>
    <mergeCell ref="AK85:AK86"/>
    <mergeCell ref="AL85:AL86"/>
    <mergeCell ref="X85:X86"/>
    <mergeCell ref="Y85:Y86"/>
    <mergeCell ref="Z85:Z86"/>
    <mergeCell ref="AA85:AA86"/>
    <mergeCell ref="AB85:AB86"/>
    <mergeCell ref="AC85:AC86"/>
    <mergeCell ref="AD85:AD86"/>
    <mergeCell ref="S83:S84"/>
    <mergeCell ref="T83:T84"/>
    <mergeCell ref="U83:U84"/>
    <mergeCell ref="V83:V84"/>
    <mergeCell ref="W83:W84"/>
    <mergeCell ref="P85:P86"/>
    <mergeCell ref="Q85:Q86"/>
    <mergeCell ref="R85:R86"/>
    <mergeCell ref="S85:S86"/>
    <mergeCell ref="T85:T86"/>
    <mergeCell ref="U85:U86"/>
    <mergeCell ref="V85:V86"/>
    <mergeCell ref="W85:W86"/>
    <mergeCell ref="I85:I86"/>
    <mergeCell ref="J85:J86"/>
    <mergeCell ref="K85:K86"/>
    <mergeCell ref="L85:L86"/>
    <mergeCell ref="M85:M86"/>
    <mergeCell ref="N85:N86"/>
    <mergeCell ref="O85:O86"/>
    <mergeCell ref="E76:E77"/>
    <mergeCell ref="D79:E80"/>
    <mergeCell ref="I81:I82"/>
    <mergeCell ref="J81:J82"/>
    <mergeCell ref="D81:E82"/>
    <mergeCell ref="D83:E84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Q83:Q84"/>
    <mergeCell ref="R83:R84"/>
    <mergeCell ref="D76:D77"/>
    <mergeCell ref="I76:I77"/>
    <mergeCell ref="J76:J77"/>
    <mergeCell ref="K76:K77"/>
    <mergeCell ref="K81:K82"/>
    <mergeCell ref="AK81:AK82"/>
    <mergeCell ref="AL81:AL82"/>
    <mergeCell ref="AE79:AE80"/>
    <mergeCell ref="AF79:AF80"/>
    <mergeCell ref="AG79:AG80"/>
    <mergeCell ref="AH79:AH80"/>
    <mergeCell ref="AJ79:AJ80"/>
    <mergeCell ref="AK79:AK80"/>
    <mergeCell ref="AL79:AL80"/>
    <mergeCell ref="U76:U77"/>
    <mergeCell ref="V76:V77"/>
    <mergeCell ref="N76:N77"/>
    <mergeCell ref="O76:O77"/>
    <mergeCell ref="P76:P77"/>
    <mergeCell ref="Q76:Q77"/>
    <mergeCell ref="R76:R77"/>
    <mergeCell ref="S76:S77"/>
    <mergeCell ref="T76:T77"/>
    <mergeCell ref="H76:H77"/>
    <mergeCell ref="H81:H82"/>
    <mergeCell ref="L76:L77"/>
    <mergeCell ref="M76:M77"/>
    <mergeCell ref="L81:L82"/>
    <mergeCell ref="M81:M82"/>
    <mergeCell ref="N81:N82"/>
    <mergeCell ref="O81:O82"/>
    <mergeCell ref="P81:P82"/>
    <mergeCell ref="X79:X80"/>
    <mergeCell ref="Y79:Y80"/>
    <mergeCell ref="Z79:Z80"/>
    <mergeCell ref="AA79:AA80"/>
    <mergeCell ref="AB79:AB80"/>
    <mergeCell ref="AC79:AC80"/>
    <mergeCell ref="AD79:AD80"/>
    <mergeCell ref="AI79:AI80"/>
    <mergeCell ref="AI81:AI82"/>
    <mergeCell ref="H79:H80"/>
    <mergeCell ref="I79:I80"/>
    <mergeCell ref="A80:B80"/>
    <mergeCell ref="J79:J80"/>
    <mergeCell ref="K79:K80"/>
    <mergeCell ref="L79:L80"/>
    <mergeCell ref="M79:M80"/>
    <mergeCell ref="N79:N80"/>
    <mergeCell ref="O79:O80"/>
    <mergeCell ref="P79:P80"/>
    <mergeCell ref="Q79:Q80"/>
    <mergeCell ref="R79:R80"/>
    <mergeCell ref="S79:S80"/>
    <mergeCell ref="T79:T80"/>
    <mergeCell ref="U79:U80"/>
    <mergeCell ref="V79:V80"/>
    <mergeCell ref="W79:W80"/>
    <mergeCell ref="C79:C90"/>
    <mergeCell ref="S89:S90"/>
    <mergeCell ref="K87:K88"/>
    <mergeCell ref="D87:E88"/>
    <mergeCell ref="H87:H88"/>
    <mergeCell ref="H89:H90"/>
    <mergeCell ref="I89:I90"/>
    <mergeCell ref="J89:J90"/>
    <mergeCell ref="K89:K90"/>
    <mergeCell ref="L89:L90"/>
    <mergeCell ref="T89:T90"/>
    <mergeCell ref="U89:U90"/>
    <mergeCell ref="V89:V90"/>
    <mergeCell ref="W89:W90"/>
    <mergeCell ref="AG74:AG75"/>
    <mergeCell ref="AF76:AF77"/>
    <mergeCell ref="AG76:AG77"/>
    <mergeCell ref="AH76:AH77"/>
    <mergeCell ref="AI76:AI77"/>
    <mergeCell ref="AJ76:AJ77"/>
    <mergeCell ref="AI70:AI71"/>
    <mergeCell ref="AJ70:AJ71"/>
    <mergeCell ref="AI72:AI73"/>
    <mergeCell ref="AJ72:AJ73"/>
    <mergeCell ref="AH74:AH75"/>
    <mergeCell ref="AI74:AI75"/>
    <mergeCell ref="AJ74:AJ75"/>
    <mergeCell ref="X81:X82"/>
    <mergeCell ref="Y81:Y82"/>
    <mergeCell ref="Q81:Q82"/>
    <mergeCell ref="R81:R82"/>
    <mergeCell ref="S81:S82"/>
    <mergeCell ref="T81:T82"/>
    <mergeCell ref="U81:U82"/>
    <mergeCell ref="V81:V82"/>
    <mergeCell ref="W81:W82"/>
    <mergeCell ref="AG81:AG82"/>
    <mergeCell ref="AH81:AH82"/>
    <mergeCell ref="Z81:Z82"/>
    <mergeCell ref="AA81:AA82"/>
    <mergeCell ref="AB81:AB82"/>
    <mergeCell ref="AC81:AC82"/>
    <mergeCell ref="AD81:AD82"/>
    <mergeCell ref="AE81:AE82"/>
    <mergeCell ref="AF81:AF82"/>
    <mergeCell ref="AJ81:AJ82"/>
    <mergeCell ref="AD76:AD77"/>
    <mergeCell ref="AE76:AE77"/>
    <mergeCell ref="AK76:AK77"/>
    <mergeCell ref="AL76:AL77"/>
    <mergeCell ref="W76:W77"/>
    <mergeCell ref="X76:X77"/>
    <mergeCell ref="Y76:Y77"/>
    <mergeCell ref="Z76:Z77"/>
    <mergeCell ref="AA76:AA77"/>
    <mergeCell ref="AB76:AB77"/>
    <mergeCell ref="AC76:AC77"/>
    <mergeCell ref="A64:B64"/>
    <mergeCell ref="A67:B68"/>
    <mergeCell ref="A71:B71"/>
    <mergeCell ref="AA67:AA68"/>
    <mergeCell ref="AB67:AB68"/>
    <mergeCell ref="AC67:AC68"/>
    <mergeCell ref="AD67:AD68"/>
    <mergeCell ref="AE67:AE68"/>
    <mergeCell ref="AF67:AF68"/>
    <mergeCell ref="AG67:AG68"/>
    <mergeCell ref="D65:D66"/>
    <mergeCell ref="D70:D71"/>
    <mergeCell ref="C63:C68"/>
    <mergeCell ref="D63:D64"/>
    <mergeCell ref="E63:E64"/>
    <mergeCell ref="E65:E66"/>
    <mergeCell ref="C70:C77"/>
    <mergeCell ref="H70:H71"/>
    <mergeCell ref="I70:I71"/>
    <mergeCell ref="J70:J71"/>
    <mergeCell ref="K70:K71"/>
    <mergeCell ref="AH63:AH64"/>
    <mergeCell ref="AI63:AI64"/>
    <mergeCell ref="AJ63:AJ64"/>
    <mergeCell ref="AK63:AK64"/>
    <mergeCell ref="AL63:AL64"/>
    <mergeCell ref="H65:H66"/>
    <mergeCell ref="I65:I66"/>
    <mergeCell ref="J65:J66"/>
    <mergeCell ref="K65:K66"/>
    <mergeCell ref="L65:L66"/>
    <mergeCell ref="M65:M66"/>
    <mergeCell ref="N65:N66"/>
    <mergeCell ref="T63:T64"/>
    <mergeCell ref="U63:U64"/>
    <mergeCell ref="V63:V64"/>
    <mergeCell ref="W63:W64"/>
    <mergeCell ref="X63:X64"/>
    <mergeCell ref="Y63:Y64"/>
    <mergeCell ref="Z63:Z64"/>
    <mergeCell ref="AG65:AG66"/>
    <mergeCell ref="AH65:AH66"/>
    <mergeCell ref="AI65:AI66"/>
    <mergeCell ref="AJ65:AJ66"/>
    <mergeCell ref="AK65:AK66"/>
    <mergeCell ref="AL65:AL66"/>
    <mergeCell ref="AA63:AA64"/>
    <mergeCell ref="AB63:AB64"/>
    <mergeCell ref="AC63:AC64"/>
    <mergeCell ref="AD63:AD64"/>
    <mergeCell ref="AE63:AE64"/>
    <mergeCell ref="AF63:AF64"/>
    <mergeCell ref="AG63:AG64"/>
    <mergeCell ref="O72:O73"/>
    <mergeCell ref="P72:P73"/>
    <mergeCell ref="H72:H73"/>
    <mergeCell ref="I72:I73"/>
    <mergeCell ref="J72:J73"/>
    <mergeCell ref="K72:K73"/>
    <mergeCell ref="L72:L73"/>
    <mergeCell ref="M72:M73"/>
    <mergeCell ref="N72:N73"/>
    <mergeCell ref="C58:C61"/>
    <mergeCell ref="D58:D59"/>
    <mergeCell ref="E58:E59"/>
    <mergeCell ref="H58:H59"/>
    <mergeCell ref="I58:I59"/>
    <mergeCell ref="J58:J59"/>
    <mergeCell ref="K58:K59"/>
    <mergeCell ref="M63:M64"/>
    <mergeCell ref="N63:N64"/>
    <mergeCell ref="O63:O64"/>
    <mergeCell ref="P63:P64"/>
    <mergeCell ref="D60:D61"/>
    <mergeCell ref="E60:E61"/>
    <mergeCell ref="L70:L71"/>
    <mergeCell ref="M70:M71"/>
    <mergeCell ref="N70:N71"/>
    <mergeCell ref="O65:O66"/>
    <mergeCell ref="P65:P66"/>
    <mergeCell ref="AF70:AF71"/>
    <mergeCell ref="X70:X71"/>
    <mergeCell ref="Y70:Y71"/>
    <mergeCell ref="Z70:Z71"/>
    <mergeCell ref="AA70:AA71"/>
    <mergeCell ref="AB70:AB71"/>
    <mergeCell ref="AC70:AC71"/>
    <mergeCell ref="AD70:AD71"/>
    <mergeCell ref="AK70:AK71"/>
    <mergeCell ref="AL70:AL71"/>
    <mergeCell ref="AH67:AH68"/>
    <mergeCell ref="AI67:AI68"/>
    <mergeCell ref="AJ67:AJ68"/>
    <mergeCell ref="AK67:AK68"/>
    <mergeCell ref="AL67:AL68"/>
    <mergeCell ref="AG70:AG71"/>
    <mergeCell ref="AH70:AH71"/>
    <mergeCell ref="X67:X68"/>
    <mergeCell ref="Y67:Y68"/>
    <mergeCell ref="Z67:Z68"/>
    <mergeCell ref="D67:D68"/>
    <mergeCell ref="E67:E68"/>
    <mergeCell ref="H67:H68"/>
    <mergeCell ref="I67:I68"/>
    <mergeCell ref="J67:J68"/>
    <mergeCell ref="K67:K68"/>
    <mergeCell ref="L67:L68"/>
    <mergeCell ref="V70:V71"/>
    <mergeCell ref="W70:W71"/>
    <mergeCell ref="O70:O71"/>
    <mergeCell ref="P70:P71"/>
    <mergeCell ref="Q70:Q71"/>
    <mergeCell ref="R70:R71"/>
    <mergeCell ref="S70:S71"/>
    <mergeCell ref="T70:T71"/>
    <mergeCell ref="U70:U71"/>
    <mergeCell ref="AE70:AE71"/>
    <mergeCell ref="T67:T68"/>
    <mergeCell ref="U67:U68"/>
    <mergeCell ref="V67:V68"/>
    <mergeCell ref="W67:W68"/>
    <mergeCell ref="AE58:AE59"/>
    <mergeCell ref="AF58:AF59"/>
    <mergeCell ref="AE65:AE66"/>
    <mergeCell ref="AF65:AF66"/>
    <mergeCell ref="X65:X66"/>
    <mergeCell ref="Y65:Y66"/>
    <mergeCell ref="Z65:Z66"/>
    <mergeCell ref="AA65:AA66"/>
    <mergeCell ref="AB65:AB66"/>
    <mergeCell ref="AC65:AC66"/>
    <mergeCell ref="AD65:AD66"/>
    <mergeCell ref="M67:M68"/>
    <mergeCell ref="N67:N68"/>
    <mergeCell ref="O67:O68"/>
    <mergeCell ref="P67:P68"/>
    <mergeCell ref="Q67:Q68"/>
    <mergeCell ref="R67:R68"/>
    <mergeCell ref="S67:S68"/>
    <mergeCell ref="Q63:Q64"/>
    <mergeCell ref="R63:R64"/>
    <mergeCell ref="S63:S64"/>
    <mergeCell ref="AB60:AB61"/>
    <mergeCell ref="AC60:AC61"/>
    <mergeCell ref="U60:U61"/>
    <mergeCell ref="V60:V61"/>
    <mergeCell ref="W60:W61"/>
    <mergeCell ref="X60:X61"/>
    <mergeCell ref="Y60:Y61"/>
    <mergeCell ref="Z60:Z61"/>
    <mergeCell ref="AA60:AA61"/>
    <mergeCell ref="V65:V66"/>
    <mergeCell ref="W65:W66"/>
    <mergeCell ref="I55:I56"/>
    <mergeCell ref="J55:J56"/>
    <mergeCell ref="K55:K56"/>
    <mergeCell ref="L55:L56"/>
    <mergeCell ref="M55:M56"/>
    <mergeCell ref="AG58:AG59"/>
    <mergeCell ref="AH58:AH59"/>
    <mergeCell ref="AI58:AI59"/>
    <mergeCell ref="AJ58:AJ59"/>
    <mergeCell ref="AK58:AK59"/>
    <mergeCell ref="AL58:AL59"/>
    <mergeCell ref="A59:B59"/>
    <mergeCell ref="A60:B61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K53:AK54"/>
    <mergeCell ref="AL53:AL54"/>
    <mergeCell ref="AD53:AD54"/>
    <mergeCell ref="AE53:AE54"/>
    <mergeCell ref="AF53:AF54"/>
    <mergeCell ref="AG53:AG54"/>
    <mergeCell ref="AH53:AH54"/>
    <mergeCell ref="AI53:AI54"/>
    <mergeCell ref="AJ53:AJ54"/>
    <mergeCell ref="H53:H54"/>
    <mergeCell ref="I53:I54"/>
    <mergeCell ref="K53:K54"/>
    <mergeCell ref="L53:L54"/>
    <mergeCell ref="M53:M54"/>
    <mergeCell ref="N53:N54"/>
    <mergeCell ref="O53:O54"/>
    <mergeCell ref="I51:I52"/>
    <mergeCell ref="J51:J52"/>
    <mergeCell ref="H51:H52"/>
    <mergeCell ref="AC53:AC54"/>
    <mergeCell ref="Y45:Y46"/>
    <mergeCell ref="AI45:AI46"/>
    <mergeCell ref="AJ45:AJ46"/>
    <mergeCell ref="AB45:AB46"/>
    <mergeCell ref="AC45:AC46"/>
    <mergeCell ref="AD45:AD46"/>
    <mergeCell ref="AE45:AE46"/>
    <mergeCell ref="AF45:AF46"/>
    <mergeCell ref="AG45:AG46"/>
    <mergeCell ref="AH45:AH46"/>
    <mergeCell ref="R51:R52"/>
    <mergeCell ref="S51:S52"/>
    <mergeCell ref="K51:K52"/>
    <mergeCell ref="L51:L52"/>
    <mergeCell ref="M51:M52"/>
    <mergeCell ref="N51:N52"/>
    <mergeCell ref="O51:O52"/>
    <mergeCell ref="P51:P52"/>
    <mergeCell ref="Q51:Q52"/>
    <mergeCell ref="AA51:AA52"/>
    <mergeCell ref="AB51:AB52"/>
    <mergeCell ref="T51:T52"/>
    <mergeCell ref="U51:U52"/>
    <mergeCell ref="V51:V52"/>
    <mergeCell ref="W51:W52"/>
    <mergeCell ref="X51:X52"/>
    <mergeCell ref="Y51:Y52"/>
    <mergeCell ref="Z51:Z52"/>
    <mergeCell ref="AH36:AH37"/>
    <mergeCell ref="AI36:AI37"/>
    <mergeCell ref="AJ36:AJ37"/>
    <mergeCell ref="AK36:AK37"/>
    <mergeCell ref="AL36:AL37"/>
    <mergeCell ref="X36:X37"/>
    <mergeCell ref="Y36:Y37"/>
    <mergeCell ref="AC36:AC37"/>
    <mergeCell ref="AD36:AD37"/>
    <mergeCell ref="AE36:AE37"/>
    <mergeCell ref="AF36:AF37"/>
    <mergeCell ref="AG36:AG37"/>
    <mergeCell ref="AI43:AI44"/>
    <mergeCell ref="AJ43:AJ44"/>
    <mergeCell ref="AB43:AB44"/>
    <mergeCell ref="AC43:AC44"/>
    <mergeCell ref="AD43:AD44"/>
    <mergeCell ref="AE43:AE44"/>
    <mergeCell ref="AF43:AF44"/>
    <mergeCell ref="AG43:AG44"/>
    <mergeCell ref="AH43:AH44"/>
    <mergeCell ref="Z36:Z37"/>
    <mergeCell ref="AA36:AA37"/>
    <mergeCell ref="AB36:AB37"/>
    <mergeCell ref="AD41:AD42"/>
    <mergeCell ref="AE41:AE42"/>
    <mergeCell ref="AL49:AL50"/>
    <mergeCell ref="AL51:AL52"/>
    <mergeCell ref="D49:D50"/>
    <mergeCell ref="D51:D52"/>
    <mergeCell ref="K49:K50"/>
    <mergeCell ref="L49:L50"/>
    <mergeCell ref="M49:M50"/>
    <mergeCell ref="N49:N50"/>
    <mergeCell ref="O49:O50"/>
    <mergeCell ref="P49:P50"/>
    <mergeCell ref="Q49:Q50"/>
    <mergeCell ref="R49:R50"/>
    <mergeCell ref="S49:S50"/>
    <mergeCell ref="T49:T50"/>
    <mergeCell ref="U49:U50"/>
    <mergeCell ref="V49:V50"/>
    <mergeCell ref="W49:W50"/>
    <mergeCell ref="X49:X50"/>
    <mergeCell ref="Y49:Y50"/>
    <mergeCell ref="Z49:Z50"/>
    <mergeCell ref="AA49:AA50"/>
    <mergeCell ref="AB49:AB50"/>
    <mergeCell ref="AC49:AC50"/>
    <mergeCell ref="AD49:AD50"/>
    <mergeCell ref="AE49:AE50"/>
    <mergeCell ref="H49:H50"/>
    <mergeCell ref="AJ51:AJ52"/>
    <mergeCell ref="AK51:AK52"/>
    <mergeCell ref="AC51:AC52"/>
    <mergeCell ref="AD51:AD52"/>
    <mergeCell ref="AE51:AE52"/>
    <mergeCell ref="AF51:AF52"/>
    <mergeCell ref="AG51:AG52"/>
    <mergeCell ref="AH51:AH52"/>
    <mergeCell ref="AI51:AI52"/>
    <mergeCell ref="Q45:Q46"/>
    <mergeCell ref="R45:R46"/>
    <mergeCell ref="J45:J46"/>
    <mergeCell ref="K45:K46"/>
    <mergeCell ref="L45:L46"/>
    <mergeCell ref="M45:M46"/>
    <mergeCell ref="N45:N46"/>
    <mergeCell ref="O45:O46"/>
    <mergeCell ref="P45:P46"/>
    <mergeCell ref="AF49:AF50"/>
    <mergeCell ref="AG49:AG50"/>
    <mergeCell ref="AH49:AH50"/>
    <mergeCell ref="AI49:AI50"/>
    <mergeCell ref="AJ49:AJ50"/>
    <mergeCell ref="AK49:AK50"/>
    <mergeCell ref="Z45:Z46"/>
    <mergeCell ref="AA45:AA46"/>
    <mergeCell ref="S45:S46"/>
    <mergeCell ref="T45:T46"/>
    <mergeCell ref="U45:U46"/>
    <mergeCell ref="V45:V46"/>
    <mergeCell ref="W45:W46"/>
    <mergeCell ref="X45:X46"/>
    <mergeCell ref="C39:C46"/>
    <mergeCell ref="D39:D40"/>
    <mergeCell ref="D41:D42"/>
    <mergeCell ref="D43:D44"/>
    <mergeCell ref="D45:D46"/>
    <mergeCell ref="H45:H46"/>
    <mergeCell ref="I45:I46"/>
    <mergeCell ref="O36:O37"/>
    <mergeCell ref="P36:P37"/>
    <mergeCell ref="N43:N44"/>
    <mergeCell ref="O43:O44"/>
    <mergeCell ref="P43:P44"/>
    <mergeCell ref="Q43:Q44"/>
    <mergeCell ref="R43:R44"/>
    <mergeCell ref="V39:V40"/>
    <mergeCell ref="W39:W40"/>
    <mergeCell ref="X39:X40"/>
    <mergeCell ref="Q36:Q37"/>
    <mergeCell ref="R36:R37"/>
    <mergeCell ref="S36:S37"/>
    <mergeCell ref="T36:T37"/>
    <mergeCell ref="U36:U37"/>
    <mergeCell ref="V36:V37"/>
    <mergeCell ref="W36:W37"/>
    <mergeCell ref="C30:C37"/>
    <mergeCell ref="D30:D31"/>
    <mergeCell ref="D32:D33"/>
    <mergeCell ref="D34:D35"/>
    <mergeCell ref="D36:D37"/>
    <mergeCell ref="O39:O40"/>
    <mergeCell ref="P39:P40"/>
    <mergeCell ref="Q39:Q40"/>
    <mergeCell ref="H36:H37"/>
    <mergeCell ref="I36:I37"/>
    <mergeCell ref="J36:J37"/>
    <mergeCell ref="K36:K37"/>
    <mergeCell ref="L36:L37"/>
    <mergeCell ref="M36:M37"/>
    <mergeCell ref="N36:N37"/>
    <mergeCell ref="AJ39:AJ40"/>
    <mergeCell ref="AK39:AK40"/>
    <mergeCell ref="AL39:AL40"/>
    <mergeCell ref="AK43:AK44"/>
    <mergeCell ref="AL43:AL44"/>
    <mergeCell ref="AK45:AK46"/>
    <mergeCell ref="AL45:AL46"/>
    <mergeCell ref="AF41:AF42"/>
    <mergeCell ref="AG41:AG42"/>
    <mergeCell ref="AH41:AH42"/>
    <mergeCell ref="AI41:AI42"/>
    <mergeCell ref="AJ41:AJ42"/>
    <mergeCell ref="AK41:AK42"/>
    <mergeCell ref="AL41:AL42"/>
    <mergeCell ref="AC39:AC40"/>
    <mergeCell ref="AD39:AD40"/>
    <mergeCell ref="AE39:AE40"/>
    <mergeCell ref="AF39:AF40"/>
    <mergeCell ref="AG39:AG40"/>
    <mergeCell ref="AH39:AH40"/>
    <mergeCell ref="AI39:AI40"/>
    <mergeCell ref="Y39:Y40"/>
    <mergeCell ref="Z39:Z40"/>
    <mergeCell ref="AA39:AA40"/>
    <mergeCell ref="AB39:AB40"/>
  </mergeCells>
  <pageMargins left="0.19685039370078738" right="0.31496062992125984" top="0.19685039370078738" bottom="0.19685039370078738" header="0" footer="0"/>
  <pageSetup paperSize="9" pageOrder="overThenDown" orientation="portrait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"/>
  <sheetViews>
    <sheetView workbookViewId="0"/>
  </sheetViews>
  <sheetFormatPr defaultColWidth="12.5703125" defaultRowHeight="15" customHeight="1"/>
  <sheetData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AG797"/>
  <sheetViews>
    <sheetView workbookViewId="0"/>
  </sheetViews>
  <sheetFormatPr defaultColWidth="12.5703125" defaultRowHeight="15" customHeight="1"/>
  <cols>
    <col min="1" max="1" width="7" customWidth="1"/>
    <col min="2" max="2" width="42.42578125" customWidth="1"/>
    <col min="3" max="33" width="3.7109375" customWidth="1"/>
  </cols>
  <sheetData>
    <row r="1" spans="1:33" ht="34.5" customHeight="1">
      <c r="A1" s="333"/>
      <c r="B1" s="334" t="s">
        <v>2799</v>
      </c>
      <c r="C1" s="274"/>
      <c r="D1" s="274"/>
      <c r="E1" s="274"/>
      <c r="F1" s="274"/>
      <c r="G1" s="274"/>
      <c r="H1" s="274"/>
      <c r="I1" s="274"/>
      <c r="J1" s="274"/>
      <c r="K1" s="336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</row>
    <row r="2" spans="1:33" ht="15.75" customHeight="1">
      <c r="A2" s="561">
        <v>45200</v>
      </c>
      <c r="B2" s="478"/>
      <c r="C2" s="259">
        <f t="shared" ref="C2:AG2" si="0">C3</f>
        <v>45200</v>
      </c>
      <c r="D2" s="259">
        <f t="shared" si="0"/>
        <v>45201</v>
      </c>
      <c r="E2" s="259">
        <f t="shared" si="0"/>
        <v>45202</v>
      </c>
      <c r="F2" s="259">
        <f t="shared" si="0"/>
        <v>45203</v>
      </c>
      <c r="G2" s="259">
        <f t="shared" si="0"/>
        <v>45204</v>
      </c>
      <c r="H2" s="259">
        <f t="shared" si="0"/>
        <v>45205</v>
      </c>
      <c r="I2" s="259">
        <f t="shared" si="0"/>
        <v>45206</v>
      </c>
      <c r="J2" s="259">
        <f t="shared" si="0"/>
        <v>45207</v>
      </c>
      <c r="K2" s="259">
        <f t="shared" si="0"/>
        <v>45208</v>
      </c>
      <c r="L2" s="259">
        <f t="shared" si="0"/>
        <v>45209</v>
      </c>
      <c r="M2" s="259">
        <f t="shared" si="0"/>
        <v>45210</v>
      </c>
      <c r="N2" s="259">
        <f t="shared" si="0"/>
        <v>45211</v>
      </c>
      <c r="O2" s="259">
        <f t="shared" si="0"/>
        <v>45212</v>
      </c>
      <c r="P2" s="259">
        <f t="shared" si="0"/>
        <v>45213</v>
      </c>
      <c r="Q2" s="259">
        <f t="shared" si="0"/>
        <v>45214</v>
      </c>
      <c r="R2" s="259">
        <f t="shared" si="0"/>
        <v>45215</v>
      </c>
      <c r="S2" s="259">
        <f t="shared" si="0"/>
        <v>45216</v>
      </c>
      <c r="T2" s="259">
        <f t="shared" si="0"/>
        <v>45217</v>
      </c>
      <c r="U2" s="259">
        <f t="shared" si="0"/>
        <v>45218</v>
      </c>
      <c r="V2" s="259">
        <f t="shared" si="0"/>
        <v>45219</v>
      </c>
      <c r="W2" s="259">
        <f t="shared" si="0"/>
        <v>45220</v>
      </c>
      <c r="X2" s="259">
        <f t="shared" si="0"/>
        <v>45221</v>
      </c>
      <c r="Y2" s="259">
        <f t="shared" si="0"/>
        <v>45222</v>
      </c>
      <c r="Z2" s="259">
        <f t="shared" si="0"/>
        <v>45223</v>
      </c>
      <c r="AA2" s="259">
        <f t="shared" si="0"/>
        <v>45224</v>
      </c>
      <c r="AB2" s="259">
        <f t="shared" si="0"/>
        <v>45225</v>
      </c>
      <c r="AC2" s="259">
        <f t="shared" si="0"/>
        <v>45226</v>
      </c>
      <c r="AD2" s="259">
        <f t="shared" si="0"/>
        <v>45227</v>
      </c>
      <c r="AE2" s="259">
        <f t="shared" si="0"/>
        <v>45228</v>
      </c>
      <c r="AF2" s="259">
        <f t="shared" si="0"/>
        <v>45229</v>
      </c>
      <c r="AG2" s="259">
        <f t="shared" si="0"/>
        <v>45230</v>
      </c>
    </row>
    <row r="3" spans="1:33" ht="15.75" customHeight="1">
      <c r="A3" s="200" t="s">
        <v>2802</v>
      </c>
      <c r="B3" s="200" t="s">
        <v>2803</v>
      </c>
      <c r="C3" s="262">
        <f>A2</f>
        <v>45200</v>
      </c>
      <c r="D3" s="262">
        <f t="shared" ref="D3:AG3" si="1">C3+1</f>
        <v>45201</v>
      </c>
      <c r="E3" s="262">
        <f t="shared" si="1"/>
        <v>45202</v>
      </c>
      <c r="F3" s="262">
        <f t="shared" si="1"/>
        <v>45203</v>
      </c>
      <c r="G3" s="262">
        <f t="shared" si="1"/>
        <v>45204</v>
      </c>
      <c r="H3" s="262">
        <f t="shared" si="1"/>
        <v>45205</v>
      </c>
      <c r="I3" s="262">
        <f t="shared" si="1"/>
        <v>45206</v>
      </c>
      <c r="J3" s="262">
        <f t="shared" si="1"/>
        <v>45207</v>
      </c>
      <c r="K3" s="262">
        <f t="shared" si="1"/>
        <v>45208</v>
      </c>
      <c r="L3" s="262">
        <f t="shared" si="1"/>
        <v>45209</v>
      </c>
      <c r="M3" s="262">
        <f t="shared" si="1"/>
        <v>45210</v>
      </c>
      <c r="N3" s="262">
        <f t="shared" si="1"/>
        <v>45211</v>
      </c>
      <c r="O3" s="262">
        <f t="shared" si="1"/>
        <v>45212</v>
      </c>
      <c r="P3" s="262">
        <f t="shared" si="1"/>
        <v>45213</v>
      </c>
      <c r="Q3" s="262">
        <f t="shared" si="1"/>
        <v>45214</v>
      </c>
      <c r="R3" s="262">
        <f t="shared" si="1"/>
        <v>45215</v>
      </c>
      <c r="S3" s="262">
        <f t="shared" si="1"/>
        <v>45216</v>
      </c>
      <c r="T3" s="262">
        <f t="shared" si="1"/>
        <v>45217</v>
      </c>
      <c r="U3" s="262">
        <f t="shared" si="1"/>
        <v>45218</v>
      </c>
      <c r="V3" s="262">
        <f t="shared" si="1"/>
        <v>45219</v>
      </c>
      <c r="W3" s="262">
        <f t="shared" si="1"/>
        <v>45220</v>
      </c>
      <c r="X3" s="262">
        <f t="shared" si="1"/>
        <v>45221</v>
      </c>
      <c r="Y3" s="262">
        <f t="shared" si="1"/>
        <v>45222</v>
      </c>
      <c r="Z3" s="262">
        <f t="shared" si="1"/>
        <v>45223</v>
      </c>
      <c r="AA3" s="262">
        <f t="shared" si="1"/>
        <v>45224</v>
      </c>
      <c r="AB3" s="262">
        <f t="shared" si="1"/>
        <v>45225</v>
      </c>
      <c r="AC3" s="262">
        <f t="shared" si="1"/>
        <v>45226</v>
      </c>
      <c r="AD3" s="262">
        <f t="shared" si="1"/>
        <v>45227</v>
      </c>
      <c r="AE3" s="262">
        <f t="shared" si="1"/>
        <v>45228</v>
      </c>
      <c r="AF3" s="262">
        <f t="shared" si="1"/>
        <v>45229</v>
      </c>
      <c r="AG3" s="262">
        <f t="shared" si="1"/>
        <v>45230</v>
      </c>
    </row>
    <row r="4" spans="1:33" ht="20.25" customHeight="1">
      <c r="A4" s="74" t="s">
        <v>196</v>
      </c>
      <c r="B4" s="337" t="e">
        <f>VLOOKUP(A4,ROTEIRO!$B$3:$O$165,7, FALSE())</f>
        <v>#N/A</v>
      </c>
      <c r="C4" s="338"/>
      <c r="D4" s="266"/>
      <c r="E4" s="266"/>
      <c r="F4" s="266"/>
      <c r="G4" s="266"/>
      <c r="H4" s="266"/>
      <c r="I4" s="266"/>
      <c r="J4" s="338"/>
      <c r="K4" s="266"/>
      <c r="L4" s="266"/>
      <c r="M4" s="266"/>
      <c r="N4" s="338"/>
      <c r="O4" s="266"/>
      <c r="P4" s="266"/>
      <c r="Q4" s="338"/>
      <c r="R4" s="266"/>
      <c r="S4" s="266"/>
      <c r="T4" s="266"/>
      <c r="U4" s="266"/>
      <c r="V4" s="266"/>
      <c r="W4" s="266"/>
      <c r="X4" s="338"/>
      <c r="Y4" s="266"/>
      <c r="Z4" s="266"/>
      <c r="AA4" s="266"/>
      <c r="AB4" s="266"/>
      <c r="AC4" s="266"/>
      <c r="AD4" s="266"/>
      <c r="AE4" s="338"/>
      <c r="AF4" s="266"/>
      <c r="AG4" s="266"/>
    </row>
    <row r="5" spans="1:33" ht="20.25" customHeight="1">
      <c r="A5" s="74" t="s">
        <v>207</v>
      </c>
      <c r="B5" s="337" t="e">
        <f>VLOOKUP(A5,ROTEIRO!$B$3:$O$165,7, FALSE())</f>
        <v>#N/A</v>
      </c>
      <c r="C5" s="338"/>
      <c r="D5" s="266"/>
      <c r="E5" s="266"/>
      <c r="F5" s="266"/>
      <c r="G5" s="266"/>
      <c r="H5" s="266"/>
      <c r="I5" s="338"/>
      <c r="J5" s="266"/>
      <c r="K5" s="266"/>
      <c r="L5" s="266"/>
      <c r="M5" s="266"/>
      <c r="N5" s="338"/>
      <c r="O5" s="266"/>
      <c r="P5" s="266"/>
      <c r="Q5" s="338"/>
      <c r="R5" s="266"/>
      <c r="S5" s="266"/>
      <c r="T5" s="266"/>
      <c r="U5" s="266"/>
      <c r="V5" s="266"/>
      <c r="W5" s="338"/>
      <c r="X5" s="266"/>
      <c r="Y5" s="266"/>
      <c r="Z5" s="266"/>
      <c r="AA5" s="266"/>
      <c r="AB5" s="266"/>
      <c r="AC5" s="266"/>
      <c r="AD5" s="266"/>
      <c r="AE5" s="338"/>
      <c r="AF5" s="266"/>
      <c r="AG5" s="266"/>
    </row>
    <row r="6" spans="1:33" ht="20.25" customHeight="1">
      <c r="A6" s="74" t="s">
        <v>219</v>
      </c>
      <c r="B6" s="337">
        <f>VLOOKUP(A6,ROTEIRO!$B$3:$O$165,7, FALSE())</f>
        <v>0</v>
      </c>
      <c r="C6" s="338"/>
      <c r="D6" s="266"/>
      <c r="E6" s="338"/>
      <c r="F6" s="266"/>
      <c r="G6" s="338"/>
      <c r="H6" s="266"/>
      <c r="I6" s="338"/>
      <c r="J6" s="338"/>
      <c r="K6" s="266"/>
      <c r="L6" s="338"/>
      <c r="M6" s="266"/>
      <c r="N6" s="338"/>
      <c r="O6" s="266"/>
      <c r="P6" s="338"/>
      <c r="Q6" s="338"/>
      <c r="R6" s="266"/>
      <c r="S6" s="338"/>
      <c r="T6" s="266"/>
      <c r="U6" s="338"/>
      <c r="V6" s="266"/>
      <c r="W6" s="338"/>
      <c r="X6" s="338"/>
      <c r="Y6" s="266"/>
      <c r="Z6" s="338"/>
      <c r="AA6" s="266"/>
      <c r="AB6" s="338"/>
      <c r="AC6" s="266"/>
      <c r="AD6" s="338"/>
      <c r="AE6" s="338"/>
      <c r="AF6" s="266"/>
      <c r="AG6" s="338"/>
    </row>
    <row r="7" spans="1:33" ht="20.25" customHeight="1">
      <c r="A7" s="74" t="s">
        <v>232</v>
      </c>
      <c r="B7" s="337">
        <f>VLOOKUP(A7,ROTEIRO!$B$3:$O$165,7, FALSE())</f>
        <v>0</v>
      </c>
      <c r="C7" s="338"/>
      <c r="D7" s="266"/>
      <c r="E7" s="266"/>
      <c r="F7" s="266"/>
      <c r="G7" s="266"/>
      <c r="H7" s="266"/>
      <c r="I7" s="266"/>
      <c r="J7" s="338"/>
      <c r="K7" s="266"/>
      <c r="L7" s="266"/>
      <c r="M7" s="266"/>
      <c r="N7" s="338"/>
      <c r="O7" s="266"/>
      <c r="P7" s="266"/>
      <c r="Q7" s="338"/>
      <c r="R7" s="266"/>
      <c r="S7" s="266"/>
      <c r="T7" s="266"/>
      <c r="U7" s="266"/>
      <c r="V7" s="266"/>
      <c r="W7" s="266"/>
      <c r="X7" s="338"/>
      <c r="Y7" s="266"/>
      <c r="Z7" s="266"/>
      <c r="AA7" s="266"/>
      <c r="AB7" s="266"/>
      <c r="AC7" s="266"/>
      <c r="AD7" s="266"/>
      <c r="AE7" s="338"/>
      <c r="AF7" s="266"/>
      <c r="AG7" s="266"/>
    </row>
    <row r="8" spans="1:33" ht="20.25" customHeight="1">
      <c r="A8" s="74" t="s">
        <v>257</v>
      </c>
      <c r="B8" s="337">
        <f>VLOOKUP(A8,ROTEIRO!$B$3:$O$165,7, FALSE())</f>
        <v>0</v>
      </c>
      <c r="C8" s="266"/>
      <c r="D8" s="266"/>
      <c r="E8" s="266"/>
      <c r="F8" s="266"/>
      <c r="G8" s="266"/>
      <c r="H8" s="340"/>
      <c r="I8" s="266"/>
      <c r="J8" s="338"/>
      <c r="K8" s="266"/>
      <c r="L8" s="266"/>
      <c r="M8" s="266"/>
      <c r="N8" s="338"/>
      <c r="O8" s="340"/>
      <c r="P8" s="338"/>
      <c r="Q8" s="266"/>
      <c r="R8" s="266"/>
      <c r="S8" s="266"/>
      <c r="T8" s="266"/>
      <c r="U8" s="266"/>
      <c r="V8" s="340"/>
      <c r="W8" s="266"/>
      <c r="X8" s="338"/>
      <c r="Y8" s="266"/>
      <c r="Z8" s="266"/>
      <c r="AA8" s="266"/>
      <c r="AB8" s="266"/>
      <c r="AC8" s="340"/>
      <c r="AD8" s="338"/>
      <c r="AE8" s="266"/>
      <c r="AF8" s="266"/>
      <c r="AG8" s="266"/>
    </row>
    <row r="9" spans="1:33" ht="20.25" customHeight="1">
      <c r="A9" s="74" t="s">
        <v>266</v>
      </c>
      <c r="B9" s="337">
        <f>VLOOKUP(A9,ROTEIRO!$B$3:$O$165,7, FALSE())</f>
        <v>0</v>
      </c>
      <c r="C9" s="338"/>
      <c r="D9" s="340"/>
      <c r="E9" s="340"/>
      <c r="F9" s="340"/>
      <c r="G9" s="340"/>
      <c r="H9" s="340"/>
      <c r="I9" s="340"/>
      <c r="J9" s="338"/>
      <c r="K9" s="340"/>
      <c r="L9" s="340"/>
      <c r="M9" s="340"/>
      <c r="N9" s="338"/>
      <c r="O9" s="340"/>
      <c r="P9" s="340"/>
      <c r="Q9" s="338"/>
      <c r="R9" s="340"/>
      <c r="S9" s="340"/>
      <c r="T9" s="340"/>
      <c r="U9" s="340"/>
      <c r="V9" s="340"/>
      <c r="W9" s="340"/>
      <c r="X9" s="338"/>
      <c r="Y9" s="340"/>
      <c r="Z9" s="340"/>
      <c r="AA9" s="340"/>
      <c r="AB9" s="340"/>
      <c r="AC9" s="340"/>
      <c r="AD9" s="340"/>
      <c r="AE9" s="338"/>
      <c r="AF9" s="340"/>
      <c r="AG9" s="340"/>
    </row>
    <row r="10" spans="1:33" ht="20.25" customHeight="1">
      <c r="A10" s="74" t="s">
        <v>277</v>
      </c>
      <c r="B10" s="337">
        <f>VLOOKUP(A10,ROTEIRO!$B$3:$O$165,7, FALSE())</f>
        <v>0</v>
      </c>
      <c r="C10" s="338"/>
      <c r="D10" s="340"/>
      <c r="E10" s="340"/>
      <c r="F10" s="340"/>
      <c r="G10" s="340"/>
      <c r="H10" s="340"/>
      <c r="I10" s="338"/>
      <c r="J10" s="338"/>
      <c r="K10" s="340"/>
      <c r="L10" s="340"/>
      <c r="M10" s="340"/>
      <c r="N10" s="338"/>
      <c r="O10" s="340"/>
      <c r="P10" s="338"/>
      <c r="Q10" s="338"/>
      <c r="R10" s="340"/>
      <c r="S10" s="340"/>
      <c r="T10" s="340"/>
      <c r="U10" s="340"/>
      <c r="V10" s="340"/>
      <c r="W10" s="338"/>
      <c r="X10" s="338"/>
      <c r="Y10" s="340"/>
      <c r="Z10" s="340"/>
      <c r="AA10" s="340"/>
      <c r="AB10" s="340"/>
      <c r="AC10" s="340"/>
      <c r="AD10" s="338"/>
      <c r="AE10" s="338"/>
      <c r="AF10" s="340"/>
      <c r="AG10" s="340"/>
    </row>
    <row r="11" spans="1:33" ht="20.25" customHeight="1">
      <c r="A11" s="146" t="s">
        <v>302</v>
      </c>
      <c r="B11" s="342">
        <f>VLOOKUP(A11,ROTEIRO!$B$3:$O$165,7, FALSE())</f>
        <v>0</v>
      </c>
      <c r="C11" s="343"/>
      <c r="D11" s="343"/>
      <c r="E11" s="343"/>
      <c r="F11" s="343"/>
      <c r="G11" s="343"/>
      <c r="H11" s="345"/>
      <c r="I11" s="343"/>
      <c r="J11" s="343"/>
      <c r="K11" s="343"/>
      <c r="L11" s="343"/>
      <c r="M11" s="343"/>
      <c r="N11" s="343"/>
      <c r="O11" s="345"/>
      <c r="P11" s="343"/>
      <c r="Q11" s="343"/>
      <c r="R11" s="343"/>
      <c r="S11" s="343"/>
      <c r="T11" s="343"/>
      <c r="U11" s="343"/>
      <c r="V11" s="345"/>
      <c r="W11" s="343"/>
      <c r="X11" s="343"/>
      <c r="Y11" s="343"/>
      <c r="Z11" s="343"/>
      <c r="AA11" s="343"/>
      <c r="AB11" s="343"/>
      <c r="AC11" s="345"/>
      <c r="AD11" s="343"/>
      <c r="AE11" s="343"/>
      <c r="AF11" s="343"/>
      <c r="AG11" s="343"/>
    </row>
    <row r="12" spans="1:33" ht="20.25" customHeight="1">
      <c r="A12" s="74" t="s">
        <v>310</v>
      </c>
      <c r="B12" s="337">
        <f>VLOOKUP(A12,ROTEIRO!$B$3:$O$165,7, FALSE())</f>
        <v>0</v>
      </c>
      <c r="C12" s="338"/>
      <c r="D12" s="340"/>
      <c r="E12" s="340"/>
      <c r="F12" s="340"/>
      <c r="G12" s="340"/>
      <c r="H12" s="340"/>
      <c r="I12" s="340"/>
      <c r="J12" s="338"/>
      <c r="K12" s="340"/>
      <c r="L12" s="340"/>
      <c r="M12" s="340"/>
      <c r="N12" s="338"/>
      <c r="O12" s="340"/>
      <c r="P12" s="340"/>
      <c r="Q12" s="338"/>
      <c r="R12" s="340"/>
      <c r="S12" s="340"/>
      <c r="T12" s="340"/>
      <c r="U12" s="340"/>
      <c r="V12" s="340"/>
      <c r="W12" s="340"/>
      <c r="X12" s="338"/>
      <c r="Y12" s="340"/>
      <c r="Z12" s="340"/>
      <c r="AA12" s="340"/>
      <c r="AB12" s="340"/>
      <c r="AC12" s="340"/>
      <c r="AD12" s="340"/>
      <c r="AE12" s="338"/>
      <c r="AF12" s="340"/>
      <c r="AG12" s="340"/>
    </row>
    <row r="13" spans="1:33" ht="20.25" customHeight="1">
      <c r="A13" s="74" t="s">
        <v>321</v>
      </c>
      <c r="B13" s="337">
        <f>VLOOKUP(A13,ROTEIRO!$B$3:$O$165,7, FALSE())</f>
        <v>0</v>
      </c>
      <c r="C13" s="340"/>
      <c r="D13" s="340"/>
      <c r="E13" s="340"/>
      <c r="F13" s="340"/>
      <c r="G13" s="340"/>
      <c r="H13" s="340"/>
      <c r="I13" s="338"/>
      <c r="J13" s="340"/>
      <c r="K13" s="340"/>
      <c r="L13" s="340"/>
      <c r="M13" s="340"/>
      <c r="N13" s="338"/>
      <c r="O13" s="340"/>
      <c r="P13" s="338"/>
      <c r="Q13" s="340"/>
      <c r="R13" s="340"/>
      <c r="S13" s="340"/>
      <c r="T13" s="340"/>
      <c r="U13" s="340"/>
      <c r="V13" s="340"/>
      <c r="W13" s="338"/>
      <c r="X13" s="340"/>
      <c r="Y13" s="340"/>
      <c r="Z13" s="340"/>
      <c r="AA13" s="340"/>
      <c r="AB13" s="340"/>
      <c r="AC13" s="340"/>
      <c r="AD13" s="338"/>
      <c r="AE13" s="340"/>
      <c r="AF13" s="340"/>
      <c r="AG13" s="340"/>
    </row>
    <row r="14" spans="1:33" ht="20.25" customHeight="1">
      <c r="A14" s="74" t="s">
        <v>340</v>
      </c>
      <c r="B14" s="337">
        <f>VLOOKUP(A14,ROTEIRO!$B$3:$O$165,7, FALSE())</f>
        <v>0</v>
      </c>
      <c r="C14" s="338"/>
      <c r="D14" s="340"/>
      <c r="E14" s="340"/>
      <c r="F14" s="340"/>
      <c r="G14" s="340"/>
      <c r="H14" s="340"/>
      <c r="I14" s="340"/>
      <c r="J14" s="338"/>
      <c r="K14" s="340"/>
      <c r="L14" s="340"/>
      <c r="M14" s="340"/>
      <c r="N14" s="338"/>
      <c r="O14" s="340"/>
      <c r="P14" s="340"/>
      <c r="Q14" s="338"/>
      <c r="R14" s="340"/>
      <c r="S14" s="340"/>
      <c r="T14" s="340"/>
      <c r="U14" s="340"/>
      <c r="V14" s="340"/>
      <c r="W14" s="340"/>
      <c r="X14" s="338"/>
      <c r="Y14" s="340"/>
      <c r="Z14" s="340"/>
      <c r="AA14" s="340"/>
      <c r="AB14" s="340"/>
      <c r="AC14" s="340"/>
      <c r="AD14" s="340"/>
      <c r="AE14" s="338"/>
      <c r="AF14" s="340"/>
      <c r="AG14" s="340"/>
    </row>
    <row r="15" spans="1:33" ht="3.75" customHeight="1">
      <c r="C15" s="346"/>
      <c r="D15" s="347"/>
      <c r="E15" s="346"/>
      <c r="F15" s="285"/>
      <c r="G15" s="346"/>
      <c r="H15" s="285"/>
      <c r="I15" s="346"/>
      <c r="J15" s="285"/>
      <c r="K15" s="349"/>
      <c r="L15" s="285"/>
      <c r="M15" s="346"/>
      <c r="N15" s="285"/>
      <c r="O15" s="346"/>
      <c r="P15" s="285"/>
      <c r="Q15" s="346"/>
      <c r="R15" s="347"/>
      <c r="S15" s="346"/>
      <c r="T15" s="285"/>
      <c r="U15" s="346"/>
      <c r="V15" s="285"/>
      <c r="W15" s="346"/>
      <c r="X15" s="285"/>
      <c r="Y15" s="349"/>
      <c r="Z15" s="285"/>
      <c r="AA15" s="346"/>
      <c r="AB15" s="285"/>
      <c r="AC15" s="346"/>
      <c r="AD15" s="347"/>
      <c r="AE15" s="346"/>
      <c r="AF15" s="347"/>
      <c r="AG15" s="346"/>
    </row>
    <row r="16" spans="1:33" ht="34.5" customHeight="1">
      <c r="A16" s="333"/>
      <c r="B16" s="334" t="s">
        <v>2807</v>
      </c>
      <c r="C16" s="274"/>
      <c r="D16" s="274"/>
      <c r="E16" s="274"/>
      <c r="F16" s="274"/>
      <c r="G16" s="274"/>
      <c r="H16" s="274"/>
      <c r="I16" s="274"/>
      <c r="J16" s="274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  <c r="AA16" s="274"/>
      <c r="AB16" s="274"/>
      <c r="AC16" s="274"/>
      <c r="AD16" s="274"/>
      <c r="AE16" s="274"/>
      <c r="AF16" s="274"/>
      <c r="AG16" s="274"/>
    </row>
    <row r="17" spans="1:33" ht="15.75" customHeight="1">
      <c r="A17" s="561">
        <v>45200</v>
      </c>
      <c r="B17" s="478"/>
      <c r="C17" s="259">
        <f t="shared" ref="C17:AG17" si="2">C18</f>
        <v>45200</v>
      </c>
      <c r="D17" s="259">
        <f t="shared" si="2"/>
        <v>45201</v>
      </c>
      <c r="E17" s="259">
        <f t="shared" si="2"/>
        <v>45202</v>
      </c>
      <c r="F17" s="259">
        <f t="shared" si="2"/>
        <v>45203</v>
      </c>
      <c r="G17" s="259">
        <f t="shared" si="2"/>
        <v>45204</v>
      </c>
      <c r="H17" s="259">
        <f t="shared" si="2"/>
        <v>45205</v>
      </c>
      <c r="I17" s="259">
        <f t="shared" si="2"/>
        <v>45206</v>
      </c>
      <c r="J17" s="259">
        <f t="shared" si="2"/>
        <v>45207</v>
      </c>
      <c r="K17" s="259">
        <f t="shared" si="2"/>
        <v>45208</v>
      </c>
      <c r="L17" s="259">
        <f t="shared" si="2"/>
        <v>45209</v>
      </c>
      <c r="M17" s="259">
        <f t="shared" si="2"/>
        <v>45210</v>
      </c>
      <c r="N17" s="259">
        <f t="shared" si="2"/>
        <v>45211</v>
      </c>
      <c r="O17" s="259">
        <f t="shared" si="2"/>
        <v>45212</v>
      </c>
      <c r="P17" s="259">
        <f t="shared" si="2"/>
        <v>45213</v>
      </c>
      <c r="Q17" s="259">
        <f t="shared" si="2"/>
        <v>45214</v>
      </c>
      <c r="R17" s="259">
        <f t="shared" si="2"/>
        <v>45215</v>
      </c>
      <c r="S17" s="259">
        <f t="shared" si="2"/>
        <v>45216</v>
      </c>
      <c r="T17" s="259">
        <f t="shared" si="2"/>
        <v>45217</v>
      </c>
      <c r="U17" s="259">
        <f t="shared" si="2"/>
        <v>45218</v>
      </c>
      <c r="V17" s="259">
        <f t="shared" si="2"/>
        <v>45219</v>
      </c>
      <c r="W17" s="259">
        <f t="shared" si="2"/>
        <v>45220</v>
      </c>
      <c r="X17" s="259">
        <f t="shared" si="2"/>
        <v>45221</v>
      </c>
      <c r="Y17" s="259">
        <f t="shared" si="2"/>
        <v>45222</v>
      </c>
      <c r="Z17" s="259">
        <f t="shared" si="2"/>
        <v>45223</v>
      </c>
      <c r="AA17" s="259">
        <f t="shared" si="2"/>
        <v>45224</v>
      </c>
      <c r="AB17" s="259">
        <f t="shared" si="2"/>
        <v>45225</v>
      </c>
      <c r="AC17" s="259">
        <f t="shared" si="2"/>
        <v>45226</v>
      </c>
      <c r="AD17" s="259">
        <f t="shared" si="2"/>
        <v>45227</v>
      </c>
      <c r="AE17" s="259">
        <f t="shared" si="2"/>
        <v>45228</v>
      </c>
      <c r="AF17" s="259">
        <f t="shared" si="2"/>
        <v>45229</v>
      </c>
      <c r="AG17" s="259">
        <f t="shared" si="2"/>
        <v>45230</v>
      </c>
    </row>
    <row r="18" spans="1:33" ht="15.75" customHeight="1">
      <c r="A18" s="200" t="s">
        <v>2802</v>
      </c>
      <c r="B18" s="200" t="s">
        <v>2803</v>
      </c>
      <c r="C18" s="262">
        <f>A17</f>
        <v>45200</v>
      </c>
      <c r="D18" s="262">
        <f t="shared" ref="D18:AG18" si="3">C18+1</f>
        <v>45201</v>
      </c>
      <c r="E18" s="262">
        <f t="shared" si="3"/>
        <v>45202</v>
      </c>
      <c r="F18" s="262">
        <f t="shared" si="3"/>
        <v>45203</v>
      </c>
      <c r="G18" s="262">
        <f t="shared" si="3"/>
        <v>45204</v>
      </c>
      <c r="H18" s="262">
        <f t="shared" si="3"/>
        <v>45205</v>
      </c>
      <c r="I18" s="262">
        <f t="shared" si="3"/>
        <v>45206</v>
      </c>
      <c r="J18" s="262">
        <f t="shared" si="3"/>
        <v>45207</v>
      </c>
      <c r="K18" s="262">
        <f t="shared" si="3"/>
        <v>45208</v>
      </c>
      <c r="L18" s="262">
        <f t="shared" si="3"/>
        <v>45209</v>
      </c>
      <c r="M18" s="262">
        <f t="shared" si="3"/>
        <v>45210</v>
      </c>
      <c r="N18" s="262">
        <f t="shared" si="3"/>
        <v>45211</v>
      </c>
      <c r="O18" s="262">
        <f t="shared" si="3"/>
        <v>45212</v>
      </c>
      <c r="P18" s="262">
        <f t="shared" si="3"/>
        <v>45213</v>
      </c>
      <c r="Q18" s="262">
        <f t="shared" si="3"/>
        <v>45214</v>
      </c>
      <c r="R18" s="262">
        <f t="shared" si="3"/>
        <v>45215</v>
      </c>
      <c r="S18" s="262">
        <f t="shared" si="3"/>
        <v>45216</v>
      </c>
      <c r="T18" s="262">
        <f t="shared" si="3"/>
        <v>45217</v>
      </c>
      <c r="U18" s="262">
        <f t="shared" si="3"/>
        <v>45218</v>
      </c>
      <c r="V18" s="262">
        <f t="shared" si="3"/>
        <v>45219</v>
      </c>
      <c r="W18" s="262">
        <f t="shared" si="3"/>
        <v>45220</v>
      </c>
      <c r="X18" s="262">
        <f t="shared" si="3"/>
        <v>45221</v>
      </c>
      <c r="Y18" s="262">
        <f t="shared" si="3"/>
        <v>45222</v>
      </c>
      <c r="Z18" s="262">
        <f t="shared" si="3"/>
        <v>45223</v>
      </c>
      <c r="AA18" s="262">
        <f t="shared" si="3"/>
        <v>45224</v>
      </c>
      <c r="AB18" s="262">
        <f t="shared" si="3"/>
        <v>45225</v>
      </c>
      <c r="AC18" s="262">
        <f t="shared" si="3"/>
        <v>45226</v>
      </c>
      <c r="AD18" s="262">
        <f t="shared" si="3"/>
        <v>45227</v>
      </c>
      <c r="AE18" s="262">
        <f t="shared" si="3"/>
        <v>45228</v>
      </c>
      <c r="AF18" s="262">
        <f t="shared" si="3"/>
        <v>45229</v>
      </c>
      <c r="AG18" s="262">
        <f t="shared" si="3"/>
        <v>45230</v>
      </c>
    </row>
    <row r="19" spans="1:33" ht="20.25" customHeight="1">
      <c r="A19" s="74" t="s">
        <v>196</v>
      </c>
      <c r="B19" s="337" t="e">
        <f>VLOOKUP(A19,ROTEIRO!$B$3:$O$165,7, FALSE())</f>
        <v>#N/A</v>
      </c>
      <c r="C19" s="338"/>
      <c r="D19" s="340"/>
      <c r="E19" s="340"/>
      <c r="F19" s="340"/>
      <c r="G19" s="340"/>
      <c r="H19" s="266"/>
      <c r="I19" s="340"/>
      <c r="J19" s="338"/>
      <c r="K19" s="340"/>
      <c r="L19" s="340"/>
      <c r="M19" s="340"/>
      <c r="N19" s="338"/>
      <c r="O19" s="266"/>
      <c r="P19" s="340"/>
      <c r="Q19" s="338"/>
      <c r="R19" s="340"/>
      <c r="S19" s="340"/>
      <c r="T19" s="340"/>
      <c r="U19" s="340"/>
      <c r="V19" s="266"/>
      <c r="W19" s="340"/>
      <c r="X19" s="338"/>
      <c r="Y19" s="340"/>
      <c r="Z19" s="340"/>
      <c r="AA19" s="340"/>
      <c r="AB19" s="340"/>
      <c r="AC19" s="266"/>
      <c r="AD19" s="340"/>
      <c r="AE19" s="338"/>
      <c r="AF19" s="340"/>
      <c r="AG19" s="340"/>
    </row>
    <row r="20" spans="1:33" ht="20.25" customHeight="1">
      <c r="A20" s="74" t="s">
        <v>207</v>
      </c>
      <c r="B20" s="337" t="e">
        <f>VLOOKUP(A20,ROTEIRO!$B$3:$O$165,7, FALSE())</f>
        <v>#N/A</v>
      </c>
      <c r="C20" s="338"/>
      <c r="D20" s="338"/>
      <c r="E20" s="338"/>
      <c r="F20" s="338"/>
      <c r="G20" s="338"/>
      <c r="H20" s="338"/>
      <c r="I20" s="338"/>
      <c r="J20" s="340"/>
      <c r="K20" s="338"/>
      <c r="L20" s="338"/>
      <c r="M20" s="338"/>
      <c r="N20" s="338"/>
      <c r="O20" s="338"/>
      <c r="P20" s="340"/>
      <c r="Q20" s="338"/>
      <c r="R20" s="338"/>
      <c r="S20" s="338"/>
      <c r="T20" s="338"/>
      <c r="U20" s="338"/>
      <c r="V20" s="338"/>
      <c r="W20" s="338"/>
      <c r="X20" s="340"/>
      <c r="Y20" s="338"/>
      <c r="Z20" s="338"/>
      <c r="AA20" s="338"/>
      <c r="AB20" s="338"/>
      <c r="AC20" s="338"/>
      <c r="AD20" s="340"/>
      <c r="AE20" s="338"/>
      <c r="AF20" s="338"/>
      <c r="AG20" s="338"/>
    </row>
    <row r="21" spans="1:33" ht="20.25" customHeight="1">
      <c r="A21" s="74" t="s">
        <v>219</v>
      </c>
      <c r="B21" s="337">
        <f>VLOOKUP(A21,ROTEIRO!$B$3:$O$165,7, FALSE())</f>
        <v>0</v>
      </c>
      <c r="C21" s="338"/>
      <c r="D21" s="340"/>
      <c r="E21" s="338"/>
      <c r="F21" s="340"/>
      <c r="G21" s="338"/>
      <c r="H21" s="340"/>
      <c r="I21" s="338"/>
      <c r="J21" s="338"/>
      <c r="K21" s="340"/>
      <c r="L21" s="338"/>
      <c r="M21" s="340"/>
      <c r="N21" s="338"/>
      <c r="O21" s="340"/>
      <c r="P21" s="338"/>
      <c r="Q21" s="338"/>
      <c r="R21" s="340"/>
      <c r="S21" s="338"/>
      <c r="T21" s="340"/>
      <c r="U21" s="338"/>
      <c r="V21" s="340"/>
      <c r="W21" s="338"/>
      <c r="X21" s="338"/>
      <c r="Y21" s="340"/>
      <c r="Z21" s="338"/>
      <c r="AA21" s="340"/>
      <c r="AB21" s="338"/>
      <c r="AC21" s="340"/>
      <c r="AD21" s="338"/>
      <c r="AE21" s="338"/>
      <c r="AF21" s="340"/>
      <c r="AG21" s="338"/>
    </row>
    <row r="22" spans="1:33" ht="20.25" customHeight="1">
      <c r="A22" s="74" t="s">
        <v>232</v>
      </c>
      <c r="B22" s="337">
        <f>VLOOKUP(A22,ROTEIRO!$B$3:$O$165,7, FALSE())</f>
        <v>0</v>
      </c>
      <c r="C22" s="338"/>
      <c r="D22" s="340"/>
      <c r="E22" s="340"/>
      <c r="F22" s="340"/>
      <c r="G22" s="340"/>
      <c r="H22" s="340"/>
      <c r="I22" s="340"/>
      <c r="J22" s="338"/>
      <c r="K22" s="340"/>
      <c r="L22" s="340"/>
      <c r="M22" s="340"/>
      <c r="N22" s="338"/>
      <c r="O22" s="340"/>
      <c r="P22" s="340"/>
      <c r="Q22" s="338"/>
      <c r="R22" s="340"/>
      <c r="S22" s="340"/>
      <c r="T22" s="340"/>
      <c r="U22" s="340"/>
      <c r="V22" s="340"/>
      <c r="W22" s="340"/>
      <c r="X22" s="338"/>
      <c r="Y22" s="340"/>
      <c r="Z22" s="340"/>
      <c r="AA22" s="340"/>
      <c r="AB22" s="340"/>
      <c r="AC22" s="340"/>
      <c r="AD22" s="340"/>
      <c r="AE22" s="338"/>
      <c r="AF22" s="340"/>
      <c r="AG22" s="340"/>
    </row>
    <row r="23" spans="1:33" ht="20.25" customHeight="1">
      <c r="A23" s="74" t="s">
        <v>257</v>
      </c>
      <c r="B23" s="337">
        <f>VLOOKUP(A23,ROTEIRO!$B$3:$O$165,7, FALSE())</f>
        <v>0</v>
      </c>
      <c r="C23" s="340"/>
      <c r="D23" s="340"/>
      <c r="E23" s="340"/>
      <c r="F23" s="340"/>
      <c r="G23" s="340"/>
      <c r="H23" s="340"/>
      <c r="I23" s="340"/>
      <c r="J23" s="338"/>
      <c r="K23" s="340"/>
      <c r="L23" s="340"/>
      <c r="M23" s="340"/>
      <c r="N23" s="338"/>
      <c r="O23" s="340"/>
      <c r="P23" s="338"/>
      <c r="Q23" s="340"/>
      <c r="R23" s="340"/>
      <c r="S23" s="340"/>
      <c r="T23" s="340"/>
      <c r="U23" s="340"/>
      <c r="V23" s="340"/>
      <c r="W23" s="340"/>
      <c r="X23" s="338"/>
      <c r="Y23" s="340"/>
      <c r="Z23" s="340"/>
      <c r="AA23" s="340"/>
      <c r="AB23" s="340"/>
      <c r="AC23" s="340"/>
      <c r="AD23" s="338"/>
      <c r="AE23" s="340"/>
      <c r="AF23" s="340"/>
      <c r="AG23" s="340"/>
    </row>
    <row r="24" spans="1:33" ht="20.25" customHeight="1">
      <c r="A24" s="74" t="s">
        <v>266</v>
      </c>
      <c r="B24" s="337">
        <f>VLOOKUP(A24,ROTEIRO!$B$3:$O$165,7, FALSE())</f>
        <v>0</v>
      </c>
      <c r="C24" s="338"/>
      <c r="D24" s="266"/>
      <c r="E24" s="340"/>
      <c r="F24" s="266"/>
      <c r="G24" s="266"/>
      <c r="H24" s="338"/>
      <c r="I24" s="338"/>
      <c r="J24" s="338"/>
      <c r="K24" s="266"/>
      <c r="L24" s="340"/>
      <c r="M24" s="266"/>
      <c r="N24" s="338"/>
      <c r="O24" s="338"/>
      <c r="P24" s="338"/>
      <c r="Q24" s="338"/>
      <c r="R24" s="266"/>
      <c r="S24" s="340"/>
      <c r="T24" s="266"/>
      <c r="U24" s="266"/>
      <c r="V24" s="338"/>
      <c r="W24" s="338"/>
      <c r="X24" s="338"/>
      <c r="Y24" s="266"/>
      <c r="Z24" s="340"/>
      <c r="AA24" s="266"/>
      <c r="AB24" s="266"/>
      <c r="AC24" s="338"/>
      <c r="AD24" s="338"/>
      <c r="AE24" s="338"/>
      <c r="AF24" s="266"/>
      <c r="AG24" s="340"/>
    </row>
    <row r="25" spans="1:33" ht="20.25" customHeight="1">
      <c r="A25" s="74" t="s">
        <v>277</v>
      </c>
      <c r="B25" s="337">
        <f>VLOOKUP(A25,ROTEIRO!$B$3:$O$165,7, FALSE())</f>
        <v>0</v>
      </c>
      <c r="C25" s="338"/>
      <c r="D25" s="338"/>
      <c r="E25" s="340"/>
      <c r="F25" s="338"/>
      <c r="G25" s="338"/>
      <c r="H25" s="338"/>
      <c r="I25" s="338"/>
      <c r="J25" s="338"/>
      <c r="K25" s="338"/>
      <c r="L25" s="340"/>
      <c r="M25" s="338"/>
      <c r="N25" s="338"/>
      <c r="O25" s="338"/>
      <c r="P25" s="338"/>
      <c r="Q25" s="338"/>
      <c r="R25" s="338"/>
      <c r="S25" s="340"/>
      <c r="T25" s="338"/>
      <c r="U25" s="338"/>
      <c r="V25" s="338"/>
      <c r="W25" s="338"/>
      <c r="X25" s="338"/>
      <c r="Y25" s="338"/>
      <c r="Z25" s="340"/>
      <c r="AA25" s="338"/>
      <c r="AB25" s="338"/>
      <c r="AC25" s="338"/>
      <c r="AD25" s="338"/>
      <c r="AE25" s="338"/>
      <c r="AF25" s="338"/>
      <c r="AG25" s="340"/>
    </row>
    <row r="26" spans="1:33" ht="20.25" customHeight="1">
      <c r="A26" s="146" t="s">
        <v>302</v>
      </c>
      <c r="B26" s="342">
        <f>VLOOKUP(A26,ROTEIRO!$B$3:$O$165,7, FALSE())</f>
        <v>0</v>
      </c>
      <c r="C26" s="345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</row>
    <row r="27" spans="1:33" ht="20.25" customHeight="1">
      <c r="A27" s="74" t="s">
        <v>310</v>
      </c>
      <c r="B27" s="337">
        <f>VLOOKUP(A27,ROTEIRO!$B$3:$O$165,7, FALSE())</f>
        <v>0</v>
      </c>
      <c r="C27" s="338"/>
      <c r="D27" s="340"/>
      <c r="E27" s="340"/>
      <c r="F27" s="340"/>
      <c r="G27" s="340"/>
      <c r="H27" s="340"/>
      <c r="I27" s="338"/>
      <c r="J27" s="338"/>
      <c r="K27" s="340"/>
      <c r="L27" s="340"/>
      <c r="M27" s="340"/>
      <c r="N27" s="338"/>
      <c r="O27" s="340"/>
      <c r="P27" s="338"/>
      <c r="Q27" s="338"/>
      <c r="R27" s="340"/>
      <c r="S27" s="340"/>
      <c r="T27" s="340"/>
      <c r="U27" s="340"/>
      <c r="V27" s="340"/>
      <c r="W27" s="338"/>
      <c r="X27" s="338"/>
      <c r="Y27" s="340"/>
      <c r="Z27" s="340"/>
      <c r="AA27" s="340"/>
      <c r="AB27" s="340"/>
      <c r="AC27" s="340"/>
      <c r="AD27" s="338"/>
      <c r="AE27" s="338"/>
      <c r="AF27" s="340"/>
      <c r="AG27" s="340"/>
    </row>
    <row r="28" spans="1:33" ht="20.25" customHeight="1">
      <c r="A28" s="74" t="s">
        <v>321</v>
      </c>
      <c r="B28" s="337">
        <f>VLOOKUP(A28,ROTEIRO!$B$3:$O$165,7, FALSE())</f>
        <v>0</v>
      </c>
      <c r="C28" s="338"/>
      <c r="D28" s="338"/>
      <c r="E28" s="340"/>
      <c r="F28" s="338"/>
      <c r="G28" s="340"/>
      <c r="H28" s="338"/>
      <c r="I28" s="338"/>
      <c r="J28" s="338"/>
      <c r="K28" s="338"/>
      <c r="L28" s="340"/>
      <c r="M28" s="338"/>
      <c r="N28" s="338"/>
      <c r="O28" s="338"/>
      <c r="P28" s="338"/>
      <c r="Q28" s="338"/>
      <c r="R28" s="338"/>
      <c r="S28" s="340"/>
      <c r="T28" s="338"/>
      <c r="U28" s="340"/>
      <c r="V28" s="338"/>
      <c r="W28" s="338"/>
      <c r="X28" s="338"/>
      <c r="Y28" s="338"/>
      <c r="Z28" s="340"/>
      <c r="AA28" s="338"/>
      <c r="AB28" s="340"/>
      <c r="AC28" s="338"/>
      <c r="AD28" s="338"/>
      <c r="AE28" s="338"/>
      <c r="AF28" s="338"/>
      <c r="AG28" s="340"/>
    </row>
    <row r="29" spans="1:33" ht="20.25" customHeight="1">
      <c r="A29" s="74" t="s">
        <v>340</v>
      </c>
      <c r="B29" s="337">
        <f>VLOOKUP(A29,ROTEIRO!$B$3:$O$165,7, FALSE())</f>
        <v>0</v>
      </c>
      <c r="C29" s="338"/>
      <c r="D29" s="340"/>
      <c r="E29" s="340"/>
      <c r="F29" s="340"/>
      <c r="G29" s="340"/>
      <c r="H29" s="340"/>
      <c r="I29" s="338"/>
      <c r="J29" s="338"/>
      <c r="K29" s="340"/>
      <c r="L29" s="340"/>
      <c r="M29" s="340"/>
      <c r="N29" s="338"/>
      <c r="O29" s="340"/>
      <c r="P29" s="338"/>
      <c r="Q29" s="338"/>
      <c r="R29" s="340"/>
      <c r="S29" s="340"/>
      <c r="T29" s="340"/>
      <c r="U29" s="340"/>
      <c r="V29" s="340"/>
      <c r="W29" s="338"/>
      <c r="X29" s="338"/>
      <c r="Y29" s="340"/>
      <c r="Z29" s="340"/>
      <c r="AA29" s="340"/>
      <c r="AB29" s="340"/>
      <c r="AC29" s="340"/>
      <c r="AD29" s="338"/>
      <c r="AE29" s="338"/>
      <c r="AF29" s="340"/>
      <c r="AG29" s="340"/>
    </row>
    <row r="30" spans="1:33" ht="15.75" customHeight="1"/>
    <row r="31" spans="1:33" ht="15.75" customHeight="1"/>
    <row r="32" spans="1:3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2">
    <mergeCell ref="A2:B2"/>
    <mergeCell ref="A17:B17"/>
  </mergeCells>
  <printOptions horizontalCentered="1" verticalCentered="1"/>
  <pageMargins left="0.30629921259842519" right="0.30629921259842519" top="0.35629921259842523" bottom="0.75" header="0" footer="0"/>
  <pageSetup paperSize="9" fitToHeight="0" pageOrder="overThenDown" orientation="landscape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BO519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 outlineLevelCol="1"/>
  <cols>
    <col min="1" max="1" width="10.140625" customWidth="1"/>
    <col min="2" max="2" width="11.42578125" customWidth="1"/>
    <col min="3" max="3" width="4" customWidth="1" outlineLevel="1"/>
    <col min="4" max="4" width="7" customWidth="1" outlineLevel="1"/>
    <col min="5" max="5" width="7" customWidth="1"/>
    <col min="6" max="6" width="38.85546875" customWidth="1"/>
    <col min="7" max="7" width="36" customWidth="1"/>
    <col min="8" max="8" width="7.42578125" customWidth="1"/>
    <col min="9" max="9" width="5.7109375" customWidth="1"/>
    <col min="10" max="10" width="5.7109375" hidden="1" customWidth="1"/>
    <col min="11" max="11" width="5.7109375" customWidth="1"/>
    <col min="12" max="12" width="5.7109375" hidden="1" customWidth="1"/>
    <col min="13" max="13" width="5.7109375" customWidth="1"/>
    <col min="14" max="14" width="5.7109375" hidden="1" customWidth="1"/>
    <col min="15" max="15" width="5.7109375" customWidth="1"/>
    <col min="16" max="16" width="5.7109375" hidden="1" customWidth="1"/>
    <col min="17" max="17" width="5.7109375" customWidth="1"/>
    <col min="18" max="18" width="5.7109375" hidden="1" customWidth="1"/>
    <col min="19" max="19" width="5.7109375" customWidth="1"/>
    <col min="20" max="20" width="5.7109375" hidden="1" customWidth="1"/>
    <col min="21" max="22" width="5.7109375" customWidth="1"/>
    <col min="23" max="23" width="63.85546875" customWidth="1" outlineLevel="1"/>
    <col min="24" max="24" width="12.42578125" customWidth="1" outlineLevel="1"/>
    <col min="25" max="25" width="25.42578125" customWidth="1" outlineLevel="1"/>
    <col min="26" max="28" width="10.7109375" customWidth="1" outlineLevel="1"/>
    <col min="29" max="33" width="9.42578125" customWidth="1" outlineLevel="1"/>
    <col min="34" max="35" width="10.5703125" customWidth="1" outlineLevel="1"/>
    <col min="36" max="36" width="7.7109375" customWidth="1" outlineLevel="1"/>
    <col min="37" max="37" width="5.42578125" customWidth="1"/>
    <col min="38" max="67" width="2.7109375" customWidth="1"/>
  </cols>
  <sheetData>
    <row r="1" spans="1:67" ht="15.75" customHeight="1">
      <c r="A1" s="350" t="s">
        <v>2810</v>
      </c>
      <c r="B1" s="351">
        <v>1.8333333333333333</v>
      </c>
      <c r="C1" s="561">
        <v>45413</v>
      </c>
      <c r="D1" s="477"/>
      <c r="E1" s="477"/>
      <c r="F1" s="478"/>
      <c r="I1" s="259" t="s">
        <v>2811</v>
      </c>
      <c r="J1" s="259" t="s">
        <v>2811</v>
      </c>
      <c r="K1" s="259" t="s">
        <v>2812</v>
      </c>
      <c r="L1" s="259" t="s">
        <v>2812</v>
      </c>
      <c r="M1" s="259" t="s">
        <v>2813</v>
      </c>
      <c r="N1" s="259" t="s">
        <v>2813</v>
      </c>
      <c r="O1" s="259" t="s">
        <v>2814</v>
      </c>
      <c r="P1" s="259" t="s">
        <v>2814</v>
      </c>
      <c r="Q1" s="259" t="s">
        <v>2815</v>
      </c>
      <c r="R1" s="259" t="s">
        <v>2815</v>
      </c>
      <c r="S1" s="259" t="s">
        <v>2816</v>
      </c>
      <c r="T1" s="259" t="s">
        <v>2816</v>
      </c>
      <c r="U1" s="259" t="s">
        <v>2817</v>
      </c>
      <c r="V1" s="259" t="s">
        <v>2817</v>
      </c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274"/>
      <c r="AL1" s="274"/>
      <c r="AM1" s="274"/>
      <c r="AN1" s="274"/>
      <c r="AO1" s="274"/>
      <c r="AP1" s="274"/>
      <c r="AQ1" s="274"/>
      <c r="AR1" s="274"/>
      <c r="AS1" s="274"/>
      <c r="AT1" s="274"/>
      <c r="AU1" s="274"/>
      <c r="AV1" s="274"/>
      <c r="AW1" s="274"/>
      <c r="AX1" s="274"/>
      <c r="AY1" s="274"/>
      <c r="AZ1" s="274"/>
      <c r="BA1" s="274"/>
      <c r="BB1" s="274"/>
      <c r="BC1" s="274"/>
      <c r="BD1" s="274"/>
      <c r="BE1" s="274"/>
      <c r="BF1" s="274"/>
      <c r="BG1" s="274"/>
      <c r="BH1" s="274"/>
      <c r="BI1" s="274"/>
      <c r="BJ1" s="274"/>
      <c r="BK1" s="274"/>
      <c r="BL1" s="274"/>
      <c r="BM1" s="274"/>
      <c r="BN1" s="274"/>
      <c r="BO1" s="274"/>
    </row>
    <row r="2" spans="1:67" ht="15.75" customHeight="1">
      <c r="C2" s="200" t="s">
        <v>2818</v>
      </c>
      <c r="D2" s="200" t="s">
        <v>2819</v>
      </c>
      <c r="E2" s="200" t="s">
        <v>2802</v>
      </c>
      <c r="F2" s="200" t="s">
        <v>2820</v>
      </c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00" t="s">
        <v>2821</v>
      </c>
      <c r="X2" s="200"/>
      <c r="Y2" s="355"/>
      <c r="Z2" s="200" t="s">
        <v>571</v>
      </c>
      <c r="AA2" s="200" t="str">
        <f>A15</f>
        <v>Alimentação</v>
      </c>
      <c r="AB2" s="200" t="s">
        <v>2822</v>
      </c>
      <c r="AC2" s="200" t="s">
        <v>2823</v>
      </c>
      <c r="AD2" s="200" t="str">
        <f>A6</f>
        <v>VT semanal</v>
      </c>
      <c r="AE2" s="200" t="s">
        <v>2824</v>
      </c>
      <c r="AF2" s="200" t="str">
        <f>A7</f>
        <v>Insalub sem.</v>
      </c>
      <c r="AG2" s="200" t="s">
        <v>2824</v>
      </c>
      <c r="AH2" s="200" t="str">
        <f>A9</f>
        <v>Tempo trabalhado</v>
      </c>
      <c r="AI2" s="7" t="s">
        <v>2825</v>
      </c>
      <c r="AJ2" s="200" t="s">
        <v>2758</v>
      </c>
      <c r="AK2" s="297"/>
      <c r="AL2" s="297"/>
      <c r="AM2" s="297"/>
      <c r="AN2" s="297"/>
      <c r="AO2" s="297"/>
      <c r="AP2" s="297"/>
      <c r="AQ2" s="297"/>
      <c r="AR2" s="297"/>
      <c r="AS2" s="297"/>
      <c r="AT2" s="297"/>
      <c r="AU2" s="297"/>
      <c r="AV2" s="297"/>
      <c r="AW2" s="297"/>
      <c r="AX2" s="297"/>
      <c r="AY2" s="297"/>
      <c r="AZ2" s="297"/>
      <c r="BA2" s="297"/>
      <c r="BB2" s="297"/>
      <c r="BC2" s="297"/>
      <c r="BD2" s="297"/>
      <c r="BE2" s="297"/>
      <c r="BF2" s="297"/>
      <c r="BG2" s="297"/>
      <c r="BH2" s="297"/>
      <c r="BI2" s="297"/>
      <c r="BJ2" s="297"/>
      <c r="BK2" s="297"/>
      <c r="BL2" s="297"/>
      <c r="BM2" s="297"/>
      <c r="BN2" s="297"/>
      <c r="BO2" s="297"/>
    </row>
    <row r="3" spans="1:67" ht="25.5" customHeight="1">
      <c r="A3" s="200" t="s">
        <v>2459</v>
      </c>
      <c r="B3" s="217" t="s">
        <v>2448</v>
      </c>
      <c r="C3" s="200">
        <v>1</v>
      </c>
      <c r="D3" s="361" t="str">
        <f t="shared" ref="D3:D11" si="0">$B$3</f>
        <v>R.01</v>
      </c>
      <c r="E3" s="74" t="str">
        <f t="shared" ref="E3:E11" si="1">IF(C3=0,,CONCATENATE(D3,"/",C3))</f>
        <v>R.01/1</v>
      </c>
      <c r="F3" s="337" t="e">
        <f>IF(C3=0,,VLOOKUP(E3,#REF!,4, FALSE()))</f>
        <v>#REF!</v>
      </c>
      <c r="G3" s="52" t="e">
        <f>IF(C3=0,,VLOOKUP(E3,#REF!,11, FALSE()))</f>
        <v>#REF!</v>
      </c>
      <c r="H3" s="21" t="e">
        <f>IF(C3=0,,VLOOKUP(E3,#REF!,12, FALSE()))</f>
        <v>#REF!</v>
      </c>
      <c r="I3" s="340" t="e">
        <f>IF(C3=0,,VLOOKUP(E3,#REF!,13, FALSE()))</f>
        <v>#REF!</v>
      </c>
      <c r="J3" s="371" t="e">
        <f>IF(C3=0,,VLOOKUP(E3,#REF!,14, FALSE()))</f>
        <v>#REF!</v>
      </c>
      <c r="K3" s="373" t="e">
        <f>IF(C3=0,,VLOOKUP(E3,#REF!,15, FALSE()))</f>
        <v>#REF!</v>
      </c>
      <c r="L3" s="373" t="e">
        <f>IF(C3=0,,VLOOKUP(E3,#REF!,16, FALSE()))</f>
        <v>#REF!</v>
      </c>
      <c r="M3" s="340" t="e">
        <f>IF(C3=0,,VLOOKUP(E3,#REF!,17, FALSE()))</f>
        <v>#REF!</v>
      </c>
      <c r="N3" s="371" t="e">
        <f>IF(C3=0,,VLOOKUP(E3,#REF!,18, FALSE()))</f>
        <v>#REF!</v>
      </c>
      <c r="O3" s="373" t="e">
        <f>IF(C3=0,,VLOOKUP(E3,#REF!,19, FALSE()))</f>
        <v>#REF!</v>
      </c>
      <c r="P3" s="373" t="e">
        <f>IF(C3=0,,VLOOKUP(E3,#REF!,20, FALSE()))</f>
        <v>#REF!</v>
      </c>
      <c r="Q3" s="340" t="e">
        <f>IF(C3=0,,VLOOKUP(E3,#REF!,21, FALSE()))</f>
        <v>#REF!</v>
      </c>
      <c r="R3" s="371" t="e">
        <f>IF(C3=0,,VLOOKUP(E3,#REF!,22, FALSE()))</f>
        <v>#REF!</v>
      </c>
      <c r="S3" s="373" t="e">
        <f>IF(C3=0,,VLOOKUP(E3,#REF!,23, FALSE()))</f>
        <v>#REF!</v>
      </c>
      <c r="T3" s="373" t="e">
        <f>IF(C3=0,,VLOOKUP(E3,#REF!,24, FALSE()))</f>
        <v>#REF!</v>
      </c>
      <c r="U3" s="340" t="e">
        <f>IF(C3=0,,VLOOKUP(E3,#REF!,25, FALSE()))</f>
        <v>#REF!</v>
      </c>
      <c r="V3" s="371" t="e">
        <f>IF(C3=0,,VLOOKUP(E3,#REF!,26, FALSE()))</f>
        <v>#REF!</v>
      </c>
      <c r="W3" s="380" t="e">
        <f>CONCATENATE(F3," + ",F4," + ",F5," + ",F6," + ",F7," + ",F8," + ",F9," + ",F10," + ",F11)</f>
        <v>#REF!</v>
      </c>
      <c r="X3" s="382" t="e">
        <f>IF(C3=0,,VLOOKUP(E3,#REF!,2, FALSE()))</f>
        <v>#REF!</v>
      </c>
      <c r="Y3" s="384" t="e">
        <f>IF(C3=0,,VLOOKUP(E3,#REF!,3, FALSE()))</f>
        <v>#REF!</v>
      </c>
      <c r="Z3" s="385" t="e">
        <f>VLOOKUP(Y3,#REF!,6, FALSE())</f>
        <v>#REF!</v>
      </c>
      <c r="AA3" s="74" t="str">
        <f>$B5</f>
        <v>Cesta Gd</v>
      </c>
      <c r="AB3" s="386" t="e">
        <f>IF(C3=0,,VLOOKUP(E3,#REF!,6, FALSE()))</f>
        <v>#REF!</v>
      </c>
      <c r="AC3" s="387">
        <f t="shared" ref="AC3:AC11" si="2">COUNTIF(AK3:BO3,"às")</f>
        <v>0</v>
      </c>
      <c r="AD3" s="74">
        <v>2</v>
      </c>
      <c r="AE3" s="74">
        <f t="shared" ref="AE3:AE11" si="3">AC3*AD3</f>
        <v>0</v>
      </c>
      <c r="AF3" s="74"/>
      <c r="AG3" s="74"/>
      <c r="AH3" s="388">
        <v>0.16666666666666666</v>
      </c>
      <c r="AI3" s="74" t="e">
        <f>B9+B10</f>
        <v>#REF!</v>
      </c>
      <c r="AJ3" s="389"/>
      <c r="AK3" s="287" t="e">
        <f t="shared" ref="AK3:BO3" si="4">(MID(#REF!, 7,2))</f>
        <v>#REF!</v>
      </c>
      <c r="AL3" s="287" t="e">
        <f t="shared" si="4"/>
        <v>#REF!</v>
      </c>
      <c r="AM3" s="287" t="e">
        <f t="shared" si="4"/>
        <v>#REF!</v>
      </c>
      <c r="AN3" s="287" t="e">
        <f t="shared" si="4"/>
        <v>#REF!</v>
      </c>
      <c r="AO3" s="287" t="e">
        <f t="shared" si="4"/>
        <v>#REF!</v>
      </c>
      <c r="AP3" s="287" t="e">
        <f t="shared" si="4"/>
        <v>#REF!</v>
      </c>
      <c r="AQ3" s="287" t="e">
        <f t="shared" si="4"/>
        <v>#REF!</v>
      </c>
      <c r="AR3" s="287" t="e">
        <f t="shared" si="4"/>
        <v>#REF!</v>
      </c>
      <c r="AS3" s="287" t="e">
        <f t="shared" si="4"/>
        <v>#REF!</v>
      </c>
      <c r="AT3" s="287" t="e">
        <f t="shared" si="4"/>
        <v>#REF!</v>
      </c>
      <c r="AU3" s="287" t="e">
        <f t="shared" si="4"/>
        <v>#REF!</v>
      </c>
      <c r="AV3" s="287" t="e">
        <f t="shared" si="4"/>
        <v>#REF!</v>
      </c>
      <c r="AW3" s="287" t="e">
        <f t="shared" si="4"/>
        <v>#REF!</v>
      </c>
      <c r="AX3" s="287" t="e">
        <f t="shared" si="4"/>
        <v>#REF!</v>
      </c>
      <c r="AY3" s="287" t="e">
        <f t="shared" si="4"/>
        <v>#REF!</v>
      </c>
      <c r="AZ3" s="287" t="e">
        <f t="shared" si="4"/>
        <v>#REF!</v>
      </c>
      <c r="BA3" s="287" t="e">
        <f t="shared" si="4"/>
        <v>#REF!</v>
      </c>
      <c r="BB3" s="287" t="e">
        <f t="shared" si="4"/>
        <v>#REF!</v>
      </c>
      <c r="BC3" s="287" t="e">
        <f t="shared" si="4"/>
        <v>#REF!</v>
      </c>
      <c r="BD3" s="287" t="e">
        <f t="shared" si="4"/>
        <v>#REF!</v>
      </c>
      <c r="BE3" s="287" t="e">
        <f t="shared" si="4"/>
        <v>#REF!</v>
      </c>
      <c r="BF3" s="287" t="e">
        <f t="shared" si="4"/>
        <v>#REF!</v>
      </c>
      <c r="BG3" s="287" t="e">
        <f t="shared" si="4"/>
        <v>#REF!</v>
      </c>
      <c r="BH3" s="287" t="e">
        <f t="shared" si="4"/>
        <v>#REF!</v>
      </c>
      <c r="BI3" s="287" t="e">
        <f t="shared" si="4"/>
        <v>#REF!</v>
      </c>
      <c r="BJ3" s="287" t="e">
        <f t="shared" si="4"/>
        <v>#REF!</v>
      </c>
      <c r="BK3" s="287" t="e">
        <f t="shared" si="4"/>
        <v>#REF!</v>
      </c>
      <c r="BL3" s="287" t="e">
        <f t="shared" si="4"/>
        <v>#REF!</v>
      </c>
      <c r="BM3" s="287" t="e">
        <f t="shared" si="4"/>
        <v>#REF!</v>
      </c>
      <c r="BN3" s="287" t="e">
        <f t="shared" si="4"/>
        <v>#REF!</v>
      </c>
      <c r="BO3" s="287" t="e">
        <f t="shared" si="4"/>
        <v>#REF!</v>
      </c>
    </row>
    <row r="4" spans="1:67" ht="25.5" customHeight="1">
      <c r="A4" s="562" t="e">
        <f>Y3</f>
        <v>#REF!</v>
      </c>
      <c r="B4" s="499"/>
      <c r="C4" s="200">
        <v>2</v>
      </c>
      <c r="D4" s="361" t="str">
        <f t="shared" si="0"/>
        <v>R.01</v>
      </c>
      <c r="E4" s="74" t="str">
        <f t="shared" si="1"/>
        <v>R.01/2</v>
      </c>
      <c r="F4" s="337" t="e">
        <f>IF(C4=0,,VLOOKUP(E4,#REF!,4, FALSE()))</f>
        <v>#REF!</v>
      </c>
      <c r="G4" s="52" t="e">
        <f>IF(C4=0,,VLOOKUP(E4,#REF!,11, FALSE()))</f>
        <v>#REF!</v>
      </c>
      <c r="H4" s="21" t="e">
        <f>IF(C4=0,,VLOOKUP(E4,#REF!,12, FALSE()))</f>
        <v>#REF!</v>
      </c>
      <c r="I4" s="340" t="e">
        <f>IF(C4=0,,VLOOKUP(E4,#REF!,13, FALSE()))</f>
        <v>#REF!</v>
      </c>
      <c r="J4" s="371" t="e">
        <f>IF(C4=0,,VLOOKUP(E4,#REF!,14, FALSE()))</f>
        <v>#REF!</v>
      </c>
      <c r="K4" s="373" t="e">
        <f>IF(C4=0,,VLOOKUP(E4,#REF!,15, FALSE()))</f>
        <v>#REF!</v>
      </c>
      <c r="L4" s="373" t="e">
        <f>IF(C4=0,,VLOOKUP(E4,#REF!,16, FALSE()))</f>
        <v>#REF!</v>
      </c>
      <c r="M4" s="340" t="e">
        <f>IF(C4=0,,VLOOKUP(E4,#REF!,17, FALSE()))</f>
        <v>#REF!</v>
      </c>
      <c r="N4" s="371" t="e">
        <f>IF(C4=0,,VLOOKUP(E4,#REF!,18, FALSE()))</f>
        <v>#REF!</v>
      </c>
      <c r="O4" s="373" t="e">
        <f>IF(C4=0,,VLOOKUP(E4,#REF!,19, FALSE()))</f>
        <v>#REF!</v>
      </c>
      <c r="P4" s="373" t="e">
        <f>IF(C4=0,,VLOOKUP(E4,#REF!,20, FALSE()))</f>
        <v>#REF!</v>
      </c>
      <c r="Q4" s="340" t="e">
        <f>IF(C4=0,,VLOOKUP(E4,#REF!,21, FALSE()))</f>
        <v>#REF!</v>
      </c>
      <c r="R4" s="371" t="e">
        <f>IF(C4=0,,VLOOKUP(E4,#REF!,22, FALSE()))</f>
        <v>#REF!</v>
      </c>
      <c r="S4" s="373" t="e">
        <f>IF(C4=0,,VLOOKUP(E4,#REF!,23, FALSE()))</f>
        <v>#REF!</v>
      </c>
      <c r="T4" s="373" t="e">
        <f>IF(C4=0,,VLOOKUP(E4,#REF!,24, FALSE()))</f>
        <v>#REF!</v>
      </c>
      <c r="U4" s="340" t="e">
        <f>IF(C4=0,,VLOOKUP(E4,#REF!,25, FALSE()))</f>
        <v>#REF!</v>
      </c>
      <c r="V4" s="371" t="e">
        <f>IF(C4=0,,VLOOKUP(E4,#REF!,26, FALSE()))</f>
        <v>#REF!</v>
      </c>
      <c r="W4" s="400"/>
      <c r="X4" s="382" t="e">
        <f>IF(C4=0,,VLOOKUP(E4,#REF!,2, FALSE()))</f>
        <v>#REF!</v>
      </c>
      <c r="Y4" s="384" t="e">
        <f>IF(C4=0,,VLOOKUP(E4,#REF!,3, FALSE()))</f>
        <v>#REF!</v>
      </c>
      <c r="Z4" s="385"/>
      <c r="AA4" s="74"/>
      <c r="AB4" s="386" t="e">
        <f>IF(C4=0,,VLOOKUP(E4,#REF!,6, FALSE()))</f>
        <v>#REF!</v>
      </c>
      <c r="AC4" s="387">
        <f t="shared" si="2"/>
        <v>0</v>
      </c>
      <c r="AD4" s="74">
        <v>0</v>
      </c>
      <c r="AE4" s="74">
        <f t="shared" si="3"/>
        <v>0</v>
      </c>
      <c r="AF4" s="74"/>
      <c r="AG4" s="74"/>
      <c r="AH4" s="388">
        <v>4.1666666666666664E-2</v>
      </c>
      <c r="AI4" s="74"/>
      <c r="AJ4" s="389"/>
      <c r="AK4" s="287" t="e">
        <f t="shared" ref="AK4:BO4" si="5">(MID(#REF!, 7,2))</f>
        <v>#REF!</v>
      </c>
      <c r="AL4" s="287" t="e">
        <f t="shared" si="5"/>
        <v>#REF!</v>
      </c>
      <c r="AM4" s="287" t="e">
        <f t="shared" si="5"/>
        <v>#REF!</v>
      </c>
      <c r="AN4" s="287" t="e">
        <f t="shared" si="5"/>
        <v>#REF!</v>
      </c>
      <c r="AO4" s="287" t="e">
        <f t="shared" si="5"/>
        <v>#REF!</v>
      </c>
      <c r="AP4" s="287" t="e">
        <f t="shared" si="5"/>
        <v>#REF!</v>
      </c>
      <c r="AQ4" s="287" t="e">
        <f t="shared" si="5"/>
        <v>#REF!</v>
      </c>
      <c r="AR4" s="287" t="e">
        <f t="shared" si="5"/>
        <v>#REF!</v>
      </c>
      <c r="AS4" s="287" t="e">
        <f t="shared" si="5"/>
        <v>#REF!</v>
      </c>
      <c r="AT4" s="287" t="e">
        <f t="shared" si="5"/>
        <v>#REF!</v>
      </c>
      <c r="AU4" s="287" t="e">
        <f t="shared" si="5"/>
        <v>#REF!</v>
      </c>
      <c r="AV4" s="287" t="e">
        <f t="shared" si="5"/>
        <v>#REF!</v>
      </c>
      <c r="AW4" s="287" t="e">
        <f t="shared" si="5"/>
        <v>#REF!</v>
      </c>
      <c r="AX4" s="287" t="e">
        <f t="shared" si="5"/>
        <v>#REF!</v>
      </c>
      <c r="AY4" s="287" t="e">
        <f t="shared" si="5"/>
        <v>#REF!</v>
      </c>
      <c r="AZ4" s="287" t="e">
        <f t="shared" si="5"/>
        <v>#REF!</v>
      </c>
      <c r="BA4" s="287" t="e">
        <f t="shared" si="5"/>
        <v>#REF!</v>
      </c>
      <c r="BB4" s="287" t="e">
        <f t="shared" si="5"/>
        <v>#REF!</v>
      </c>
      <c r="BC4" s="287" t="e">
        <f t="shared" si="5"/>
        <v>#REF!</v>
      </c>
      <c r="BD4" s="287" t="e">
        <f t="shared" si="5"/>
        <v>#REF!</v>
      </c>
      <c r="BE4" s="287" t="e">
        <f t="shared" si="5"/>
        <v>#REF!</v>
      </c>
      <c r="BF4" s="287" t="e">
        <f t="shared" si="5"/>
        <v>#REF!</v>
      </c>
      <c r="BG4" s="287" t="e">
        <f t="shared" si="5"/>
        <v>#REF!</v>
      </c>
      <c r="BH4" s="287" t="e">
        <f t="shared" si="5"/>
        <v>#REF!</v>
      </c>
      <c r="BI4" s="287" t="e">
        <f t="shared" si="5"/>
        <v>#REF!</v>
      </c>
      <c r="BJ4" s="287" t="e">
        <f t="shared" si="5"/>
        <v>#REF!</v>
      </c>
      <c r="BK4" s="287" t="e">
        <f t="shared" si="5"/>
        <v>#REF!</v>
      </c>
      <c r="BL4" s="287" t="e">
        <f t="shared" si="5"/>
        <v>#REF!</v>
      </c>
      <c r="BM4" s="287" t="e">
        <f t="shared" si="5"/>
        <v>#REF!</v>
      </c>
      <c r="BN4" s="287" t="e">
        <f t="shared" si="5"/>
        <v>#REF!</v>
      </c>
      <c r="BO4" s="287" t="e">
        <f t="shared" si="5"/>
        <v>#REF!</v>
      </c>
    </row>
    <row r="5" spans="1:67" ht="25.5" customHeight="1">
      <c r="A5" s="402" t="s">
        <v>2896</v>
      </c>
      <c r="B5" s="19" t="s">
        <v>21</v>
      </c>
      <c r="C5" s="200">
        <v>3</v>
      </c>
      <c r="D5" s="361" t="str">
        <f t="shared" si="0"/>
        <v>R.01</v>
      </c>
      <c r="E5" s="74" t="str">
        <f t="shared" si="1"/>
        <v>R.01/3</v>
      </c>
      <c r="F5" s="337" t="e">
        <f>IF(C5=0,,VLOOKUP(E5,#REF!,4, FALSE()))</f>
        <v>#REF!</v>
      </c>
      <c r="G5" s="52" t="e">
        <f>IF(C5=0,,VLOOKUP(E5,#REF!,11, FALSE()))</f>
        <v>#REF!</v>
      </c>
      <c r="H5" s="21" t="e">
        <f>IF(C5=0,,VLOOKUP(E5,#REF!,12, FALSE()))</f>
        <v>#REF!</v>
      </c>
      <c r="I5" s="340" t="e">
        <f>IF(C5=0,,VLOOKUP(E5,#REF!,13, FALSE()))</f>
        <v>#REF!</v>
      </c>
      <c r="J5" s="340" t="e">
        <f>IF(C5=0,,VLOOKUP(E5,#REF!,14, FALSE()))</f>
        <v>#REF!</v>
      </c>
      <c r="K5" s="373" t="e">
        <f>IF(C5=0,,VLOOKUP(E5,#REF!,15, FALSE()))</f>
        <v>#REF!</v>
      </c>
      <c r="L5" s="373" t="e">
        <f>IF(C5=0,,VLOOKUP(E5,#REF!,16, FALSE()))</f>
        <v>#REF!</v>
      </c>
      <c r="M5" s="340" t="e">
        <f>IF(C5=0,,VLOOKUP(E5,#REF!,17, FALSE()))</f>
        <v>#REF!</v>
      </c>
      <c r="N5" s="340" t="e">
        <f>IF(C5=0,,VLOOKUP(E5,#REF!,18, FALSE()))</f>
        <v>#REF!</v>
      </c>
      <c r="O5" s="373" t="e">
        <f>IF(C5=0,,VLOOKUP(E5,#REF!,19, FALSE()))</f>
        <v>#REF!</v>
      </c>
      <c r="P5" s="373" t="e">
        <f>IF(C5=0,,VLOOKUP(E5,#REF!,20, FALSE()))</f>
        <v>#REF!</v>
      </c>
      <c r="Q5" s="340" t="e">
        <f>IF(C5=0,,VLOOKUP(E5,#REF!,21, FALSE()))</f>
        <v>#REF!</v>
      </c>
      <c r="R5" s="340" t="e">
        <f>IF(C5=0,,VLOOKUP(E5,#REF!,22, FALSE()))</f>
        <v>#REF!</v>
      </c>
      <c r="S5" s="373" t="e">
        <f>IF(C5=0,,VLOOKUP(E5,#REF!,23, FALSE()))</f>
        <v>#REF!</v>
      </c>
      <c r="T5" s="373" t="e">
        <f>IF(C5=0,,VLOOKUP(E5,#REF!,24, FALSE()))</f>
        <v>#REF!</v>
      </c>
      <c r="U5" s="340" t="e">
        <f>IF(C5=0,,VLOOKUP(E5,#REF!,25, FALSE()))</f>
        <v>#REF!</v>
      </c>
      <c r="V5" s="340" t="e">
        <f>IF(C5=0,,VLOOKUP(E5,#REF!,26, FALSE()))</f>
        <v>#REF!</v>
      </c>
      <c r="W5" s="400"/>
      <c r="X5" s="382" t="e">
        <f>IF(C5=0,,VLOOKUP(E5,#REF!,2, FALSE()))</f>
        <v>#REF!</v>
      </c>
      <c r="Y5" s="384" t="e">
        <f>IF(C5=0,,VLOOKUP(E5,#REF!,3, FALSE()))</f>
        <v>#REF!</v>
      </c>
      <c r="Z5" s="385"/>
      <c r="AA5" s="74"/>
      <c r="AB5" s="386" t="e">
        <f>IF(C5=0,,VLOOKUP(E5,#REF!,6, FALSE()))</f>
        <v>#REF!</v>
      </c>
      <c r="AC5" s="387">
        <f t="shared" si="2"/>
        <v>0</v>
      </c>
      <c r="AD5" s="74">
        <v>0</v>
      </c>
      <c r="AE5" s="74">
        <f t="shared" si="3"/>
        <v>0</v>
      </c>
      <c r="AF5" s="388">
        <v>8.3333333333333329E-2</v>
      </c>
      <c r="AG5" s="74"/>
      <c r="AH5" s="388">
        <v>8.3333333333333329E-2</v>
      </c>
      <c r="AI5" s="74"/>
      <c r="AJ5" s="389"/>
      <c r="AK5" s="287" t="e">
        <f t="shared" ref="AK5:BO5" si="6">(MID(#REF!, 7,2))</f>
        <v>#REF!</v>
      </c>
      <c r="AL5" s="287" t="e">
        <f t="shared" si="6"/>
        <v>#REF!</v>
      </c>
      <c r="AM5" s="287" t="e">
        <f t="shared" si="6"/>
        <v>#REF!</v>
      </c>
      <c r="AN5" s="287" t="e">
        <f t="shared" si="6"/>
        <v>#REF!</v>
      </c>
      <c r="AO5" s="287" t="e">
        <f t="shared" si="6"/>
        <v>#REF!</v>
      </c>
      <c r="AP5" s="287" t="e">
        <f t="shared" si="6"/>
        <v>#REF!</v>
      </c>
      <c r="AQ5" s="287" t="e">
        <f t="shared" si="6"/>
        <v>#REF!</v>
      </c>
      <c r="AR5" s="287" t="e">
        <f t="shared" si="6"/>
        <v>#REF!</v>
      </c>
      <c r="AS5" s="287" t="e">
        <f t="shared" si="6"/>
        <v>#REF!</v>
      </c>
      <c r="AT5" s="287" t="e">
        <f t="shared" si="6"/>
        <v>#REF!</v>
      </c>
      <c r="AU5" s="287" t="e">
        <f t="shared" si="6"/>
        <v>#REF!</v>
      </c>
      <c r="AV5" s="287" t="e">
        <f t="shared" si="6"/>
        <v>#REF!</v>
      </c>
      <c r="AW5" s="287" t="e">
        <f t="shared" si="6"/>
        <v>#REF!</v>
      </c>
      <c r="AX5" s="287" t="e">
        <f t="shared" si="6"/>
        <v>#REF!</v>
      </c>
      <c r="AY5" s="287" t="e">
        <f t="shared" si="6"/>
        <v>#REF!</v>
      </c>
      <c r="AZ5" s="287" t="e">
        <f t="shared" si="6"/>
        <v>#REF!</v>
      </c>
      <c r="BA5" s="287" t="e">
        <f t="shared" si="6"/>
        <v>#REF!</v>
      </c>
      <c r="BB5" s="287" t="e">
        <f t="shared" si="6"/>
        <v>#REF!</v>
      </c>
      <c r="BC5" s="287" t="e">
        <f t="shared" si="6"/>
        <v>#REF!</v>
      </c>
      <c r="BD5" s="287" t="e">
        <f t="shared" si="6"/>
        <v>#REF!</v>
      </c>
      <c r="BE5" s="287" t="e">
        <f t="shared" si="6"/>
        <v>#REF!</v>
      </c>
      <c r="BF5" s="287" t="e">
        <f t="shared" si="6"/>
        <v>#REF!</v>
      </c>
      <c r="BG5" s="287" t="e">
        <f t="shared" si="6"/>
        <v>#REF!</v>
      </c>
      <c r="BH5" s="287" t="e">
        <f t="shared" si="6"/>
        <v>#REF!</v>
      </c>
      <c r="BI5" s="287" t="e">
        <f t="shared" si="6"/>
        <v>#REF!</v>
      </c>
      <c r="BJ5" s="287" t="e">
        <f t="shared" si="6"/>
        <v>#REF!</v>
      </c>
      <c r="BK5" s="287" t="e">
        <f t="shared" si="6"/>
        <v>#REF!</v>
      </c>
      <c r="BL5" s="287" t="e">
        <f t="shared" si="6"/>
        <v>#REF!</v>
      </c>
      <c r="BM5" s="287" t="e">
        <f t="shared" si="6"/>
        <v>#REF!</v>
      </c>
      <c r="BN5" s="287" t="e">
        <f t="shared" si="6"/>
        <v>#REF!</v>
      </c>
      <c r="BO5" s="287" t="e">
        <f t="shared" si="6"/>
        <v>#REF!</v>
      </c>
    </row>
    <row r="6" spans="1:67" ht="25.5" customHeight="1">
      <c r="A6" s="409" t="s">
        <v>2921</v>
      </c>
      <c r="B6" s="410">
        <v>12</v>
      </c>
      <c r="C6" s="200">
        <v>0</v>
      </c>
      <c r="D6" s="361" t="str">
        <f t="shared" si="0"/>
        <v>R.01</v>
      </c>
      <c r="E6" s="74">
        <f t="shared" si="1"/>
        <v>0</v>
      </c>
      <c r="F6" s="337">
        <f>IF(C6=0,,VLOOKUP(E6,#REF!,4, FALSE()))</f>
        <v>0</v>
      </c>
      <c r="G6" s="52">
        <f>IF(C6=0,,VLOOKUP(E6,#REF!,11, FALSE()))</f>
        <v>0</v>
      </c>
      <c r="H6" s="21">
        <f>IF(C6=0,,VLOOKUP(E6,#REF!,12, FALSE()))</f>
        <v>0</v>
      </c>
      <c r="I6" s="340">
        <f>IF(C6=0,,VLOOKUP(E6,#REF!,13, FALSE()))</f>
        <v>0</v>
      </c>
      <c r="J6" s="340">
        <f>IF(C6=0,,VLOOKUP(E6,#REF!,14, FALSE()))</f>
        <v>0</v>
      </c>
      <c r="K6" s="373">
        <f>IF(C6=0,,VLOOKUP(E6,#REF!,15, FALSE()))</f>
        <v>0</v>
      </c>
      <c r="L6" s="373">
        <f>IF(C6=0,,VLOOKUP(E6,#REF!,16, FALSE()))</f>
        <v>0</v>
      </c>
      <c r="M6" s="340">
        <f>IF(C6=0,,VLOOKUP(E6,#REF!,17, FALSE()))</f>
        <v>0</v>
      </c>
      <c r="N6" s="340">
        <f>IF(C6=0,,VLOOKUP(E6,#REF!,18, FALSE()))</f>
        <v>0</v>
      </c>
      <c r="O6" s="373">
        <f>IF(C6=0,,VLOOKUP(E6,#REF!,19, FALSE()))</f>
        <v>0</v>
      </c>
      <c r="P6" s="373">
        <f>IF(C6=0,,VLOOKUP(E6,#REF!,20, FALSE()))</f>
        <v>0</v>
      </c>
      <c r="Q6" s="340">
        <f>IF(C6=0,,VLOOKUP(E6,#REF!,21, FALSE()))</f>
        <v>0</v>
      </c>
      <c r="R6" s="340">
        <f>IF(C6=0,,VLOOKUP(E6,#REF!,22, FALSE()))</f>
        <v>0</v>
      </c>
      <c r="S6" s="373">
        <f>IF(C6=0,,VLOOKUP(E6,#REF!,23, FALSE()))</f>
        <v>0</v>
      </c>
      <c r="T6" s="373">
        <f>IF(C6=0,,VLOOKUP(E6,#REF!,24, FALSE()))</f>
        <v>0</v>
      </c>
      <c r="U6" s="340">
        <f>IF(C6=0,,VLOOKUP(E6,#REF!,25, FALSE()))</f>
        <v>0</v>
      </c>
      <c r="V6" s="340">
        <f>IF(C6=0,,VLOOKUP(E6,#REF!,26, FALSE()))</f>
        <v>0</v>
      </c>
      <c r="W6" s="400"/>
      <c r="X6" s="382">
        <f>IF(C6=0,,VLOOKUP(E6,#REF!,2, FALSE()))</f>
        <v>0</v>
      </c>
      <c r="Y6" s="384">
        <f>IF(C6=0,,VLOOKUP(E6,#REF!,3, FALSE()))</f>
        <v>0</v>
      </c>
      <c r="Z6" s="385"/>
      <c r="AA6" s="74"/>
      <c r="AB6" s="386">
        <f>IF(C6=0,,VLOOKUP(E6,#REF!,6, FALSE()))</f>
        <v>0</v>
      </c>
      <c r="AC6" s="387">
        <f t="shared" si="2"/>
        <v>0</v>
      </c>
      <c r="AD6" s="74"/>
      <c r="AE6" s="74">
        <f t="shared" si="3"/>
        <v>0</v>
      </c>
      <c r="AF6" s="74"/>
      <c r="AG6" s="74"/>
      <c r="AH6" s="388"/>
      <c r="AI6" s="74"/>
      <c r="AJ6" s="422"/>
      <c r="AK6" s="287" t="e">
        <f t="shared" ref="AK6:BO6" si="7">(MID(#REF!, 7,2))</f>
        <v>#REF!</v>
      </c>
      <c r="AL6" s="287" t="e">
        <f t="shared" si="7"/>
        <v>#REF!</v>
      </c>
      <c r="AM6" s="287" t="e">
        <f t="shared" si="7"/>
        <v>#REF!</v>
      </c>
      <c r="AN6" s="287" t="e">
        <f t="shared" si="7"/>
        <v>#REF!</v>
      </c>
      <c r="AO6" s="287" t="e">
        <f t="shared" si="7"/>
        <v>#REF!</v>
      </c>
      <c r="AP6" s="287" t="e">
        <f t="shared" si="7"/>
        <v>#REF!</v>
      </c>
      <c r="AQ6" s="287" t="e">
        <f t="shared" si="7"/>
        <v>#REF!</v>
      </c>
      <c r="AR6" s="287" t="e">
        <f t="shared" si="7"/>
        <v>#REF!</v>
      </c>
      <c r="AS6" s="287" t="e">
        <f t="shared" si="7"/>
        <v>#REF!</v>
      </c>
      <c r="AT6" s="287" t="e">
        <f t="shared" si="7"/>
        <v>#REF!</v>
      </c>
      <c r="AU6" s="287" t="e">
        <f t="shared" si="7"/>
        <v>#REF!</v>
      </c>
      <c r="AV6" s="287" t="e">
        <f t="shared" si="7"/>
        <v>#REF!</v>
      </c>
      <c r="AW6" s="287" t="e">
        <f t="shared" si="7"/>
        <v>#REF!</v>
      </c>
      <c r="AX6" s="287" t="e">
        <f t="shared" si="7"/>
        <v>#REF!</v>
      </c>
      <c r="AY6" s="287" t="e">
        <f t="shared" si="7"/>
        <v>#REF!</v>
      </c>
      <c r="AZ6" s="287" t="e">
        <f t="shared" si="7"/>
        <v>#REF!</v>
      </c>
      <c r="BA6" s="287" t="e">
        <f t="shared" si="7"/>
        <v>#REF!</v>
      </c>
      <c r="BB6" s="287" t="e">
        <f t="shared" si="7"/>
        <v>#REF!</v>
      </c>
      <c r="BC6" s="287" t="e">
        <f t="shared" si="7"/>
        <v>#REF!</v>
      </c>
      <c r="BD6" s="287" t="e">
        <f t="shared" si="7"/>
        <v>#REF!</v>
      </c>
      <c r="BE6" s="287" t="e">
        <f t="shared" si="7"/>
        <v>#REF!</v>
      </c>
      <c r="BF6" s="287" t="e">
        <f t="shared" si="7"/>
        <v>#REF!</v>
      </c>
      <c r="BG6" s="287" t="e">
        <f t="shared" si="7"/>
        <v>#REF!</v>
      </c>
      <c r="BH6" s="287" t="e">
        <f t="shared" si="7"/>
        <v>#REF!</v>
      </c>
      <c r="BI6" s="287" t="e">
        <f t="shared" si="7"/>
        <v>#REF!</v>
      </c>
      <c r="BJ6" s="287" t="e">
        <f t="shared" si="7"/>
        <v>#REF!</v>
      </c>
      <c r="BK6" s="287" t="e">
        <f t="shared" si="7"/>
        <v>#REF!</v>
      </c>
      <c r="BL6" s="287" t="e">
        <f t="shared" si="7"/>
        <v>#REF!</v>
      </c>
      <c r="BM6" s="287" t="e">
        <f t="shared" si="7"/>
        <v>#REF!</v>
      </c>
      <c r="BN6" s="287" t="e">
        <f t="shared" si="7"/>
        <v>#REF!</v>
      </c>
      <c r="BO6" s="287" t="e">
        <f t="shared" si="7"/>
        <v>#REF!</v>
      </c>
    </row>
    <row r="7" spans="1:67" ht="25.5" customHeight="1">
      <c r="A7" s="424" t="s">
        <v>2936</v>
      </c>
      <c r="B7" s="425" t="e">
        <f>AB5</f>
        <v>#REF!</v>
      </c>
      <c r="C7" s="200">
        <v>0</v>
      </c>
      <c r="D7" s="361" t="str">
        <f t="shared" si="0"/>
        <v>R.01</v>
      </c>
      <c r="E7" s="74">
        <f t="shared" si="1"/>
        <v>0</v>
      </c>
      <c r="F7" s="337">
        <f>IF(C7=0,,VLOOKUP(E7,#REF!,4, FALSE()))</f>
        <v>0</v>
      </c>
      <c r="G7" s="52">
        <f>IF(C7=0,,VLOOKUP(E7,#REF!,11, FALSE()))</f>
        <v>0</v>
      </c>
      <c r="H7" s="21">
        <f>IF(C7=0,,VLOOKUP(E7,#REF!,12, FALSE()))</f>
        <v>0</v>
      </c>
      <c r="I7" s="340">
        <f>IF(C7=0,,VLOOKUP(E7,#REF!,13, FALSE()))</f>
        <v>0</v>
      </c>
      <c r="J7" s="340">
        <f>IF(C7=0,,VLOOKUP(E7,#REF!,14, FALSE()))</f>
        <v>0</v>
      </c>
      <c r="K7" s="373">
        <f>IF(C7=0,,VLOOKUP(E7,#REF!,15, FALSE()))</f>
        <v>0</v>
      </c>
      <c r="L7" s="373">
        <f>IF(C7=0,,VLOOKUP(E7,#REF!,16, FALSE()))</f>
        <v>0</v>
      </c>
      <c r="M7" s="340">
        <f>IF(C7=0,,VLOOKUP(E7,#REF!,17, FALSE()))</f>
        <v>0</v>
      </c>
      <c r="N7" s="340">
        <f>IF(C7=0,,VLOOKUP(E7,#REF!,18, FALSE()))</f>
        <v>0</v>
      </c>
      <c r="O7" s="373">
        <f>IF(C7=0,,VLOOKUP(E7,#REF!,19, FALSE()))</f>
        <v>0</v>
      </c>
      <c r="P7" s="373">
        <f>IF(C7=0,,VLOOKUP(E7,#REF!,20, FALSE()))</f>
        <v>0</v>
      </c>
      <c r="Q7" s="340">
        <f>IF(C7=0,,VLOOKUP(E7,#REF!,21, FALSE()))</f>
        <v>0</v>
      </c>
      <c r="R7" s="340">
        <f>IF(C7=0,,VLOOKUP(E7,#REF!,22, FALSE()))</f>
        <v>0</v>
      </c>
      <c r="S7" s="373">
        <f>IF(C7=0,,VLOOKUP(E7,#REF!,23, FALSE()))</f>
        <v>0</v>
      </c>
      <c r="T7" s="373">
        <f>IF(C7=0,,VLOOKUP(E7,#REF!,24, FALSE()))</f>
        <v>0</v>
      </c>
      <c r="U7" s="340">
        <f>IF(C7=0,,VLOOKUP(E7,#REF!,25, FALSE()))</f>
        <v>0</v>
      </c>
      <c r="V7" s="340">
        <f>IF(C7=0,,VLOOKUP(E7,#REF!,26, FALSE()))</f>
        <v>0</v>
      </c>
      <c r="W7" s="400"/>
      <c r="X7" s="382">
        <f>IF(C7=0,,VLOOKUP(E7,#REF!,2, FALSE()))</f>
        <v>0</v>
      </c>
      <c r="Y7" s="384">
        <f>IF(C7=0,,VLOOKUP(E7,#REF!,3, FALSE()))</f>
        <v>0</v>
      </c>
      <c r="Z7" s="385"/>
      <c r="AA7" s="74"/>
      <c r="AB7" s="386">
        <f>IF(C7=0,,VLOOKUP(E7,#REF!,6, FALSE()))</f>
        <v>0</v>
      </c>
      <c r="AC7" s="387">
        <f t="shared" si="2"/>
        <v>0</v>
      </c>
      <c r="AD7" s="74"/>
      <c r="AE7" s="74">
        <f t="shared" si="3"/>
        <v>0</v>
      </c>
      <c r="AF7" s="74"/>
      <c r="AG7" s="74"/>
      <c r="AH7" s="74"/>
      <c r="AI7" s="74"/>
      <c r="AJ7" s="389"/>
      <c r="AK7" s="287" t="e">
        <f t="shared" ref="AK7:BO7" si="8">(MID(#REF!, 7,2))</f>
        <v>#REF!</v>
      </c>
      <c r="AL7" s="287" t="e">
        <f t="shared" si="8"/>
        <v>#REF!</v>
      </c>
      <c r="AM7" s="287" t="e">
        <f t="shared" si="8"/>
        <v>#REF!</v>
      </c>
      <c r="AN7" s="287" t="e">
        <f t="shared" si="8"/>
        <v>#REF!</v>
      </c>
      <c r="AO7" s="287" t="e">
        <f t="shared" si="8"/>
        <v>#REF!</v>
      </c>
      <c r="AP7" s="287" t="e">
        <f t="shared" si="8"/>
        <v>#REF!</v>
      </c>
      <c r="AQ7" s="287" t="e">
        <f t="shared" si="8"/>
        <v>#REF!</v>
      </c>
      <c r="AR7" s="287" t="e">
        <f t="shared" si="8"/>
        <v>#REF!</v>
      </c>
      <c r="AS7" s="287" t="e">
        <f t="shared" si="8"/>
        <v>#REF!</v>
      </c>
      <c r="AT7" s="287" t="e">
        <f t="shared" si="8"/>
        <v>#REF!</v>
      </c>
      <c r="AU7" s="287" t="e">
        <f t="shared" si="8"/>
        <v>#REF!</v>
      </c>
      <c r="AV7" s="287" t="e">
        <f t="shared" si="8"/>
        <v>#REF!</v>
      </c>
      <c r="AW7" s="287" t="e">
        <f t="shared" si="8"/>
        <v>#REF!</v>
      </c>
      <c r="AX7" s="287" t="e">
        <f t="shared" si="8"/>
        <v>#REF!</v>
      </c>
      <c r="AY7" s="287" t="e">
        <f t="shared" si="8"/>
        <v>#REF!</v>
      </c>
      <c r="AZ7" s="287" t="e">
        <f t="shared" si="8"/>
        <v>#REF!</v>
      </c>
      <c r="BA7" s="287" t="e">
        <f t="shared" si="8"/>
        <v>#REF!</v>
      </c>
      <c r="BB7" s="287" t="e">
        <f t="shared" si="8"/>
        <v>#REF!</v>
      </c>
      <c r="BC7" s="287" t="e">
        <f t="shared" si="8"/>
        <v>#REF!</v>
      </c>
      <c r="BD7" s="287" t="e">
        <f t="shared" si="8"/>
        <v>#REF!</v>
      </c>
      <c r="BE7" s="287" t="e">
        <f t="shared" si="8"/>
        <v>#REF!</v>
      </c>
      <c r="BF7" s="287" t="e">
        <f t="shared" si="8"/>
        <v>#REF!</v>
      </c>
      <c r="BG7" s="287" t="e">
        <f t="shared" si="8"/>
        <v>#REF!</v>
      </c>
      <c r="BH7" s="287" t="e">
        <f t="shared" si="8"/>
        <v>#REF!</v>
      </c>
      <c r="BI7" s="287" t="e">
        <f t="shared" si="8"/>
        <v>#REF!</v>
      </c>
      <c r="BJ7" s="287" t="e">
        <f t="shared" si="8"/>
        <v>#REF!</v>
      </c>
      <c r="BK7" s="287" t="e">
        <f t="shared" si="8"/>
        <v>#REF!</v>
      </c>
      <c r="BL7" s="287" t="e">
        <f t="shared" si="8"/>
        <v>#REF!</v>
      </c>
      <c r="BM7" s="287" t="e">
        <f t="shared" si="8"/>
        <v>#REF!</v>
      </c>
      <c r="BN7" s="287" t="e">
        <f t="shared" si="8"/>
        <v>#REF!</v>
      </c>
      <c r="BO7" s="287" t="e">
        <f t="shared" si="8"/>
        <v>#REF!</v>
      </c>
    </row>
    <row r="8" spans="1:67" ht="25.5" customHeight="1">
      <c r="A8" s="424" t="e">
        <f>Z3</f>
        <v>#REF!</v>
      </c>
      <c r="B8" s="425">
        <v>1.8333333333333333</v>
      </c>
      <c r="C8" s="200">
        <v>0</v>
      </c>
      <c r="D8" s="361" t="str">
        <f t="shared" si="0"/>
        <v>R.01</v>
      </c>
      <c r="E8" s="74">
        <f t="shared" si="1"/>
        <v>0</v>
      </c>
      <c r="F8" s="337">
        <f>IF(C8=0,,VLOOKUP(E8,#REF!,4, FALSE()))</f>
        <v>0</v>
      </c>
      <c r="G8" s="52">
        <f>IF(C8=0,,VLOOKUP(E8,#REF!,11, FALSE()))</f>
        <v>0</v>
      </c>
      <c r="H8" s="21">
        <f>IF(C8=0,,VLOOKUP(E8,#REF!,12, FALSE()))</f>
        <v>0</v>
      </c>
      <c r="I8" s="340">
        <f>IF(C8=0,,VLOOKUP(E8,#REF!,13, FALSE()))</f>
        <v>0</v>
      </c>
      <c r="J8" s="340">
        <f>IF(C8=0,,VLOOKUP(E8,#REF!,14, FALSE()))</f>
        <v>0</v>
      </c>
      <c r="K8" s="373">
        <f>IF(C8=0,,VLOOKUP(E8,#REF!,15, FALSE()))</f>
        <v>0</v>
      </c>
      <c r="L8" s="373">
        <f>IF(C8=0,,VLOOKUP(E8,#REF!,16, FALSE()))</f>
        <v>0</v>
      </c>
      <c r="M8" s="340">
        <f>IF(C8=0,,VLOOKUP(E8,#REF!,17, FALSE()))</f>
        <v>0</v>
      </c>
      <c r="N8" s="340">
        <f>IF(C8=0,,VLOOKUP(E8,#REF!,18, FALSE()))</f>
        <v>0</v>
      </c>
      <c r="O8" s="373">
        <f>IF(C8=0,,VLOOKUP(E8,#REF!,19, FALSE()))</f>
        <v>0</v>
      </c>
      <c r="P8" s="373">
        <f>IF(C8=0,,VLOOKUP(E8,#REF!,20, FALSE()))</f>
        <v>0</v>
      </c>
      <c r="Q8" s="340">
        <f>IF(C8=0,,VLOOKUP(E8,#REF!,21, FALSE()))</f>
        <v>0</v>
      </c>
      <c r="R8" s="340">
        <f>IF(C8=0,,VLOOKUP(E8,#REF!,22, FALSE()))</f>
        <v>0</v>
      </c>
      <c r="S8" s="373">
        <f>IF(C8=0,,VLOOKUP(E8,#REF!,23, FALSE()))</f>
        <v>0</v>
      </c>
      <c r="T8" s="373">
        <f>IF(C8=0,,VLOOKUP(E8,#REF!,24, FALSE()))</f>
        <v>0</v>
      </c>
      <c r="U8" s="340">
        <f>IF(C8=0,,VLOOKUP(E8,#REF!,25, FALSE()))</f>
        <v>0</v>
      </c>
      <c r="V8" s="340">
        <f>IF(C8=0,,VLOOKUP(E8,#REF!,26, FALSE()))</f>
        <v>0</v>
      </c>
      <c r="W8" s="400"/>
      <c r="X8" s="382">
        <f>IF(C8=0,,VLOOKUP(E8,#REF!,2, FALSE()))</f>
        <v>0</v>
      </c>
      <c r="Y8" s="384">
        <f>IF(C8=0,,VLOOKUP(E8,#REF!,3, FALSE()))</f>
        <v>0</v>
      </c>
      <c r="Z8" s="385"/>
      <c r="AA8" s="74"/>
      <c r="AB8" s="386">
        <f>IF(C8=0,,VLOOKUP(E8,#REF!,6, FALSE()))</f>
        <v>0</v>
      </c>
      <c r="AC8" s="387">
        <f t="shared" si="2"/>
        <v>0</v>
      </c>
      <c r="AD8" s="74"/>
      <c r="AE8" s="74">
        <f t="shared" si="3"/>
        <v>0</v>
      </c>
      <c r="AF8" s="74"/>
      <c r="AG8" s="74"/>
      <c r="AH8" s="74"/>
      <c r="AI8" s="74"/>
      <c r="AJ8" s="389"/>
      <c r="AK8" s="287" t="e">
        <f t="shared" ref="AK8:BO8" si="9">(MID(#REF!, 7,2))</f>
        <v>#REF!</v>
      </c>
      <c r="AL8" s="287" t="e">
        <f t="shared" si="9"/>
        <v>#REF!</v>
      </c>
      <c r="AM8" s="287" t="e">
        <f t="shared" si="9"/>
        <v>#REF!</v>
      </c>
      <c r="AN8" s="287" t="e">
        <f t="shared" si="9"/>
        <v>#REF!</v>
      </c>
      <c r="AO8" s="287" t="e">
        <f t="shared" si="9"/>
        <v>#REF!</v>
      </c>
      <c r="AP8" s="287" t="e">
        <f t="shared" si="9"/>
        <v>#REF!</v>
      </c>
      <c r="AQ8" s="287" t="e">
        <f t="shared" si="9"/>
        <v>#REF!</v>
      </c>
      <c r="AR8" s="287" t="e">
        <f t="shared" si="9"/>
        <v>#REF!</v>
      </c>
      <c r="AS8" s="287" t="e">
        <f t="shared" si="9"/>
        <v>#REF!</v>
      </c>
      <c r="AT8" s="287" t="e">
        <f t="shared" si="9"/>
        <v>#REF!</v>
      </c>
      <c r="AU8" s="287" t="e">
        <f t="shared" si="9"/>
        <v>#REF!</v>
      </c>
      <c r="AV8" s="287" t="e">
        <f t="shared" si="9"/>
        <v>#REF!</v>
      </c>
      <c r="AW8" s="287" t="e">
        <f t="shared" si="9"/>
        <v>#REF!</v>
      </c>
      <c r="AX8" s="287" t="e">
        <f t="shared" si="9"/>
        <v>#REF!</v>
      </c>
      <c r="AY8" s="287" t="e">
        <f t="shared" si="9"/>
        <v>#REF!</v>
      </c>
      <c r="AZ8" s="287" t="e">
        <f t="shared" si="9"/>
        <v>#REF!</v>
      </c>
      <c r="BA8" s="287" t="e">
        <f t="shared" si="9"/>
        <v>#REF!</v>
      </c>
      <c r="BB8" s="287" t="e">
        <f t="shared" si="9"/>
        <v>#REF!</v>
      </c>
      <c r="BC8" s="287" t="e">
        <f t="shared" si="9"/>
        <v>#REF!</v>
      </c>
      <c r="BD8" s="287" t="e">
        <f t="shared" si="9"/>
        <v>#REF!</v>
      </c>
      <c r="BE8" s="287" t="e">
        <f t="shared" si="9"/>
        <v>#REF!</v>
      </c>
      <c r="BF8" s="287" t="e">
        <f t="shared" si="9"/>
        <v>#REF!</v>
      </c>
      <c r="BG8" s="287" t="e">
        <f t="shared" si="9"/>
        <v>#REF!</v>
      </c>
      <c r="BH8" s="287" t="e">
        <f t="shared" si="9"/>
        <v>#REF!</v>
      </c>
      <c r="BI8" s="287" t="e">
        <f t="shared" si="9"/>
        <v>#REF!</v>
      </c>
      <c r="BJ8" s="287" t="e">
        <f t="shared" si="9"/>
        <v>#REF!</v>
      </c>
      <c r="BK8" s="287" t="e">
        <f t="shared" si="9"/>
        <v>#REF!</v>
      </c>
      <c r="BL8" s="287" t="e">
        <f t="shared" si="9"/>
        <v>#REF!</v>
      </c>
      <c r="BM8" s="287" t="e">
        <f t="shared" si="9"/>
        <v>#REF!</v>
      </c>
      <c r="BN8" s="287" t="e">
        <f t="shared" si="9"/>
        <v>#REF!</v>
      </c>
      <c r="BO8" s="287" t="e">
        <f t="shared" si="9"/>
        <v>#REF!</v>
      </c>
    </row>
    <row r="9" spans="1:67" ht="25.5" customHeight="1">
      <c r="A9" s="424" t="s">
        <v>2951</v>
      </c>
      <c r="B9" s="425" t="e">
        <f>SUM(AB3:AB11)</f>
        <v>#REF!</v>
      </c>
      <c r="C9" s="200">
        <v>0</v>
      </c>
      <c r="D9" s="361" t="str">
        <f t="shared" si="0"/>
        <v>R.01</v>
      </c>
      <c r="E9" s="74">
        <f t="shared" si="1"/>
        <v>0</v>
      </c>
      <c r="F9" s="337">
        <f>IF(C9=0,,VLOOKUP(E9,#REF!,4, FALSE()))</f>
        <v>0</v>
      </c>
      <c r="G9" s="52">
        <f>IF(C9=0,,VLOOKUP(E9,#REF!,11, FALSE()))</f>
        <v>0</v>
      </c>
      <c r="H9" s="21">
        <f>IF(C9=0,,VLOOKUP(E9,#REF!,12, FALSE()))</f>
        <v>0</v>
      </c>
      <c r="I9" s="340">
        <f>IF(C9=0,,VLOOKUP(E9,#REF!,13, FALSE()))</f>
        <v>0</v>
      </c>
      <c r="J9" s="340">
        <f>IF(C9=0,,VLOOKUP(E9,#REF!,14, FALSE()))</f>
        <v>0</v>
      </c>
      <c r="K9" s="373">
        <f>IF(C9=0,,VLOOKUP(E9,#REF!,15, FALSE()))</f>
        <v>0</v>
      </c>
      <c r="L9" s="373">
        <f>IF(C9=0,,VLOOKUP(E9,#REF!,16, FALSE()))</f>
        <v>0</v>
      </c>
      <c r="M9" s="340">
        <f>IF(C9=0,,VLOOKUP(E9,#REF!,17, FALSE()))</f>
        <v>0</v>
      </c>
      <c r="N9" s="340">
        <f>IF(C9=0,,VLOOKUP(E9,#REF!,18, FALSE()))</f>
        <v>0</v>
      </c>
      <c r="O9" s="373">
        <f>IF(C9=0,,VLOOKUP(E9,#REF!,19, FALSE()))</f>
        <v>0</v>
      </c>
      <c r="P9" s="373">
        <f>IF(C9=0,,VLOOKUP(E9,#REF!,20, FALSE()))</f>
        <v>0</v>
      </c>
      <c r="Q9" s="340">
        <f>IF(C9=0,,VLOOKUP(E9,#REF!,21, FALSE()))</f>
        <v>0</v>
      </c>
      <c r="R9" s="340">
        <f>IF(C9=0,,VLOOKUP(E9,#REF!,22, FALSE()))</f>
        <v>0</v>
      </c>
      <c r="S9" s="373">
        <f>IF(C9=0,,VLOOKUP(E9,#REF!,23, FALSE()))</f>
        <v>0</v>
      </c>
      <c r="T9" s="373">
        <f>IF(C9=0,,VLOOKUP(E9,#REF!,24, FALSE()))</f>
        <v>0</v>
      </c>
      <c r="U9" s="340">
        <f>IF(C9=0,,VLOOKUP(E9,#REF!,25, FALSE()))</f>
        <v>0</v>
      </c>
      <c r="V9" s="340">
        <f>IF(C9=0,,VLOOKUP(E9,#REF!,26, FALSE()))</f>
        <v>0</v>
      </c>
      <c r="W9" s="400"/>
      <c r="X9" s="382">
        <f>IF(C9=0,,VLOOKUP(E9,#REF!,2, FALSE()))</f>
        <v>0</v>
      </c>
      <c r="Y9" s="384">
        <f>IF(C9=0,,VLOOKUP(E9,#REF!,3, FALSE()))</f>
        <v>0</v>
      </c>
      <c r="Z9" s="385"/>
      <c r="AA9" s="74"/>
      <c r="AB9" s="386">
        <f>IF(C9=0,,VLOOKUP(E9,#REF!,6, FALSE()))</f>
        <v>0</v>
      </c>
      <c r="AC9" s="387">
        <f t="shared" si="2"/>
        <v>0</v>
      </c>
      <c r="AD9" s="74"/>
      <c r="AE9" s="74">
        <f t="shared" si="3"/>
        <v>0</v>
      </c>
      <c r="AF9" s="74"/>
      <c r="AG9" s="74"/>
      <c r="AH9" s="74"/>
      <c r="AI9" s="74"/>
      <c r="AJ9" s="389"/>
      <c r="AK9" s="287" t="e">
        <f t="shared" ref="AK9:BO9" si="10">(MID(#REF!, 7,2))</f>
        <v>#REF!</v>
      </c>
      <c r="AL9" s="287" t="e">
        <f t="shared" si="10"/>
        <v>#REF!</v>
      </c>
      <c r="AM9" s="287" t="e">
        <f t="shared" si="10"/>
        <v>#REF!</v>
      </c>
      <c r="AN9" s="287" t="e">
        <f t="shared" si="10"/>
        <v>#REF!</v>
      </c>
      <c r="AO9" s="287" t="e">
        <f t="shared" si="10"/>
        <v>#REF!</v>
      </c>
      <c r="AP9" s="287" t="e">
        <f t="shared" si="10"/>
        <v>#REF!</v>
      </c>
      <c r="AQ9" s="287" t="e">
        <f t="shared" si="10"/>
        <v>#REF!</v>
      </c>
      <c r="AR9" s="287" t="e">
        <f t="shared" si="10"/>
        <v>#REF!</v>
      </c>
      <c r="AS9" s="287" t="e">
        <f t="shared" si="10"/>
        <v>#REF!</v>
      </c>
      <c r="AT9" s="287" t="e">
        <f t="shared" si="10"/>
        <v>#REF!</v>
      </c>
      <c r="AU9" s="287" t="e">
        <f t="shared" si="10"/>
        <v>#REF!</v>
      </c>
      <c r="AV9" s="287" t="e">
        <f t="shared" si="10"/>
        <v>#REF!</v>
      </c>
      <c r="AW9" s="287" t="e">
        <f t="shared" si="10"/>
        <v>#REF!</v>
      </c>
      <c r="AX9" s="287" t="e">
        <f t="shared" si="10"/>
        <v>#REF!</v>
      </c>
      <c r="AY9" s="287" t="e">
        <f t="shared" si="10"/>
        <v>#REF!</v>
      </c>
      <c r="AZ9" s="287" t="e">
        <f t="shared" si="10"/>
        <v>#REF!</v>
      </c>
      <c r="BA9" s="287" t="e">
        <f t="shared" si="10"/>
        <v>#REF!</v>
      </c>
      <c r="BB9" s="287" t="e">
        <f t="shared" si="10"/>
        <v>#REF!</v>
      </c>
      <c r="BC9" s="287" t="e">
        <f t="shared" si="10"/>
        <v>#REF!</v>
      </c>
      <c r="BD9" s="287" t="e">
        <f t="shared" si="10"/>
        <v>#REF!</v>
      </c>
      <c r="BE9" s="287" t="e">
        <f t="shared" si="10"/>
        <v>#REF!</v>
      </c>
      <c r="BF9" s="287" t="e">
        <f t="shared" si="10"/>
        <v>#REF!</v>
      </c>
      <c r="BG9" s="287" t="e">
        <f t="shared" si="10"/>
        <v>#REF!</v>
      </c>
      <c r="BH9" s="287" t="e">
        <f t="shared" si="10"/>
        <v>#REF!</v>
      </c>
      <c r="BI9" s="287" t="e">
        <f t="shared" si="10"/>
        <v>#REF!</v>
      </c>
      <c r="BJ9" s="287" t="e">
        <f t="shared" si="10"/>
        <v>#REF!</v>
      </c>
      <c r="BK9" s="287" t="e">
        <f t="shared" si="10"/>
        <v>#REF!</v>
      </c>
      <c r="BL9" s="287" t="e">
        <f t="shared" si="10"/>
        <v>#REF!</v>
      </c>
      <c r="BM9" s="287" t="e">
        <f t="shared" si="10"/>
        <v>#REF!</v>
      </c>
      <c r="BN9" s="287" t="e">
        <f t="shared" si="10"/>
        <v>#REF!</v>
      </c>
      <c r="BO9" s="287" t="e">
        <f t="shared" si="10"/>
        <v>#REF!</v>
      </c>
    </row>
    <row r="10" spans="1:67" ht="25.5" customHeight="1">
      <c r="A10" s="424" t="s">
        <v>2952</v>
      </c>
      <c r="B10" s="425">
        <f>SUM(AJ3:AJ11)</f>
        <v>0</v>
      </c>
      <c r="C10" s="200">
        <v>0</v>
      </c>
      <c r="D10" s="361" t="str">
        <f t="shared" si="0"/>
        <v>R.01</v>
      </c>
      <c r="E10" s="74">
        <f t="shared" si="1"/>
        <v>0</v>
      </c>
      <c r="F10" s="337">
        <f>IF(C10=0,,VLOOKUP(E10,#REF!,4, FALSE()))</f>
        <v>0</v>
      </c>
      <c r="G10" s="52">
        <f>IF(C10=0,,VLOOKUP(E10,#REF!,11, FALSE()))</f>
        <v>0</v>
      </c>
      <c r="H10" s="21">
        <f>IF(C10=0,,VLOOKUP(E10,#REF!,12, FALSE()))</f>
        <v>0</v>
      </c>
      <c r="I10" s="340">
        <f>IF(C10=0,,VLOOKUP(E10,#REF!,13, FALSE()))</f>
        <v>0</v>
      </c>
      <c r="J10" s="340">
        <f>IF(C10=0,,VLOOKUP(E10,#REF!,14, FALSE()))</f>
        <v>0</v>
      </c>
      <c r="K10" s="373">
        <f>IF(C10=0,,VLOOKUP(E10,#REF!,15, FALSE()))</f>
        <v>0</v>
      </c>
      <c r="L10" s="373">
        <f>IF(C10=0,,VLOOKUP(E10,#REF!,16, FALSE()))</f>
        <v>0</v>
      </c>
      <c r="M10" s="340">
        <f>IF(C10=0,,VLOOKUP(E10,#REF!,17, FALSE()))</f>
        <v>0</v>
      </c>
      <c r="N10" s="340">
        <f>IF(C10=0,,VLOOKUP(E10,#REF!,18, FALSE()))</f>
        <v>0</v>
      </c>
      <c r="O10" s="373">
        <f>IF(C10=0,,VLOOKUP(E10,#REF!,19, FALSE()))</f>
        <v>0</v>
      </c>
      <c r="P10" s="373">
        <f>IF(C10=0,,VLOOKUP(E10,#REF!,20, FALSE()))</f>
        <v>0</v>
      </c>
      <c r="Q10" s="340">
        <f>IF(C10=0,,VLOOKUP(E10,#REF!,21, FALSE()))</f>
        <v>0</v>
      </c>
      <c r="R10" s="340">
        <f>IF(C10=0,,VLOOKUP(E10,#REF!,22, FALSE()))</f>
        <v>0</v>
      </c>
      <c r="S10" s="373">
        <f>IF(C10=0,,VLOOKUP(E10,#REF!,23, FALSE()))</f>
        <v>0</v>
      </c>
      <c r="T10" s="373">
        <f>IF(C10=0,,VLOOKUP(E10,#REF!,24, FALSE()))</f>
        <v>0</v>
      </c>
      <c r="U10" s="340">
        <f>IF(C10=0,,VLOOKUP(E10,#REF!,25, FALSE()))</f>
        <v>0</v>
      </c>
      <c r="V10" s="340">
        <f>IF(C10=0,,VLOOKUP(E10,#REF!,26, FALSE()))</f>
        <v>0</v>
      </c>
      <c r="W10" s="400"/>
      <c r="X10" s="382">
        <f>IF(C10=0,,VLOOKUP(E10,#REF!,2, FALSE()))</f>
        <v>0</v>
      </c>
      <c r="Y10" s="384">
        <f>IF(C10=0,,VLOOKUP(E10,#REF!,3, FALSE()))</f>
        <v>0</v>
      </c>
      <c r="Z10" s="385"/>
      <c r="AA10" s="74"/>
      <c r="AB10" s="386">
        <f>IF(C10=0,,VLOOKUP(E10,#REF!,6, FALSE()))</f>
        <v>0</v>
      </c>
      <c r="AC10" s="387">
        <f t="shared" si="2"/>
        <v>0</v>
      </c>
      <c r="AD10" s="74"/>
      <c r="AE10" s="74">
        <f t="shared" si="3"/>
        <v>0</v>
      </c>
      <c r="AF10" s="74"/>
      <c r="AG10" s="74"/>
      <c r="AH10" s="74"/>
      <c r="AI10" s="74"/>
      <c r="AJ10" s="389"/>
      <c r="AK10" s="287" t="e">
        <f t="shared" ref="AK10:BO10" si="11">(MID(#REF!, 7,2))</f>
        <v>#REF!</v>
      </c>
      <c r="AL10" s="287" t="e">
        <f t="shared" si="11"/>
        <v>#REF!</v>
      </c>
      <c r="AM10" s="287" t="e">
        <f t="shared" si="11"/>
        <v>#REF!</v>
      </c>
      <c r="AN10" s="287" t="e">
        <f t="shared" si="11"/>
        <v>#REF!</v>
      </c>
      <c r="AO10" s="287" t="e">
        <f t="shared" si="11"/>
        <v>#REF!</v>
      </c>
      <c r="AP10" s="287" t="e">
        <f t="shared" si="11"/>
        <v>#REF!</v>
      </c>
      <c r="AQ10" s="287" t="e">
        <f t="shared" si="11"/>
        <v>#REF!</v>
      </c>
      <c r="AR10" s="287" t="e">
        <f t="shared" si="11"/>
        <v>#REF!</v>
      </c>
      <c r="AS10" s="287" t="e">
        <f t="shared" si="11"/>
        <v>#REF!</v>
      </c>
      <c r="AT10" s="287" t="e">
        <f t="shared" si="11"/>
        <v>#REF!</v>
      </c>
      <c r="AU10" s="287" t="e">
        <f t="shared" si="11"/>
        <v>#REF!</v>
      </c>
      <c r="AV10" s="287" t="e">
        <f t="shared" si="11"/>
        <v>#REF!</v>
      </c>
      <c r="AW10" s="287" t="e">
        <f t="shared" si="11"/>
        <v>#REF!</v>
      </c>
      <c r="AX10" s="287" t="e">
        <f t="shared" si="11"/>
        <v>#REF!</v>
      </c>
      <c r="AY10" s="287" t="e">
        <f t="shared" si="11"/>
        <v>#REF!</v>
      </c>
      <c r="AZ10" s="287" t="e">
        <f t="shared" si="11"/>
        <v>#REF!</v>
      </c>
      <c r="BA10" s="287" t="e">
        <f t="shared" si="11"/>
        <v>#REF!</v>
      </c>
      <c r="BB10" s="287" t="e">
        <f t="shared" si="11"/>
        <v>#REF!</v>
      </c>
      <c r="BC10" s="287" t="e">
        <f t="shared" si="11"/>
        <v>#REF!</v>
      </c>
      <c r="BD10" s="287" t="e">
        <f t="shared" si="11"/>
        <v>#REF!</v>
      </c>
      <c r="BE10" s="287" t="e">
        <f t="shared" si="11"/>
        <v>#REF!</v>
      </c>
      <c r="BF10" s="287" t="e">
        <f t="shared" si="11"/>
        <v>#REF!</v>
      </c>
      <c r="BG10" s="287" t="e">
        <f t="shared" si="11"/>
        <v>#REF!</v>
      </c>
      <c r="BH10" s="287" t="e">
        <f t="shared" si="11"/>
        <v>#REF!</v>
      </c>
      <c r="BI10" s="287" t="e">
        <f t="shared" si="11"/>
        <v>#REF!</v>
      </c>
      <c r="BJ10" s="287" t="e">
        <f t="shared" si="11"/>
        <v>#REF!</v>
      </c>
      <c r="BK10" s="287" t="e">
        <f t="shared" si="11"/>
        <v>#REF!</v>
      </c>
      <c r="BL10" s="287" t="e">
        <f t="shared" si="11"/>
        <v>#REF!</v>
      </c>
      <c r="BM10" s="287" t="e">
        <f t="shared" si="11"/>
        <v>#REF!</v>
      </c>
      <c r="BN10" s="287" t="e">
        <f t="shared" si="11"/>
        <v>#REF!</v>
      </c>
      <c r="BO10" s="287" t="e">
        <f t="shared" si="11"/>
        <v>#REF!</v>
      </c>
    </row>
    <row r="11" spans="1:67" ht="25.5" customHeight="1">
      <c r="A11" s="443" t="s">
        <v>2953</v>
      </c>
      <c r="B11" s="444" t="e">
        <f>B8-B9-B10</f>
        <v>#REF!</v>
      </c>
      <c r="C11" s="200">
        <v>0</v>
      </c>
      <c r="D11" s="361" t="str">
        <f t="shared" si="0"/>
        <v>R.01</v>
      </c>
      <c r="E11" s="74">
        <f t="shared" si="1"/>
        <v>0</v>
      </c>
      <c r="F11" s="337">
        <f>IF(C11=0,,VLOOKUP(E11,#REF!,4, FALSE()))</f>
        <v>0</v>
      </c>
      <c r="G11" s="52">
        <f>IF(C11=0,,VLOOKUP(E11,#REF!,11, FALSE()))</f>
        <v>0</v>
      </c>
      <c r="H11" s="21">
        <f>IF(C11=0,,VLOOKUP(E11,#REF!,12, FALSE()))</f>
        <v>0</v>
      </c>
      <c r="I11" s="340">
        <f>IF(C11=0,,VLOOKUP(E11,#REF!,13, FALSE()))</f>
        <v>0</v>
      </c>
      <c r="J11" s="340">
        <f>IF(C11=0,,VLOOKUP(E11,#REF!,14, FALSE()))</f>
        <v>0</v>
      </c>
      <c r="K11" s="373">
        <f>IF(C11=0,,VLOOKUP(E11,#REF!,15, FALSE()))</f>
        <v>0</v>
      </c>
      <c r="L11" s="373">
        <f>IF(C11=0,,VLOOKUP(E11,#REF!,16, FALSE()))</f>
        <v>0</v>
      </c>
      <c r="M11" s="340">
        <f>IF(C11=0,,VLOOKUP(E11,#REF!,17, FALSE()))</f>
        <v>0</v>
      </c>
      <c r="N11" s="340">
        <f>IF(C11=0,,VLOOKUP(E11,#REF!,18, FALSE()))</f>
        <v>0</v>
      </c>
      <c r="O11" s="373">
        <f>IF(C11=0,,VLOOKUP(E11,#REF!,19, FALSE()))</f>
        <v>0</v>
      </c>
      <c r="P11" s="373">
        <f>IF(C11=0,,VLOOKUP(E11,#REF!,20, FALSE()))</f>
        <v>0</v>
      </c>
      <c r="Q11" s="340">
        <f>IF(C11=0,,VLOOKUP(E11,#REF!,21, FALSE()))</f>
        <v>0</v>
      </c>
      <c r="R11" s="340">
        <f>IF(C11=0,,VLOOKUP(E11,#REF!,22, FALSE()))</f>
        <v>0</v>
      </c>
      <c r="S11" s="373">
        <f>IF(C11=0,,VLOOKUP(E11,#REF!,23, FALSE()))</f>
        <v>0</v>
      </c>
      <c r="T11" s="373">
        <f>IF(C11=0,,VLOOKUP(E11,#REF!,24, FALSE()))</f>
        <v>0</v>
      </c>
      <c r="U11" s="340">
        <f>IF(C11=0,,VLOOKUP(E11,#REF!,25, FALSE()))</f>
        <v>0</v>
      </c>
      <c r="V11" s="340">
        <f>IF(C11=0,,VLOOKUP(E11,#REF!,26, FALSE()))</f>
        <v>0</v>
      </c>
      <c r="W11" s="445"/>
      <c r="X11" s="382">
        <f>IF(C11=0,,VLOOKUP(E11,#REF!,2, FALSE()))</f>
        <v>0</v>
      </c>
      <c r="Y11" s="384">
        <f>IF(C11=0,,VLOOKUP(E11,#REF!,3, FALSE()))</f>
        <v>0</v>
      </c>
      <c r="Z11" s="385"/>
      <c r="AA11" s="74"/>
      <c r="AB11" s="386">
        <f>IF(C11=0,,VLOOKUP(E11,#REF!,6, FALSE()))</f>
        <v>0</v>
      </c>
      <c r="AC11" s="387">
        <f t="shared" si="2"/>
        <v>0</v>
      </c>
      <c r="AD11" s="74"/>
      <c r="AE11" s="74">
        <f t="shared" si="3"/>
        <v>0</v>
      </c>
      <c r="AF11" s="74"/>
      <c r="AG11" s="74"/>
      <c r="AH11" s="74"/>
      <c r="AI11" s="74"/>
      <c r="AJ11" s="389"/>
      <c r="AK11" s="287" t="e">
        <f t="shared" ref="AK11:BO11" si="12">(MID(#REF!, 7,2))</f>
        <v>#REF!</v>
      </c>
      <c r="AL11" s="287" t="e">
        <f t="shared" si="12"/>
        <v>#REF!</v>
      </c>
      <c r="AM11" s="287" t="e">
        <f t="shared" si="12"/>
        <v>#REF!</v>
      </c>
      <c r="AN11" s="287" t="e">
        <f t="shared" si="12"/>
        <v>#REF!</v>
      </c>
      <c r="AO11" s="287" t="e">
        <f t="shared" si="12"/>
        <v>#REF!</v>
      </c>
      <c r="AP11" s="287" t="e">
        <f t="shared" si="12"/>
        <v>#REF!</v>
      </c>
      <c r="AQ11" s="287" t="e">
        <f t="shared" si="12"/>
        <v>#REF!</v>
      </c>
      <c r="AR11" s="287" t="e">
        <f t="shared" si="12"/>
        <v>#REF!</v>
      </c>
      <c r="AS11" s="287" t="e">
        <f t="shared" si="12"/>
        <v>#REF!</v>
      </c>
      <c r="AT11" s="287" t="e">
        <f t="shared" si="12"/>
        <v>#REF!</v>
      </c>
      <c r="AU11" s="287" t="e">
        <f t="shared" si="12"/>
        <v>#REF!</v>
      </c>
      <c r="AV11" s="287" t="e">
        <f t="shared" si="12"/>
        <v>#REF!</v>
      </c>
      <c r="AW11" s="287" t="e">
        <f t="shared" si="12"/>
        <v>#REF!</v>
      </c>
      <c r="AX11" s="287" t="e">
        <f t="shared" si="12"/>
        <v>#REF!</v>
      </c>
      <c r="AY11" s="287" t="e">
        <f t="shared" si="12"/>
        <v>#REF!</v>
      </c>
      <c r="AZ11" s="287" t="e">
        <f t="shared" si="12"/>
        <v>#REF!</v>
      </c>
      <c r="BA11" s="287" t="e">
        <f t="shared" si="12"/>
        <v>#REF!</v>
      </c>
      <c r="BB11" s="287" t="e">
        <f t="shared" si="12"/>
        <v>#REF!</v>
      </c>
      <c r="BC11" s="287" t="e">
        <f t="shared" si="12"/>
        <v>#REF!</v>
      </c>
      <c r="BD11" s="287" t="e">
        <f t="shared" si="12"/>
        <v>#REF!</v>
      </c>
      <c r="BE11" s="287" t="e">
        <f t="shared" si="12"/>
        <v>#REF!</v>
      </c>
      <c r="BF11" s="287" t="e">
        <f t="shared" si="12"/>
        <v>#REF!</v>
      </c>
      <c r="BG11" s="287" t="e">
        <f t="shared" si="12"/>
        <v>#REF!</v>
      </c>
      <c r="BH11" s="287" t="e">
        <f t="shared" si="12"/>
        <v>#REF!</v>
      </c>
      <c r="BI11" s="287" t="e">
        <f t="shared" si="12"/>
        <v>#REF!</v>
      </c>
      <c r="BJ11" s="287" t="e">
        <f t="shared" si="12"/>
        <v>#REF!</v>
      </c>
      <c r="BK11" s="287" t="e">
        <f t="shared" si="12"/>
        <v>#REF!</v>
      </c>
      <c r="BL11" s="287" t="e">
        <f t="shared" si="12"/>
        <v>#REF!</v>
      </c>
      <c r="BM11" s="287" t="e">
        <f t="shared" si="12"/>
        <v>#REF!</v>
      </c>
      <c r="BN11" s="287" t="e">
        <f t="shared" si="12"/>
        <v>#REF!</v>
      </c>
      <c r="BO11" s="287" t="e">
        <f t="shared" si="12"/>
        <v>#REF!</v>
      </c>
    </row>
    <row r="12" spans="1:67" ht="2.25" customHeight="1">
      <c r="G12" s="446"/>
      <c r="H12" s="446"/>
      <c r="I12" s="285"/>
      <c r="J12" s="285"/>
      <c r="K12" s="346"/>
      <c r="L12" s="346"/>
      <c r="M12" s="285"/>
      <c r="N12" s="285"/>
      <c r="O12" s="346"/>
      <c r="P12" s="346"/>
      <c r="Q12" s="285"/>
      <c r="R12" s="285"/>
      <c r="S12" s="346"/>
      <c r="T12" s="346"/>
      <c r="U12" s="285"/>
      <c r="V12" s="285"/>
      <c r="Y12" s="447"/>
      <c r="AK12" s="346"/>
      <c r="AL12" s="346"/>
      <c r="AM12" s="346"/>
      <c r="AN12" s="346"/>
      <c r="AO12" s="346"/>
      <c r="AP12" s="346"/>
      <c r="AQ12" s="346"/>
      <c r="AR12" s="346"/>
      <c r="AS12" s="346"/>
      <c r="AT12" s="346"/>
      <c r="AU12" s="346"/>
      <c r="AV12" s="346"/>
      <c r="AW12" s="346"/>
      <c r="AX12" s="346"/>
      <c r="AY12" s="346"/>
      <c r="AZ12" s="346"/>
      <c r="BA12" s="346"/>
      <c r="BB12" s="346"/>
      <c r="BC12" s="346"/>
      <c r="BD12" s="346"/>
      <c r="BE12" s="346"/>
      <c r="BF12" s="346"/>
      <c r="BG12" s="346"/>
      <c r="BH12" s="346"/>
      <c r="BI12" s="346"/>
      <c r="BJ12" s="346"/>
      <c r="BK12" s="346"/>
      <c r="BL12" s="346"/>
      <c r="BM12" s="346"/>
      <c r="BN12" s="346"/>
      <c r="BO12" s="346"/>
    </row>
    <row r="13" spans="1:67" ht="20.25" customHeight="1">
      <c r="A13" s="200" t="s">
        <v>2459</v>
      </c>
      <c r="B13" s="217" t="s">
        <v>2712</v>
      </c>
      <c r="C13" s="200">
        <v>1</v>
      </c>
      <c r="D13" s="361" t="str">
        <f t="shared" ref="D13:D21" si="13">$B$13</f>
        <v>R.02</v>
      </c>
      <c r="E13" s="74" t="str">
        <f t="shared" ref="E13:E21" si="14">IF(C13=0,,CONCATENATE(D13,"/",C13))</f>
        <v>R.02/1</v>
      </c>
      <c r="F13" s="337" t="e">
        <f>IF(C13=0,,VLOOKUP(E13,#REF!,5, FALSE()))</f>
        <v>#REF!</v>
      </c>
      <c r="G13" s="448"/>
      <c r="H13" s="448"/>
      <c r="I13" s="340"/>
      <c r="J13" s="340"/>
      <c r="K13" s="449"/>
      <c r="L13" s="449"/>
      <c r="M13" s="340"/>
      <c r="N13" s="340"/>
      <c r="O13" s="449"/>
      <c r="P13" s="449"/>
      <c r="Q13" s="340"/>
      <c r="R13" s="340"/>
      <c r="S13" s="449"/>
      <c r="T13" s="449"/>
      <c r="U13" s="340"/>
      <c r="V13" s="340"/>
      <c r="W13" s="563" t="e">
        <f>CONCATENATE(F13," + ",F14," + ",F15," + ",F16," + ",F17," + ",F18," + ",F19," + ",F20," + ",F21)</f>
        <v>#REF!</v>
      </c>
      <c r="X13" s="382" t="e">
        <f>IF(C13=0,,VLOOKUP(E13,#REF!,2, FALSE()))</f>
        <v>#REF!</v>
      </c>
      <c r="Y13" s="384" t="e">
        <f>IF(C13=0,,VLOOKUP(E13,#REF!,3, FALSE()))</f>
        <v>#REF!</v>
      </c>
      <c r="Z13" s="385" t="e">
        <f>VLOOKUP(Y13,#REF!,6, FALSE())</f>
        <v>#REF!</v>
      </c>
      <c r="AA13" s="74" t="str">
        <f>$B15</f>
        <v>Cesta PQ</v>
      </c>
      <c r="AB13" s="386" t="e">
        <f>IF(C13=0,,VLOOKUP(E13,#REF!,6, FALSE()))</f>
        <v>#REF!</v>
      </c>
      <c r="AC13" s="74"/>
      <c r="AD13" s="74">
        <f>$B16</f>
        <v>14</v>
      </c>
      <c r="AE13" s="74"/>
      <c r="AF13" s="450">
        <f>$B17</f>
        <v>0</v>
      </c>
      <c r="AG13" s="74"/>
      <c r="AH13" s="450" t="e">
        <f>$B19</f>
        <v>#REF!</v>
      </c>
      <c r="AI13" s="450" t="e">
        <f>B19+B20</f>
        <v>#REF!</v>
      </c>
      <c r="AJ13" s="389">
        <v>4.1666666666666664E-2</v>
      </c>
      <c r="AK13" s="287" t="e">
        <f t="shared" ref="AK13:BO13" si="15">(MID(#REF!, 7,2))</f>
        <v>#REF!</v>
      </c>
      <c r="AL13" s="287" t="e">
        <f t="shared" si="15"/>
        <v>#REF!</v>
      </c>
      <c r="AM13" s="287" t="e">
        <f t="shared" si="15"/>
        <v>#REF!</v>
      </c>
      <c r="AN13" s="287" t="e">
        <f t="shared" si="15"/>
        <v>#REF!</v>
      </c>
      <c r="AO13" s="287" t="e">
        <f t="shared" si="15"/>
        <v>#REF!</v>
      </c>
      <c r="AP13" s="287" t="e">
        <f t="shared" si="15"/>
        <v>#REF!</v>
      </c>
      <c r="AQ13" s="287" t="e">
        <f t="shared" si="15"/>
        <v>#REF!</v>
      </c>
      <c r="AR13" s="287" t="e">
        <f t="shared" si="15"/>
        <v>#REF!</v>
      </c>
      <c r="AS13" s="287" t="e">
        <f t="shared" si="15"/>
        <v>#REF!</v>
      </c>
      <c r="AT13" s="287" t="e">
        <f t="shared" si="15"/>
        <v>#REF!</v>
      </c>
      <c r="AU13" s="287" t="e">
        <f t="shared" si="15"/>
        <v>#REF!</v>
      </c>
      <c r="AV13" s="287" t="e">
        <f t="shared" si="15"/>
        <v>#REF!</v>
      </c>
      <c r="AW13" s="287" t="e">
        <f t="shared" si="15"/>
        <v>#REF!</v>
      </c>
      <c r="AX13" s="287" t="e">
        <f t="shared" si="15"/>
        <v>#REF!</v>
      </c>
      <c r="AY13" s="287" t="e">
        <f t="shared" si="15"/>
        <v>#REF!</v>
      </c>
      <c r="AZ13" s="287" t="e">
        <f t="shared" si="15"/>
        <v>#REF!</v>
      </c>
      <c r="BA13" s="287" t="e">
        <f t="shared" si="15"/>
        <v>#REF!</v>
      </c>
      <c r="BB13" s="287" t="e">
        <f t="shared" si="15"/>
        <v>#REF!</v>
      </c>
      <c r="BC13" s="287" t="e">
        <f t="shared" si="15"/>
        <v>#REF!</v>
      </c>
      <c r="BD13" s="287" t="e">
        <f t="shared" si="15"/>
        <v>#REF!</v>
      </c>
      <c r="BE13" s="287" t="e">
        <f t="shared" si="15"/>
        <v>#REF!</v>
      </c>
      <c r="BF13" s="287" t="e">
        <f t="shared" si="15"/>
        <v>#REF!</v>
      </c>
      <c r="BG13" s="287" t="e">
        <f t="shared" si="15"/>
        <v>#REF!</v>
      </c>
      <c r="BH13" s="287" t="e">
        <f t="shared" si="15"/>
        <v>#REF!</v>
      </c>
      <c r="BI13" s="287" t="e">
        <f t="shared" si="15"/>
        <v>#REF!</v>
      </c>
      <c r="BJ13" s="287" t="e">
        <f t="shared" si="15"/>
        <v>#REF!</v>
      </c>
      <c r="BK13" s="287" t="e">
        <f t="shared" si="15"/>
        <v>#REF!</v>
      </c>
      <c r="BL13" s="287" t="e">
        <f t="shared" si="15"/>
        <v>#REF!</v>
      </c>
      <c r="BM13" s="287" t="e">
        <f t="shared" si="15"/>
        <v>#REF!</v>
      </c>
      <c r="BN13" s="287" t="e">
        <f t="shared" si="15"/>
        <v>#REF!</v>
      </c>
      <c r="BO13" s="287" t="e">
        <f t="shared" si="15"/>
        <v>#REF!</v>
      </c>
    </row>
    <row r="14" spans="1:67" ht="20.25" customHeight="1">
      <c r="A14" s="562" t="e">
        <f>Y13</f>
        <v>#REF!</v>
      </c>
      <c r="B14" s="499"/>
      <c r="C14" s="200">
        <v>2</v>
      </c>
      <c r="D14" s="361" t="str">
        <f t="shared" si="13"/>
        <v>R.02</v>
      </c>
      <c r="E14" s="74" t="str">
        <f t="shared" si="14"/>
        <v>R.02/2</v>
      </c>
      <c r="F14" s="337" t="e">
        <f>IF(C14=0,,VLOOKUP(E14,#REF!,5, FALSE()))</f>
        <v>#REF!</v>
      </c>
      <c r="G14" s="448"/>
      <c r="H14" s="448"/>
      <c r="I14" s="340"/>
      <c r="J14" s="340"/>
      <c r="K14" s="449"/>
      <c r="L14" s="449"/>
      <c r="M14" s="340"/>
      <c r="N14" s="340"/>
      <c r="O14" s="449"/>
      <c r="P14" s="449"/>
      <c r="Q14" s="340"/>
      <c r="R14" s="340"/>
      <c r="S14" s="449"/>
      <c r="T14" s="449"/>
      <c r="U14" s="340"/>
      <c r="V14" s="340"/>
      <c r="W14" s="480"/>
      <c r="X14" s="382" t="e">
        <f>IF(C14=0,,VLOOKUP(E14,#REF!,2, FALSE()))</f>
        <v>#REF!</v>
      </c>
      <c r="Y14" s="384" t="e">
        <f>IF(C14=0,,VLOOKUP(E14,#REF!,3, FALSE()))</f>
        <v>#REF!</v>
      </c>
      <c r="Z14" s="385"/>
      <c r="AA14" s="74"/>
      <c r="AB14" s="386" t="e">
        <f>IF(C14=0,,VLOOKUP(E14,#REF!,6, FALSE()))</f>
        <v>#REF!</v>
      </c>
      <c r="AC14" s="74"/>
      <c r="AD14" s="74"/>
      <c r="AE14" s="74"/>
      <c r="AF14" s="74"/>
      <c r="AG14" s="74"/>
      <c r="AH14" s="74"/>
      <c r="AI14" s="74"/>
      <c r="AJ14" s="389"/>
      <c r="AK14" s="287" t="e">
        <f t="shared" ref="AK14:BO14" si="16">(MID(#REF!, 7,2))</f>
        <v>#REF!</v>
      </c>
      <c r="AL14" s="287" t="e">
        <f t="shared" si="16"/>
        <v>#REF!</v>
      </c>
      <c r="AM14" s="287" t="e">
        <f t="shared" si="16"/>
        <v>#REF!</v>
      </c>
      <c r="AN14" s="287" t="e">
        <f t="shared" si="16"/>
        <v>#REF!</v>
      </c>
      <c r="AO14" s="287" t="e">
        <f t="shared" si="16"/>
        <v>#REF!</v>
      </c>
      <c r="AP14" s="287" t="e">
        <f t="shared" si="16"/>
        <v>#REF!</v>
      </c>
      <c r="AQ14" s="287" t="e">
        <f t="shared" si="16"/>
        <v>#REF!</v>
      </c>
      <c r="AR14" s="287" t="e">
        <f t="shared" si="16"/>
        <v>#REF!</v>
      </c>
      <c r="AS14" s="287" t="e">
        <f t="shared" si="16"/>
        <v>#REF!</v>
      </c>
      <c r="AT14" s="287" t="e">
        <f t="shared" si="16"/>
        <v>#REF!</v>
      </c>
      <c r="AU14" s="287" t="e">
        <f t="shared" si="16"/>
        <v>#REF!</v>
      </c>
      <c r="AV14" s="287" t="e">
        <f t="shared" si="16"/>
        <v>#REF!</v>
      </c>
      <c r="AW14" s="287" t="e">
        <f t="shared" si="16"/>
        <v>#REF!</v>
      </c>
      <c r="AX14" s="287" t="e">
        <f t="shared" si="16"/>
        <v>#REF!</v>
      </c>
      <c r="AY14" s="287" t="e">
        <f t="shared" si="16"/>
        <v>#REF!</v>
      </c>
      <c r="AZ14" s="287" t="e">
        <f t="shared" si="16"/>
        <v>#REF!</v>
      </c>
      <c r="BA14" s="287" t="e">
        <f t="shared" si="16"/>
        <v>#REF!</v>
      </c>
      <c r="BB14" s="287" t="e">
        <f t="shared" si="16"/>
        <v>#REF!</v>
      </c>
      <c r="BC14" s="287" t="e">
        <f t="shared" si="16"/>
        <v>#REF!</v>
      </c>
      <c r="BD14" s="287" t="e">
        <f t="shared" si="16"/>
        <v>#REF!</v>
      </c>
      <c r="BE14" s="287" t="e">
        <f t="shared" si="16"/>
        <v>#REF!</v>
      </c>
      <c r="BF14" s="287" t="e">
        <f t="shared" si="16"/>
        <v>#REF!</v>
      </c>
      <c r="BG14" s="287" t="e">
        <f t="shared" si="16"/>
        <v>#REF!</v>
      </c>
      <c r="BH14" s="287" t="e">
        <f t="shared" si="16"/>
        <v>#REF!</v>
      </c>
      <c r="BI14" s="287" t="e">
        <f t="shared" si="16"/>
        <v>#REF!</v>
      </c>
      <c r="BJ14" s="287" t="e">
        <f t="shared" si="16"/>
        <v>#REF!</v>
      </c>
      <c r="BK14" s="287" t="e">
        <f t="shared" si="16"/>
        <v>#REF!</v>
      </c>
      <c r="BL14" s="287" t="e">
        <f t="shared" si="16"/>
        <v>#REF!</v>
      </c>
      <c r="BM14" s="287" t="e">
        <f t="shared" si="16"/>
        <v>#REF!</v>
      </c>
      <c r="BN14" s="287" t="e">
        <f t="shared" si="16"/>
        <v>#REF!</v>
      </c>
      <c r="BO14" s="287" t="e">
        <f t="shared" si="16"/>
        <v>#REF!</v>
      </c>
    </row>
    <row r="15" spans="1:67" ht="20.25" customHeight="1">
      <c r="A15" s="402" t="s">
        <v>2896</v>
      </c>
      <c r="B15" s="19" t="s">
        <v>1417</v>
      </c>
      <c r="C15" s="200">
        <v>3</v>
      </c>
      <c r="D15" s="361" t="str">
        <f t="shared" si="13"/>
        <v>R.02</v>
      </c>
      <c r="E15" s="74" t="str">
        <f t="shared" si="14"/>
        <v>R.02/3</v>
      </c>
      <c r="F15" s="337" t="e">
        <f>IF(C15=0,,VLOOKUP(E15,#REF!,5, FALSE()))</f>
        <v>#REF!</v>
      </c>
      <c r="G15" s="448"/>
      <c r="H15" s="448"/>
      <c r="I15" s="340"/>
      <c r="J15" s="340"/>
      <c r="K15" s="449"/>
      <c r="L15" s="449"/>
      <c r="M15" s="340"/>
      <c r="N15" s="340"/>
      <c r="O15" s="449"/>
      <c r="P15" s="449"/>
      <c r="Q15" s="340"/>
      <c r="R15" s="340"/>
      <c r="S15" s="449"/>
      <c r="T15" s="449"/>
      <c r="U15" s="340"/>
      <c r="V15" s="340"/>
      <c r="W15" s="480"/>
      <c r="X15" s="382" t="e">
        <f>IF(C15=0,,VLOOKUP(E15,#REF!,2, FALSE()))</f>
        <v>#REF!</v>
      </c>
      <c r="Y15" s="384" t="e">
        <f>IF(C15=0,,VLOOKUP(E15,#REF!,3, FALSE()))</f>
        <v>#REF!</v>
      </c>
      <c r="Z15" s="385"/>
      <c r="AA15" s="74"/>
      <c r="AB15" s="386" t="e">
        <f>IF(C15=0,,VLOOKUP(E15,#REF!,6, FALSE()))</f>
        <v>#REF!</v>
      </c>
      <c r="AC15" s="74"/>
      <c r="AD15" s="74"/>
      <c r="AE15" s="74"/>
      <c r="AF15" s="74"/>
      <c r="AG15" s="74"/>
      <c r="AH15" s="74"/>
      <c r="AI15" s="74"/>
      <c r="AJ15" s="389"/>
      <c r="AK15" s="287" t="e">
        <f t="shared" ref="AK15:BO15" si="17">(MID(#REF!, 7,2))</f>
        <v>#REF!</v>
      </c>
      <c r="AL15" s="287" t="e">
        <f t="shared" si="17"/>
        <v>#REF!</v>
      </c>
      <c r="AM15" s="287" t="e">
        <f t="shared" si="17"/>
        <v>#REF!</v>
      </c>
      <c r="AN15" s="287" t="e">
        <f t="shared" si="17"/>
        <v>#REF!</v>
      </c>
      <c r="AO15" s="287" t="e">
        <f t="shared" si="17"/>
        <v>#REF!</v>
      </c>
      <c r="AP15" s="287" t="e">
        <f t="shared" si="17"/>
        <v>#REF!</v>
      </c>
      <c r="AQ15" s="287" t="e">
        <f t="shared" si="17"/>
        <v>#REF!</v>
      </c>
      <c r="AR15" s="287" t="e">
        <f t="shared" si="17"/>
        <v>#REF!</v>
      </c>
      <c r="AS15" s="287" t="e">
        <f t="shared" si="17"/>
        <v>#REF!</v>
      </c>
      <c r="AT15" s="287" t="e">
        <f t="shared" si="17"/>
        <v>#REF!</v>
      </c>
      <c r="AU15" s="287" t="e">
        <f t="shared" si="17"/>
        <v>#REF!</v>
      </c>
      <c r="AV15" s="287" t="e">
        <f t="shared" si="17"/>
        <v>#REF!</v>
      </c>
      <c r="AW15" s="287" t="e">
        <f t="shared" si="17"/>
        <v>#REF!</v>
      </c>
      <c r="AX15" s="287" t="e">
        <f t="shared" si="17"/>
        <v>#REF!</v>
      </c>
      <c r="AY15" s="287" t="e">
        <f t="shared" si="17"/>
        <v>#REF!</v>
      </c>
      <c r="AZ15" s="287" t="e">
        <f t="shared" si="17"/>
        <v>#REF!</v>
      </c>
      <c r="BA15" s="287" t="e">
        <f t="shared" si="17"/>
        <v>#REF!</v>
      </c>
      <c r="BB15" s="287" t="e">
        <f t="shared" si="17"/>
        <v>#REF!</v>
      </c>
      <c r="BC15" s="287" t="e">
        <f t="shared" si="17"/>
        <v>#REF!</v>
      </c>
      <c r="BD15" s="287" t="e">
        <f t="shared" si="17"/>
        <v>#REF!</v>
      </c>
      <c r="BE15" s="287" t="e">
        <f t="shared" si="17"/>
        <v>#REF!</v>
      </c>
      <c r="BF15" s="287" t="e">
        <f t="shared" si="17"/>
        <v>#REF!</v>
      </c>
      <c r="BG15" s="287" t="e">
        <f t="shared" si="17"/>
        <v>#REF!</v>
      </c>
      <c r="BH15" s="287" t="e">
        <f t="shared" si="17"/>
        <v>#REF!</v>
      </c>
      <c r="BI15" s="287" t="e">
        <f t="shared" si="17"/>
        <v>#REF!</v>
      </c>
      <c r="BJ15" s="287" t="e">
        <f t="shared" si="17"/>
        <v>#REF!</v>
      </c>
      <c r="BK15" s="287" t="e">
        <f t="shared" si="17"/>
        <v>#REF!</v>
      </c>
      <c r="BL15" s="287" t="e">
        <f t="shared" si="17"/>
        <v>#REF!</v>
      </c>
      <c r="BM15" s="287" t="e">
        <f t="shared" si="17"/>
        <v>#REF!</v>
      </c>
      <c r="BN15" s="287" t="e">
        <f t="shared" si="17"/>
        <v>#REF!</v>
      </c>
      <c r="BO15" s="287" t="e">
        <f t="shared" si="17"/>
        <v>#REF!</v>
      </c>
    </row>
    <row r="16" spans="1:67" ht="20.25" customHeight="1">
      <c r="A16" s="409" t="s">
        <v>2921</v>
      </c>
      <c r="B16" s="410">
        <v>14</v>
      </c>
      <c r="C16" s="200">
        <v>4</v>
      </c>
      <c r="D16" s="361" t="str">
        <f t="shared" si="13"/>
        <v>R.02</v>
      </c>
      <c r="E16" s="74" t="str">
        <f t="shared" si="14"/>
        <v>R.02/4</v>
      </c>
      <c r="F16" s="337" t="e">
        <f>IF(C16=0,,VLOOKUP(E16,#REF!,5, FALSE()))</f>
        <v>#REF!</v>
      </c>
      <c r="G16" s="448"/>
      <c r="H16" s="448"/>
      <c r="I16" s="340"/>
      <c r="J16" s="340"/>
      <c r="K16" s="449"/>
      <c r="L16" s="449"/>
      <c r="M16" s="340"/>
      <c r="N16" s="340"/>
      <c r="O16" s="449"/>
      <c r="P16" s="449"/>
      <c r="Q16" s="340"/>
      <c r="R16" s="340"/>
      <c r="S16" s="449"/>
      <c r="T16" s="449"/>
      <c r="U16" s="340"/>
      <c r="V16" s="340"/>
      <c r="W16" s="480"/>
      <c r="X16" s="382" t="e">
        <f>IF(C16=0,,VLOOKUP(E16,#REF!,2, FALSE()))</f>
        <v>#REF!</v>
      </c>
      <c r="Y16" s="384" t="e">
        <f>IF(C16=0,,VLOOKUP(E16,#REF!,3, FALSE()))</f>
        <v>#REF!</v>
      </c>
      <c r="Z16" s="385"/>
      <c r="AA16" s="74"/>
      <c r="AB16" s="386" t="e">
        <f>IF(C16=0,,VLOOKUP(E16,#REF!,6, FALSE()))</f>
        <v>#REF!</v>
      </c>
      <c r="AC16" s="74"/>
      <c r="AD16" s="74"/>
      <c r="AE16" s="74"/>
      <c r="AF16" s="74"/>
      <c r="AG16" s="74"/>
      <c r="AH16" s="74"/>
      <c r="AI16" s="74"/>
      <c r="AJ16" s="422"/>
      <c r="AK16" s="287" t="e">
        <f t="shared" ref="AK16:BO16" si="18">(MID(#REF!, 7,2))</f>
        <v>#REF!</v>
      </c>
      <c r="AL16" s="287" t="e">
        <f t="shared" si="18"/>
        <v>#REF!</v>
      </c>
      <c r="AM16" s="287" t="e">
        <f t="shared" si="18"/>
        <v>#REF!</v>
      </c>
      <c r="AN16" s="287" t="e">
        <f t="shared" si="18"/>
        <v>#REF!</v>
      </c>
      <c r="AO16" s="287" t="e">
        <f t="shared" si="18"/>
        <v>#REF!</v>
      </c>
      <c r="AP16" s="287" t="e">
        <f t="shared" si="18"/>
        <v>#REF!</v>
      </c>
      <c r="AQ16" s="287" t="e">
        <f t="shared" si="18"/>
        <v>#REF!</v>
      </c>
      <c r="AR16" s="287" t="e">
        <f t="shared" si="18"/>
        <v>#REF!</v>
      </c>
      <c r="AS16" s="287" t="e">
        <f t="shared" si="18"/>
        <v>#REF!</v>
      </c>
      <c r="AT16" s="287" t="e">
        <f t="shared" si="18"/>
        <v>#REF!</v>
      </c>
      <c r="AU16" s="287" t="e">
        <f t="shared" si="18"/>
        <v>#REF!</v>
      </c>
      <c r="AV16" s="287" t="e">
        <f t="shared" si="18"/>
        <v>#REF!</v>
      </c>
      <c r="AW16" s="287" t="e">
        <f t="shared" si="18"/>
        <v>#REF!</v>
      </c>
      <c r="AX16" s="287" t="e">
        <f t="shared" si="18"/>
        <v>#REF!</v>
      </c>
      <c r="AY16" s="287" t="e">
        <f t="shared" si="18"/>
        <v>#REF!</v>
      </c>
      <c r="AZ16" s="287" t="e">
        <f t="shared" si="18"/>
        <v>#REF!</v>
      </c>
      <c r="BA16" s="287" t="e">
        <f t="shared" si="18"/>
        <v>#REF!</v>
      </c>
      <c r="BB16" s="287" t="e">
        <f t="shared" si="18"/>
        <v>#REF!</v>
      </c>
      <c r="BC16" s="287" t="e">
        <f t="shared" si="18"/>
        <v>#REF!</v>
      </c>
      <c r="BD16" s="287" t="e">
        <f t="shared" si="18"/>
        <v>#REF!</v>
      </c>
      <c r="BE16" s="287" t="e">
        <f t="shared" si="18"/>
        <v>#REF!</v>
      </c>
      <c r="BF16" s="287" t="e">
        <f t="shared" si="18"/>
        <v>#REF!</v>
      </c>
      <c r="BG16" s="287" t="e">
        <f t="shared" si="18"/>
        <v>#REF!</v>
      </c>
      <c r="BH16" s="287" t="e">
        <f t="shared" si="18"/>
        <v>#REF!</v>
      </c>
      <c r="BI16" s="287" t="e">
        <f t="shared" si="18"/>
        <v>#REF!</v>
      </c>
      <c r="BJ16" s="287" t="e">
        <f t="shared" si="18"/>
        <v>#REF!</v>
      </c>
      <c r="BK16" s="287" t="e">
        <f t="shared" si="18"/>
        <v>#REF!</v>
      </c>
      <c r="BL16" s="287" t="e">
        <f t="shared" si="18"/>
        <v>#REF!</v>
      </c>
      <c r="BM16" s="287" t="e">
        <f t="shared" si="18"/>
        <v>#REF!</v>
      </c>
      <c r="BN16" s="287" t="e">
        <f t="shared" si="18"/>
        <v>#REF!</v>
      </c>
      <c r="BO16" s="287" t="e">
        <f t="shared" si="18"/>
        <v>#REF!</v>
      </c>
    </row>
    <row r="17" spans="1:67" ht="20.25" customHeight="1">
      <c r="A17" s="424" t="s">
        <v>2936</v>
      </c>
      <c r="B17" s="425"/>
      <c r="C17" s="200">
        <v>0</v>
      </c>
      <c r="D17" s="361" t="str">
        <f t="shared" si="13"/>
        <v>R.02</v>
      </c>
      <c r="E17" s="74">
        <f t="shared" si="14"/>
        <v>0</v>
      </c>
      <c r="F17" s="337">
        <f>IF(C17=0,,VLOOKUP(E17,#REF!,5, FALSE()))</f>
        <v>0</v>
      </c>
      <c r="G17" s="448"/>
      <c r="H17" s="448"/>
      <c r="I17" s="340"/>
      <c r="J17" s="340"/>
      <c r="K17" s="449"/>
      <c r="L17" s="449"/>
      <c r="M17" s="340"/>
      <c r="N17" s="340"/>
      <c r="O17" s="449"/>
      <c r="P17" s="449"/>
      <c r="Q17" s="340"/>
      <c r="R17" s="340"/>
      <c r="S17" s="449"/>
      <c r="T17" s="449"/>
      <c r="U17" s="340"/>
      <c r="V17" s="340"/>
      <c r="W17" s="480"/>
      <c r="X17" s="382">
        <f>IF(C17=0,,VLOOKUP(E17,#REF!,2, FALSE()))</f>
        <v>0</v>
      </c>
      <c r="Y17" s="384">
        <f>IF(C17=0,,VLOOKUP(E17,#REF!,3, FALSE()))</f>
        <v>0</v>
      </c>
      <c r="Z17" s="385"/>
      <c r="AA17" s="74"/>
      <c r="AB17" s="386">
        <f>IF(C17=0,,VLOOKUP(E17,#REF!,6, FALSE()))</f>
        <v>0</v>
      </c>
      <c r="AC17" s="74"/>
      <c r="AD17" s="74"/>
      <c r="AE17" s="74"/>
      <c r="AF17" s="74"/>
      <c r="AG17" s="74"/>
      <c r="AH17" s="74"/>
      <c r="AI17" s="74"/>
      <c r="AJ17" s="389"/>
      <c r="AK17" s="287" t="e">
        <f t="shared" ref="AK17:BO17" si="19">(MID(#REF!, 7,2))</f>
        <v>#REF!</v>
      </c>
      <c r="AL17" s="287" t="e">
        <f t="shared" si="19"/>
        <v>#REF!</v>
      </c>
      <c r="AM17" s="287" t="e">
        <f t="shared" si="19"/>
        <v>#REF!</v>
      </c>
      <c r="AN17" s="287" t="e">
        <f t="shared" si="19"/>
        <v>#REF!</v>
      </c>
      <c r="AO17" s="287" t="e">
        <f t="shared" si="19"/>
        <v>#REF!</v>
      </c>
      <c r="AP17" s="287" t="e">
        <f t="shared" si="19"/>
        <v>#REF!</v>
      </c>
      <c r="AQ17" s="287" t="e">
        <f t="shared" si="19"/>
        <v>#REF!</v>
      </c>
      <c r="AR17" s="287" t="e">
        <f t="shared" si="19"/>
        <v>#REF!</v>
      </c>
      <c r="AS17" s="287" t="e">
        <f t="shared" si="19"/>
        <v>#REF!</v>
      </c>
      <c r="AT17" s="287" t="e">
        <f t="shared" si="19"/>
        <v>#REF!</v>
      </c>
      <c r="AU17" s="287" t="e">
        <f t="shared" si="19"/>
        <v>#REF!</v>
      </c>
      <c r="AV17" s="287" t="e">
        <f t="shared" si="19"/>
        <v>#REF!</v>
      </c>
      <c r="AW17" s="287" t="e">
        <f t="shared" si="19"/>
        <v>#REF!</v>
      </c>
      <c r="AX17" s="287" t="e">
        <f t="shared" si="19"/>
        <v>#REF!</v>
      </c>
      <c r="AY17" s="287" t="e">
        <f t="shared" si="19"/>
        <v>#REF!</v>
      </c>
      <c r="AZ17" s="287" t="e">
        <f t="shared" si="19"/>
        <v>#REF!</v>
      </c>
      <c r="BA17" s="287" t="e">
        <f t="shared" si="19"/>
        <v>#REF!</v>
      </c>
      <c r="BB17" s="287" t="e">
        <f t="shared" si="19"/>
        <v>#REF!</v>
      </c>
      <c r="BC17" s="287" t="e">
        <f t="shared" si="19"/>
        <v>#REF!</v>
      </c>
      <c r="BD17" s="287" t="e">
        <f t="shared" si="19"/>
        <v>#REF!</v>
      </c>
      <c r="BE17" s="287" t="e">
        <f t="shared" si="19"/>
        <v>#REF!</v>
      </c>
      <c r="BF17" s="287" t="e">
        <f t="shared" si="19"/>
        <v>#REF!</v>
      </c>
      <c r="BG17" s="287" t="e">
        <f t="shared" si="19"/>
        <v>#REF!</v>
      </c>
      <c r="BH17" s="287" t="e">
        <f t="shared" si="19"/>
        <v>#REF!</v>
      </c>
      <c r="BI17" s="287" t="e">
        <f t="shared" si="19"/>
        <v>#REF!</v>
      </c>
      <c r="BJ17" s="287" t="e">
        <f t="shared" si="19"/>
        <v>#REF!</v>
      </c>
      <c r="BK17" s="287" t="e">
        <f t="shared" si="19"/>
        <v>#REF!</v>
      </c>
      <c r="BL17" s="287" t="e">
        <f t="shared" si="19"/>
        <v>#REF!</v>
      </c>
      <c r="BM17" s="287" t="e">
        <f t="shared" si="19"/>
        <v>#REF!</v>
      </c>
      <c r="BN17" s="287" t="e">
        <f t="shared" si="19"/>
        <v>#REF!</v>
      </c>
      <c r="BO17" s="287" t="e">
        <f t="shared" si="19"/>
        <v>#REF!</v>
      </c>
    </row>
    <row r="18" spans="1:67" ht="20.25" customHeight="1">
      <c r="A18" s="424" t="e">
        <f>Z13</f>
        <v>#REF!</v>
      </c>
      <c r="B18" s="425">
        <v>0.33333333333333331</v>
      </c>
      <c r="C18" s="200">
        <v>0</v>
      </c>
      <c r="D18" s="361" t="str">
        <f t="shared" si="13"/>
        <v>R.02</v>
      </c>
      <c r="E18" s="74">
        <f t="shared" si="14"/>
        <v>0</v>
      </c>
      <c r="F18" s="337">
        <f>IF(C18=0,,VLOOKUP(E18,#REF!,5, FALSE()))</f>
        <v>0</v>
      </c>
      <c r="G18" s="448"/>
      <c r="H18" s="448"/>
      <c r="I18" s="340"/>
      <c r="J18" s="340"/>
      <c r="K18" s="449"/>
      <c r="L18" s="449"/>
      <c r="M18" s="340"/>
      <c r="N18" s="340"/>
      <c r="O18" s="449"/>
      <c r="P18" s="449"/>
      <c r="Q18" s="340"/>
      <c r="R18" s="340"/>
      <c r="S18" s="449"/>
      <c r="T18" s="449"/>
      <c r="U18" s="340"/>
      <c r="V18" s="340"/>
      <c r="W18" s="480"/>
      <c r="X18" s="382">
        <f>IF(C18=0,,VLOOKUP(E18,#REF!,2, FALSE()))</f>
        <v>0</v>
      </c>
      <c r="Y18" s="384">
        <f>IF(C18=0,,VLOOKUP(E18,#REF!,3, FALSE()))</f>
        <v>0</v>
      </c>
      <c r="Z18" s="385"/>
      <c r="AA18" s="74"/>
      <c r="AB18" s="386">
        <f>IF(C18=0,,VLOOKUP(E18,#REF!,6, FALSE()))</f>
        <v>0</v>
      </c>
      <c r="AC18" s="74"/>
      <c r="AD18" s="74"/>
      <c r="AE18" s="74"/>
      <c r="AF18" s="74"/>
      <c r="AG18" s="74"/>
      <c r="AH18" s="74"/>
      <c r="AI18" s="74"/>
      <c r="AJ18" s="389"/>
      <c r="AK18" s="287" t="e">
        <f t="shared" ref="AK18:BO18" si="20">(MID(#REF!, 7,2))</f>
        <v>#REF!</v>
      </c>
      <c r="AL18" s="287" t="e">
        <f t="shared" si="20"/>
        <v>#REF!</v>
      </c>
      <c r="AM18" s="287" t="e">
        <f t="shared" si="20"/>
        <v>#REF!</v>
      </c>
      <c r="AN18" s="287" t="e">
        <f t="shared" si="20"/>
        <v>#REF!</v>
      </c>
      <c r="AO18" s="287" t="e">
        <f t="shared" si="20"/>
        <v>#REF!</v>
      </c>
      <c r="AP18" s="287" t="e">
        <f t="shared" si="20"/>
        <v>#REF!</v>
      </c>
      <c r="AQ18" s="287" t="e">
        <f t="shared" si="20"/>
        <v>#REF!</v>
      </c>
      <c r="AR18" s="287" t="e">
        <f t="shared" si="20"/>
        <v>#REF!</v>
      </c>
      <c r="AS18" s="287" t="e">
        <f t="shared" si="20"/>
        <v>#REF!</v>
      </c>
      <c r="AT18" s="287" t="e">
        <f t="shared" si="20"/>
        <v>#REF!</v>
      </c>
      <c r="AU18" s="287" t="e">
        <f t="shared" si="20"/>
        <v>#REF!</v>
      </c>
      <c r="AV18" s="287" t="e">
        <f t="shared" si="20"/>
        <v>#REF!</v>
      </c>
      <c r="AW18" s="287" t="e">
        <f t="shared" si="20"/>
        <v>#REF!</v>
      </c>
      <c r="AX18" s="287" t="e">
        <f t="shared" si="20"/>
        <v>#REF!</v>
      </c>
      <c r="AY18" s="287" t="e">
        <f t="shared" si="20"/>
        <v>#REF!</v>
      </c>
      <c r="AZ18" s="287" t="e">
        <f t="shared" si="20"/>
        <v>#REF!</v>
      </c>
      <c r="BA18" s="287" t="e">
        <f t="shared" si="20"/>
        <v>#REF!</v>
      </c>
      <c r="BB18" s="287" t="e">
        <f t="shared" si="20"/>
        <v>#REF!</v>
      </c>
      <c r="BC18" s="287" t="e">
        <f t="shared" si="20"/>
        <v>#REF!</v>
      </c>
      <c r="BD18" s="287" t="e">
        <f t="shared" si="20"/>
        <v>#REF!</v>
      </c>
      <c r="BE18" s="287" t="e">
        <f t="shared" si="20"/>
        <v>#REF!</v>
      </c>
      <c r="BF18" s="287" t="e">
        <f t="shared" si="20"/>
        <v>#REF!</v>
      </c>
      <c r="BG18" s="287" t="e">
        <f t="shared" si="20"/>
        <v>#REF!</v>
      </c>
      <c r="BH18" s="287" t="e">
        <f t="shared" si="20"/>
        <v>#REF!</v>
      </c>
      <c r="BI18" s="287" t="e">
        <f t="shared" si="20"/>
        <v>#REF!</v>
      </c>
      <c r="BJ18" s="287" t="e">
        <f t="shared" si="20"/>
        <v>#REF!</v>
      </c>
      <c r="BK18" s="287" t="e">
        <f t="shared" si="20"/>
        <v>#REF!</v>
      </c>
      <c r="BL18" s="287" t="e">
        <f t="shared" si="20"/>
        <v>#REF!</v>
      </c>
      <c r="BM18" s="287" t="e">
        <f t="shared" si="20"/>
        <v>#REF!</v>
      </c>
      <c r="BN18" s="287" t="e">
        <f t="shared" si="20"/>
        <v>#REF!</v>
      </c>
      <c r="BO18" s="287" t="e">
        <f t="shared" si="20"/>
        <v>#REF!</v>
      </c>
    </row>
    <row r="19" spans="1:67" ht="20.25" customHeight="1">
      <c r="A19" s="424" t="s">
        <v>2951</v>
      </c>
      <c r="B19" s="425" t="e">
        <f>SUM(AB13:AB21)</f>
        <v>#REF!</v>
      </c>
      <c r="C19" s="200">
        <v>0</v>
      </c>
      <c r="D19" s="361" t="str">
        <f t="shared" si="13"/>
        <v>R.02</v>
      </c>
      <c r="E19" s="74">
        <f t="shared" si="14"/>
        <v>0</v>
      </c>
      <c r="F19" s="337">
        <f>IF(C19=0,,VLOOKUP(E19,#REF!,5, FALSE()))</f>
        <v>0</v>
      </c>
      <c r="G19" s="448"/>
      <c r="H19" s="448"/>
      <c r="I19" s="340"/>
      <c r="J19" s="340"/>
      <c r="K19" s="449"/>
      <c r="L19" s="449"/>
      <c r="M19" s="340"/>
      <c r="N19" s="340"/>
      <c r="O19" s="449"/>
      <c r="P19" s="449"/>
      <c r="Q19" s="340"/>
      <c r="R19" s="340"/>
      <c r="S19" s="449"/>
      <c r="T19" s="449"/>
      <c r="U19" s="340"/>
      <c r="V19" s="340"/>
      <c r="W19" s="480"/>
      <c r="X19" s="382">
        <f>IF(C19=0,,VLOOKUP(E19,#REF!,2, FALSE()))</f>
        <v>0</v>
      </c>
      <c r="Y19" s="384">
        <f>IF(C19=0,,VLOOKUP(E19,#REF!,3, FALSE()))</f>
        <v>0</v>
      </c>
      <c r="Z19" s="385"/>
      <c r="AA19" s="74"/>
      <c r="AB19" s="386">
        <f>IF(C19=0,,VLOOKUP(E19,#REF!,6, FALSE()))</f>
        <v>0</v>
      </c>
      <c r="AC19" s="74"/>
      <c r="AD19" s="74"/>
      <c r="AE19" s="74"/>
      <c r="AF19" s="74"/>
      <c r="AG19" s="74"/>
      <c r="AH19" s="74"/>
      <c r="AI19" s="74"/>
      <c r="AJ19" s="389"/>
      <c r="AK19" s="287" t="e">
        <f t="shared" ref="AK19:BO19" si="21">(MID(#REF!, 7,2))</f>
        <v>#REF!</v>
      </c>
      <c r="AL19" s="287" t="e">
        <f t="shared" si="21"/>
        <v>#REF!</v>
      </c>
      <c r="AM19" s="287" t="e">
        <f t="shared" si="21"/>
        <v>#REF!</v>
      </c>
      <c r="AN19" s="287" t="e">
        <f t="shared" si="21"/>
        <v>#REF!</v>
      </c>
      <c r="AO19" s="287" t="e">
        <f t="shared" si="21"/>
        <v>#REF!</v>
      </c>
      <c r="AP19" s="287" t="e">
        <f t="shared" si="21"/>
        <v>#REF!</v>
      </c>
      <c r="AQ19" s="287" t="e">
        <f t="shared" si="21"/>
        <v>#REF!</v>
      </c>
      <c r="AR19" s="287" t="e">
        <f t="shared" si="21"/>
        <v>#REF!</v>
      </c>
      <c r="AS19" s="287" t="e">
        <f t="shared" si="21"/>
        <v>#REF!</v>
      </c>
      <c r="AT19" s="287" t="e">
        <f t="shared" si="21"/>
        <v>#REF!</v>
      </c>
      <c r="AU19" s="287" t="e">
        <f t="shared" si="21"/>
        <v>#REF!</v>
      </c>
      <c r="AV19" s="287" t="e">
        <f t="shared" si="21"/>
        <v>#REF!</v>
      </c>
      <c r="AW19" s="287" t="e">
        <f t="shared" si="21"/>
        <v>#REF!</v>
      </c>
      <c r="AX19" s="287" t="e">
        <f t="shared" si="21"/>
        <v>#REF!</v>
      </c>
      <c r="AY19" s="287" t="e">
        <f t="shared" si="21"/>
        <v>#REF!</v>
      </c>
      <c r="AZ19" s="287" t="e">
        <f t="shared" si="21"/>
        <v>#REF!</v>
      </c>
      <c r="BA19" s="287" t="e">
        <f t="shared" si="21"/>
        <v>#REF!</v>
      </c>
      <c r="BB19" s="287" t="e">
        <f t="shared" si="21"/>
        <v>#REF!</v>
      </c>
      <c r="BC19" s="287" t="e">
        <f t="shared" si="21"/>
        <v>#REF!</v>
      </c>
      <c r="BD19" s="287" t="e">
        <f t="shared" si="21"/>
        <v>#REF!</v>
      </c>
      <c r="BE19" s="287" t="e">
        <f t="shared" si="21"/>
        <v>#REF!</v>
      </c>
      <c r="BF19" s="287" t="e">
        <f t="shared" si="21"/>
        <v>#REF!</v>
      </c>
      <c r="BG19" s="287" t="e">
        <f t="shared" si="21"/>
        <v>#REF!</v>
      </c>
      <c r="BH19" s="287" t="e">
        <f t="shared" si="21"/>
        <v>#REF!</v>
      </c>
      <c r="BI19" s="287" t="e">
        <f t="shared" si="21"/>
        <v>#REF!</v>
      </c>
      <c r="BJ19" s="287" t="e">
        <f t="shared" si="21"/>
        <v>#REF!</v>
      </c>
      <c r="BK19" s="287" t="e">
        <f t="shared" si="21"/>
        <v>#REF!</v>
      </c>
      <c r="BL19" s="287" t="e">
        <f t="shared" si="21"/>
        <v>#REF!</v>
      </c>
      <c r="BM19" s="287" t="e">
        <f t="shared" si="21"/>
        <v>#REF!</v>
      </c>
      <c r="BN19" s="287" t="e">
        <f t="shared" si="21"/>
        <v>#REF!</v>
      </c>
      <c r="BO19" s="287" t="e">
        <f t="shared" si="21"/>
        <v>#REF!</v>
      </c>
    </row>
    <row r="20" spans="1:67" ht="20.25" customHeight="1">
      <c r="A20" s="424" t="s">
        <v>2952</v>
      </c>
      <c r="B20" s="425">
        <f>SUM(AJ13:AJ21)</f>
        <v>4.1666666666666664E-2</v>
      </c>
      <c r="C20" s="200">
        <v>0</v>
      </c>
      <c r="D20" s="361" t="str">
        <f t="shared" si="13"/>
        <v>R.02</v>
      </c>
      <c r="E20" s="74">
        <f t="shared" si="14"/>
        <v>0</v>
      </c>
      <c r="F20" s="337">
        <f>IF(C20=0,,VLOOKUP(E20,#REF!,5, FALSE()))</f>
        <v>0</v>
      </c>
      <c r="G20" s="448"/>
      <c r="H20" s="448"/>
      <c r="I20" s="340"/>
      <c r="J20" s="340"/>
      <c r="K20" s="449"/>
      <c r="L20" s="449"/>
      <c r="M20" s="340"/>
      <c r="N20" s="340"/>
      <c r="O20" s="449"/>
      <c r="P20" s="449"/>
      <c r="Q20" s="340"/>
      <c r="R20" s="340"/>
      <c r="S20" s="449"/>
      <c r="T20" s="449"/>
      <c r="U20" s="340"/>
      <c r="V20" s="340"/>
      <c r="W20" s="480"/>
      <c r="X20" s="382">
        <f>IF(C20=0,,VLOOKUP(E20,#REF!,2, FALSE()))</f>
        <v>0</v>
      </c>
      <c r="Y20" s="384">
        <f>IF(C20=0,,VLOOKUP(E20,#REF!,3, FALSE()))</f>
        <v>0</v>
      </c>
      <c r="Z20" s="385"/>
      <c r="AA20" s="74"/>
      <c r="AB20" s="386">
        <f>IF(C20=0,,VLOOKUP(E20,#REF!,6, FALSE()))</f>
        <v>0</v>
      </c>
      <c r="AC20" s="74"/>
      <c r="AD20" s="74"/>
      <c r="AE20" s="74"/>
      <c r="AF20" s="74"/>
      <c r="AG20" s="74"/>
      <c r="AH20" s="74"/>
      <c r="AI20" s="74"/>
      <c r="AJ20" s="389"/>
      <c r="AK20" s="287" t="e">
        <f t="shared" ref="AK20:BO20" si="22">(MID(#REF!, 7,2))</f>
        <v>#REF!</v>
      </c>
      <c r="AL20" s="287" t="e">
        <f t="shared" si="22"/>
        <v>#REF!</v>
      </c>
      <c r="AM20" s="287" t="e">
        <f t="shared" si="22"/>
        <v>#REF!</v>
      </c>
      <c r="AN20" s="287" t="e">
        <f t="shared" si="22"/>
        <v>#REF!</v>
      </c>
      <c r="AO20" s="287" t="e">
        <f t="shared" si="22"/>
        <v>#REF!</v>
      </c>
      <c r="AP20" s="287" t="e">
        <f t="shared" si="22"/>
        <v>#REF!</v>
      </c>
      <c r="AQ20" s="287" t="e">
        <f t="shared" si="22"/>
        <v>#REF!</v>
      </c>
      <c r="AR20" s="287" t="e">
        <f t="shared" si="22"/>
        <v>#REF!</v>
      </c>
      <c r="AS20" s="287" t="e">
        <f t="shared" si="22"/>
        <v>#REF!</v>
      </c>
      <c r="AT20" s="287" t="e">
        <f t="shared" si="22"/>
        <v>#REF!</v>
      </c>
      <c r="AU20" s="287" t="e">
        <f t="shared" si="22"/>
        <v>#REF!</v>
      </c>
      <c r="AV20" s="287" t="e">
        <f t="shared" si="22"/>
        <v>#REF!</v>
      </c>
      <c r="AW20" s="287" t="e">
        <f t="shared" si="22"/>
        <v>#REF!</v>
      </c>
      <c r="AX20" s="287" t="e">
        <f t="shared" si="22"/>
        <v>#REF!</v>
      </c>
      <c r="AY20" s="287" t="e">
        <f t="shared" si="22"/>
        <v>#REF!</v>
      </c>
      <c r="AZ20" s="287" t="e">
        <f t="shared" si="22"/>
        <v>#REF!</v>
      </c>
      <c r="BA20" s="287" t="e">
        <f t="shared" si="22"/>
        <v>#REF!</v>
      </c>
      <c r="BB20" s="287" t="e">
        <f t="shared" si="22"/>
        <v>#REF!</v>
      </c>
      <c r="BC20" s="287" t="e">
        <f t="shared" si="22"/>
        <v>#REF!</v>
      </c>
      <c r="BD20" s="287" t="e">
        <f t="shared" si="22"/>
        <v>#REF!</v>
      </c>
      <c r="BE20" s="287" t="e">
        <f t="shared" si="22"/>
        <v>#REF!</v>
      </c>
      <c r="BF20" s="287" t="e">
        <f t="shared" si="22"/>
        <v>#REF!</v>
      </c>
      <c r="BG20" s="287" t="e">
        <f t="shared" si="22"/>
        <v>#REF!</v>
      </c>
      <c r="BH20" s="287" t="e">
        <f t="shared" si="22"/>
        <v>#REF!</v>
      </c>
      <c r="BI20" s="287" t="e">
        <f t="shared" si="22"/>
        <v>#REF!</v>
      </c>
      <c r="BJ20" s="287" t="e">
        <f t="shared" si="22"/>
        <v>#REF!</v>
      </c>
      <c r="BK20" s="287" t="e">
        <f t="shared" si="22"/>
        <v>#REF!</v>
      </c>
      <c r="BL20" s="287" t="e">
        <f t="shared" si="22"/>
        <v>#REF!</v>
      </c>
      <c r="BM20" s="287" t="e">
        <f t="shared" si="22"/>
        <v>#REF!</v>
      </c>
      <c r="BN20" s="287" t="e">
        <f t="shared" si="22"/>
        <v>#REF!</v>
      </c>
      <c r="BO20" s="287" t="e">
        <f t="shared" si="22"/>
        <v>#REF!</v>
      </c>
    </row>
    <row r="21" spans="1:67" ht="20.25" customHeight="1">
      <c r="A21" s="443" t="s">
        <v>2953</v>
      </c>
      <c r="B21" s="444" t="e">
        <f>B18-B19-B20</f>
        <v>#REF!</v>
      </c>
      <c r="C21" s="200">
        <v>0</v>
      </c>
      <c r="D21" s="361" t="str">
        <f t="shared" si="13"/>
        <v>R.02</v>
      </c>
      <c r="E21" s="74">
        <f t="shared" si="14"/>
        <v>0</v>
      </c>
      <c r="F21" s="337">
        <f>IF(C21=0,,VLOOKUP(E21,#REF!,5, FALSE()))</f>
        <v>0</v>
      </c>
      <c r="G21" s="448"/>
      <c r="H21" s="448"/>
      <c r="I21" s="340"/>
      <c r="J21" s="340"/>
      <c r="K21" s="449"/>
      <c r="L21" s="449"/>
      <c r="M21" s="340"/>
      <c r="N21" s="340"/>
      <c r="O21" s="449"/>
      <c r="P21" s="449"/>
      <c r="Q21" s="340"/>
      <c r="R21" s="340"/>
      <c r="S21" s="449"/>
      <c r="T21" s="449"/>
      <c r="U21" s="340"/>
      <c r="V21" s="340"/>
      <c r="W21" s="481"/>
      <c r="X21" s="382">
        <f>IF(C21=0,,VLOOKUP(E21,#REF!,2, FALSE()))</f>
        <v>0</v>
      </c>
      <c r="Y21" s="384">
        <f>IF(C21=0,,VLOOKUP(E21,#REF!,3, FALSE()))</f>
        <v>0</v>
      </c>
      <c r="Z21" s="385"/>
      <c r="AA21" s="74"/>
      <c r="AB21" s="386">
        <f>IF(C21=0,,VLOOKUP(E21,#REF!,6, FALSE()))</f>
        <v>0</v>
      </c>
      <c r="AC21" s="74"/>
      <c r="AD21" s="74"/>
      <c r="AE21" s="74"/>
      <c r="AF21" s="74"/>
      <c r="AG21" s="74"/>
      <c r="AH21" s="74"/>
      <c r="AI21" s="74"/>
      <c r="AJ21" s="389"/>
      <c r="AK21" s="287" t="e">
        <f t="shared" ref="AK21:BO21" si="23">(MID(#REF!, 7,2))</f>
        <v>#REF!</v>
      </c>
      <c r="AL21" s="287" t="e">
        <f t="shared" si="23"/>
        <v>#REF!</v>
      </c>
      <c r="AM21" s="287" t="e">
        <f t="shared" si="23"/>
        <v>#REF!</v>
      </c>
      <c r="AN21" s="287" t="e">
        <f t="shared" si="23"/>
        <v>#REF!</v>
      </c>
      <c r="AO21" s="287" t="e">
        <f t="shared" si="23"/>
        <v>#REF!</v>
      </c>
      <c r="AP21" s="287" t="e">
        <f t="shared" si="23"/>
        <v>#REF!</v>
      </c>
      <c r="AQ21" s="287" t="e">
        <f t="shared" si="23"/>
        <v>#REF!</v>
      </c>
      <c r="AR21" s="287" t="e">
        <f t="shared" si="23"/>
        <v>#REF!</v>
      </c>
      <c r="AS21" s="287" t="e">
        <f t="shared" si="23"/>
        <v>#REF!</v>
      </c>
      <c r="AT21" s="287" t="e">
        <f t="shared" si="23"/>
        <v>#REF!</v>
      </c>
      <c r="AU21" s="287" t="e">
        <f t="shared" si="23"/>
        <v>#REF!</v>
      </c>
      <c r="AV21" s="287" t="e">
        <f t="shared" si="23"/>
        <v>#REF!</v>
      </c>
      <c r="AW21" s="287" t="e">
        <f t="shared" si="23"/>
        <v>#REF!</v>
      </c>
      <c r="AX21" s="287" t="e">
        <f t="shared" si="23"/>
        <v>#REF!</v>
      </c>
      <c r="AY21" s="287" t="e">
        <f t="shared" si="23"/>
        <v>#REF!</v>
      </c>
      <c r="AZ21" s="287" t="e">
        <f t="shared" si="23"/>
        <v>#REF!</v>
      </c>
      <c r="BA21" s="287" t="e">
        <f t="shared" si="23"/>
        <v>#REF!</v>
      </c>
      <c r="BB21" s="287" t="e">
        <f t="shared" si="23"/>
        <v>#REF!</v>
      </c>
      <c r="BC21" s="287" t="e">
        <f t="shared" si="23"/>
        <v>#REF!</v>
      </c>
      <c r="BD21" s="287" t="e">
        <f t="shared" si="23"/>
        <v>#REF!</v>
      </c>
      <c r="BE21" s="287" t="e">
        <f t="shared" si="23"/>
        <v>#REF!</v>
      </c>
      <c r="BF21" s="287" t="e">
        <f t="shared" si="23"/>
        <v>#REF!</v>
      </c>
      <c r="BG21" s="287" t="e">
        <f t="shared" si="23"/>
        <v>#REF!</v>
      </c>
      <c r="BH21" s="287" t="e">
        <f t="shared" si="23"/>
        <v>#REF!</v>
      </c>
      <c r="BI21" s="287" t="e">
        <f t="shared" si="23"/>
        <v>#REF!</v>
      </c>
      <c r="BJ21" s="287" t="e">
        <f t="shared" si="23"/>
        <v>#REF!</v>
      </c>
      <c r="BK21" s="287" t="e">
        <f t="shared" si="23"/>
        <v>#REF!</v>
      </c>
      <c r="BL21" s="287" t="e">
        <f t="shared" si="23"/>
        <v>#REF!</v>
      </c>
      <c r="BM21" s="287" t="e">
        <f t="shared" si="23"/>
        <v>#REF!</v>
      </c>
      <c r="BN21" s="287" t="e">
        <f t="shared" si="23"/>
        <v>#REF!</v>
      </c>
      <c r="BO21" s="287" t="e">
        <f t="shared" si="23"/>
        <v>#REF!</v>
      </c>
    </row>
    <row r="22" spans="1:67" ht="3.75" customHeight="1">
      <c r="G22" s="446"/>
      <c r="H22" s="446"/>
      <c r="I22" s="285"/>
      <c r="J22" s="285"/>
      <c r="K22" s="346"/>
      <c r="L22" s="346"/>
      <c r="M22" s="285"/>
      <c r="N22" s="285"/>
      <c r="O22" s="346"/>
      <c r="P22" s="346"/>
      <c r="Q22" s="285"/>
      <c r="R22" s="285"/>
      <c r="S22" s="346"/>
      <c r="T22" s="346"/>
      <c r="U22" s="285"/>
      <c r="V22" s="285"/>
      <c r="Y22" s="447"/>
      <c r="AK22" s="346"/>
      <c r="AL22" s="346"/>
      <c r="AM22" s="346"/>
      <c r="AN22" s="346"/>
      <c r="AO22" s="346"/>
      <c r="AP22" s="346"/>
      <c r="AQ22" s="346"/>
      <c r="AR22" s="346"/>
      <c r="AS22" s="346"/>
      <c r="AT22" s="346"/>
      <c r="AU22" s="346"/>
      <c r="AV22" s="346"/>
      <c r="AW22" s="346"/>
      <c r="AX22" s="346"/>
      <c r="AY22" s="346"/>
      <c r="AZ22" s="346"/>
      <c r="BA22" s="346"/>
      <c r="BB22" s="346"/>
      <c r="BC22" s="346"/>
      <c r="BD22" s="346"/>
      <c r="BE22" s="346"/>
      <c r="BF22" s="346"/>
      <c r="BG22" s="346"/>
      <c r="BH22" s="346"/>
      <c r="BI22" s="346"/>
      <c r="BJ22" s="346"/>
      <c r="BK22" s="346"/>
      <c r="BL22" s="346"/>
      <c r="BM22" s="346"/>
      <c r="BN22" s="346"/>
      <c r="BO22" s="346"/>
    </row>
    <row r="23" spans="1:67" ht="20.25" customHeight="1">
      <c r="A23" s="200" t="s">
        <v>2459</v>
      </c>
      <c r="B23" s="217" t="s">
        <v>219</v>
      </c>
      <c r="C23" s="200">
        <v>1</v>
      </c>
      <c r="D23" s="361" t="str">
        <f t="shared" ref="D23:D31" si="24">$B$23</f>
        <v>R03</v>
      </c>
      <c r="E23" s="74" t="str">
        <f t="shared" ref="E23:E31" si="25">IF(C23=0,,CONCATENATE(D23,"/",C23))</f>
        <v>R03/1</v>
      </c>
      <c r="F23" s="337" t="e">
        <f>IF(C23=0,,VLOOKUP(E23,#REF!,5, FALSE()))</f>
        <v>#REF!</v>
      </c>
      <c r="G23" s="448"/>
      <c r="H23" s="448"/>
      <c r="I23" s="340"/>
      <c r="J23" s="340"/>
      <c r="K23" s="449"/>
      <c r="L23" s="449"/>
      <c r="M23" s="340"/>
      <c r="N23" s="340"/>
      <c r="O23" s="449"/>
      <c r="P23" s="449"/>
      <c r="Q23" s="340"/>
      <c r="R23" s="340"/>
      <c r="S23" s="449"/>
      <c r="T23" s="449"/>
      <c r="U23" s="340"/>
      <c r="V23" s="340"/>
      <c r="W23" s="563" t="e">
        <f>CONCATENATE(F23," + ",F24," + ",F25," + ",F26," + ",F27," + ",F28," + ",F29," + ",F30," + ",F31)</f>
        <v>#REF!</v>
      </c>
      <c r="X23" s="382" t="e">
        <f>IF(C23=0,,VLOOKUP(E23,#REF!,2, FALSE()))</f>
        <v>#REF!</v>
      </c>
      <c r="Y23" s="384" t="e">
        <f>IF(C23=0,,VLOOKUP(E23,#REF!,3, FALSE()))</f>
        <v>#REF!</v>
      </c>
      <c r="Z23" s="385" t="e">
        <f>VLOOKUP(Y23,#REF!,6, FALSE())</f>
        <v>#REF!</v>
      </c>
      <c r="AA23" s="74" t="str">
        <f>$B25</f>
        <v>Cesta PQ</v>
      </c>
      <c r="AB23" s="386" t="e">
        <f>IF(C23=0,,VLOOKUP(E23,#REF!,6, FALSE()))</f>
        <v>#REF!</v>
      </c>
      <c r="AC23" s="74"/>
      <c r="AD23" s="74">
        <f>$B26</f>
        <v>6</v>
      </c>
      <c r="AE23" s="74"/>
      <c r="AF23" s="450">
        <f>$B27</f>
        <v>0</v>
      </c>
      <c r="AG23" s="74"/>
      <c r="AH23" s="450" t="e">
        <f>$B29</f>
        <v>#REF!</v>
      </c>
      <c r="AI23" s="450" t="e">
        <f>B29+B30</f>
        <v>#REF!</v>
      </c>
      <c r="AJ23" s="451">
        <v>1.0416666666666666E-2</v>
      </c>
      <c r="AK23" s="287" t="e">
        <f t="shared" ref="AK23:BO23" si="26">(MID(#REF!, 7,2))</f>
        <v>#REF!</v>
      </c>
      <c r="AL23" s="287" t="e">
        <f t="shared" si="26"/>
        <v>#REF!</v>
      </c>
      <c r="AM23" s="287" t="e">
        <f t="shared" si="26"/>
        <v>#REF!</v>
      </c>
      <c r="AN23" s="287" t="e">
        <f t="shared" si="26"/>
        <v>#REF!</v>
      </c>
      <c r="AO23" s="287" t="e">
        <f t="shared" si="26"/>
        <v>#REF!</v>
      </c>
      <c r="AP23" s="287" t="e">
        <f t="shared" si="26"/>
        <v>#REF!</v>
      </c>
      <c r="AQ23" s="287" t="e">
        <f t="shared" si="26"/>
        <v>#REF!</v>
      </c>
      <c r="AR23" s="287" t="e">
        <f t="shared" si="26"/>
        <v>#REF!</v>
      </c>
      <c r="AS23" s="287" t="e">
        <f t="shared" si="26"/>
        <v>#REF!</v>
      </c>
      <c r="AT23" s="287" t="e">
        <f t="shared" si="26"/>
        <v>#REF!</v>
      </c>
      <c r="AU23" s="287" t="e">
        <f t="shared" si="26"/>
        <v>#REF!</v>
      </c>
      <c r="AV23" s="287" t="e">
        <f t="shared" si="26"/>
        <v>#REF!</v>
      </c>
      <c r="AW23" s="287" t="e">
        <f t="shared" si="26"/>
        <v>#REF!</v>
      </c>
      <c r="AX23" s="287" t="e">
        <f t="shared" si="26"/>
        <v>#REF!</v>
      </c>
      <c r="AY23" s="287" t="e">
        <f t="shared" si="26"/>
        <v>#REF!</v>
      </c>
      <c r="AZ23" s="287" t="e">
        <f t="shared" si="26"/>
        <v>#REF!</v>
      </c>
      <c r="BA23" s="287" t="e">
        <f t="shared" si="26"/>
        <v>#REF!</v>
      </c>
      <c r="BB23" s="287" t="e">
        <f t="shared" si="26"/>
        <v>#REF!</v>
      </c>
      <c r="BC23" s="287" t="e">
        <f t="shared" si="26"/>
        <v>#REF!</v>
      </c>
      <c r="BD23" s="287" t="e">
        <f t="shared" si="26"/>
        <v>#REF!</v>
      </c>
      <c r="BE23" s="287" t="e">
        <f t="shared" si="26"/>
        <v>#REF!</v>
      </c>
      <c r="BF23" s="287" t="e">
        <f t="shared" si="26"/>
        <v>#REF!</v>
      </c>
      <c r="BG23" s="287" t="e">
        <f t="shared" si="26"/>
        <v>#REF!</v>
      </c>
      <c r="BH23" s="287" t="e">
        <f t="shared" si="26"/>
        <v>#REF!</v>
      </c>
      <c r="BI23" s="287" t="e">
        <f t="shared" si="26"/>
        <v>#REF!</v>
      </c>
      <c r="BJ23" s="287" t="e">
        <f t="shared" si="26"/>
        <v>#REF!</v>
      </c>
      <c r="BK23" s="287" t="e">
        <f t="shared" si="26"/>
        <v>#REF!</v>
      </c>
      <c r="BL23" s="287" t="e">
        <f t="shared" si="26"/>
        <v>#REF!</v>
      </c>
      <c r="BM23" s="287" t="e">
        <f t="shared" si="26"/>
        <v>#REF!</v>
      </c>
      <c r="BN23" s="287" t="e">
        <f t="shared" si="26"/>
        <v>#REF!</v>
      </c>
      <c r="BO23" s="287" t="e">
        <f t="shared" si="26"/>
        <v>#REF!</v>
      </c>
    </row>
    <row r="24" spans="1:67" ht="20.25" customHeight="1">
      <c r="A24" s="562" t="e">
        <f>Y23</f>
        <v>#REF!</v>
      </c>
      <c r="B24" s="499"/>
      <c r="C24" s="200">
        <v>2</v>
      </c>
      <c r="D24" s="361" t="str">
        <f t="shared" si="24"/>
        <v>R03</v>
      </c>
      <c r="E24" s="74" t="str">
        <f t="shared" si="25"/>
        <v>R03/2</v>
      </c>
      <c r="F24" s="337" t="e">
        <f>IF(C24=0,,VLOOKUP(E24,#REF!,5, FALSE()))</f>
        <v>#REF!</v>
      </c>
      <c r="G24" s="448"/>
      <c r="H24" s="448"/>
      <c r="I24" s="340"/>
      <c r="J24" s="340"/>
      <c r="K24" s="449"/>
      <c r="L24" s="449"/>
      <c r="M24" s="340"/>
      <c r="N24" s="340"/>
      <c r="O24" s="449"/>
      <c r="P24" s="449"/>
      <c r="Q24" s="340"/>
      <c r="R24" s="340"/>
      <c r="S24" s="449"/>
      <c r="T24" s="449"/>
      <c r="U24" s="340"/>
      <c r="V24" s="340"/>
      <c r="W24" s="480"/>
      <c r="X24" s="382" t="e">
        <f>IF(C24=0,,VLOOKUP(E24,#REF!,2, FALSE()))</f>
        <v>#REF!</v>
      </c>
      <c r="Y24" s="384" t="e">
        <f>IF(C24=0,,VLOOKUP(E24,#REF!,3, FALSE()))</f>
        <v>#REF!</v>
      </c>
      <c r="Z24" s="385"/>
      <c r="AA24" s="74"/>
      <c r="AB24" s="386" t="e">
        <f>IF(C24=0,,VLOOKUP(E24,#REF!,6, FALSE()))</f>
        <v>#REF!</v>
      </c>
      <c r="AC24" s="74"/>
      <c r="AD24" s="74"/>
      <c r="AE24" s="74"/>
      <c r="AF24" s="74"/>
      <c r="AG24" s="74"/>
      <c r="AH24" s="74"/>
      <c r="AI24" s="74"/>
      <c r="AJ24" s="389">
        <v>1.0416666666666666E-2</v>
      </c>
      <c r="AK24" s="287" t="e">
        <f t="shared" ref="AK24:BO24" si="27">(MID(#REF!, 7,2))</f>
        <v>#REF!</v>
      </c>
      <c r="AL24" s="287" t="e">
        <f t="shared" si="27"/>
        <v>#REF!</v>
      </c>
      <c r="AM24" s="287" t="e">
        <f t="shared" si="27"/>
        <v>#REF!</v>
      </c>
      <c r="AN24" s="287" t="e">
        <f t="shared" si="27"/>
        <v>#REF!</v>
      </c>
      <c r="AO24" s="287" t="e">
        <f t="shared" si="27"/>
        <v>#REF!</v>
      </c>
      <c r="AP24" s="287" t="e">
        <f t="shared" si="27"/>
        <v>#REF!</v>
      </c>
      <c r="AQ24" s="287" t="e">
        <f t="shared" si="27"/>
        <v>#REF!</v>
      </c>
      <c r="AR24" s="287" t="e">
        <f t="shared" si="27"/>
        <v>#REF!</v>
      </c>
      <c r="AS24" s="287" t="e">
        <f t="shared" si="27"/>
        <v>#REF!</v>
      </c>
      <c r="AT24" s="287" t="e">
        <f t="shared" si="27"/>
        <v>#REF!</v>
      </c>
      <c r="AU24" s="287" t="e">
        <f t="shared" si="27"/>
        <v>#REF!</v>
      </c>
      <c r="AV24" s="287" t="e">
        <f t="shared" si="27"/>
        <v>#REF!</v>
      </c>
      <c r="AW24" s="287" t="e">
        <f t="shared" si="27"/>
        <v>#REF!</v>
      </c>
      <c r="AX24" s="287" t="e">
        <f t="shared" si="27"/>
        <v>#REF!</v>
      </c>
      <c r="AY24" s="287" t="e">
        <f t="shared" si="27"/>
        <v>#REF!</v>
      </c>
      <c r="AZ24" s="287" t="e">
        <f t="shared" si="27"/>
        <v>#REF!</v>
      </c>
      <c r="BA24" s="287" t="e">
        <f t="shared" si="27"/>
        <v>#REF!</v>
      </c>
      <c r="BB24" s="287" t="e">
        <f t="shared" si="27"/>
        <v>#REF!</v>
      </c>
      <c r="BC24" s="287" t="e">
        <f t="shared" si="27"/>
        <v>#REF!</v>
      </c>
      <c r="BD24" s="287" t="e">
        <f t="shared" si="27"/>
        <v>#REF!</v>
      </c>
      <c r="BE24" s="287" t="e">
        <f t="shared" si="27"/>
        <v>#REF!</v>
      </c>
      <c r="BF24" s="287" t="e">
        <f t="shared" si="27"/>
        <v>#REF!</v>
      </c>
      <c r="BG24" s="287" t="e">
        <f t="shared" si="27"/>
        <v>#REF!</v>
      </c>
      <c r="BH24" s="287" t="e">
        <f t="shared" si="27"/>
        <v>#REF!</v>
      </c>
      <c r="BI24" s="287" t="e">
        <f t="shared" si="27"/>
        <v>#REF!</v>
      </c>
      <c r="BJ24" s="287" t="e">
        <f t="shared" si="27"/>
        <v>#REF!</v>
      </c>
      <c r="BK24" s="287" t="e">
        <f t="shared" si="27"/>
        <v>#REF!</v>
      </c>
      <c r="BL24" s="287" t="e">
        <f t="shared" si="27"/>
        <v>#REF!</v>
      </c>
      <c r="BM24" s="287" t="e">
        <f t="shared" si="27"/>
        <v>#REF!</v>
      </c>
      <c r="BN24" s="287" t="e">
        <f t="shared" si="27"/>
        <v>#REF!</v>
      </c>
      <c r="BO24" s="287" t="e">
        <f t="shared" si="27"/>
        <v>#REF!</v>
      </c>
    </row>
    <row r="25" spans="1:67" ht="20.25" customHeight="1">
      <c r="A25" s="402" t="s">
        <v>2896</v>
      </c>
      <c r="B25" s="19" t="s">
        <v>1417</v>
      </c>
      <c r="C25" s="200">
        <v>3</v>
      </c>
      <c r="D25" s="361" t="str">
        <f t="shared" si="24"/>
        <v>R03</v>
      </c>
      <c r="E25" s="74" t="str">
        <f t="shared" si="25"/>
        <v>R03/3</v>
      </c>
      <c r="F25" s="337" t="e">
        <f>IF(C25=0,,VLOOKUP(E25,#REF!,5, FALSE()))</f>
        <v>#REF!</v>
      </c>
      <c r="G25" s="448"/>
      <c r="H25" s="448"/>
      <c r="I25" s="340"/>
      <c r="J25" s="340"/>
      <c r="K25" s="449"/>
      <c r="L25" s="449"/>
      <c r="M25" s="340"/>
      <c r="N25" s="340"/>
      <c r="O25" s="449"/>
      <c r="P25" s="449"/>
      <c r="Q25" s="340"/>
      <c r="R25" s="340"/>
      <c r="S25" s="449"/>
      <c r="T25" s="449"/>
      <c r="U25" s="340"/>
      <c r="V25" s="340"/>
      <c r="W25" s="480"/>
      <c r="X25" s="382" t="e">
        <f>IF(C25=0,,VLOOKUP(E25,#REF!,2, FALSE()))</f>
        <v>#REF!</v>
      </c>
      <c r="Y25" s="384" t="e">
        <f>IF(C25=0,,VLOOKUP(E25,#REF!,3, FALSE()))</f>
        <v>#REF!</v>
      </c>
      <c r="Z25" s="385"/>
      <c r="AA25" s="74"/>
      <c r="AB25" s="386" t="e">
        <f>IF(C25=0,,VLOOKUP(E25,#REF!,6, FALSE()))</f>
        <v>#REF!</v>
      </c>
      <c r="AC25" s="74"/>
      <c r="AD25" s="74"/>
      <c r="AE25" s="74"/>
      <c r="AF25" s="74"/>
      <c r="AG25" s="74"/>
      <c r="AH25" s="74"/>
      <c r="AI25" s="74"/>
      <c r="AJ25" s="389"/>
      <c r="AK25" s="287" t="e">
        <f t="shared" ref="AK25:BO25" si="28">(MID(#REF!, 7,2))</f>
        <v>#REF!</v>
      </c>
      <c r="AL25" s="287" t="e">
        <f t="shared" si="28"/>
        <v>#REF!</v>
      </c>
      <c r="AM25" s="287" t="e">
        <f t="shared" si="28"/>
        <v>#REF!</v>
      </c>
      <c r="AN25" s="287" t="e">
        <f t="shared" si="28"/>
        <v>#REF!</v>
      </c>
      <c r="AO25" s="287" t="e">
        <f t="shared" si="28"/>
        <v>#REF!</v>
      </c>
      <c r="AP25" s="287" t="e">
        <f t="shared" si="28"/>
        <v>#REF!</v>
      </c>
      <c r="AQ25" s="287" t="e">
        <f t="shared" si="28"/>
        <v>#REF!</v>
      </c>
      <c r="AR25" s="287" t="e">
        <f t="shared" si="28"/>
        <v>#REF!</v>
      </c>
      <c r="AS25" s="287" t="e">
        <f t="shared" si="28"/>
        <v>#REF!</v>
      </c>
      <c r="AT25" s="287" t="e">
        <f t="shared" si="28"/>
        <v>#REF!</v>
      </c>
      <c r="AU25" s="287" t="e">
        <f t="shared" si="28"/>
        <v>#REF!</v>
      </c>
      <c r="AV25" s="287" t="e">
        <f t="shared" si="28"/>
        <v>#REF!</v>
      </c>
      <c r="AW25" s="287" t="e">
        <f t="shared" si="28"/>
        <v>#REF!</v>
      </c>
      <c r="AX25" s="287" t="e">
        <f t="shared" si="28"/>
        <v>#REF!</v>
      </c>
      <c r="AY25" s="287" t="e">
        <f t="shared" si="28"/>
        <v>#REF!</v>
      </c>
      <c r="AZ25" s="287" t="e">
        <f t="shared" si="28"/>
        <v>#REF!</v>
      </c>
      <c r="BA25" s="287" t="e">
        <f t="shared" si="28"/>
        <v>#REF!</v>
      </c>
      <c r="BB25" s="287" t="e">
        <f t="shared" si="28"/>
        <v>#REF!</v>
      </c>
      <c r="BC25" s="287" t="e">
        <f t="shared" si="28"/>
        <v>#REF!</v>
      </c>
      <c r="BD25" s="287" t="e">
        <f t="shared" si="28"/>
        <v>#REF!</v>
      </c>
      <c r="BE25" s="287" t="e">
        <f t="shared" si="28"/>
        <v>#REF!</v>
      </c>
      <c r="BF25" s="287" t="e">
        <f t="shared" si="28"/>
        <v>#REF!</v>
      </c>
      <c r="BG25" s="287" t="e">
        <f t="shared" si="28"/>
        <v>#REF!</v>
      </c>
      <c r="BH25" s="287" t="e">
        <f t="shared" si="28"/>
        <v>#REF!</v>
      </c>
      <c r="BI25" s="287" t="e">
        <f t="shared" si="28"/>
        <v>#REF!</v>
      </c>
      <c r="BJ25" s="287" t="e">
        <f t="shared" si="28"/>
        <v>#REF!</v>
      </c>
      <c r="BK25" s="287" t="e">
        <f t="shared" si="28"/>
        <v>#REF!</v>
      </c>
      <c r="BL25" s="287" t="e">
        <f t="shared" si="28"/>
        <v>#REF!</v>
      </c>
      <c r="BM25" s="287" t="e">
        <f t="shared" si="28"/>
        <v>#REF!</v>
      </c>
      <c r="BN25" s="287" t="e">
        <f t="shared" si="28"/>
        <v>#REF!</v>
      </c>
      <c r="BO25" s="287" t="e">
        <f t="shared" si="28"/>
        <v>#REF!</v>
      </c>
    </row>
    <row r="26" spans="1:67" ht="20.25" customHeight="1">
      <c r="A26" s="409" t="s">
        <v>2921</v>
      </c>
      <c r="B26" s="410">
        <v>6</v>
      </c>
      <c r="C26" s="200">
        <v>4</v>
      </c>
      <c r="D26" s="361" t="str">
        <f t="shared" si="24"/>
        <v>R03</v>
      </c>
      <c r="E26" s="74" t="str">
        <f t="shared" si="25"/>
        <v>R03/4</v>
      </c>
      <c r="F26" s="337" t="e">
        <f>IF(C26=0,,VLOOKUP(E26,#REF!,5, FALSE()))</f>
        <v>#REF!</v>
      </c>
      <c r="G26" s="448"/>
      <c r="H26" s="448"/>
      <c r="I26" s="340"/>
      <c r="J26" s="340"/>
      <c r="K26" s="449"/>
      <c r="L26" s="449"/>
      <c r="M26" s="340"/>
      <c r="N26" s="340"/>
      <c r="O26" s="449"/>
      <c r="P26" s="449"/>
      <c r="Q26" s="340"/>
      <c r="R26" s="340"/>
      <c r="S26" s="449"/>
      <c r="T26" s="449"/>
      <c r="U26" s="340"/>
      <c r="V26" s="340"/>
      <c r="W26" s="480"/>
      <c r="X26" s="382" t="e">
        <f>IF(C26=0,,VLOOKUP(E26,#REF!,2, FALSE()))</f>
        <v>#REF!</v>
      </c>
      <c r="Y26" s="384" t="e">
        <f>IF(C26=0,,VLOOKUP(E26,#REF!,3, FALSE()))</f>
        <v>#REF!</v>
      </c>
      <c r="Z26" s="385"/>
      <c r="AA26" s="74"/>
      <c r="AB26" s="386" t="e">
        <f>IF(C26=0,,VLOOKUP(E26,#REF!,6, FALSE()))</f>
        <v>#REF!</v>
      </c>
      <c r="AC26" s="74"/>
      <c r="AD26" s="74"/>
      <c r="AE26" s="74"/>
      <c r="AF26" s="74"/>
      <c r="AG26" s="74"/>
      <c r="AH26" s="74"/>
      <c r="AI26" s="74"/>
      <c r="AJ26" s="422"/>
      <c r="AK26" s="287" t="e">
        <f t="shared" ref="AK26:BO26" si="29">(MID(#REF!, 7,2))</f>
        <v>#REF!</v>
      </c>
      <c r="AL26" s="287" t="e">
        <f t="shared" si="29"/>
        <v>#REF!</v>
      </c>
      <c r="AM26" s="287" t="e">
        <f t="shared" si="29"/>
        <v>#REF!</v>
      </c>
      <c r="AN26" s="287" t="e">
        <f t="shared" si="29"/>
        <v>#REF!</v>
      </c>
      <c r="AO26" s="287" t="e">
        <f t="shared" si="29"/>
        <v>#REF!</v>
      </c>
      <c r="AP26" s="287" t="e">
        <f t="shared" si="29"/>
        <v>#REF!</v>
      </c>
      <c r="AQ26" s="287" t="e">
        <f t="shared" si="29"/>
        <v>#REF!</v>
      </c>
      <c r="AR26" s="287" t="e">
        <f t="shared" si="29"/>
        <v>#REF!</v>
      </c>
      <c r="AS26" s="287" t="e">
        <f t="shared" si="29"/>
        <v>#REF!</v>
      </c>
      <c r="AT26" s="287" t="e">
        <f t="shared" si="29"/>
        <v>#REF!</v>
      </c>
      <c r="AU26" s="287" t="e">
        <f t="shared" si="29"/>
        <v>#REF!</v>
      </c>
      <c r="AV26" s="287" t="e">
        <f t="shared" si="29"/>
        <v>#REF!</v>
      </c>
      <c r="AW26" s="287" t="e">
        <f t="shared" si="29"/>
        <v>#REF!</v>
      </c>
      <c r="AX26" s="287" t="e">
        <f t="shared" si="29"/>
        <v>#REF!</v>
      </c>
      <c r="AY26" s="287" t="e">
        <f t="shared" si="29"/>
        <v>#REF!</v>
      </c>
      <c r="AZ26" s="287" t="e">
        <f t="shared" si="29"/>
        <v>#REF!</v>
      </c>
      <c r="BA26" s="287" t="e">
        <f t="shared" si="29"/>
        <v>#REF!</v>
      </c>
      <c r="BB26" s="287" t="e">
        <f t="shared" si="29"/>
        <v>#REF!</v>
      </c>
      <c r="BC26" s="287" t="e">
        <f t="shared" si="29"/>
        <v>#REF!</v>
      </c>
      <c r="BD26" s="287" t="e">
        <f t="shared" si="29"/>
        <v>#REF!</v>
      </c>
      <c r="BE26" s="287" t="e">
        <f t="shared" si="29"/>
        <v>#REF!</v>
      </c>
      <c r="BF26" s="287" t="e">
        <f t="shared" si="29"/>
        <v>#REF!</v>
      </c>
      <c r="BG26" s="287" t="e">
        <f t="shared" si="29"/>
        <v>#REF!</v>
      </c>
      <c r="BH26" s="287" t="e">
        <f t="shared" si="29"/>
        <v>#REF!</v>
      </c>
      <c r="BI26" s="287" t="e">
        <f t="shared" si="29"/>
        <v>#REF!</v>
      </c>
      <c r="BJ26" s="287" t="e">
        <f t="shared" si="29"/>
        <v>#REF!</v>
      </c>
      <c r="BK26" s="287" t="e">
        <f t="shared" si="29"/>
        <v>#REF!</v>
      </c>
      <c r="BL26" s="287" t="e">
        <f t="shared" si="29"/>
        <v>#REF!</v>
      </c>
      <c r="BM26" s="287" t="e">
        <f t="shared" si="29"/>
        <v>#REF!</v>
      </c>
      <c r="BN26" s="287" t="e">
        <f t="shared" si="29"/>
        <v>#REF!</v>
      </c>
      <c r="BO26" s="287" t="e">
        <f t="shared" si="29"/>
        <v>#REF!</v>
      </c>
    </row>
    <row r="27" spans="1:67" ht="20.25" customHeight="1">
      <c r="A27" s="424" t="s">
        <v>2936</v>
      </c>
      <c r="B27" s="425">
        <v>0</v>
      </c>
      <c r="C27" s="200">
        <v>0</v>
      </c>
      <c r="D27" s="361" t="str">
        <f t="shared" si="24"/>
        <v>R03</v>
      </c>
      <c r="E27" s="74">
        <f t="shared" si="25"/>
        <v>0</v>
      </c>
      <c r="F27" s="337">
        <f>IF(C27=0,,VLOOKUP(E27,#REF!,5, FALSE()))</f>
        <v>0</v>
      </c>
      <c r="G27" s="448"/>
      <c r="H27" s="448"/>
      <c r="I27" s="340"/>
      <c r="J27" s="340"/>
      <c r="K27" s="449"/>
      <c r="L27" s="449"/>
      <c r="M27" s="340"/>
      <c r="N27" s="340"/>
      <c r="O27" s="449"/>
      <c r="P27" s="449"/>
      <c r="Q27" s="340"/>
      <c r="R27" s="340"/>
      <c r="S27" s="449"/>
      <c r="T27" s="449"/>
      <c r="U27" s="340"/>
      <c r="V27" s="340"/>
      <c r="W27" s="480"/>
      <c r="X27" s="382">
        <f>IF(C27=0,,VLOOKUP(E27,#REF!,2, FALSE()))</f>
        <v>0</v>
      </c>
      <c r="Y27" s="384">
        <f>IF(C27=0,,VLOOKUP(E27,#REF!,3, FALSE()))</f>
        <v>0</v>
      </c>
      <c r="Z27" s="385"/>
      <c r="AA27" s="74"/>
      <c r="AB27" s="386">
        <f>IF(C27=0,,VLOOKUP(E27,#REF!,6, FALSE()))</f>
        <v>0</v>
      </c>
      <c r="AC27" s="74"/>
      <c r="AD27" s="74"/>
      <c r="AE27" s="74"/>
      <c r="AF27" s="74"/>
      <c r="AG27" s="74"/>
      <c r="AH27" s="74"/>
      <c r="AI27" s="74"/>
      <c r="AJ27" s="389"/>
      <c r="AK27" s="287" t="e">
        <f t="shared" ref="AK27:BO27" si="30">(MID(#REF!, 7,2))</f>
        <v>#REF!</v>
      </c>
      <c r="AL27" s="287" t="e">
        <f t="shared" si="30"/>
        <v>#REF!</v>
      </c>
      <c r="AM27" s="287" t="e">
        <f t="shared" si="30"/>
        <v>#REF!</v>
      </c>
      <c r="AN27" s="287" t="e">
        <f t="shared" si="30"/>
        <v>#REF!</v>
      </c>
      <c r="AO27" s="287" t="e">
        <f t="shared" si="30"/>
        <v>#REF!</v>
      </c>
      <c r="AP27" s="287" t="e">
        <f t="shared" si="30"/>
        <v>#REF!</v>
      </c>
      <c r="AQ27" s="287" t="e">
        <f t="shared" si="30"/>
        <v>#REF!</v>
      </c>
      <c r="AR27" s="287" t="e">
        <f t="shared" si="30"/>
        <v>#REF!</v>
      </c>
      <c r="AS27" s="287" t="e">
        <f t="shared" si="30"/>
        <v>#REF!</v>
      </c>
      <c r="AT27" s="287" t="e">
        <f t="shared" si="30"/>
        <v>#REF!</v>
      </c>
      <c r="AU27" s="287" t="e">
        <f t="shared" si="30"/>
        <v>#REF!</v>
      </c>
      <c r="AV27" s="287" t="e">
        <f t="shared" si="30"/>
        <v>#REF!</v>
      </c>
      <c r="AW27" s="287" t="e">
        <f t="shared" si="30"/>
        <v>#REF!</v>
      </c>
      <c r="AX27" s="287" t="e">
        <f t="shared" si="30"/>
        <v>#REF!</v>
      </c>
      <c r="AY27" s="287" t="e">
        <f t="shared" si="30"/>
        <v>#REF!</v>
      </c>
      <c r="AZ27" s="287" t="e">
        <f t="shared" si="30"/>
        <v>#REF!</v>
      </c>
      <c r="BA27" s="287" t="e">
        <f t="shared" si="30"/>
        <v>#REF!</v>
      </c>
      <c r="BB27" s="287" t="e">
        <f t="shared" si="30"/>
        <v>#REF!</v>
      </c>
      <c r="BC27" s="287" t="e">
        <f t="shared" si="30"/>
        <v>#REF!</v>
      </c>
      <c r="BD27" s="287" t="e">
        <f t="shared" si="30"/>
        <v>#REF!</v>
      </c>
      <c r="BE27" s="287" t="e">
        <f t="shared" si="30"/>
        <v>#REF!</v>
      </c>
      <c r="BF27" s="287" t="e">
        <f t="shared" si="30"/>
        <v>#REF!</v>
      </c>
      <c r="BG27" s="287" t="e">
        <f t="shared" si="30"/>
        <v>#REF!</v>
      </c>
      <c r="BH27" s="287" t="e">
        <f t="shared" si="30"/>
        <v>#REF!</v>
      </c>
      <c r="BI27" s="287" t="e">
        <f t="shared" si="30"/>
        <v>#REF!</v>
      </c>
      <c r="BJ27" s="287" t="e">
        <f t="shared" si="30"/>
        <v>#REF!</v>
      </c>
      <c r="BK27" s="287" t="e">
        <f t="shared" si="30"/>
        <v>#REF!</v>
      </c>
      <c r="BL27" s="287" t="e">
        <f t="shared" si="30"/>
        <v>#REF!</v>
      </c>
      <c r="BM27" s="287" t="e">
        <f t="shared" si="30"/>
        <v>#REF!</v>
      </c>
      <c r="BN27" s="287" t="e">
        <f t="shared" si="30"/>
        <v>#REF!</v>
      </c>
      <c r="BO27" s="287" t="e">
        <f t="shared" si="30"/>
        <v>#REF!</v>
      </c>
    </row>
    <row r="28" spans="1:67" ht="20.25" customHeight="1">
      <c r="A28" s="424" t="e">
        <f>Z23</f>
        <v>#REF!</v>
      </c>
      <c r="B28" s="425">
        <v>0.75</v>
      </c>
      <c r="C28" s="200">
        <v>0</v>
      </c>
      <c r="D28" s="361" t="str">
        <f t="shared" si="24"/>
        <v>R03</v>
      </c>
      <c r="E28" s="74">
        <f t="shared" si="25"/>
        <v>0</v>
      </c>
      <c r="F28" s="337">
        <f>IF(C28=0,,VLOOKUP(E28,#REF!,5, FALSE()))</f>
        <v>0</v>
      </c>
      <c r="G28" s="448"/>
      <c r="H28" s="448"/>
      <c r="I28" s="340"/>
      <c r="J28" s="340"/>
      <c r="K28" s="449"/>
      <c r="L28" s="449"/>
      <c r="M28" s="340"/>
      <c r="N28" s="340"/>
      <c r="O28" s="449"/>
      <c r="P28" s="449"/>
      <c r="Q28" s="340"/>
      <c r="R28" s="340"/>
      <c r="S28" s="449"/>
      <c r="T28" s="449"/>
      <c r="U28" s="340"/>
      <c r="V28" s="340"/>
      <c r="W28" s="480"/>
      <c r="X28" s="382">
        <f>IF(C28=0,,VLOOKUP(E28,#REF!,2, FALSE()))</f>
        <v>0</v>
      </c>
      <c r="Y28" s="384">
        <f>IF(C28=0,,VLOOKUP(E28,#REF!,3, FALSE()))</f>
        <v>0</v>
      </c>
      <c r="Z28" s="385"/>
      <c r="AA28" s="74"/>
      <c r="AB28" s="386">
        <f>IF(C28=0,,VLOOKUP(E28,#REF!,6, FALSE()))</f>
        <v>0</v>
      </c>
      <c r="AC28" s="74"/>
      <c r="AD28" s="74"/>
      <c r="AE28" s="74"/>
      <c r="AF28" s="74"/>
      <c r="AG28" s="74"/>
      <c r="AH28" s="74"/>
      <c r="AI28" s="74"/>
      <c r="AJ28" s="389"/>
      <c r="AK28" s="287" t="e">
        <f t="shared" ref="AK28:BO28" si="31">(MID(#REF!, 7,2))</f>
        <v>#REF!</v>
      </c>
      <c r="AL28" s="287" t="e">
        <f t="shared" si="31"/>
        <v>#REF!</v>
      </c>
      <c r="AM28" s="287" t="e">
        <f t="shared" si="31"/>
        <v>#REF!</v>
      </c>
      <c r="AN28" s="287" t="e">
        <f t="shared" si="31"/>
        <v>#REF!</v>
      </c>
      <c r="AO28" s="287" t="e">
        <f t="shared" si="31"/>
        <v>#REF!</v>
      </c>
      <c r="AP28" s="287" t="e">
        <f t="shared" si="31"/>
        <v>#REF!</v>
      </c>
      <c r="AQ28" s="287" t="e">
        <f t="shared" si="31"/>
        <v>#REF!</v>
      </c>
      <c r="AR28" s="287" t="e">
        <f t="shared" si="31"/>
        <v>#REF!</v>
      </c>
      <c r="AS28" s="287" t="e">
        <f t="shared" si="31"/>
        <v>#REF!</v>
      </c>
      <c r="AT28" s="287" t="e">
        <f t="shared" si="31"/>
        <v>#REF!</v>
      </c>
      <c r="AU28" s="287" t="e">
        <f t="shared" si="31"/>
        <v>#REF!</v>
      </c>
      <c r="AV28" s="287" t="e">
        <f t="shared" si="31"/>
        <v>#REF!</v>
      </c>
      <c r="AW28" s="287" t="e">
        <f t="shared" si="31"/>
        <v>#REF!</v>
      </c>
      <c r="AX28" s="287" t="e">
        <f t="shared" si="31"/>
        <v>#REF!</v>
      </c>
      <c r="AY28" s="287" t="e">
        <f t="shared" si="31"/>
        <v>#REF!</v>
      </c>
      <c r="AZ28" s="287" t="e">
        <f t="shared" si="31"/>
        <v>#REF!</v>
      </c>
      <c r="BA28" s="287" t="e">
        <f t="shared" si="31"/>
        <v>#REF!</v>
      </c>
      <c r="BB28" s="287" t="e">
        <f t="shared" si="31"/>
        <v>#REF!</v>
      </c>
      <c r="BC28" s="287" t="e">
        <f t="shared" si="31"/>
        <v>#REF!</v>
      </c>
      <c r="BD28" s="287" t="e">
        <f t="shared" si="31"/>
        <v>#REF!</v>
      </c>
      <c r="BE28" s="287" t="e">
        <f t="shared" si="31"/>
        <v>#REF!</v>
      </c>
      <c r="BF28" s="287" t="e">
        <f t="shared" si="31"/>
        <v>#REF!</v>
      </c>
      <c r="BG28" s="287" t="e">
        <f t="shared" si="31"/>
        <v>#REF!</v>
      </c>
      <c r="BH28" s="287" t="e">
        <f t="shared" si="31"/>
        <v>#REF!</v>
      </c>
      <c r="BI28" s="287" t="e">
        <f t="shared" si="31"/>
        <v>#REF!</v>
      </c>
      <c r="BJ28" s="287" t="e">
        <f t="shared" si="31"/>
        <v>#REF!</v>
      </c>
      <c r="BK28" s="287" t="e">
        <f t="shared" si="31"/>
        <v>#REF!</v>
      </c>
      <c r="BL28" s="287" t="e">
        <f t="shared" si="31"/>
        <v>#REF!</v>
      </c>
      <c r="BM28" s="287" t="e">
        <f t="shared" si="31"/>
        <v>#REF!</v>
      </c>
      <c r="BN28" s="287" t="e">
        <f t="shared" si="31"/>
        <v>#REF!</v>
      </c>
      <c r="BO28" s="287" t="e">
        <f t="shared" si="31"/>
        <v>#REF!</v>
      </c>
    </row>
    <row r="29" spans="1:67" ht="20.25" customHeight="1">
      <c r="A29" s="424" t="s">
        <v>2951</v>
      </c>
      <c r="B29" s="425" t="e">
        <f>SUM(AB23:AB31)</f>
        <v>#REF!</v>
      </c>
      <c r="C29" s="200">
        <v>0</v>
      </c>
      <c r="D29" s="361" t="str">
        <f t="shared" si="24"/>
        <v>R03</v>
      </c>
      <c r="E29" s="74">
        <f t="shared" si="25"/>
        <v>0</v>
      </c>
      <c r="F29" s="337">
        <f>IF(C29=0,,VLOOKUP(E29,#REF!,5, FALSE()))</f>
        <v>0</v>
      </c>
      <c r="G29" s="448"/>
      <c r="H29" s="448"/>
      <c r="I29" s="340"/>
      <c r="J29" s="340"/>
      <c r="K29" s="449"/>
      <c r="L29" s="449"/>
      <c r="M29" s="340"/>
      <c r="N29" s="340"/>
      <c r="O29" s="449"/>
      <c r="P29" s="449"/>
      <c r="Q29" s="340"/>
      <c r="R29" s="340"/>
      <c r="S29" s="449"/>
      <c r="T29" s="449"/>
      <c r="U29" s="340"/>
      <c r="V29" s="340"/>
      <c r="W29" s="480"/>
      <c r="X29" s="382">
        <f>IF(C29=0,,VLOOKUP(E29,#REF!,2, FALSE()))</f>
        <v>0</v>
      </c>
      <c r="Y29" s="384">
        <f>IF(C29=0,,VLOOKUP(E29,#REF!,3, FALSE()))</f>
        <v>0</v>
      </c>
      <c r="Z29" s="385"/>
      <c r="AA29" s="74"/>
      <c r="AB29" s="386">
        <f>IF(C29=0,,VLOOKUP(E29,#REF!,6, FALSE()))</f>
        <v>0</v>
      </c>
      <c r="AC29" s="74"/>
      <c r="AD29" s="74"/>
      <c r="AE29" s="74"/>
      <c r="AF29" s="74"/>
      <c r="AG29" s="74"/>
      <c r="AH29" s="74"/>
      <c r="AI29" s="74"/>
      <c r="AJ29" s="389"/>
      <c r="AK29" s="287" t="e">
        <f t="shared" ref="AK29:BO29" si="32">(MID(#REF!, 7,2))</f>
        <v>#REF!</v>
      </c>
      <c r="AL29" s="287" t="e">
        <f t="shared" si="32"/>
        <v>#REF!</v>
      </c>
      <c r="AM29" s="287" t="e">
        <f t="shared" si="32"/>
        <v>#REF!</v>
      </c>
      <c r="AN29" s="287" t="e">
        <f t="shared" si="32"/>
        <v>#REF!</v>
      </c>
      <c r="AO29" s="287" t="e">
        <f t="shared" si="32"/>
        <v>#REF!</v>
      </c>
      <c r="AP29" s="287" t="e">
        <f t="shared" si="32"/>
        <v>#REF!</v>
      </c>
      <c r="AQ29" s="287" t="e">
        <f t="shared" si="32"/>
        <v>#REF!</v>
      </c>
      <c r="AR29" s="287" t="e">
        <f t="shared" si="32"/>
        <v>#REF!</v>
      </c>
      <c r="AS29" s="287" t="e">
        <f t="shared" si="32"/>
        <v>#REF!</v>
      </c>
      <c r="AT29" s="287" t="e">
        <f t="shared" si="32"/>
        <v>#REF!</v>
      </c>
      <c r="AU29" s="287" t="e">
        <f t="shared" si="32"/>
        <v>#REF!</v>
      </c>
      <c r="AV29" s="287" t="e">
        <f t="shared" si="32"/>
        <v>#REF!</v>
      </c>
      <c r="AW29" s="287" t="e">
        <f t="shared" si="32"/>
        <v>#REF!</v>
      </c>
      <c r="AX29" s="287" t="e">
        <f t="shared" si="32"/>
        <v>#REF!</v>
      </c>
      <c r="AY29" s="287" t="e">
        <f t="shared" si="32"/>
        <v>#REF!</v>
      </c>
      <c r="AZ29" s="287" t="e">
        <f t="shared" si="32"/>
        <v>#REF!</v>
      </c>
      <c r="BA29" s="287" t="e">
        <f t="shared" si="32"/>
        <v>#REF!</v>
      </c>
      <c r="BB29" s="287" t="e">
        <f t="shared" si="32"/>
        <v>#REF!</v>
      </c>
      <c r="BC29" s="287" t="e">
        <f t="shared" si="32"/>
        <v>#REF!</v>
      </c>
      <c r="BD29" s="287" t="e">
        <f t="shared" si="32"/>
        <v>#REF!</v>
      </c>
      <c r="BE29" s="287" t="e">
        <f t="shared" si="32"/>
        <v>#REF!</v>
      </c>
      <c r="BF29" s="287" t="e">
        <f t="shared" si="32"/>
        <v>#REF!</v>
      </c>
      <c r="BG29" s="287" t="e">
        <f t="shared" si="32"/>
        <v>#REF!</v>
      </c>
      <c r="BH29" s="287" t="e">
        <f t="shared" si="32"/>
        <v>#REF!</v>
      </c>
      <c r="BI29" s="287" t="e">
        <f t="shared" si="32"/>
        <v>#REF!</v>
      </c>
      <c r="BJ29" s="287" t="e">
        <f t="shared" si="32"/>
        <v>#REF!</v>
      </c>
      <c r="BK29" s="287" t="e">
        <f t="shared" si="32"/>
        <v>#REF!</v>
      </c>
      <c r="BL29" s="287" t="e">
        <f t="shared" si="32"/>
        <v>#REF!</v>
      </c>
      <c r="BM29" s="287" t="e">
        <f t="shared" si="32"/>
        <v>#REF!</v>
      </c>
      <c r="BN29" s="287" t="e">
        <f t="shared" si="32"/>
        <v>#REF!</v>
      </c>
      <c r="BO29" s="287" t="e">
        <f t="shared" si="32"/>
        <v>#REF!</v>
      </c>
    </row>
    <row r="30" spans="1:67" ht="20.25" customHeight="1">
      <c r="A30" s="424" t="s">
        <v>2952</v>
      </c>
      <c r="B30" s="425">
        <f>SUM(AJ23:AJ31)</f>
        <v>2.0833333333333332E-2</v>
      </c>
      <c r="C30" s="200">
        <v>0</v>
      </c>
      <c r="D30" s="361" t="str">
        <f t="shared" si="24"/>
        <v>R03</v>
      </c>
      <c r="E30" s="74">
        <f t="shared" si="25"/>
        <v>0</v>
      </c>
      <c r="F30" s="337">
        <f>IF(C30=0,,VLOOKUP(E30,#REF!,5, FALSE()))</f>
        <v>0</v>
      </c>
      <c r="G30" s="448"/>
      <c r="H30" s="448"/>
      <c r="I30" s="340"/>
      <c r="J30" s="340"/>
      <c r="K30" s="449"/>
      <c r="L30" s="449"/>
      <c r="M30" s="340"/>
      <c r="N30" s="340"/>
      <c r="O30" s="449"/>
      <c r="P30" s="449"/>
      <c r="Q30" s="340"/>
      <c r="R30" s="340"/>
      <c r="S30" s="449"/>
      <c r="T30" s="449"/>
      <c r="U30" s="340"/>
      <c r="V30" s="340"/>
      <c r="W30" s="480"/>
      <c r="X30" s="382">
        <f>IF(C30=0,,VLOOKUP(E30,#REF!,2, FALSE()))</f>
        <v>0</v>
      </c>
      <c r="Y30" s="384">
        <f>IF(C30=0,,VLOOKUP(E30,#REF!,3, FALSE()))</f>
        <v>0</v>
      </c>
      <c r="Z30" s="385"/>
      <c r="AA30" s="74"/>
      <c r="AB30" s="386">
        <f>IF(C30=0,,VLOOKUP(E30,#REF!,6, FALSE()))</f>
        <v>0</v>
      </c>
      <c r="AC30" s="74"/>
      <c r="AD30" s="74"/>
      <c r="AE30" s="74"/>
      <c r="AF30" s="74"/>
      <c r="AG30" s="74"/>
      <c r="AH30" s="74"/>
      <c r="AI30" s="74"/>
      <c r="AJ30" s="389"/>
      <c r="AK30" s="287" t="e">
        <f t="shared" ref="AK30:BO30" si="33">(MID(#REF!, 7,2))</f>
        <v>#REF!</v>
      </c>
      <c r="AL30" s="287" t="e">
        <f t="shared" si="33"/>
        <v>#REF!</v>
      </c>
      <c r="AM30" s="287" t="e">
        <f t="shared" si="33"/>
        <v>#REF!</v>
      </c>
      <c r="AN30" s="287" t="e">
        <f t="shared" si="33"/>
        <v>#REF!</v>
      </c>
      <c r="AO30" s="287" t="e">
        <f t="shared" si="33"/>
        <v>#REF!</v>
      </c>
      <c r="AP30" s="287" t="e">
        <f t="shared" si="33"/>
        <v>#REF!</v>
      </c>
      <c r="AQ30" s="287" t="e">
        <f t="shared" si="33"/>
        <v>#REF!</v>
      </c>
      <c r="AR30" s="287" t="e">
        <f t="shared" si="33"/>
        <v>#REF!</v>
      </c>
      <c r="AS30" s="287" t="e">
        <f t="shared" si="33"/>
        <v>#REF!</v>
      </c>
      <c r="AT30" s="287" t="e">
        <f t="shared" si="33"/>
        <v>#REF!</v>
      </c>
      <c r="AU30" s="287" t="e">
        <f t="shared" si="33"/>
        <v>#REF!</v>
      </c>
      <c r="AV30" s="287" t="e">
        <f t="shared" si="33"/>
        <v>#REF!</v>
      </c>
      <c r="AW30" s="287" t="e">
        <f t="shared" si="33"/>
        <v>#REF!</v>
      </c>
      <c r="AX30" s="287" t="e">
        <f t="shared" si="33"/>
        <v>#REF!</v>
      </c>
      <c r="AY30" s="287" t="e">
        <f t="shared" si="33"/>
        <v>#REF!</v>
      </c>
      <c r="AZ30" s="287" t="e">
        <f t="shared" si="33"/>
        <v>#REF!</v>
      </c>
      <c r="BA30" s="287" t="e">
        <f t="shared" si="33"/>
        <v>#REF!</v>
      </c>
      <c r="BB30" s="287" t="e">
        <f t="shared" si="33"/>
        <v>#REF!</v>
      </c>
      <c r="BC30" s="287" t="e">
        <f t="shared" si="33"/>
        <v>#REF!</v>
      </c>
      <c r="BD30" s="287" t="e">
        <f t="shared" si="33"/>
        <v>#REF!</v>
      </c>
      <c r="BE30" s="287" t="e">
        <f t="shared" si="33"/>
        <v>#REF!</v>
      </c>
      <c r="BF30" s="287" t="e">
        <f t="shared" si="33"/>
        <v>#REF!</v>
      </c>
      <c r="BG30" s="287" t="e">
        <f t="shared" si="33"/>
        <v>#REF!</v>
      </c>
      <c r="BH30" s="287" t="e">
        <f t="shared" si="33"/>
        <v>#REF!</v>
      </c>
      <c r="BI30" s="287" t="e">
        <f t="shared" si="33"/>
        <v>#REF!</v>
      </c>
      <c r="BJ30" s="287" t="e">
        <f t="shared" si="33"/>
        <v>#REF!</v>
      </c>
      <c r="BK30" s="287" t="e">
        <f t="shared" si="33"/>
        <v>#REF!</v>
      </c>
      <c r="BL30" s="287" t="e">
        <f t="shared" si="33"/>
        <v>#REF!</v>
      </c>
      <c r="BM30" s="287" t="e">
        <f t="shared" si="33"/>
        <v>#REF!</v>
      </c>
      <c r="BN30" s="287" t="e">
        <f t="shared" si="33"/>
        <v>#REF!</v>
      </c>
      <c r="BO30" s="287" t="e">
        <f t="shared" si="33"/>
        <v>#REF!</v>
      </c>
    </row>
    <row r="31" spans="1:67" ht="20.25" customHeight="1">
      <c r="A31" s="443" t="s">
        <v>2953</v>
      </c>
      <c r="B31" s="444" t="e">
        <f>B28-B29-B30</f>
        <v>#REF!</v>
      </c>
      <c r="C31" s="200">
        <v>0</v>
      </c>
      <c r="D31" s="361" t="str">
        <f t="shared" si="24"/>
        <v>R03</v>
      </c>
      <c r="E31" s="74">
        <f t="shared" si="25"/>
        <v>0</v>
      </c>
      <c r="F31" s="337">
        <f>IF(C31=0,,VLOOKUP(E31,#REF!,5, FALSE()))</f>
        <v>0</v>
      </c>
      <c r="G31" s="448"/>
      <c r="H31" s="448"/>
      <c r="I31" s="340"/>
      <c r="J31" s="340"/>
      <c r="K31" s="449"/>
      <c r="L31" s="449"/>
      <c r="M31" s="340"/>
      <c r="N31" s="340"/>
      <c r="O31" s="449"/>
      <c r="P31" s="449"/>
      <c r="Q31" s="340"/>
      <c r="R31" s="340"/>
      <c r="S31" s="449"/>
      <c r="T31" s="449"/>
      <c r="U31" s="340"/>
      <c r="V31" s="340"/>
      <c r="W31" s="481"/>
      <c r="X31" s="382">
        <f>IF(C31=0,,VLOOKUP(E31,#REF!,2, FALSE()))</f>
        <v>0</v>
      </c>
      <c r="Y31" s="384">
        <f>IF(C31=0,,VLOOKUP(E31,#REF!,3, FALSE()))</f>
        <v>0</v>
      </c>
      <c r="Z31" s="385"/>
      <c r="AA31" s="74"/>
      <c r="AB31" s="386">
        <f>IF(C31=0,,VLOOKUP(E31,#REF!,6, FALSE()))</f>
        <v>0</v>
      </c>
      <c r="AC31" s="74"/>
      <c r="AD31" s="74"/>
      <c r="AE31" s="74"/>
      <c r="AF31" s="74"/>
      <c r="AG31" s="74"/>
      <c r="AH31" s="74"/>
      <c r="AI31" s="74"/>
      <c r="AJ31" s="389"/>
      <c r="AK31" s="287" t="e">
        <f t="shared" ref="AK31:BO31" si="34">(MID(#REF!, 7,2))</f>
        <v>#REF!</v>
      </c>
      <c r="AL31" s="287" t="e">
        <f t="shared" si="34"/>
        <v>#REF!</v>
      </c>
      <c r="AM31" s="287" t="e">
        <f t="shared" si="34"/>
        <v>#REF!</v>
      </c>
      <c r="AN31" s="287" t="e">
        <f t="shared" si="34"/>
        <v>#REF!</v>
      </c>
      <c r="AO31" s="287" t="e">
        <f t="shared" si="34"/>
        <v>#REF!</v>
      </c>
      <c r="AP31" s="287" t="e">
        <f t="shared" si="34"/>
        <v>#REF!</v>
      </c>
      <c r="AQ31" s="287" t="e">
        <f t="shared" si="34"/>
        <v>#REF!</v>
      </c>
      <c r="AR31" s="287" t="e">
        <f t="shared" si="34"/>
        <v>#REF!</v>
      </c>
      <c r="AS31" s="287" t="e">
        <f t="shared" si="34"/>
        <v>#REF!</v>
      </c>
      <c r="AT31" s="287" t="e">
        <f t="shared" si="34"/>
        <v>#REF!</v>
      </c>
      <c r="AU31" s="287" t="e">
        <f t="shared" si="34"/>
        <v>#REF!</v>
      </c>
      <c r="AV31" s="287" t="e">
        <f t="shared" si="34"/>
        <v>#REF!</v>
      </c>
      <c r="AW31" s="287" t="e">
        <f t="shared" si="34"/>
        <v>#REF!</v>
      </c>
      <c r="AX31" s="287" t="e">
        <f t="shared" si="34"/>
        <v>#REF!</v>
      </c>
      <c r="AY31" s="287" t="e">
        <f t="shared" si="34"/>
        <v>#REF!</v>
      </c>
      <c r="AZ31" s="287" t="e">
        <f t="shared" si="34"/>
        <v>#REF!</v>
      </c>
      <c r="BA31" s="287" t="e">
        <f t="shared" si="34"/>
        <v>#REF!</v>
      </c>
      <c r="BB31" s="287" t="e">
        <f t="shared" si="34"/>
        <v>#REF!</v>
      </c>
      <c r="BC31" s="287" t="e">
        <f t="shared" si="34"/>
        <v>#REF!</v>
      </c>
      <c r="BD31" s="287" t="e">
        <f t="shared" si="34"/>
        <v>#REF!</v>
      </c>
      <c r="BE31" s="287" t="e">
        <f t="shared" si="34"/>
        <v>#REF!</v>
      </c>
      <c r="BF31" s="287" t="e">
        <f t="shared" si="34"/>
        <v>#REF!</v>
      </c>
      <c r="BG31" s="287" t="e">
        <f t="shared" si="34"/>
        <v>#REF!</v>
      </c>
      <c r="BH31" s="287" t="e">
        <f t="shared" si="34"/>
        <v>#REF!</v>
      </c>
      <c r="BI31" s="287" t="e">
        <f t="shared" si="34"/>
        <v>#REF!</v>
      </c>
      <c r="BJ31" s="287" t="e">
        <f t="shared" si="34"/>
        <v>#REF!</v>
      </c>
      <c r="BK31" s="287" t="e">
        <f t="shared" si="34"/>
        <v>#REF!</v>
      </c>
      <c r="BL31" s="287" t="e">
        <f t="shared" si="34"/>
        <v>#REF!</v>
      </c>
      <c r="BM31" s="287" t="e">
        <f t="shared" si="34"/>
        <v>#REF!</v>
      </c>
      <c r="BN31" s="287" t="e">
        <f t="shared" si="34"/>
        <v>#REF!</v>
      </c>
      <c r="BO31" s="287" t="e">
        <f t="shared" si="34"/>
        <v>#REF!</v>
      </c>
    </row>
    <row r="32" spans="1:67" ht="3.75" customHeight="1">
      <c r="G32" s="446"/>
      <c r="H32" s="446"/>
      <c r="I32" s="285"/>
      <c r="J32" s="285"/>
      <c r="K32" s="346"/>
      <c r="L32" s="346"/>
      <c r="M32" s="285"/>
      <c r="N32" s="285"/>
      <c r="O32" s="346"/>
      <c r="P32" s="346"/>
      <c r="Q32" s="285"/>
      <c r="R32" s="285"/>
      <c r="S32" s="346"/>
      <c r="T32" s="346"/>
      <c r="U32" s="285"/>
      <c r="V32" s="285"/>
      <c r="Y32" s="447"/>
      <c r="AK32" s="346"/>
      <c r="AL32" s="346"/>
      <c r="AM32" s="346"/>
      <c r="AN32" s="346"/>
      <c r="AO32" s="346"/>
      <c r="AP32" s="346"/>
      <c r="AQ32" s="346"/>
      <c r="AR32" s="346"/>
      <c r="AS32" s="346"/>
      <c r="AT32" s="346"/>
      <c r="AU32" s="346"/>
      <c r="AV32" s="346"/>
      <c r="AW32" s="346"/>
      <c r="AX32" s="346"/>
      <c r="AY32" s="346"/>
      <c r="AZ32" s="346"/>
      <c r="BA32" s="346"/>
      <c r="BB32" s="346"/>
      <c r="BC32" s="346"/>
      <c r="BD32" s="346"/>
      <c r="BE32" s="346"/>
      <c r="BF32" s="346"/>
      <c r="BG32" s="346"/>
      <c r="BH32" s="346"/>
      <c r="BI32" s="346"/>
      <c r="BJ32" s="346"/>
      <c r="BK32" s="346"/>
      <c r="BL32" s="346"/>
      <c r="BM32" s="346"/>
      <c r="BN32" s="346"/>
      <c r="BO32" s="346"/>
    </row>
    <row r="33" spans="1:67" ht="20.25" customHeight="1">
      <c r="A33" s="200" t="s">
        <v>2459</v>
      </c>
      <c r="B33" s="217" t="s">
        <v>232</v>
      </c>
      <c r="C33" s="200">
        <v>1</v>
      </c>
      <c r="D33" s="361" t="str">
        <f t="shared" ref="D33:D41" si="35">$B$33</f>
        <v>R04</v>
      </c>
      <c r="E33" s="74" t="str">
        <f t="shared" ref="E33:E41" si="36">IF(C33=0,,CONCATENATE(D33,"/",C33))</f>
        <v>R04/1</v>
      </c>
      <c r="F33" s="337" t="e">
        <f>IF(C33=0,,VLOOKUP(E33,#REF!,5, FALSE()))</f>
        <v>#REF!</v>
      </c>
      <c r="G33" s="448"/>
      <c r="H33" s="448"/>
      <c r="I33" s="340"/>
      <c r="J33" s="340"/>
      <c r="K33" s="449"/>
      <c r="L33" s="449"/>
      <c r="M33" s="340"/>
      <c r="N33" s="340"/>
      <c r="O33" s="449"/>
      <c r="P33" s="449"/>
      <c r="Q33" s="340"/>
      <c r="R33" s="340"/>
      <c r="S33" s="449"/>
      <c r="T33" s="449"/>
      <c r="U33" s="340"/>
      <c r="V33" s="340"/>
      <c r="W33" s="563" t="e">
        <f>CONCATENATE(F33," + ",F34," + ",F35," + ",F36," + ",F37," + ",F38," + ",F39," + ",F40," + ",F41)</f>
        <v>#REF!</v>
      </c>
      <c r="X33" s="382" t="e">
        <f>IF(C33=0,,VLOOKUP(E33,#REF!,2, FALSE()))</f>
        <v>#REF!</v>
      </c>
      <c r="Y33" s="384" t="e">
        <f>IF(C33=0,,VLOOKUP(E33,#REF!,3, FALSE()))</f>
        <v>#REF!</v>
      </c>
      <c r="Z33" s="385" t="e">
        <f>VLOOKUP(Y33,#REF!,6, FALSE())</f>
        <v>#REF!</v>
      </c>
      <c r="AA33" s="74" t="str">
        <f>$B35</f>
        <v>Cesta Gd</v>
      </c>
      <c r="AB33" s="386" t="e">
        <f>IF(C33=0,,VLOOKUP(E33,#REF!,6, FALSE()))</f>
        <v>#REF!</v>
      </c>
      <c r="AC33" s="74"/>
      <c r="AD33" s="74">
        <f>$B36</f>
        <v>6</v>
      </c>
      <c r="AE33" s="74"/>
      <c r="AF33" s="450">
        <f>$B37</f>
        <v>0</v>
      </c>
      <c r="AG33" s="74"/>
      <c r="AH33" s="450" t="e">
        <f>$B39</f>
        <v>#REF!</v>
      </c>
      <c r="AI33" s="450" t="e">
        <f>B39+B40</f>
        <v>#REF!</v>
      </c>
      <c r="AJ33" s="389"/>
      <c r="AK33" s="287" t="e">
        <f t="shared" ref="AK33:BO33" si="37">(MID(#REF!, 7,2))</f>
        <v>#REF!</v>
      </c>
      <c r="AL33" s="287" t="e">
        <f t="shared" si="37"/>
        <v>#REF!</v>
      </c>
      <c r="AM33" s="287" t="e">
        <f t="shared" si="37"/>
        <v>#REF!</v>
      </c>
      <c r="AN33" s="287" t="e">
        <f t="shared" si="37"/>
        <v>#REF!</v>
      </c>
      <c r="AO33" s="287" t="e">
        <f t="shared" si="37"/>
        <v>#REF!</v>
      </c>
      <c r="AP33" s="287" t="e">
        <f t="shared" si="37"/>
        <v>#REF!</v>
      </c>
      <c r="AQ33" s="287" t="e">
        <f t="shared" si="37"/>
        <v>#REF!</v>
      </c>
      <c r="AR33" s="287" t="e">
        <f t="shared" si="37"/>
        <v>#REF!</v>
      </c>
      <c r="AS33" s="287" t="e">
        <f t="shared" si="37"/>
        <v>#REF!</v>
      </c>
      <c r="AT33" s="287" t="e">
        <f t="shared" si="37"/>
        <v>#REF!</v>
      </c>
      <c r="AU33" s="287" t="e">
        <f t="shared" si="37"/>
        <v>#REF!</v>
      </c>
      <c r="AV33" s="287" t="e">
        <f t="shared" si="37"/>
        <v>#REF!</v>
      </c>
      <c r="AW33" s="287" t="e">
        <f t="shared" si="37"/>
        <v>#REF!</v>
      </c>
      <c r="AX33" s="287" t="e">
        <f t="shared" si="37"/>
        <v>#REF!</v>
      </c>
      <c r="AY33" s="287" t="e">
        <f t="shared" si="37"/>
        <v>#REF!</v>
      </c>
      <c r="AZ33" s="287" t="e">
        <f t="shared" si="37"/>
        <v>#REF!</v>
      </c>
      <c r="BA33" s="287" t="e">
        <f t="shared" si="37"/>
        <v>#REF!</v>
      </c>
      <c r="BB33" s="287" t="e">
        <f t="shared" si="37"/>
        <v>#REF!</v>
      </c>
      <c r="BC33" s="287" t="e">
        <f t="shared" si="37"/>
        <v>#REF!</v>
      </c>
      <c r="BD33" s="287" t="e">
        <f t="shared" si="37"/>
        <v>#REF!</v>
      </c>
      <c r="BE33" s="287" t="e">
        <f t="shared" si="37"/>
        <v>#REF!</v>
      </c>
      <c r="BF33" s="287" t="e">
        <f t="shared" si="37"/>
        <v>#REF!</v>
      </c>
      <c r="BG33" s="287" t="e">
        <f t="shared" si="37"/>
        <v>#REF!</v>
      </c>
      <c r="BH33" s="287" t="e">
        <f t="shared" si="37"/>
        <v>#REF!</v>
      </c>
      <c r="BI33" s="287" t="e">
        <f t="shared" si="37"/>
        <v>#REF!</v>
      </c>
      <c r="BJ33" s="287" t="e">
        <f t="shared" si="37"/>
        <v>#REF!</v>
      </c>
      <c r="BK33" s="287" t="e">
        <f t="shared" si="37"/>
        <v>#REF!</v>
      </c>
      <c r="BL33" s="287" t="e">
        <f t="shared" si="37"/>
        <v>#REF!</v>
      </c>
      <c r="BM33" s="287" t="e">
        <f t="shared" si="37"/>
        <v>#REF!</v>
      </c>
      <c r="BN33" s="287" t="e">
        <f t="shared" si="37"/>
        <v>#REF!</v>
      </c>
      <c r="BO33" s="287" t="e">
        <f t="shared" si="37"/>
        <v>#REF!</v>
      </c>
    </row>
    <row r="34" spans="1:67" ht="20.25" customHeight="1">
      <c r="A34" s="562" t="e">
        <f>Y33</f>
        <v>#REF!</v>
      </c>
      <c r="B34" s="499"/>
      <c r="C34" s="200">
        <v>2</v>
      </c>
      <c r="D34" s="361" t="str">
        <f t="shared" si="35"/>
        <v>R04</v>
      </c>
      <c r="E34" s="74" t="str">
        <f t="shared" si="36"/>
        <v>R04/2</v>
      </c>
      <c r="F34" s="337" t="e">
        <f>IF(C34=0,,VLOOKUP(E34,#REF!,5, FALSE()))</f>
        <v>#REF!</v>
      </c>
      <c r="G34" s="448"/>
      <c r="H34" s="448"/>
      <c r="I34" s="340"/>
      <c r="J34" s="340"/>
      <c r="K34" s="449"/>
      <c r="L34" s="449"/>
      <c r="M34" s="340"/>
      <c r="N34" s="340"/>
      <c r="O34" s="449"/>
      <c r="P34" s="449"/>
      <c r="Q34" s="340"/>
      <c r="R34" s="340"/>
      <c r="S34" s="449"/>
      <c r="T34" s="449"/>
      <c r="U34" s="340"/>
      <c r="V34" s="340"/>
      <c r="W34" s="480"/>
      <c r="X34" s="382" t="e">
        <f>IF(C34=0,,VLOOKUP(E34,#REF!,2, FALSE()))</f>
        <v>#REF!</v>
      </c>
      <c r="Y34" s="384" t="e">
        <f>IF(C34=0,,VLOOKUP(E34,#REF!,3, FALSE()))</f>
        <v>#REF!</v>
      </c>
      <c r="Z34" s="385"/>
      <c r="AA34" s="74"/>
      <c r="AB34" s="386" t="e">
        <f>IF(C34=0,,VLOOKUP(E34,#REF!,6, FALSE()))</f>
        <v>#REF!</v>
      </c>
      <c r="AC34" s="74"/>
      <c r="AD34" s="74"/>
      <c r="AE34" s="74"/>
      <c r="AF34" s="74"/>
      <c r="AG34" s="74"/>
      <c r="AH34" s="74"/>
      <c r="AI34" s="74"/>
      <c r="AJ34" s="389"/>
      <c r="AK34" s="287" t="e">
        <f t="shared" ref="AK34:BO34" si="38">(MID(#REF!, 7,2))</f>
        <v>#REF!</v>
      </c>
      <c r="AL34" s="287" t="e">
        <f t="shared" si="38"/>
        <v>#REF!</v>
      </c>
      <c r="AM34" s="287" t="e">
        <f t="shared" si="38"/>
        <v>#REF!</v>
      </c>
      <c r="AN34" s="287" t="e">
        <f t="shared" si="38"/>
        <v>#REF!</v>
      </c>
      <c r="AO34" s="287" t="e">
        <f t="shared" si="38"/>
        <v>#REF!</v>
      </c>
      <c r="AP34" s="287" t="e">
        <f t="shared" si="38"/>
        <v>#REF!</v>
      </c>
      <c r="AQ34" s="287" t="e">
        <f t="shared" si="38"/>
        <v>#REF!</v>
      </c>
      <c r="AR34" s="287" t="e">
        <f t="shared" si="38"/>
        <v>#REF!</v>
      </c>
      <c r="AS34" s="287" t="e">
        <f t="shared" si="38"/>
        <v>#REF!</v>
      </c>
      <c r="AT34" s="287" t="e">
        <f t="shared" si="38"/>
        <v>#REF!</v>
      </c>
      <c r="AU34" s="287" t="e">
        <f t="shared" si="38"/>
        <v>#REF!</v>
      </c>
      <c r="AV34" s="287" t="e">
        <f t="shared" si="38"/>
        <v>#REF!</v>
      </c>
      <c r="AW34" s="287" t="e">
        <f t="shared" si="38"/>
        <v>#REF!</v>
      </c>
      <c r="AX34" s="287" t="e">
        <f t="shared" si="38"/>
        <v>#REF!</v>
      </c>
      <c r="AY34" s="287" t="e">
        <f t="shared" si="38"/>
        <v>#REF!</v>
      </c>
      <c r="AZ34" s="287" t="e">
        <f t="shared" si="38"/>
        <v>#REF!</v>
      </c>
      <c r="BA34" s="287" t="e">
        <f t="shared" si="38"/>
        <v>#REF!</v>
      </c>
      <c r="BB34" s="287" t="e">
        <f t="shared" si="38"/>
        <v>#REF!</v>
      </c>
      <c r="BC34" s="287" t="e">
        <f t="shared" si="38"/>
        <v>#REF!</v>
      </c>
      <c r="BD34" s="287" t="e">
        <f t="shared" si="38"/>
        <v>#REF!</v>
      </c>
      <c r="BE34" s="287" t="e">
        <f t="shared" si="38"/>
        <v>#REF!</v>
      </c>
      <c r="BF34" s="287" t="e">
        <f t="shared" si="38"/>
        <v>#REF!</v>
      </c>
      <c r="BG34" s="287" t="e">
        <f t="shared" si="38"/>
        <v>#REF!</v>
      </c>
      <c r="BH34" s="287" t="e">
        <f t="shared" si="38"/>
        <v>#REF!</v>
      </c>
      <c r="BI34" s="287" t="e">
        <f t="shared" si="38"/>
        <v>#REF!</v>
      </c>
      <c r="BJ34" s="287" t="e">
        <f t="shared" si="38"/>
        <v>#REF!</v>
      </c>
      <c r="BK34" s="287" t="e">
        <f t="shared" si="38"/>
        <v>#REF!</v>
      </c>
      <c r="BL34" s="287" t="e">
        <f t="shared" si="38"/>
        <v>#REF!</v>
      </c>
      <c r="BM34" s="287" t="e">
        <f t="shared" si="38"/>
        <v>#REF!</v>
      </c>
      <c r="BN34" s="287" t="e">
        <f t="shared" si="38"/>
        <v>#REF!</v>
      </c>
      <c r="BO34" s="287" t="e">
        <f t="shared" si="38"/>
        <v>#REF!</v>
      </c>
    </row>
    <row r="35" spans="1:67" ht="20.25" customHeight="1">
      <c r="A35" s="402" t="s">
        <v>2896</v>
      </c>
      <c r="B35" s="19" t="s">
        <v>21</v>
      </c>
      <c r="C35" s="200">
        <v>3</v>
      </c>
      <c r="D35" s="361" t="str">
        <f t="shared" si="35"/>
        <v>R04</v>
      </c>
      <c r="E35" s="74" t="str">
        <f t="shared" si="36"/>
        <v>R04/3</v>
      </c>
      <c r="F35" s="337" t="e">
        <f>IF(C35=0,,VLOOKUP(E35,#REF!,5, FALSE()))</f>
        <v>#REF!</v>
      </c>
      <c r="G35" s="448"/>
      <c r="H35" s="448"/>
      <c r="I35" s="340"/>
      <c r="J35" s="340"/>
      <c r="K35" s="449"/>
      <c r="L35" s="449"/>
      <c r="M35" s="340"/>
      <c r="N35" s="340"/>
      <c r="O35" s="449"/>
      <c r="P35" s="449"/>
      <c r="Q35" s="340"/>
      <c r="R35" s="340"/>
      <c r="S35" s="449"/>
      <c r="T35" s="449"/>
      <c r="U35" s="340"/>
      <c r="V35" s="340"/>
      <c r="W35" s="480"/>
      <c r="X35" s="382" t="e">
        <f>IF(C35=0,,VLOOKUP(E35,#REF!,2, FALSE()))</f>
        <v>#REF!</v>
      </c>
      <c r="Y35" s="384" t="e">
        <f>IF(C35=0,,VLOOKUP(E35,#REF!,3, FALSE()))</f>
        <v>#REF!</v>
      </c>
      <c r="Z35" s="385"/>
      <c r="AA35" s="74"/>
      <c r="AB35" s="386" t="e">
        <f>IF(C35=0,,VLOOKUP(E35,#REF!,6, FALSE()))</f>
        <v>#REF!</v>
      </c>
      <c r="AC35" s="74"/>
      <c r="AD35" s="74"/>
      <c r="AE35" s="74"/>
      <c r="AF35" s="74"/>
      <c r="AG35" s="74"/>
      <c r="AH35" s="74"/>
      <c r="AI35" s="74"/>
      <c r="AJ35" s="389"/>
      <c r="AK35" s="287" t="e">
        <f t="shared" ref="AK35:BO35" si="39">(MID(#REF!, 7,2))</f>
        <v>#REF!</v>
      </c>
      <c r="AL35" s="287" t="e">
        <f t="shared" si="39"/>
        <v>#REF!</v>
      </c>
      <c r="AM35" s="287" t="e">
        <f t="shared" si="39"/>
        <v>#REF!</v>
      </c>
      <c r="AN35" s="287" t="e">
        <f t="shared" si="39"/>
        <v>#REF!</v>
      </c>
      <c r="AO35" s="287" t="e">
        <f t="shared" si="39"/>
        <v>#REF!</v>
      </c>
      <c r="AP35" s="287" t="e">
        <f t="shared" si="39"/>
        <v>#REF!</v>
      </c>
      <c r="AQ35" s="287" t="e">
        <f t="shared" si="39"/>
        <v>#REF!</v>
      </c>
      <c r="AR35" s="287" t="e">
        <f t="shared" si="39"/>
        <v>#REF!</v>
      </c>
      <c r="AS35" s="287" t="e">
        <f t="shared" si="39"/>
        <v>#REF!</v>
      </c>
      <c r="AT35" s="287" t="e">
        <f t="shared" si="39"/>
        <v>#REF!</v>
      </c>
      <c r="AU35" s="287" t="e">
        <f t="shared" si="39"/>
        <v>#REF!</v>
      </c>
      <c r="AV35" s="287" t="e">
        <f t="shared" si="39"/>
        <v>#REF!</v>
      </c>
      <c r="AW35" s="287" t="e">
        <f t="shared" si="39"/>
        <v>#REF!</v>
      </c>
      <c r="AX35" s="287" t="e">
        <f t="shared" si="39"/>
        <v>#REF!</v>
      </c>
      <c r="AY35" s="287" t="e">
        <f t="shared" si="39"/>
        <v>#REF!</v>
      </c>
      <c r="AZ35" s="287" t="e">
        <f t="shared" si="39"/>
        <v>#REF!</v>
      </c>
      <c r="BA35" s="287" t="e">
        <f t="shared" si="39"/>
        <v>#REF!</v>
      </c>
      <c r="BB35" s="287" t="e">
        <f t="shared" si="39"/>
        <v>#REF!</v>
      </c>
      <c r="BC35" s="287" t="e">
        <f t="shared" si="39"/>
        <v>#REF!</v>
      </c>
      <c r="BD35" s="287" t="e">
        <f t="shared" si="39"/>
        <v>#REF!</v>
      </c>
      <c r="BE35" s="287" t="e">
        <f t="shared" si="39"/>
        <v>#REF!</v>
      </c>
      <c r="BF35" s="287" t="e">
        <f t="shared" si="39"/>
        <v>#REF!</v>
      </c>
      <c r="BG35" s="287" t="e">
        <f t="shared" si="39"/>
        <v>#REF!</v>
      </c>
      <c r="BH35" s="287" t="e">
        <f t="shared" si="39"/>
        <v>#REF!</v>
      </c>
      <c r="BI35" s="287" t="e">
        <f t="shared" si="39"/>
        <v>#REF!</v>
      </c>
      <c r="BJ35" s="287" t="e">
        <f t="shared" si="39"/>
        <v>#REF!</v>
      </c>
      <c r="BK35" s="287" t="e">
        <f t="shared" si="39"/>
        <v>#REF!</v>
      </c>
      <c r="BL35" s="287" t="e">
        <f t="shared" si="39"/>
        <v>#REF!</v>
      </c>
      <c r="BM35" s="287" t="e">
        <f t="shared" si="39"/>
        <v>#REF!</v>
      </c>
      <c r="BN35" s="287" t="e">
        <f t="shared" si="39"/>
        <v>#REF!</v>
      </c>
      <c r="BO35" s="287" t="e">
        <f t="shared" si="39"/>
        <v>#REF!</v>
      </c>
    </row>
    <row r="36" spans="1:67" ht="20.25" customHeight="1">
      <c r="A36" s="409" t="s">
        <v>2921</v>
      </c>
      <c r="B36" s="410">
        <v>6</v>
      </c>
      <c r="C36" s="200">
        <v>0</v>
      </c>
      <c r="D36" s="361" t="str">
        <f t="shared" si="35"/>
        <v>R04</v>
      </c>
      <c r="E36" s="74">
        <f t="shared" si="36"/>
        <v>0</v>
      </c>
      <c r="F36" s="337">
        <f>IF(C36=0,,VLOOKUP(E36,#REF!,5, FALSE()))</f>
        <v>0</v>
      </c>
      <c r="G36" s="448"/>
      <c r="H36" s="448"/>
      <c r="I36" s="340"/>
      <c r="J36" s="340"/>
      <c r="K36" s="449"/>
      <c r="L36" s="449"/>
      <c r="M36" s="340"/>
      <c r="N36" s="340"/>
      <c r="O36" s="449"/>
      <c r="P36" s="449"/>
      <c r="Q36" s="340"/>
      <c r="R36" s="340"/>
      <c r="S36" s="449"/>
      <c r="T36" s="449"/>
      <c r="U36" s="340"/>
      <c r="V36" s="340"/>
      <c r="W36" s="480"/>
      <c r="X36" s="382">
        <f>IF(C36=0,,VLOOKUP(E36,#REF!,2, FALSE()))</f>
        <v>0</v>
      </c>
      <c r="Y36" s="384">
        <f>IF(C36=0,,VLOOKUP(E36,#REF!,3, FALSE()))</f>
        <v>0</v>
      </c>
      <c r="Z36" s="385"/>
      <c r="AA36" s="74"/>
      <c r="AB36" s="386">
        <f>IF(C36=0,,VLOOKUP(E36,#REF!,6, FALSE()))</f>
        <v>0</v>
      </c>
      <c r="AC36" s="74"/>
      <c r="AD36" s="74"/>
      <c r="AE36" s="74"/>
      <c r="AF36" s="74"/>
      <c r="AG36" s="74"/>
      <c r="AH36" s="74"/>
      <c r="AI36" s="74"/>
      <c r="AJ36" s="422"/>
      <c r="AK36" s="287" t="e">
        <f t="shared" ref="AK36:BO36" si="40">(MID(#REF!, 7,2))</f>
        <v>#REF!</v>
      </c>
      <c r="AL36" s="287" t="e">
        <f t="shared" si="40"/>
        <v>#REF!</v>
      </c>
      <c r="AM36" s="287" t="e">
        <f t="shared" si="40"/>
        <v>#REF!</v>
      </c>
      <c r="AN36" s="287" t="e">
        <f t="shared" si="40"/>
        <v>#REF!</v>
      </c>
      <c r="AO36" s="287" t="e">
        <f t="shared" si="40"/>
        <v>#REF!</v>
      </c>
      <c r="AP36" s="287" t="e">
        <f t="shared" si="40"/>
        <v>#REF!</v>
      </c>
      <c r="AQ36" s="287" t="e">
        <f t="shared" si="40"/>
        <v>#REF!</v>
      </c>
      <c r="AR36" s="287" t="e">
        <f t="shared" si="40"/>
        <v>#REF!</v>
      </c>
      <c r="AS36" s="287" t="e">
        <f t="shared" si="40"/>
        <v>#REF!</v>
      </c>
      <c r="AT36" s="287" t="e">
        <f t="shared" si="40"/>
        <v>#REF!</v>
      </c>
      <c r="AU36" s="287" t="e">
        <f t="shared" si="40"/>
        <v>#REF!</v>
      </c>
      <c r="AV36" s="287" t="e">
        <f t="shared" si="40"/>
        <v>#REF!</v>
      </c>
      <c r="AW36" s="287" t="e">
        <f t="shared" si="40"/>
        <v>#REF!</v>
      </c>
      <c r="AX36" s="287" t="e">
        <f t="shared" si="40"/>
        <v>#REF!</v>
      </c>
      <c r="AY36" s="287" t="e">
        <f t="shared" si="40"/>
        <v>#REF!</v>
      </c>
      <c r="AZ36" s="287" t="e">
        <f t="shared" si="40"/>
        <v>#REF!</v>
      </c>
      <c r="BA36" s="287" t="e">
        <f t="shared" si="40"/>
        <v>#REF!</v>
      </c>
      <c r="BB36" s="287" t="e">
        <f t="shared" si="40"/>
        <v>#REF!</v>
      </c>
      <c r="BC36" s="287" t="e">
        <f t="shared" si="40"/>
        <v>#REF!</v>
      </c>
      <c r="BD36" s="287" t="e">
        <f t="shared" si="40"/>
        <v>#REF!</v>
      </c>
      <c r="BE36" s="287" t="e">
        <f t="shared" si="40"/>
        <v>#REF!</v>
      </c>
      <c r="BF36" s="287" t="e">
        <f t="shared" si="40"/>
        <v>#REF!</v>
      </c>
      <c r="BG36" s="287" t="e">
        <f t="shared" si="40"/>
        <v>#REF!</v>
      </c>
      <c r="BH36" s="287" t="e">
        <f t="shared" si="40"/>
        <v>#REF!</v>
      </c>
      <c r="BI36" s="287" t="e">
        <f t="shared" si="40"/>
        <v>#REF!</v>
      </c>
      <c r="BJ36" s="287" t="e">
        <f t="shared" si="40"/>
        <v>#REF!</v>
      </c>
      <c r="BK36" s="287" t="e">
        <f t="shared" si="40"/>
        <v>#REF!</v>
      </c>
      <c r="BL36" s="287" t="e">
        <f t="shared" si="40"/>
        <v>#REF!</v>
      </c>
      <c r="BM36" s="287" t="e">
        <f t="shared" si="40"/>
        <v>#REF!</v>
      </c>
      <c r="BN36" s="287" t="e">
        <f t="shared" si="40"/>
        <v>#REF!</v>
      </c>
      <c r="BO36" s="287" t="e">
        <f t="shared" si="40"/>
        <v>#REF!</v>
      </c>
    </row>
    <row r="37" spans="1:67" ht="20.25" customHeight="1">
      <c r="A37" s="424" t="s">
        <v>2936</v>
      </c>
      <c r="B37" s="425">
        <v>0</v>
      </c>
      <c r="C37" s="200">
        <v>0</v>
      </c>
      <c r="D37" s="361" t="str">
        <f t="shared" si="35"/>
        <v>R04</v>
      </c>
      <c r="E37" s="74">
        <f t="shared" si="36"/>
        <v>0</v>
      </c>
      <c r="F37" s="337">
        <f>IF(C37=0,,VLOOKUP(E37,#REF!,5, FALSE()))</f>
        <v>0</v>
      </c>
      <c r="G37" s="448"/>
      <c r="H37" s="448"/>
      <c r="I37" s="340"/>
      <c r="J37" s="340"/>
      <c r="K37" s="449"/>
      <c r="L37" s="449"/>
      <c r="M37" s="340"/>
      <c r="N37" s="340"/>
      <c r="O37" s="449"/>
      <c r="P37" s="449"/>
      <c r="Q37" s="340"/>
      <c r="R37" s="340"/>
      <c r="S37" s="449"/>
      <c r="T37" s="449"/>
      <c r="U37" s="340"/>
      <c r="V37" s="340"/>
      <c r="W37" s="480"/>
      <c r="X37" s="382">
        <f>IF(C37=0,,VLOOKUP(E37,#REF!,2, FALSE()))</f>
        <v>0</v>
      </c>
      <c r="Y37" s="384">
        <f>IF(C37=0,,VLOOKUP(E37,#REF!,3, FALSE()))</f>
        <v>0</v>
      </c>
      <c r="Z37" s="385"/>
      <c r="AA37" s="74"/>
      <c r="AB37" s="386">
        <f>IF(C37=0,,VLOOKUP(E37,#REF!,6, FALSE()))</f>
        <v>0</v>
      </c>
      <c r="AC37" s="74"/>
      <c r="AD37" s="74"/>
      <c r="AE37" s="74"/>
      <c r="AF37" s="74"/>
      <c r="AG37" s="74"/>
      <c r="AH37" s="74"/>
      <c r="AI37" s="74"/>
      <c r="AJ37" s="389"/>
      <c r="AK37" s="287" t="e">
        <f t="shared" ref="AK37:BO37" si="41">(MID(#REF!, 7,2))</f>
        <v>#REF!</v>
      </c>
      <c r="AL37" s="287" t="e">
        <f t="shared" si="41"/>
        <v>#REF!</v>
      </c>
      <c r="AM37" s="287" t="e">
        <f t="shared" si="41"/>
        <v>#REF!</v>
      </c>
      <c r="AN37" s="287" t="e">
        <f t="shared" si="41"/>
        <v>#REF!</v>
      </c>
      <c r="AO37" s="287" t="e">
        <f t="shared" si="41"/>
        <v>#REF!</v>
      </c>
      <c r="AP37" s="287" t="e">
        <f t="shared" si="41"/>
        <v>#REF!</v>
      </c>
      <c r="AQ37" s="287" t="e">
        <f t="shared" si="41"/>
        <v>#REF!</v>
      </c>
      <c r="AR37" s="287" t="e">
        <f t="shared" si="41"/>
        <v>#REF!</v>
      </c>
      <c r="AS37" s="287" t="e">
        <f t="shared" si="41"/>
        <v>#REF!</v>
      </c>
      <c r="AT37" s="287" t="e">
        <f t="shared" si="41"/>
        <v>#REF!</v>
      </c>
      <c r="AU37" s="287" t="e">
        <f t="shared" si="41"/>
        <v>#REF!</v>
      </c>
      <c r="AV37" s="287" t="e">
        <f t="shared" si="41"/>
        <v>#REF!</v>
      </c>
      <c r="AW37" s="287" t="e">
        <f t="shared" si="41"/>
        <v>#REF!</v>
      </c>
      <c r="AX37" s="287" t="e">
        <f t="shared" si="41"/>
        <v>#REF!</v>
      </c>
      <c r="AY37" s="287" t="e">
        <f t="shared" si="41"/>
        <v>#REF!</v>
      </c>
      <c r="AZ37" s="287" t="e">
        <f t="shared" si="41"/>
        <v>#REF!</v>
      </c>
      <c r="BA37" s="287" t="e">
        <f t="shared" si="41"/>
        <v>#REF!</v>
      </c>
      <c r="BB37" s="287" t="e">
        <f t="shared" si="41"/>
        <v>#REF!</v>
      </c>
      <c r="BC37" s="287" t="e">
        <f t="shared" si="41"/>
        <v>#REF!</v>
      </c>
      <c r="BD37" s="287" t="e">
        <f t="shared" si="41"/>
        <v>#REF!</v>
      </c>
      <c r="BE37" s="287" t="e">
        <f t="shared" si="41"/>
        <v>#REF!</v>
      </c>
      <c r="BF37" s="287" t="e">
        <f t="shared" si="41"/>
        <v>#REF!</v>
      </c>
      <c r="BG37" s="287" t="e">
        <f t="shared" si="41"/>
        <v>#REF!</v>
      </c>
      <c r="BH37" s="287" t="e">
        <f t="shared" si="41"/>
        <v>#REF!</v>
      </c>
      <c r="BI37" s="287" t="e">
        <f t="shared" si="41"/>
        <v>#REF!</v>
      </c>
      <c r="BJ37" s="287" t="e">
        <f t="shared" si="41"/>
        <v>#REF!</v>
      </c>
      <c r="BK37" s="287" t="e">
        <f t="shared" si="41"/>
        <v>#REF!</v>
      </c>
      <c r="BL37" s="287" t="e">
        <f t="shared" si="41"/>
        <v>#REF!</v>
      </c>
      <c r="BM37" s="287" t="e">
        <f t="shared" si="41"/>
        <v>#REF!</v>
      </c>
      <c r="BN37" s="287" t="e">
        <f t="shared" si="41"/>
        <v>#REF!</v>
      </c>
      <c r="BO37" s="287" t="e">
        <f t="shared" si="41"/>
        <v>#REF!</v>
      </c>
    </row>
    <row r="38" spans="1:67" ht="20.25" customHeight="1">
      <c r="A38" s="424" t="e">
        <f>Z33</f>
        <v>#REF!</v>
      </c>
      <c r="B38" s="425">
        <v>1.8333333333333333</v>
      </c>
      <c r="C38" s="200">
        <v>0</v>
      </c>
      <c r="D38" s="361" t="str">
        <f t="shared" si="35"/>
        <v>R04</v>
      </c>
      <c r="E38" s="74">
        <f t="shared" si="36"/>
        <v>0</v>
      </c>
      <c r="F38" s="337">
        <f>IF(C38=0,,VLOOKUP(E38,#REF!,5, FALSE()))</f>
        <v>0</v>
      </c>
      <c r="G38" s="448"/>
      <c r="H38" s="448"/>
      <c r="I38" s="340"/>
      <c r="J38" s="340"/>
      <c r="K38" s="449"/>
      <c r="L38" s="449"/>
      <c r="M38" s="340"/>
      <c r="N38" s="340"/>
      <c r="O38" s="449"/>
      <c r="P38" s="449"/>
      <c r="Q38" s="340"/>
      <c r="R38" s="340"/>
      <c r="S38" s="449"/>
      <c r="T38" s="449"/>
      <c r="U38" s="340"/>
      <c r="V38" s="340"/>
      <c r="W38" s="480"/>
      <c r="X38" s="382">
        <f>IF(C38=0,,VLOOKUP(E38,#REF!,2, FALSE()))</f>
        <v>0</v>
      </c>
      <c r="Y38" s="384">
        <f>IF(C38=0,,VLOOKUP(E38,#REF!,3, FALSE()))</f>
        <v>0</v>
      </c>
      <c r="Z38" s="385"/>
      <c r="AA38" s="74"/>
      <c r="AB38" s="386">
        <f>IF(C38=0,,VLOOKUP(E38,#REF!,6, FALSE()))</f>
        <v>0</v>
      </c>
      <c r="AC38" s="74"/>
      <c r="AD38" s="74"/>
      <c r="AE38" s="74"/>
      <c r="AF38" s="74"/>
      <c r="AG38" s="74"/>
      <c r="AH38" s="74"/>
      <c r="AI38" s="74"/>
      <c r="AJ38" s="389"/>
      <c r="AK38" s="287" t="e">
        <f t="shared" ref="AK38:BO38" si="42">(MID(#REF!, 7,2))</f>
        <v>#REF!</v>
      </c>
      <c r="AL38" s="287" t="e">
        <f t="shared" si="42"/>
        <v>#REF!</v>
      </c>
      <c r="AM38" s="287" t="e">
        <f t="shared" si="42"/>
        <v>#REF!</v>
      </c>
      <c r="AN38" s="287" t="e">
        <f t="shared" si="42"/>
        <v>#REF!</v>
      </c>
      <c r="AO38" s="287" t="e">
        <f t="shared" si="42"/>
        <v>#REF!</v>
      </c>
      <c r="AP38" s="287" t="e">
        <f t="shared" si="42"/>
        <v>#REF!</v>
      </c>
      <c r="AQ38" s="287" t="e">
        <f t="shared" si="42"/>
        <v>#REF!</v>
      </c>
      <c r="AR38" s="287" t="e">
        <f t="shared" si="42"/>
        <v>#REF!</v>
      </c>
      <c r="AS38" s="287" t="e">
        <f t="shared" si="42"/>
        <v>#REF!</v>
      </c>
      <c r="AT38" s="287" t="e">
        <f t="shared" si="42"/>
        <v>#REF!</v>
      </c>
      <c r="AU38" s="287" t="e">
        <f t="shared" si="42"/>
        <v>#REF!</v>
      </c>
      <c r="AV38" s="287" t="e">
        <f t="shared" si="42"/>
        <v>#REF!</v>
      </c>
      <c r="AW38" s="287" t="e">
        <f t="shared" si="42"/>
        <v>#REF!</v>
      </c>
      <c r="AX38" s="287" t="e">
        <f t="shared" si="42"/>
        <v>#REF!</v>
      </c>
      <c r="AY38" s="287" t="e">
        <f t="shared" si="42"/>
        <v>#REF!</v>
      </c>
      <c r="AZ38" s="287" t="e">
        <f t="shared" si="42"/>
        <v>#REF!</v>
      </c>
      <c r="BA38" s="287" t="e">
        <f t="shared" si="42"/>
        <v>#REF!</v>
      </c>
      <c r="BB38" s="287" t="e">
        <f t="shared" si="42"/>
        <v>#REF!</v>
      </c>
      <c r="BC38" s="287" t="e">
        <f t="shared" si="42"/>
        <v>#REF!</v>
      </c>
      <c r="BD38" s="287" t="e">
        <f t="shared" si="42"/>
        <v>#REF!</v>
      </c>
      <c r="BE38" s="287" t="e">
        <f t="shared" si="42"/>
        <v>#REF!</v>
      </c>
      <c r="BF38" s="287" t="e">
        <f t="shared" si="42"/>
        <v>#REF!</v>
      </c>
      <c r="BG38" s="287" t="e">
        <f t="shared" si="42"/>
        <v>#REF!</v>
      </c>
      <c r="BH38" s="287" t="e">
        <f t="shared" si="42"/>
        <v>#REF!</v>
      </c>
      <c r="BI38" s="287" t="e">
        <f t="shared" si="42"/>
        <v>#REF!</v>
      </c>
      <c r="BJ38" s="287" t="e">
        <f t="shared" si="42"/>
        <v>#REF!</v>
      </c>
      <c r="BK38" s="287" t="e">
        <f t="shared" si="42"/>
        <v>#REF!</v>
      </c>
      <c r="BL38" s="287" t="e">
        <f t="shared" si="42"/>
        <v>#REF!</v>
      </c>
      <c r="BM38" s="287" t="e">
        <f t="shared" si="42"/>
        <v>#REF!</v>
      </c>
      <c r="BN38" s="287" t="e">
        <f t="shared" si="42"/>
        <v>#REF!</v>
      </c>
      <c r="BO38" s="287" t="e">
        <f t="shared" si="42"/>
        <v>#REF!</v>
      </c>
    </row>
    <row r="39" spans="1:67" ht="20.25" customHeight="1">
      <c r="A39" s="424" t="s">
        <v>2951</v>
      </c>
      <c r="B39" s="425" t="e">
        <f>SUM(AB33:AB41)</f>
        <v>#REF!</v>
      </c>
      <c r="C39" s="200">
        <v>0</v>
      </c>
      <c r="D39" s="361" t="str">
        <f t="shared" si="35"/>
        <v>R04</v>
      </c>
      <c r="E39" s="74">
        <f t="shared" si="36"/>
        <v>0</v>
      </c>
      <c r="F39" s="337">
        <f>IF(C39=0,,VLOOKUP(E39,#REF!,5, FALSE()))</f>
        <v>0</v>
      </c>
      <c r="G39" s="448"/>
      <c r="H39" s="448"/>
      <c r="I39" s="340"/>
      <c r="J39" s="340"/>
      <c r="K39" s="449"/>
      <c r="L39" s="449"/>
      <c r="M39" s="340"/>
      <c r="N39" s="340"/>
      <c r="O39" s="449"/>
      <c r="P39" s="449"/>
      <c r="Q39" s="340"/>
      <c r="R39" s="340"/>
      <c r="S39" s="449"/>
      <c r="T39" s="449"/>
      <c r="U39" s="340"/>
      <c r="V39" s="340"/>
      <c r="W39" s="480"/>
      <c r="X39" s="382">
        <f>IF(C39=0,,VLOOKUP(E39,#REF!,2, FALSE()))</f>
        <v>0</v>
      </c>
      <c r="Y39" s="384">
        <f>IF(C39=0,,VLOOKUP(E39,#REF!,3, FALSE()))</f>
        <v>0</v>
      </c>
      <c r="Z39" s="385"/>
      <c r="AA39" s="74"/>
      <c r="AB39" s="386">
        <f>IF(C39=0,,VLOOKUP(E39,#REF!,6, FALSE()))</f>
        <v>0</v>
      </c>
      <c r="AC39" s="74"/>
      <c r="AD39" s="74"/>
      <c r="AE39" s="74"/>
      <c r="AF39" s="74"/>
      <c r="AG39" s="74"/>
      <c r="AH39" s="74"/>
      <c r="AI39" s="74"/>
      <c r="AJ39" s="389"/>
      <c r="AK39" s="287" t="e">
        <f t="shared" ref="AK39:BO39" si="43">(MID(#REF!, 7,2))</f>
        <v>#REF!</v>
      </c>
      <c r="AL39" s="287" t="e">
        <f t="shared" si="43"/>
        <v>#REF!</v>
      </c>
      <c r="AM39" s="287" t="e">
        <f t="shared" si="43"/>
        <v>#REF!</v>
      </c>
      <c r="AN39" s="287" t="e">
        <f t="shared" si="43"/>
        <v>#REF!</v>
      </c>
      <c r="AO39" s="287" t="e">
        <f t="shared" si="43"/>
        <v>#REF!</v>
      </c>
      <c r="AP39" s="287" t="e">
        <f t="shared" si="43"/>
        <v>#REF!</v>
      </c>
      <c r="AQ39" s="287" t="e">
        <f t="shared" si="43"/>
        <v>#REF!</v>
      </c>
      <c r="AR39" s="287" t="e">
        <f t="shared" si="43"/>
        <v>#REF!</v>
      </c>
      <c r="AS39" s="287" t="e">
        <f t="shared" si="43"/>
        <v>#REF!</v>
      </c>
      <c r="AT39" s="287" t="e">
        <f t="shared" si="43"/>
        <v>#REF!</v>
      </c>
      <c r="AU39" s="287" t="e">
        <f t="shared" si="43"/>
        <v>#REF!</v>
      </c>
      <c r="AV39" s="287" t="e">
        <f t="shared" si="43"/>
        <v>#REF!</v>
      </c>
      <c r="AW39" s="287" t="e">
        <f t="shared" si="43"/>
        <v>#REF!</v>
      </c>
      <c r="AX39" s="287" t="e">
        <f t="shared" si="43"/>
        <v>#REF!</v>
      </c>
      <c r="AY39" s="287" t="e">
        <f t="shared" si="43"/>
        <v>#REF!</v>
      </c>
      <c r="AZ39" s="287" t="e">
        <f t="shared" si="43"/>
        <v>#REF!</v>
      </c>
      <c r="BA39" s="287" t="e">
        <f t="shared" si="43"/>
        <v>#REF!</v>
      </c>
      <c r="BB39" s="287" t="e">
        <f t="shared" si="43"/>
        <v>#REF!</v>
      </c>
      <c r="BC39" s="287" t="e">
        <f t="shared" si="43"/>
        <v>#REF!</v>
      </c>
      <c r="BD39" s="287" t="e">
        <f t="shared" si="43"/>
        <v>#REF!</v>
      </c>
      <c r="BE39" s="287" t="e">
        <f t="shared" si="43"/>
        <v>#REF!</v>
      </c>
      <c r="BF39" s="287" t="e">
        <f t="shared" si="43"/>
        <v>#REF!</v>
      </c>
      <c r="BG39" s="287" t="e">
        <f t="shared" si="43"/>
        <v>#REF!</v>
      </c>
      <c r="BH39" s="287" t="e">
        <f t="shared" si="43"/>
        <v>#REF!</v>
      </c>
      <c r="BI39" s="287" t="e">
        <f t="shared" si="43"/>
        <v>#REF!</v>
      </c>
      <c r="BJ39" s="287" t="e">
        <f t="shared" si="43"/>
        <v>#REF!</v>
      </c>
      <c r="BK39" s="287" t="e">
        <f t="shared" si="43"/>
        <v>#REF!</v>
      </c>
      <c r="BL39" s="287" t="e">
        <f t="shared" si="43"/>
        <v>#REF!</v>
      </c>
      <c r="BM39" s="287" t="e">
        <f t="shared" si="43"/>
        <v>#REF!</v>
      </c>
      <c r="BN39" s="287" t="e">
        <f t="shared" si="43"/>
        <v>#REF!</v>
      </c>
      <c r="BO39" s="287" t="e">
        <f t="shared" si="43"/>
        <v>#REF!</v>
      </c>
    </row>
    <row r="40" spans="1:67" ht="20.25" customHeight="1">
      <c r="A40" s="424" t="s">
        <v>2952</v>
      </c>
      <c r="B40" s="425">
        <f>SUM(AJ33:AJ41)</f>
        <v>0</v>
      </c>
      <c r="C40" s="200">
        <v>0</v>
      </c>
      <c r="D40" s="361" t="str">
        <f t="shared" si="35"/>
        <v>R04</v>
      </c>
      <c r="E40" s="74">
        <f t="shared" si="36"/>
        <v>0</v>
      </c>
      <c r="F40" s="337">
        <f>IF(C40=0,,VLOOKUP(E40,#REF!,5, FALSE()))</f>
        <v>0</v>
      </c>
      <c r="G40" s="448"/>
      <c r="H40" s="448"/>
      <c r="I40" s="340"/>
      <c r="J40" s="340"/>
      <c r="K40" s="449"/>
      <c r="L40" s="449"/>
      <c r="M40" s="340"/>
      <c r="N40" s="340"/>
      <c r="O40" s="449"/>
      <c r="P40" s="449"/>
      <c r="Q40" s="340"/>
      <c r="R40" s="340"/>
      <c r="S40" s="449"/>
      <c r="T40" s="449"/>
      <c r="U40" s="340"/>
      <c r="V40" s="340"/>
      <c r="W40" s="480"/>
      <c r="X40" s="382">
        <f>IF(C40=0,,VLOOKUP(E40,#REF!,2, FALSE()))</f>
        <v>0</v>
      </c>
      <c r="Y40" s="384">
        <f>IF(C40=0,,VLOOKUP(E40,#REF!,3, FALSE()))</f>
        <v>0</v>
      </c>
      <c r="Z40" s="385"/>
      <c r="AA40" s="74"/>
      <c r="AB40" s="386">
        <f>IF(C40=0,,VLOOKUP(E40,#REF!,6, FALSE()))</f>
        <v>0</v>
      </c>
      <c r="AC40" s="74"/>
      <c r="AD40" s="74"/>
      <c r="AE40" s="74"/>
      <c r="AF40" s="74"/>
      <c r="AG40" s="74"/>
      <c r="AH40" s="74"/>
      <c r="AI40" s="74"/>
      <c r="AJ40" s="389"/>
      <c r="AK40" s="287" t="e">
        <f t="shared" ref="AK40:BO40" si="44">(MID(#REF!, 7,2))</f>
        <v>#REF!</v>
      </c>
      <c r="AL40" s="287" t="e">
        <f t="shared" si="44"/>
        <v>#REF!</v>
      </c>
      <c r="AM40" s="287" t="e">
        <f t="shared" si="44"/>
        <v>#REF!</v>
      </c>
      <c r="AN40" s="287" t="e">
        <f t="shared" si="44"/>
        <v>#REF!</v>
      </c>
      <c r="AO40" s="287" t="e">
        <f t="shared" si="44"/>
        <v>#REF!</v>
      </c>
      <c r="AP40" s="287" t="e">
        <f t="shared" si="44"/>
        <v>#REF!</v>
      </c>
      <c r="AQ40" s="287" t="e">
        <f t="shared" si="44"/>
        <v>#REF!</v>
      </c>
      <c r="AR40" s="287" t="e">
        <f t="shared" si="44"/>
        <v>#REF!</v>
      </c>
      <c r="AS40" s="287" t="e">
        <f t="shared" si="44"/>
        <v>#REF!</v>
      </c>
      <c r="AT40" s="287" t="e">
        <f t="shared" si="44"/>
        <v>#REF!</v>
      </c>
      <c r="AU40" s="287" t="e">
        <f t="shared" si="44"/>
        <v>#REF!</v>
      </c>
      <c r="AV40" s="287" t="e">
        <f t="shared" si="44"/>
        <v>#REF!</v>
      </c>
      <c r="AW40" s="287" t="e">
        <f t="shared" si="44"/>
        <v>#REF!</v>
      </c>
      <c r="AX40" s="287" t="e">
        <f t="shared" si="44"/>
        <v>#REF!</v>
      </c>
      <c r="AY40" s="287" t="e">
        <f t="shared" si="44"/>
        <v>#REF!</v>
      </c>
      <c r="AZ40" s="287" t="e">
        <f t="shared" si="44"/>
        <v>#REF!</v>
      </c>
      <c r="BA40" s="287" t="e">
        <f t="shared" si="44"/>
        <v>#REF!</v>
      </c>
      <c r="BB40" s="287" t="e">
        <f t="shared" si="44"/>
        <v>#REF!</v>
      </c>
      <c r="BC40" s="287" t="e">
        <f t="shared" si="44"/>
        <v>#REF!</v>
      </c>
      <c r="BD40" s="287" t="e">
        <f t="shared" si="44"/>
        <v>#REF!</v>
      </c>
      <c r="BE40" s="287" t="e">
        <f t="shared" si="44"/>
        <v>#REF!</v>
      </c>
      <c r="BF40" s="287" t="e">
        <f t="shared" si="44"/>
        <v>#REF!</v>
      </c>
      <c r="BG40" s="287" t="e">
        <f t="shared" si="44"/>
        <v>#REF!</v>
      </c>
      <c r="BH40" s="287" t="e">
        <f t="shared" si="44"/>
        <v>#REF!</v>
      </c>
      <c r="BI40" s="287" t="e">
        <f t="shared" si="44"/>
        <v>#REF!</v>
      </c>
      <c r="BJ40" s="287" t="e">
        <f t="shared" si="44"/>
        <v>#REF!</v>
      </c>
      <c r="BK40" s="287" t="e">
        <f t="shared" si="44"/>
        <v>#REF!</v>
      </c>
      <c r="BL40" s="287" t="e">
        <f t="shared" si="44"/>
        <v>#REF!</v>
      </c>
      <c r="BM40" s="287" t="e">
        <f t="shared" si="44"/>
        <v>#REF!</v>
      </c>
      <c r="BN40" s="287" t="e">
        <f t="shared" si="44"/>
        <v>#REF!</v>
      </c>
      <c r="BO40" s="287" t="e">
        <f t="shared" si="44"/>
        <v>#REF!</v>
      </c>
    </row>
    <row r="41" spans="1:67" ht="20.25" customHeight="1">
      <c r="A41" s="443" t="s">
        <v>2953</v>
      </c>
      <c r="B41" s="444" t="e">
        <f>B38-B39-B40</f>
        <v>#REF!</v>
      </c>
      <c r="C41" s="200">
        <v>0</v>
      </c>
      <c r="D41" s="361" t="str">
        <f t="shared" si="35"/>
        <v>R04</v>
      </c>
      <c r="E41" s="74">
        <f t="shared" si="36"/>
        <v>0</v>
      </c>
      <c r="F41" s="337">
        <f>IF(C41=0,,VLOOKUP(E41,#REF!,5, FALSE()))</f>
        <v>0</v>
      </c>
      <c r="G41" s="448"/>
      <c r="H41" s="448"/>
      <c r="I41" s="340"/>
      <c r="J41" s="340"/>
      <c r="K41" s="449"/>
      <c r="L41" s="449"/>
      <c r="M41" s="340"/>
      <c r="N41" s="340"/>
      <c r="O41" s="449"/>
      <c r="P41" s="449"/>
      <c r="Q41" s="340"/>
      <c r="R41" s="340"/>
      <c r="S41" s="449"/>
      <c r="T41" s="449"/>
      <c r="U41" s="340"/>
      <c r="V41" s="340"/>
      <c r="W41" s="481"/>
      <c r="X41" s="382">
        <f>IF(C41=0,,VLOOKUP(E41,#REF!,2, FALSE()))</f>
        <v>0</v>
      </c>
      <c r="Y41" s="384">
        <f>IF(C41=0,,VLOOKUP(E41,#REF!,3, FALSE()))</f>
        <v>0</v>
      </c>
      <c r="Z41" s="385"/>
      <c r="AA41" s="74"/>
      <c r="AB41" s="386">
        <f>IF(C41=0,,VLOOKUP(E41,#REF!,6, FALSE()))</f>
        <v>0</v>
      </c>
      <c r="AC41" s="74"/>
      <c r="AD41" s="74"/>
      <c r="AE41" s="74"/>
      <c r="AF41" s="74"/>
      <c r="AG41" s="74"/>
      <c r="AH41" s="74"/>
      <c r="AI41" s="74"/>
      <c r="AJ41" s="389"/>
      <c r="AK41" s="287" t="e">
        <f t="shared" ref="AK41:BO41" si="45">(MID(#REF!, 7,2))</f>
        <v>#REF!</v>
      </c>
      <c r="AL41" s="287" t="e">
        <f t="shared" si="45"/>
        <v>#REF!</v>
      </c>
      <c r="AM41" s="287" t="e">
        <f t="shared" si="45"/>
        <v>#REF!</v>
      </c>
      <c r="AN41" s="287" t="e">
        <f t="shared" si="45"/>
        <v>#REF!</v>
      </c>
      <c r="AO41" s="287" t="e">
        <f t="shared" si="45"/>
        <v>#REF!</v>
      </c>
      <c r="AP41" s="287" t="e">
        <f t="shared" si="45"/>
        <v>#REF!</v>
      </c>
      <c r="AQ41" s="287" t="e">
        <f t="shared" si="45"/>
        <v>#REF!</v>
      </c>
      <c r="AR41" s="287" t="e">
        <f t="shared" si="45"/>
        <v>#REF!</v>
      </c>
      <c r="AS41" s="287" t="e">
        <f t="shared" si="45"/>
        <v>#REF!</v>
      </c>
      <c r="AT41" s="287" t="e">
        <f t="shared" si="45"/>
        <v>#REF!</v>
      </c>
      <c r="AU41" s="287" t="e">
        <f t="shared" si="45"/>
        <v>#REF!</v>
      </c>
      <c r="AV41" s="287" t="e">
        <f t="shared" si="45"/>
        <v>#REF!</v>
      </c>
      <c r="AW41" s="287" t="e">
        <f t="shared" si="45"/>
        <v>#REF!</v>
      </c>
      <c r="AX41" s="287" t="e">
        <f t="shared" si="45"/>
        <v>#REF!</v>
      </c>
      <c r="AY41" s="287" t="e">
        <f t="shared" si="45"/>
        <v>#REF!</v>
      </c>
      <c r="AZ41" s="287" t="e">
        <f t="shared" si="45"/>
        <v>#REF!</v>
      </c>
      <c r="BA41" s="287" t="e">
        <f t="shared" si="45"/>
        <v>#REF!</v>
      </c>
      <c r="BB41" s="287" t="e">
        <f t="shared" si="45"/>
        <v>#REF!</v>
      </c>
      <c r="BC41" s="287" t="e">
        <f t="shared" si="45"/>
        <v>#REF!</v>
      </c>
      <c r="BD41" s="287" t="e">
        <f t="shared" si="45"/>
        <v>#REF!</v>
      </c>
      <c r="BE41" s="287" t="e">
        <f t="shared" si="45"/>
        <v>#REF!</v>
      </c>
      <c r="BF41" s="287" t="e">
        <f t="shared" si="45"/>
        <v>#REF!</v>
      </c>
      <c r="BG41" s="287" t="e">
        <f t="shared" si="45"/>
        <v>#REF!</v>
      </c>
      <c r="BH41" s="287" t="e">
        <f t="shared" si="45"/>
        <v>#REF!</v>
      </c>
      <c r="BI41" s="287" t="e">
        <f t="shared" si="45"/>
        <v>#REF!</v>
      </c>
      <c r="BJ41" s="287" t="e">
        <f t="shared" si="45"/>
        <v>#REF!</v>
      </c>
      <c r="BK41" s="287" t="e">
        <f t="shared" si="45"/>
        <v>#REF!</v>
      </c>
      <c r="BL41" s="287" t="e">
        <f t="shared" si="45"/>
        <v>#REF!</v>
      </c>
      <c r="BM41" s="287" t="e">
        <f t="shared" si="45"/>
        <v>#REF!</v>
      </c>
      <c r="BN41" s="287" t="e">
        <f t="shared" si="45"/>
        <v>#REF!</v>
      </c>
      <c r="BO41" s="287" t="e">
        <f t="shared" si="45"/>
        <v>#REF!</v>
      </c>
    </row>
    <row r="42" spans="1:67" ht="3.75" customHeight="1">
      <c r="F42" s="79">
        <f>IF(C42=0,,VLOOKUP(E42,#REF!,5, FALSE()))</f>
        <v>0</v>
      </c>
      <c r="G42" s="446"/>
      <c r="H42" s="446"/>
      <c r="I42" s="285"/>
      <c r="J42" s="285"/>
      <c r="K42" s="346"/>
      <c r="L42" s="346"/>
      <c r="M42" s="285"/>
      <c r="N42" s="285"/>
      <c r="O42" s="346"/>
      <c r="P42" s="346"/>
      <c r="Q42" s="285"/>
      <c r="R42" s="285"/>
      <c r="S42" s="346"/>
      <c r="T42" s="346"/>
      <c r="U42" s="285"/>
      <c r="V42" s="285"/>
      <c r="Y42" s="447"/>
      <c r="AK42" s="346"/>
      <c r="AL42" s="346"/>
      <c r="AM42" s="346"/>
      <c r="AN42" s="346"/>
      <c r="AO42" s="346"/>
      <c r="AP42" s="346"/>
      <c r="AQ42" s="346"/>
      <c r="AR42" s="346"/>
      <c r="AS42" s="346"/>
      <c r="AT42" s="346"/>
      <c r="AU42" s="346"/>
      <c r="AV42" s="346"/>
      <c r="AW42" s="346"/>
      <c r="AX42" s="346"/>
      <c r="AY42" s="346"/>
      <c r="AZ42" s="346"/>
      <c r="BA42" s="346"/>
      <c r="BB42" s="346"/>
      <c r="BC42" s="346"/>
      <c r="BD42" s="346"/>
      <c r="BE42" s="346"/>
      <c r="BF42" s="346"/>
      <c r="BG42" s="346"/>
      <c r="BH42" s="346"/>
      <c r="BI42" s="346"/>
      <c r="BJ42" s="346"/>
      <c r="BK42" s="346"/>
      <c r="BL42" s="346"/>
      <c r="BM42" s="346"/>
      <c r="BN42" s="346"/>
      <c r="BO42" s="346"/>
    </row>
    <row r="43" spans="1:67" ht="20.25" customHeight="1">
      <c r="A43" s="200" t="s">
        <v>2459</v>
      </c>
      <c r="B43" s="217" t="s">
        <v>257</v>
      </c>
      <c r="C43" s="200">
        <v>1</v>
      </c>
      <c r="D43" s="361" t="str">
        <f t="shared" ref="D43:D51" si="46">$B$43</f>
        <v>R05</v>
      </c>
      <c r="E43" s="74" t="str">
        <f t="shared" ref="E43:E51" si="47">IF(C43=0,,CONCATENATE(D43,"/",C43))</f>
        <v>R05/1</v>
      </c>
      <c r="F43" s="337" t="e">
        <f>IF(C43=0,,VLOOKUP(E43,#REF!,5, FALSE()))</f>
        <v>#REF!</v>
      </c>
      <c r="G43" s="448"/>
      <c r="H43" s="448"/>
      <c r="I43" s="340"/>
      <c r="J43" s="340"/>
      <c r="K43" s="449"/>
      <c r="L43" s="449"/>
      <c r="M43" s="340"/>
      <c r="N43" s="340"/>
      <c r="O43" s="449"/>
      <c r="P43" s="449"/>
      <c r="Q43" s="340"/>
      <c r="R43" s="340"/>
      <c r="S43" s="449"/>
      <c r="T43" s="449"/>
      <c r="U43" s="340"/>
      <c r="V43" s="340"/>
      <c r="W43" s="563" t="e">
        <f>CONCATENATE(F43," + ",F44," + ",F45," + ",F46," + ",F47," + ",F48," + ",F49," + ",F50," + ",F51)</f>
        <v>#REF!</v>
      </c>
      <c r="X43" s="382" t="e">
        <f>IF(C43=0,,VLOOKUP(E43,#REF!,2, FALSE()))</f>
        <v>#REF!</v>
      </c>
      <c r="Y43" s="384" t="e">
        <f>IF(C43=0,,VLOOKUP(E43,#REF!,3, FALSE()))</f>
        <v>#REF!</v>
      </c>
      <c r="Z43" s="385" t="e">
        <f>VLOOKUP(Y43,#REF!,6, FALSE())</f>
        <v>#REF!</v>
      </c>
      <c r="AA43" s="74" t="str">
        <f>$B45</f>
        <v>Cesta Gd</v>
      </c>
      <c r="AB43" s="386" t="e">
        <f>IF(C43=0,,VLOOKUP(E43,#REF!,6, FALSE()))</f>
        <v>#REF!</v>
      </c>
      <c r="AC43" s="74"/>
      <c r="AD43" s="74">
        <f>$B46</f>
        <v>12</v>
      </c>
      <c r="AE43" s="74"/>
      <c r="AF43" s="450">
        <f>$B47</f>
        <v>0</v>
      </c>
      <c r="AG43" s="74"/>
      <c r="AH43" s="450" t="e">
        <f>$B49</f>
        <v>#REF!</v>
      </c>
      <c r="AI43" s="450" t="e">
        <f>B49+B50</f>
        <v>#REF!</v>
      </c>
      <c r="AJ43" s="389">
        <v>6.9444444444444448E-2</v>
      </c>
      <c r="AK43" s="287" t="e">
        <f t="shared" ref="AK43:BO43" si="48">(MID(#REF!, 7,2))</f>
        <v>#REF!</v>
      </c>
      <c r="AL43" s="287" t="e">
        <f t="shared" si="48"/>
        <v>#REF!</v>
      </c>
      <c r="AM43" s="287" t="e">
        <f t="shared" si="48"/>
        <v>#REF!</v>
      </c>
      <c r="AN43" s="287" t="e">
        <f t="shared" si="48"/>
        <v>#REF!</v>
      </c>
      <c r="AO43" s="287" t="e">
        <f t="shared" si="48"/>
        <v>#REF!</v>
      </c>
      <c r="AP43" s="287" t="e">
        <f t="shared" si="48"/>
        <v>#REF!</v>
      </c>
      <c r="AQ43" s="287" t="e">
        <f t="shared" si="48"/>
        <v>#REF!</v>
      </c>
      <c r="AR43" s="287" t="e">
        <f t="shared" si="48"/>
        <v>#REF!</v>
      </c>
      <c r="AS43" s="287" t="e">
        <f t="shared" si="48"/>
        <v>#REF!</v>
      </c>
      <c r="AT43" s="287" t="e">
        <f t="shared" si="48"/>
        <v>#REF!</v>
      </c>
      <c r="AU43" s="287" t="e">
        <f t="shared" si="48"/>
        <v>#REF!</v>
      </c>
      <c r="AV43" s="287" t="e">
        <f t="shared" si="48"/>
        <v>#REF!</v>
      </c>
      <c r="AW43" s="287" t="e">
        <f t="shared" si="48"/>
        <v>#REF!</v>
      </c>
      <c r="AX43" s="287" t="e">
        <f t="shared" si="48"/>
        <v>#REF!</v>
      </c>
      <c r="AY43" s="287" t="e">
        <f t="shared" si="48"/>
        <v>#REF!</v>
      </c>
      <c r="AZ43" s="287" t="e">
        <f t="shared" si="48"/>
        <v>#REF!</v>
      </c>
      <c r="BA43" s="287" t="e">
        <f t="shared" si="48"/>
        <v>#REF!</v>
      </c>
      <c r="BB43" s="287" t="e">
        <f t="shared" si="48"/>
        <v>#REF!</v>
      </c>
      <c r="BC43" s="287" t="e">
        <f t="shared" si="48"/>
        <v>#REF!</v>
      </c>
      <c r="BD43" s="287" t="e">
        <f t="shared" si="48"/>
        <v>#REF!</v>
      </c>
      <c r="BE43" s="287" t="e">
        <f t="shared" si="48"/>
        <v>#REF!</v>
      </c>
      <c r="BF43" s="287" t="e">
        <f t="shared" si="48"/>
        <v>#REF!</v>
      </c>
      <c r="BG43" s="287" t="e">
        <f t="shared" si="48"/>
        <v>#REF!</v>
      </c>
      <c r="BH43" s="287" t="e">
        <f t="shared" si="48"/>
        <v>#REF!</v>
      </c>
      <c r="BI43" s="287" t="e">
        <f t="shared" si="48"/>
        <v>#REF!</v>
      </c>
      <c r="BJ43" s="287" t="e">
        <f t="shared" si="48"/>
        <v>#REF!</v>
      </c>
      <c r="BK43" s="287" t="e">
        <f t="shared" si="48"/>
        <v>#REF!</v>
      </c>
      <c r="BL43" s="287" t="e">
        <f t="shared" si="48"/>
        <v>#REF!</v>
      </c>
      <c r="BM43" s="287" t="e">
        <f t="shared" si="48"/>
        <v>#REF!</v>
      </c>
      <c r="BN43" s="287" t="e">
        <f t="shared" si="48"/>
        <v>#REF!</v>
      </c>
      <c r="BO43" s="287" t="e">
        <f t="shared" si="48"/>
        <v>#REF!</v>
      </c>
    </row>
    <row r="44" spans="1:67" ht="20.25" customHeight="1">
      <c r="A44" s="562" t="e">
        <f>Y43</f>
        <v>#REF!</v>
      </c>
      <c r="B44" s="499"/>
      <c r="C44" s="200">
        <v>2</v>
      </c>
      <c r="D44" s="361" t="str">
        <f t="shared" si="46"/>
        <v>R05</v>
      </c>
      <c r="E44" s="74" t="str">
        <f t="shared" si="47"/>
        <v>R05/2</v>
      </c>
      <c r="F44" s="337" t="e">
        <f>IF(C44=0,,VLOOKUP(E44,#REF!,5, FALSE()))</f>
        <v>#REF!</v>
      </c>
      <c r="G44" s="448"/>
      <c r="H44" s="448"/>
      <c r="I44" s="340"/>
      <c r="J44" s="340"/>
      <c r="K44" s="449"/>
      <c r="L44" s="449"/>
      <c r="M44" s="340"/>
      <c r="N44" s="340"/>
      <c r="O44" s="449"/>
      <c r="P44" s="449"/>
      <c r="Q44" s="340"/>
      <c r="R44" s="340"/>
      <c r="S44" s="449"/>
      <c r="T44" s="449"/>
      <c r="U44" s="340"/>
      <c r="V44" s="340"/>
      <c r="W44" s="480"/>
      <c r="X44" s="382" t="e">
        <f>IF(C44=0,,VLOOKUP(E44,#REF!,2, FALSE()))</f>
        <v>#REF!</v>
      </c>
      <c r="Y44" s="384" t="e">
        <f>IF(C44=0,,VLOOKUP(E44,#REF!,3, FALSE()))</f>
        <v>#REF!</v>
      </c>
      <c r="Z44" s="385"/>
      <c r="AA44" s="74"/>
      <c r="AB44" s="386" t="e">
        <f>IF(C44=0,,VLOOKUP(E44,#REF!,6, FALSE()))</f>
        <v>#REF!</v>
      </c>
      <c r="AC44" s="74"/>
      <c r="AD44" s="74"/>
      <c r="AE44" s="74"/>
      <c r="AF44" s="74"/>
      <c r="AG44" s="74"/>
      <c r="AH44" s="74"/>
      <c r="AI44" s="74"/>
      <c r="AJ44" s="389"/>
      <c r="AK44" s="287" t="e">
        <f t="shared" ref="AK44:BO44" si="49">(MID(#REF!, 7,2))</f>
        <v>#REF!</v>
      </c>
      <c r="AL44" s="287" t="e">
        <f t="shared" si="49"/>
        <v>#REF!</v>
      </c>
      <c r="AM44" s="287" t="e">
        <f t="shared" si="49"/>
        <v>#REF!</v>
      </c>
      <c r="AN44" s="287" t="e">
        <f t="shared" si="49"/>
        <v>#REF!</v>
      </c>
      <c r="AO44" s="287" t="e">
        <f t="shared" si="49"/>
        <v>#REF!</v>
      </c>
      <c r="AP44" s="287" t="e">
        <f t="shared" si="49"/>
        <v>#REF!</v>
      </c>
      <c r="AQ44" s="287" t="e">
        <f t="shared" si="49"/>
        <v>#REF!</v>
      </c>
      <c r="AR44" s="287" t="e">
        <f t="shared" si="49"/>
        <v>#REF!</v>
      </c>
      <c r="AS44" s="287" t="e">
        <f t="shared" si="49"/>
        <v>#REF!</v>
      </c>
      <c r="AT44" s="287" t="e">
        <f t="shared" si="49"/>
        <v>#REF!</v>
      </c>
      <c r="AU44" s="287" t="e">
        <f t="shared" si="49"/>
        <v>#REF!</v>
      </c>
      <c r="AV44" s="287" t="e">
        <f t="shared" si="49"/>
        <v>#REF!</v>
      </c>
      <c r="AW44" s="287" t="e">
        <f t="shared" si="49"/>
        <v>#REF!</v>
      </c>
      <c r="AX44" s="287" t="e">
        <f t="shared" si="49"/>
        <v>#REF!</v>
      </c>
      <c r="AY44" s="287" t="e">
        <f t="shared" si="49"/>
        <v>#REF!</v>
      </c>
      <c r="AZ44" s="287" t="e">
        <f t="shared" si="49"/>
        <v>#REF!</v>
      </c>
      <c r="BA44" s="287" t="e">
        <f t="shared" si="49"/>
        <v>#REF!</v>
      </c>
      <c r="BB44" s="287" t="e">
        <f t="shared" si="49"/>
        <v>#REF!</v>
      </c>
      <c r="BC44" s="287" t="e">
        <f t="shared" si="49"/>
        <v>#REF!</v>
      </c>
      <c r="BD44" s="287" t="e">
        <f t="shared" si="49"/>
        <v>#REF!</v>
      </c>
      <c r="BE44" s="287" t="e">
        <f t="shared" si="49"/>
        <v>#REF!</v>
      </c>
      <c r="BF44" s="287" t="e">
        <f t="shared" si="49"/>
        <v>#REF!</v>
      </c>
      <c r="BG44" s="287" t="e">
        <f t="shared" si="49"/>
        <v>#REF!</v>
      </c>
      <c r="BH44" s="287" t="e">
        <f t="shared" si="49"/>
        <v>#REF!</v>
      </c>
      <c r="BI44" s="287" t="e">
        <f t="shared" si="49"/>
        <v>#REF!</v>
      </c>
      <c r="BJ44" s="287" t="e">
        <f t="shared" si="49"/>
        <v>#REF!</v>
      </c>
      <c r="BK44" s="287" t="e">
        <f t="shared" si="49"/>
        <v>#REF!</v>
      </c>
      <c r="BL44" s="287" t="e">
        <f t="shared" si="49"/>
        <v>#REF!</v>
      </c>
      <c r="BM44" s="287" t="e">
        <f t="shared" si="49"/>
        <v>#REF!</v>
      </c>
      <c r="BN44" s="287" t="e">
        <f t="shared" si="49"/>
        <v>#REF!</v>
      </c>
      <c r="BO44" s="287" t="e">
        <f t="shared" si="49"/>
        <v>#REF!</v>
      </c>
    </row>
    <row r="45" spans="1:67" ht="20.25" customHeight="1">
      <c r="A45" s="402" t="s">
        <v>2896</v>
      </c>
      <c r="B45" s="19" t="s">
        <v>21</v>
      </c>
      <c r="C45" s="200">
        <v>3</v>
      </c>
      <c r="D45" s="361" t="str">
        <f t="shared" si="46"/>
        <v>R05</v>
      </c>
      <c r="E45" s="74" t="str">
        <f t="shared" si="47"/>
        <v>R05/3</v>
      </c>
      <c r="F45" s="337" t="s">
        <v>3009</v>
      </c>
      <c r="G45" s="448"/>
      <c r="H45" s="448"/>
      <c r="I45" s="340"/>
      <c r="J45" s="340"/>
      <c r="K45" s="449"/>
      <c r="L45" s="449"/>
      <c r="M45" s="340"/>
      <c r="N45" s="340"/>
      <c r="O45" s="449"/>
      <c r="P45" s="449"/>
      <c r="Q45" s="340"/>
      <c r="R45" s="340"/>
      <c r="S45" s="449"/>
      <c r="T45" s="449"/>
      <c r="U45" s="340"/>
      <c r="V45" s="340"/>
      <c r="W45" s="480"/>
      <c r="X45" s="382" t="e">
        <f>IF(C45=0,,VLOOKUP(E45,#REF!,2, FALSE()))</f>
        <v>#REF!</v>
      </c>
      <c r="Y45" s="384" t="e">
        <f>IF(C45=0,,VLOOKUP(E45,#REF!,3, FALSE()))</f>
        <v>#REF!</v>
      </c>
      <c r="Z45" s="385"/>
      <c r="AA45" s="74"/>
      <c r="AB45" s="386" t="e">
        <f>IF(C45=0,,VLOOKUP(E45,#REF!,6, FALSE()))</f>
        <v>#REF!</v>
      </c>
      <c r="AC45" s="74"/>
      <c r="AD45" s="74"/>
      <c r="AE45" s="74"/>
      <c r="AF45" s="74"/>
      <c r="AG45" s="74"/>
      <c r="AH45" s="74"/>
      <c r="AI45" s="74"/>
      <c r="AJ45" s="389"/>
      <c r="AK45" s="287" t="e">
        <f t="shared" ref="AK45:BO45" si="50">(MID(#REF!, 7,2))</f>
        <v>#REF!</v>
      </c>
      <c r="AL45" s="287" t="e">
        <f t="shared" si="50"/>
        <v>#REF!</v>
      </c>
      <c r="AM45" s="287" t="e">
        <f t="shared" si="50"/>
        <v>#REF!</v>
      </c>
      <c r="AN45" s="287" t="e">
        <f t="shared" si="50"/>
        <v>#REF!</v>
      </c>
      <c r="AO45" s="287" t="e">
        <f t="shared" si="50"/>
        <v>#REF!</v>
      </c>
      <c r="AP45" s="287" t="e">
        <f t="shared" si="50"/>
        <v>#REF!</v>
      </c>
      <c r="AQ45" s="287" t="e">
        <f t="shared" si="50"/>
        <v>#REF!</v>
      </c>
      <c r="AR45" s="287" t="e">
        <f t="shared" si="50"/>
        <v>#REF!</v>
      </c>
      <c r="AS45" s="287" t="e">
        <f t="shared" si="50"/>
        <v>#REF!</v>
      </c>
      <c r="AT45" s="287" t="e">
        <f t="shared" si="50"/>
        <v>#REF!</v>
      </c>
      <c r="AU45" s="287" t="e">
        <f t="shared" si="50"/>
        <v>#REF!</v>
      </c>
      <c r="AV45" s="287" t="e">
        <f t="shared" si="50"/>
        <v>#REF!</v>
      </c>
      <c r="AW45" s="287" t="e">
        <f t="shared" si="50"/>
        <v>#REF!</v>
      </c>
      <c r="AX45" s="287" t="e">
        <f t="shared" si="50"/>
        <v>#REF!</v>
      </c>
      <c r="AY45" s="287" t="e">
        <f t="shared" si="50"/>
        <v>#REF!</v>
      </c>
      <c r="AZ45" s="287" t="e">
        <f t="shared" si="50"/>
        <v>#REF!</v>
      </c>
      <c r="BA45" s="287" t="e">
        <f t="shared" si="50"/>
        <v>#REF!</v>
      </c>
      <c r="BB45" s="287" t="e">
        <f t="shared" si="50"/>
        <v>#REF!</v>
      </c>
      <c r="BC45" s="287" t="e">
        <f t="shared" si="50"/>
        <v>#REF!</v>
      </c>
      <c r="BD45" s="287" t="e">
        <f t="shared" si="50"/>
        <v>#REF!</v>
      </c>
      <c r="BE45" s="287" t="e">
        <f t="shared" si="50"/>
        <v>#REF!</v>
      </c>
      <c r="BF45" s="287" t="e">
        <f t="shared" si="50"/>
        <v>#REF!</v>
      </c>
      <c r="BG45" s="287" t="e">
        <f t="shared" si="50"/>
        <v>#REF!</v>
      </c>
      <c r="BH45" s="287" t="e">
        <f t="shared" si="50"/>
        <v>#REF!</v>
      </c>
      <c r="BI45" s="287" t="e">
        <f t="shared" si="50"/>
        <v>#REF!</v>
      </c>
      <c r="BJ45" s="287" t="e">
        <f t="shared" si="50"/>
        <v>#REF!</v>
      </c>
      <c r="BK45" s="287" t="e">
        <f t="shared" si="50"/>
        <v>#REF!</v>
      </c>
      <c r="BL45" s="287" t="e">
        <f t="shared" si="50"/>
        <v>#REF!</v>
      </c>
      <c r="BM45" s="287" t="e">
        <f t="shared" si="50"/>
        <v>#REF!</v>
      </c>
      <c r="BN45" s="287" t="e">
        <f t="shared" si="50"/>
        <v>#REF!</v>
      </c>
      <c r="BO45" s="287" t="e">
        <f t="shared" si="50"/>
        <v>#REF!</v>
      </c>
    </row>
    <row r="46" spans="1:67" ht="20.25" customHeight="1">
      <c r="A46" s="409" t="s">
        <v>2921</v>
      </c>
      <c r="B46" s="410">
        <v>12</v>
      </c>
      <c r="C46" s="200">
        <v>4</v>
      </c>
      <c r="D46" s="361" t="str">
        <f t="shared" si="46"/>
        <v>R05</v>
      </c>
      <c r="E46" s="74" t="str">
        <f t="shared" si="47"/>
        <v>R05/4</v>
      </c>
      <c r="F46" s="337" t="e">
        <f>IF(C46=0,,VLOOKUP(E46,#REF!,5, FALSE()))</f>
        <v>#REF!</v>
      </c>
      <c r="G46" s="448"/>
      <c r="H46" s="448"/>
      <c r="I46" s="340"/>
      <c r="J46" s="340"/>
      <c r="K46" s="449"/>
      <c r="L46" s="449"/>
      <c r="M46" s="340"/>
      <c r="N46" s="340"/>
      <c r="O46" s="449"/>
      <c r="P46" s="449"/>
      <c r="Q46" s="340"/>
      <c r="R46" s="340"/>
      <c r="S46" s="449"/>
      <c r="T46" s="449"/>
      <c r="U46" s="340"/>
      <c r="V46" s="340"/>
      <c r="W46" s="480"/>
      <c r="X46" s="382" t="e">
        <f>IF(C46=0,,VLOOKUP(E46,#REF!,2, FALSE()))</f>
        <v>#REF!</v>
      </c>
      <c r="Y46" s="384" t="e">
        <f>IF(C46=0,,VLOOKUP(E46,#REF!,3, FALSE()))</f>
        <v>#REF!</v>
      </c>
      <c r="Z46" s="385"/>
      <c r="AA46" s="74"/>
      <c r="AB46" s="386" t="e">
        <f>IF(C46=0,,VLOOKUP(E46,#REF!,6, FALSE()))</f>
        <v>#REF!</v>
      </c>
      <c r="AC46" s="74"/>
      <c r="AD46" s="74"/>
      <c r="AE46" s="74"/>
      <c r="AF46" s="74"/>
      <c r="AG46" s="74"/>
      <c r="AH46" s="74"/>
      <c r="AI46" s="74"/>
      <c r="AJ46" s="422"/>
      <c r="AK46" s="287" t="e">
        <f t="shared" ref="AK46:BO46" si="51">(MID(#REF!, 7,2))</f>
        <v>#REF!</v>
      </c>
      <c r="AL46" s="287" t="e">
        <f t="shared" si="51"/>
        <v>#REF!</v>
      </c>
      <c r="AM46" s="287" t="e">
        <f t="shared" si="51"/>
        <v>#REF!</v>
      </c>
      <c r="AN46" s="287" t="e">
        <f t="shared" si="51"/>
        <v>#REF!</v>
      </c>
      <c r="AO46" s="287" t="e">
        <f t="shared" si="51"/>
        <v>#REF!</v>
      </c>
      <c r="AP46" s="287" t="e">
        <f t="shared" si="51"/>
        <v>#REF!</v>
      </c>
      <c r="AQ46" s="287" t="e">
        <f t="shared" si="51"/>
        <v>#REF!</v>
      </c>
      <c r="AR46" s="287" t="e">
        <f t="shared" si="51"/>
        <v>#REF!</v>
      </c>
      <c r="AS46" s="287" t="e">
        <f t="shared" si="51"/>
        <v>#REF!</v>
      </c>
      <c r="AT46" s="287" t="e">
        <f t="shared" si="51"/>
        <v>#REF!</v>
      </c>
      <c r="AU46" s="287" t="e">
        <f t="shared" si="51"/>
        <v>#REF!</v>
      </c>
      <c r="AV46" s="287" t="e">
        <f t="shared" si="51"/>
        <v>#REF!</v>
      </c>
      <c r="AW46" s="287" t="e">
        <f t="shared" si="51"/>
        <v>#REF!</v>
      </c>
      <c r="AX46" s="287" t="e">
        <f t="shared" si="51"/>
        <v>#REF!</v>
      </c>
      <c r="AY46" s="287" t="e">
        <f t="shared" si="51"/>
        <v>#REF!</v>
      </c>
      <c r="AZ46" s="287" t="e">
        <f t="shared" si="51"/>
        <v>#REF!</v>
      </c>
      <c r="BA46" s="287" t="e">
        <f t="shared" si="51"/>
        <v>#REF!</v>
      </c>
      <c r="BB46" s="287" t="e">
        <f t="shared" si="51"/>
        <v>#REF!</v>
      </c>
      <c r="BC46" s="287" t="e">
        <f t="shared" si="51"/>
        <v>#REF!</v>
      </c>
      <c r="BD46" s="287" t="e">
        <f t="shared" si="51"/>
        <v>#REF!</v>
      </c>
      <c r="BE46" s="287" t="e">
        <f t="shared" si="51"/>
        <v>#REF!</v>
      </c>
      <c r="BF46" s="287" t="e">
        <f t="shared" si="51"/>
        <v>#REF!</v>
      </c>
      <c r="BG46" s="287" t="e">
        <f t="shared" si="51"/>
        <v>#REF!</v>
      </c>
      <c r="BH46" s="287" t="e">
        <f t="shared" si="51"/>
        <v>#REF!</v>
      </c>
      <c r="BI46" s="287" t="e">
        <f t="shared" si="51"/>
        <v>#REF!</v>
      </c>
      <c r="BJ46" s="287" t="e">
        <f t="shared" si="51"/>
        <v>#REF!</v>
      </c>
      <c r="BK46" s="287" t="e">
        <f t="shared" si="51"/>
        <v>#REF!</v>
      </c>
      <c r="BL46" s="287" t="e">
        <f t="shared" si="51"/>
        <v>#REF!</v>
      </c>
      <c r="BM46" s="287" t="e">
        <f t="shared" si="51"/>
        <v>#REF!</v>
      </c>
      <c r="BN46" s="287" t="e">
        <f t="shared" si="51"/>
        <v>#REF!</v>
      </c>
      <c r="BO46" s="287" t="e">
        <f t="shared" si="51"/>
        <v>#REF!</v>
      </c>
    </row>
    <row r="47" spans="1:67" ht="20.25" customHeight="1">
      <c r="A47" s="424" t="s">
        <v>2936</v>
      </c>
      <c r="B47" s="425">
        <v>0</v>
      </c>
      <c r="C47" s="200">
        <v>5</v>
      </c>
      <c r="D47" s="361" t="str">
        <f t="shared" si="46"/>
        <v>R05</v>
      </c>
      <c r="E47" s="74" t="str">
        <f t="shared" si="47"/>
        <v>R05/5</v>
      </c>
      <c r="F47" s="337" t="e">
        <f>IF(C47=0,,VLOOKUP(E47,#REF!,5, FALSE()))</f>
        <v>#REF!</v>
      </c>
      <c r="G47" s="448"/>
      <c r="H47" s="448"/>
      <c r="I47" s="340"/>
      <c r="J47" s="340"/>
      <c r="K47" s="449"/>
      <c r="L47" s="449"/>
      <c r="M47" s="340"/>
      <c r="N47" s="340"/>
      <c r="O47" s="449"/>
      <c r="P47" s="449"/>
      <c r="Q47" s="340"/>
      <c r="R47" s="340"/>
      <c r="S47" s="449"/>
      <c r="T47" s="449"/>
      <c r="U47" s="340"/>
      <c r="V47" s="340"/>
      <c r="W47" s="480"/>
      <c r="X47" s="382" t="e">
        <f>IF(C47=0,,VLOOKUP(E47,#REF!,2, FALSE()))</f>
        <v>#REF!</v>
      </c>
      <c r="Y47" s="384" t="e">
        <f>IF(C47=0,,VLOOKUP(E47,#REF!,3, FALSE()))</f>
        <v>#REF!</v>
      </c>
      <c r="Z47" s="385"/>
      <c r="AA47" s="74"/>
      <c r="AB47" s="386" t="e">
        <f>IF(C47=0,,VLOOKUP(E47,#REF!,6, FALSE()))</f>
        <v>#REF!</v>
      </c>
      <c r="AC47" s="74"/>
      <c r="AD47" s="74"/>
      <c r="AE47" s="74"/>
      <c r="AF47" s="74"/>
      <c r="AG47" s="74"/>
      <c r="AH47" s="74"/>
      <c r="AI47" s="74"/>
      <c r="AJ47" s="389"/>
      <c r="AK47" s="287" t="e">
        <f t="shared" ref="AK47:BO47" si="52">(MID(#REF!, 7,2))</f>
        <v>#REF!</v>
      </c>
      <c r="AL47" s="287" t="e">
        <f t="shared" si="52"/>
        <v>#REF!</v>
      </c>
      <c r="AM47" s="287" t="e">
        <f t="shared" si="52"/>
        <v>#REF!</v>
      </c>
      <c r="AN47" s="287" t="e">
        <f t="shared" si="52"/>
        <v>#REF!</v>
      </c>
      <c r="AO47" s="287" t="e">
        <f t="shared" si="52"/>
        <v>#REF!</v>
      </c>
      <c r="AP47" s="287" t="e">
        <f t="shared" si="52"/>
        <v>#REF!</v>
      </c>
      <c r="AQ47" s="287" t="e">
        <f t="shared" si="52"/>
        <v>#REF!</v>
      </c>
      <c r="AR47" s="287" t="e">
        <f t="shared" si="52"/>
        <v>#REF!</v>
      </c>
      <c r="AS47" s="287" t="e">
        <f t="shared" si="52"/>
        <v>#REF!</v>
      </c>
      <c r="AT47" s="287" t="e">
        <f t="shared" si="52"/>
        <v>#REF!</v>
      </c>
      <c r="AU47" s="287" t="e">
        <f t="shared" si="52"/>
        <v>#REF!</v>
      </c>
      <c r="AV47" s="287" t="e">
        <f t="shared" si="52"/>
        <v>#REF!</v>
      </c>
      <c r="AW47" s="287" t="e">
        <f t="shared" si="52"/>
        <v>#REF!</v>
      </c>
      <c r="AX47" s="287" t="e">
        <f t="shared" si="52"/>
        <v>#REF!</v>
      </c>
      <c r="AY47" s="287" t="e">
        <f t="shared" si="52"/>
        <v>#REF!</v>
      </c>
      <c r="AZ47" s="287" t="e">
        <f t="shared" si="52"/>
        <v>#REF!</v>
      </c>
      <c r="BA47" s="287" t="e">
        <f t="shared" si="52"/>
        <v>#REF!</v>
      </c>
      <c r="BB47" s="287" t="e">
        <f t="shared" si="52"/>
        <v>#REF!</v>
      </c>
      <c r="BC47" s="287" t="e">
        <f t="shared" si="52"/>
        <v>#REF!</v>
      </c>
      <c r="BD47" s="287" t="e">
        <f t="shared" si="52"/>
        <v>#REF!</v>
      </c>
      <c r="BE47" s="287" t="e">
        <f t="shared" si="52"/>
        <v>#REF!</v>
      </c>
      <c r="BF47" s="287" t="e">
        <f t="shared" si="52"/>
        <v>#REF!</v>
      </c>
      <c r="BG47" s="287" t="e">
        <f t="shared" si="52"/>
        <v>#REF!</v>
      </c>
      <c r="BH47" s="287" t="e">
        <f t="shared" si="52"/>
        <v>#REF!</v>
      </c>
      <c r="BI47" s="287" t="e">
        <f t="shared" si="52"/>
        <v>#REF!</v>
      </c>
      <c r="BJ47" s="287" t="e">
        <f t="shared" si="52"/>
        <v>#REF!</v>
      </c>
      <c r="BK47" s="287" t="e">
        <f t="shared" si="52"/>
        <v>#REF!</v>
      </c>
      <c r="BL47" s="287" t="e">
        <f t="shared" si="52"/>
        <v>#REF!</v>
      </c>
      <c r="BM47" s="287" t="e">
        <f t="shared" si="52"/>
        <v>#REF!</v>
      </c>
      <c r="BN47" s="287" t="e">
        <f t="shared" si="52"/>
        <v>#REF!</v>
      </c>
      <c r="BO47" s="287" t="e">
        <f t="shared" si="52"/>
        <v>#REF!</v>
      </c>
    </row>
    <row r="48" spans="1:67" ht="20.25" customHeight="1">
      <c r="A48" s="424" t="e">
        <f>Z43</f>
        <v>#REF!</v>
      </c>
      <c r="B48" s="425">
        <v>1.8333333333333333</v>
      </c>
      <c r="C48" s="200">
        <v>6</v>
      </c>
      <c r="D48" s="361" t="str">
        <f t="shared" si="46"/>
        <v>R05</v>
      </c>
      <c r="E48" s="74" t="str">
        <f t="shared" si="47"/>
        <v>R05/6</v>
      </c>
      <c r="F48" s="337" t="e">
        <f>IF(C48=0,,VLOOKUP(E48,#REF!,5, FALSE()))</f>
        <v>#REF!</v>
      </c>
      <c r="G48" s="448"/>
      <c r="H48" s="448"/>
      <c r="I48" s="340"/>
      <c r="J48" s="340"/>
      <c r="K48" s="449"/>
      <c r="L48" s="449"/>
      <c r="M48" s="340"/>
      <c r="N48" s="340"/>
      <c r="O48" s="449"/>
      <c r="P48" s="449"/>
      <c r="Q48" s="340"/>
      <c r="R48" s="340"/>
      <c r="S48" s="449"/>
      <c r="T48" s="449"/>
      <c r="U48" s="340"/>
      <c r="V48" s="340"/>
      <c r="W48" s="480"/>
      <c r="X48" s="382" t="e">
        <f>IF(C48=0,,VLOOKUP(E48,#REF!,2, FALSE()))</f>
        <v>#REF!</v>
      </c>
      <c r="Y48" s="384" t="e">
        <f>IF(C48=0,,VLOOKUP(E48,#REF!,3, FALSE()))</f>
        <v>#REF!</v>
      </c>
      <c r="Z48" s="385"/>
      <c r="AA48" s="74"/>
      <c r="AB48" s="386" t="e">
        <f>IF(C48=0,,VLOOKUP(E48,#REF!,6, FALSE()))</f>
        <v>#REF!</v>
      </c>
      <c r="AC48" s="74"/>
      <c r="AD48" s="74"/>
      <c r="AE48" s="74"/>
      <c r="AF48" s="74"/>
      <c r="AG48" s="74"/>
      <c r="AH48" s="74"/>
      <c r="AI48" s="74"/>
      <c r="AJ48" s="389"/>
      <c r="AK48" s="287" t="e">
        <f t="shared" ref="AK48:BO48" si="53">(MID(#REF!, 7,2))</f>
        <v>#REF!</v>
      </c>
      <c r="AL48" s="287" t="e">
        <f t="shared" si="53"/>
        <v>#REF!</v>
      </c>
      <c r="AM48" s="287" t="e">
        <f t="shared" si="53"/>
        <v>#REF!</v>
      </c>
      <c r="AN48" s="287" t="e">
        <f t="shared" si="53"/>
        <v>#REF!</v>
      </c>
      <c r="AO48" s="287" t="e">
        <f t="shared" si="53"/>
        <v>#REF!</v>
      </c>
      <c r="AP48" s="287" t="e">
        <f t="shared" si="53"/>
        <v>#REF!</v>
      </c>
      <c r="AQ48" s="287" t="e">
        <f t="shared" si="53"/>
        <v>#REF!</v>
      </c>
      <c r="AR48" s="287" t="e">
        <f t="shared" si="53"/>
        <v>#REF!</v>
      </c>
      <c r="AS48" s="287" t="e">
        <f t="shared" si="53"/>
        <v>#REF!</v>
      </c>
      <c r="AT48" s="287" t="e">
        <f t="shared" si="53"/>
        <v>#REF!</v>
      </c>
      <c r="AU48" s="287" t="e">
        <f t="shared" si="53"/>
        <v>#REF!</v>
      </c>
      <c r="AV48" s="287" t="e">
        <f t="shared" si="53"/>
        <v>#REF!</v>
      </c>
      <c r="AW48" s="287" t="e">
        <f t="shared" si="53"/>
        <v>#REF!</v>
      </c>
      <c r="AX48" s="287" t="e">
        <f t="shared" si="53"/>
        <v>#REF!</v>
      </c>
      <c r="AY48" s="287" t="e">
        <f t="shared" si="53"/>
        <v>#REF!</v>
      </c>
      <c r="AZ48" s="287" t="e">
        <f t="shared" si="53"/>
        <v>#REF!</v>
      </c>
      <c r="BA48" s="287" t="e">
        <f t="shared" si="53"/>
        <v>#REF!</v>
      </c>
      <c r="BB48" s="287" t="e">
        <f t="shared" si="53"/>
        <v>#REF!</v>
      </c>
      <c r="BC48" s="287" t="e">
        <f t="shared" si="53"/>
        <v>#REF!</v>
      </c>
      <c r="BD48" s="287" t="e">
        <f t="shared" si="53"/>
        <v>#REF!</v>
      </c>
      <c r="BE48" s="287" t="e">
        <f t="shared" si="53"/>
        <v>#REF!</v>
      </c>
      <c r="BF48" s="287" t="e">
        <f t="shared" si="53"/>
        <v>#REF!</v>
      </c>
      <c r="BG48" s="287" t="e">
        <f t="shared" si="53"/>
        <v>#REF!</v>
      </c>
      <c r="BH48" s="287" t="e">
        <f t="shared" si="53"/>
        <v>#REF!</v>
      </c>
      <c r="BI48" s="287" t="e">
        <f t="shared" si="53"/>
        <v>#REF!</v>
      </c>
      <c r="BJ48" s="287" t="e">
        <f t="shared" si="53"/>
        <v>#REF!</v>
      </c>
      <c r="BK48" s="287" t="e">
        <f t="shared" si="53"/>
        <v>#REF!</v>
      </c>
      <c r="BL48" s="287" t="e">
        <f t="shared" si="53"/>
        <v>#REF!</v>
      </c>
      <c r="BM48" s="287" t="e">
        <f t="shared" si="53"/>
        <v>#REF!</v>
      </c>
      <c r="BN48" s="287" t="e">
        <f t="shared" si="53"/>
        <v>#REF!</v>
      </c>
      <c r="BO48" s="287" t="e">
        <f t="shared" si="53"/>
        <v>#REF!</v>
      </c>
    </row>
    <row r="49" spans="1:67" ht="20.25" customHeight="1">
      <c r="A49" s="424" t="s">
        <v>2951</v>
      </c>
      <c r="B49" s="425" t="e">
        <f>SUM(AB43:AB51)</f>
        <v>#REF!</v>
      </c>
      <c r="C49" s="200">
        <v>7</v>
      </c>
      <c r="D49" s="361" t="str">
        <f t="shared" si="46"/>
        <v>R05</v>
      </c>
      <c r="E49" s="74" t="str">
        <f t="shared" si="47"/>
        <v>R05/7</v>
      </c>
      <c r="F49" s="337" t="e">
        <f>IF(C49=0,,VLOOKUP(E49,#REF!,5, FALSE()))</f>
        <v>#REF!</v>
      </c>
      <c r="G49" s="448"/>
      <c r="H49" s="448"/>
      <c r="I49" s="340"/>
      <c r="J49" s="340"/>
      <c r="K49" s="449"/>
      <c r="L49" s="449"/>
      <c r="M49" s="340"/>
      <c r="N49" s="340"/>
      <c r="O49" s="449"/>
      <c r="P49" s="449"/>
      <c r="Q49" s="340"/>
      <c r="R49" s="340"/>
      <c r="S49" s="449"/>
      <c r="T49" s="449"/>
      <c r="U49" s="340"/>
      <c r="V49" s="340"/>
      <c r="W49" s="480"/>
      <c r="X49" s="382" t="e">
        <f>IF(C49=0,,VLOOKUP(E49,#REF!,2, FALSE()))</f>
        <v>#REF!</v>
      </c>
      <c r="Y49" s="384" t="e">
        <f>IF(C49=0,,VLOOKUP(E49,#REF!,3, FALSE()))</f>
        <v>#REF!</v>
      </c>
      <c r="Z49" s="385"/>
      <c r="AA49" s="74"/>
      <c r="AB49" s="386" t="e">
        <f>IF(C49=0,,VLOOKUP(E49,#REF!,6, FALSE()))</f>
        <v>#REF!</v>
      </c>
      <c r="AC49" s="74"/>
      <c r="AD49" s="74"/>
      <c r="AE49" s="74"/>
      <c r="AF49" s="74"/>
      <c r="AG49" s="74"/>
      <c r="AH49" s="74"/>
      <c r="AI49" s="74"/>
      <c r="AJ49" s="389"/>
      <c r="AK49" s="287" t="e">
        <f t="shared" ref="AK49:BO49" si="54">(MID(#REF!, 7,2))</f>
        <v>#REF!</v>
      </c>
      <c r="AL49" s="287" t="e">
        <f t="shared" si="54"/>
        <v>#REF!</v>
      </c>
      <c r="AM49" s="287" t="e">
        <f t="shared" si="54"/>
        <v>#REF!</v>
      </c>
      <c r="AN49" s="287" t="e">
        <f t="shared" si="54"/>
        <v>#REF!</v>
      </c>
      <c r="AO49" s="287" t="e">
        <f t="shared" si="54"/>
        <v>#REF!</v>
      </c>
      <c r="AP49" s="287" t="e">
        <f t="shared" si="54"/>
        <v>#REF!</v>
      </c>
      <c r="AQ49" s="287" t="e">
        <f t="shared" si="54"/>
        <v>#REF!</v>
      </c>
      <c r="AR49" s="287" t="e">
        <f t="shared" si="54"/>
        <v>#REF!</v>
      </c>
      <c r="AS49" s="287" t="e">
        <f t="shared" si="54"/>
        <v>#REF!</v>
      </c>
      <c r="AT49" s="287" t="e">
        <f t="shared" si="54"/>
        <v>#REF!</v>
      </c>
      <c r="AU49" s="287" t="e">
        <f t="shared" si="54"/>
        <v>#REF!</v>
      </c>
      <c r="AV49" s="287" t="e">
        <f t="shared" si="54"/>
        <v>#REF!</v>
      </c>
      <c r="AW49" s="287" t="e">
        <f t="shared" si="54"/>
        <v>#REF!</v>
      </c>
      <c r="AX49" s="287" t="e">
        <f t="shared" si="54"/>
        <v>#REF!</v>
      </c>
      <c r="AY49" s="287" t="e">
        <f t="shared" si="54"/>
        <v>#REF!</v>
      </c>
      <c r="AZ49" s="287" t="e">
        <f t="shared" si="54"/>
        <v>#REF!</v>
      </c>
      <c r="BA49" s="287" t="e">
        <f t="shared" si="54"/>
        <v>#REF!</v>
      </c>
      <c r="BB49" s="287" t="e">
        <f t="shared" si="54"/>
        <v>#REF!</v>
      </c>
      <c r="BC49" s="287" t="e">
        <f t="shared" si="54"/>
        <v>#REF!</v>
      </c>
      <c r="BD49" s="287" t="e">
        <f t="shared" si="54"/>
        <v>#REF!</v>
      </c>
      <c r="BE49" s="287" t="e">
        <f t="shared" si="54"/>
        <v>#REF!</v>
      </c>
      <c r="BF49" s="287" t="e">
        <f t="shared" si="54"/>
        <v>#REF!</v>
      </c>
      <c r="BG49" s="287" t="e">
        <f t="shared" si="54"/>
        <v>#REF!</v>
      </c>
      <c r="BH49" s="287" t="e">
        <f t="shared" si="54"/>
        <v>#REF!</v>
      </c>
      <c r="BI49" s="287" t="e">
        <f t="shared" si="54"/>
        <v>#REF!</v>
      </c>
      <c r="BJ49" s="287" t="e">
        <f t="shared" si="54"/>
        <v>#REF!</v>
      </c>
      <c r="BK49" s="287" t="e">
        <f t="shared" si="54"/>
        <v>#REF!</v>
      </c>
      <c r="BL49" s="287" t="e">
        <f t="shared" si="54"/>
        <v>#REF!</v>
      </c>
      <c r="BM49" s="287" t="e">
        <f t="shared" si="54"/>
        <v>#REF!</v>
      </c>
      <c r="BN49" s="287" t="e">
        <f t="shared" si="54"/>
        <v>#REF!</v>
      </c>
      <c r="BO49" s="287" t="e">
        <f t="shared" si="54"/>
        <v>#REF!</v>
      </c>
    </row>
    <row r="50" spans="1:67" ht="20.25" customHeight="1">
      <c r="A50" s="424" t="s">
        <v>2952</v>
      </c>
      <c r="B50" s="425">
        <f>SUM(AJ43:AJ51)</f>
        <v>6.9444444444444448E-2</v>
      </c>
      <c r="C50" s="200">
        <v>0</v>
      </c>
      <c r="D50" s="361" t="str">
        <f t="shared" si="46"/>
        <v>R05</v>
      </c>
      <c r="E50" s="74">
        <f t="shared" si="47"/>
        <v>0</v>
      </c>
      <c r="F50" s="337">
        <f>IF(C50=0,,VLOOKUP(E50,#REF!,5, FALSE()))</f>
        <v>0</v>
      </c>
      <c r="G50" s="448"/>
      <c r="H50" s="448"/>
      <c r="I50" s="340"/>
      <c r="J50" s="340"/>
      <c r="K50" s="449"/>
      <c r="L50" s="449"/>
      <c r="M50" s="340"/>
      <c r="N50" s="340"/>
      <c r="O50" s="449"/>
      <c r="P50" s="449"/>
      <c r="Q50" s="340"/>
      <c r="R50" s="340"/>
      <c r="S50" s="449"/>
      <c r="T50" s="449"/>
      <c r="U50" s="340"/>
      <c r="V50" s="340"/>
      <c r="W50" s="480"/>
      <c r="X50" s="382">
        <f>IF(C50=0,,VLOOKUP(E50,#REF!,2, FALSE()))</f>
        <v>0</v>
      </c>
      <c r="Y50" s="384">
        <f>IF(C50=0,,VLOOKUP(E50,#REF!,3, FALSE()))</f>
        <v>0</v>
      </c>
      <c r="Z50" s="385"/>
      <c r="AA50" s="74"/>
      <c r="AB50" s="386">
        <f>IF(C50=0,,VLOOKUP(E50,#REF!,6, FALSE()))</f>
        <v>0</v>
      </c>
      <c r="AC50" s="74"/>
      <c r="AD50" s="74"/>
      <c r="AE50" s="74"/>
      <c r="AF50" s="74"/>
      <c r="AG50" s="74"/>
      <c r="AH50" s="74"/>
      <c r="AI50" s="74"/>
      <c r="AJ50" s="389"/>
      <c r="AK50" s="287" t="e">
        <f t="shared" ref="AK50:BO50" si="55">(MID(#REF!, 7,2))</f>
        <v>#REF!</v>
      </c>
      <c r="AL50" s="287" t="e">
        <f t="shared" si="55"/>
        <v>#REF!</v>
      </c>
      <c r="AM50" s="287" t="e">
        <f t="shared" si="55"/>
        <v>#REF!</v>
      </c>
      <c r="AN50" s="287" t="e">
        <f t="shared" si="55"/>
        <v>#REF!</v>
      </c>
      <c r="AO50" s="287" t="e">
        <f t="shared" si="55"/>
        <v>#REF!</v>
      </c>
      <c r="AP50" s="287" t="e">
        <f t="shared" si="55"/>
        <v>#REF!</v>
      </c>
      <c r="AQ50" s="287" t="e">
        <f t="shared" si="55"/>
        <v>#REF!</v>
      </c>
      <c r="AR50" s="287" t="e">
        <f t="shared" si="55"/>
        <v>#REF!</v>
      </c>
      <c r="AS50" s="287" t="e">
        <f t="shared" si="55"/>
        <v>#REF!</v>
      </c>
      <c r="AT50" s="287" t="e">
        <f t="shared" si="55"/>
        <v>#REF!</v>
      </c>
      <c r="AU50" s="287" t="e">
        <f t="shared" si="55"/>
        <v>#REF!</v>
      </c>
      <c r="AV50" s="287" t="e">
        <f t="shared" si="55"/>
        <v>#REF!</v>
      </c>
      <c r="AW50" s="287" t="e">
        <f t="shared" si="55"/>
        <v>#REF!</v>
      </c>
      <c r="AX50" s="287" t="e">
        <f t="shared" si="55"/>
        <v>#REF!</v>
      </c>
      <c r="AY50" s="287" t="e">
        <f t="shared" si="55"/>
        <v>#REF!</v>
      </c>
      <c r="AZ50" s="287" t="e">
        <f t="shared" si="55"/>
        <v>#REF!</v>
      </c>
      <c r="BA50" s="287" t="e">
        <f t="shared" si="55"/>
        <v>#REF!</v>
      </c>
      <c r="BB50" s="287" t="e">
        <f t="shared" si="55"/>
        <v>#REF!</v>
      </c>
      <c r="BC50" s="287" t="e">
        <f t="shared" si="55"/>
        <v>#REF!</v>
      </c>
      <c r="BD50" s="287" t="e">
        <f t="shared" si="55"/>
        <v>#REF!</v>
      </c>
      <c r="BE50" s="287" t="e">
        <f t="shared" si="55"/>
        <v>#REF!</v>
      </c>
      <c r="BF50" s="287" t="e">
        <f t="shared" si="55"/>
        <v>#REF!</v>
      </c>
      <c r="BG50" s="287" t="e">
        <f t="shared" si="55"/>
        <v>#REF!</v>
      </c>
      <c r="BH50" s="287" t="e">
        <f t="shared" si="55"/>
        <v>#REF!</v>
      </c>
      <c r="BI50" s="287" t="e">
        <f t="shared" si="55"/>
        <v>#REF!</v>
      </c>
      <c r="BJ50" s="287" t="e">
        <f t="shared" si="55"/>
        <v>#REF!</v>
      </c>
      <c r="BK50" s="287" t="e">
        <f t="shared" si="55"/>
        <v>#REF!</v>
      </c>
      <c r="BL50" s="287" t="e">
        <f t="shared" si="55"/>
        <v>#REF!</v>
      </c>
      <c r="BM50" s="287" t="e">
        <f t="shared" si="55"/>
        <v>#REF!</v>
      </c>
      <c r="BN50" s="287" t="e">
        <f t="shared" si="55"/>
        <v>#REF!</v>
      </c>
      <c r="BO50" s="287" t="e">
        <f t="shared" si="55"/>
        <v>#REF!</v>
      </c>
    </row>
    <row r="51" spans="1:67" ht="20.25" customHeight="1">
      <c r="A51" s="443" t="s">
        <v>2953</v>
      </c>
      <c r="B51" s="444" t="e">
        <f>B48-B49-B50</f>
        <v>#REF!</v>
      </c>
      <c r="C51" s="200">
        <v>0</v>
      </c>
      <c r="D51" s="361" t="str">
        <f t="shared" si="46"/>
        <v>R05</v>
      </c>
      <c r="E51" s="74">
        <f t="shared" si="47"/>
        <v>0</v>
      </c>
      <c r="F51" s="337">
        <f>IF(C51=0,,VLOOKUP(E51,#REF!,5, FALSE()))</f>
        <v>0</v>
      </c>
      <c r="G51" s="448"/>
      <c r="H51" s="448"/>
      <c r="I51" s="340"/>
      <c r="J51" s="340"/>
      <c r="K51" s="449"/>
      <c r="L51" s="449"/>
      <c r="M51" s="340"/>
      <c r="N51" s="340"/>
      <c r="O51" s="449"/>
      <c r="P51" s="449"/>
      <c r="Q51" s="340"/>
      <c r="R51" s="340"/>
      <c r="S51" s="449"/>
      <c r="T51" s="449"/>
      <c r="U51" s="340"/>
      <c r="V51" s="340"/>
      <c r="W51" s="481"/>
      <c r="X51" s="382">
        <f>IF(C51=0,,VLOOKUP(E51,#REF!,2, FALSE()))</f>
        <v>0</v>
      </c>
      <c r="Y51" s="384">
        <f>IF(C51=0,,VLOOKUP(E51,#REF!,3, FALSE()))</f>
        <v>0</v>
      </c>
      <c r="Z51" s="385"/>
      <c r="AA51" s="74"/>
      <c r="AB51" s="386">
        <f>IF(C51=0,,VLOOKUP(E51,#REF!,6, FALSE()))</f>
        <v>0</v>
      </c>
      <c r="AC51" s="74"/>
      <c r="AD51" s="74"/>
      <c r="AE51" s="74"/>
      <c r="AF51" s="74"/>
      <c r="AG51" s="74"/>
      <c r="AH51" s="74"/>
      <c r="AI51" s="74"/>
      <c r="AJ51" s="389"/>
      <c r="AK51" s="287" t="e">
        <f t="shared" ref="AK51:BO51" si="56">(MID(#REF!, 7,2))</f>
        <v>#REF!</v>
      </c>
      <c r="AL51" s="287" t="e">
        <f t="shared" si="56"/>
        <v>#REF!</v>
      </c>
      <c r="AM51" s="287" t="e">
        <f t="shared" si="56"/>
        <v>#REF!</v>
      </c>
      <c r="AN51" s="287" t="e">
        <f t="shared" si="56"/>
        <v>#REF!</v>
      </c>
      <c r="AO51" s="287" t="e">
        <f t="shared" si="56"/>
        <v>#REF!</v>
      </c>
      <c r="AP51" s="287" t="e">
        <f t="shared" si="56"/>
        <v>#REF!</v>
      </c>
      <c r="AQ51" s="287" t="e">
        <f t="shared" si="56"/>
        <v>#REF!</v>
      </c>
      <c r="AR51" s="287" t="e">
        <f t="shared" si="56"/>
        <v>#REF!</v>
      </c>
      <c r="AS51" s="287" t="e">
        <f t="shared" si="56"/>
        <v>#REF!</v>
      </c>
      <c r="AT51" s="287" t="e">
        <f t="shared" si="56"/>
        <v>#REF!</v>
      </c>
      <c r="AU51" s="287" t="e">
        <f t="shared" si="56"/>
        <v>#REF!</v>
      </c>
      <c r="AV51" s="287" t="e">
        <f t="shared" si="56"/>
        <v>#REF!</v>
      </c>
      <c r="AW51" s="287" t="e">
        <f t="shared" si="56"/>
        <v>#REF!</v>
      </c>
      <c r="AX51" s="287" t="e">
        <f t="shared" si="56"/>
        <v>#REF!</v>
      </c>
      <c r="AY51" s="287" t="e">
        <f t="shared" si="56"/>
        <v>#REF!</v>
      </c>
      <c r="AZ51" s="287" t="e">
        <f t="shared" si="56"/>
        <v>#REF!</v>
      </c>
      <c r="BA51" s="287" t="e">
        <f t="shared" si="56"/>
        <v>#REF!</v>
      </c>
      <c r="BB51" s="287" t="e">
        <f t="shared" si="56"/>
        <v>#REF!</v>
      </c>
      <c r="BC51" s="287" t="e">
        <f t="shared" si="56"/>
        <v>#REF!</v>
      </c>
      <c r="BD51" s="287" t="e">
        <f t="shared" si="56"/>
        <v>#REF!</v>
      </c>
      <c r="BE51" s="287" t="e">
        <f t="shared" si="56"/>
        <v>#REF!</v>
      </c>
      <c r="BF51" s="287" t="e">
        <f t="shared" si="56"/>
        <v>#REF!</v>
      </c>
      <c r="BG51" s="287" t="e">
        <f t="shared" si="56"/>
        <v>#REF!</v>
      </c>
      <c r="BH51" s="287" t="e">
        <f t="shared" si="56"/>
        <v>#REF!</v>
      </c>
      <c r="BI51" s="287" t="e">
        <f t="shared" si="56"/>
        <v>#REF!</v>
      </c>
      <c r="BJ51" s="287" t="e">
        <f t="shared" si="56"/>
        <v>#REF!</v>
      </c>
      <c r="BK51" s="287" t="e">
        <f t="shared" si="56"/>
        <v>#REF!</v>
      </c>
      <c r="BL51" s="287" t="e">
        <f t="shared" si="56"/>
        <v>#REF!</v>
      </c>
      <c r="BM51" s="287" t="e">
        <f t="shared" si="56"/>
        <v>#REF!</v>
      </c>
      <c r="BN51" s="287" t="e">
        <f t="shared" si="56"/>
        <v>#REF!</v>
      </c>
      <c r="BO51" s="287" t="e">
        <f t="shared" si="56"/>
        <v>#REF!</v>
      </c>
    </row>
    <row r="52" spans="1:67" ht="3.75" customHeight="1">
      <c r="G52" s="446"/>
      <c r="H52" s="446"/>
      <c r="I52" s="285"/>
      <c r="J52" s="285"/>
      <c r="K52" s="346"/>
      <c r="L52" s="346"/>
      <c r="M52" s="285"/>
      <c r="N52" s="285"/>
      <c r="O52" s="346"/>
      <c r="P52" s="346"/>
      <c r="Q52" s="285"/>
      <c r="R52" s="285"/>
      <c r="S52" s="346"/>
      <c r="T52" s="346"/>
      <c r="U52" s="285"/>
      <c r="V52" s="285"/>
      <c r="Y52" s="447"/>
      <c r="AK52" s="346"/>
      <c r="AL52" s="346"/>
      <c r="AM52" s="346"/>
      <c r="AN52" s="346"/>
      <c r="AO52" s="346"/>
      <c r="AP52" s="346"/>
      <c r="AQ52" s="346"/>
      <c r="AR52" s="346"/>
      <c r="AS52" s="346"/>
      <c r="AT52" s="346"/>
      <c r="AU52" s="346"/>
      <c r="AV52" s="346"/>
      <c r="AW52" s="346"/>
      <c r="AX52" s="346"/>
      <c r="AY52" s="346"/>
      <c r="AZ52" s="346"/>
      <c r="BA52" s="346"/>
      <c r="BB52" s="346"/>
      <c r="BC52" s="346"/>
      <c r="BD52" s="346"/>
      <c r="BE52" s="346"/>
      <c r="BF52" s="346"/>
      <c r="BG52" s="346"/>
      <c r="BH52" s="346"/>
      <c r="BI52" s="346"/>
      <c r="BJ52" s="346"/>
      <c r="BK52" s="346"/>
      <c r="BL52" s="346"/>
      <c r="BM52" s="346"/>
      <c r="BN52" s="346"/>
      <c r="BO52" s="346"/>
    </row>
    <row r="53" spans="1:67" ht="20.25" customHeight="1">
      <c r="A53" s="200" t="s">
        <v>2459</v>
      </c>
      <c r="B53" s="217" t="s">
        <v>266</v>
      </c>
      <c r="C53" s="200">
        <v>1</v>
      </c>
      <c r="D53" s="361" t="str">
        <f t="shared" ref="D53:D61" si="57">$B$53</f>
        <v>R06</v>
      </c>
      <c r="E53" s="74" t="str">
        <f t="shared" ref="E53:E61" si="58">IF(C53=0,,CONCATENATE(D53,"/",C53))</f>
        <v>R06/1</v>
      </c>
      <c r="F53" s="337" t="e">
        <f>IF(C53=0,,VLOOKUP(E53,#REF!,5, FALSE()))</f>
        <v>#REF!</v>
      </c>
      <c r="G53" s="448"/>
      <c r="H53" s="448"/>
      <c r="I53" s="340"/>
      <c r="J53" s="340"/>
      <c r="K53" s="449"/>
      <c r="L53" s="449"/>
      <c r="M53" s="340"/>
      <c r="N53" s="340"/>
      <c r="O53" s="449"/>
      <c r="P53" s="449"/>
      <c r="Q53" s="340"/>
      <c r="R53" s="340"/>
      <c r="S53" s="449"/>
      <c r="T53" s="449"/>
      <c r="U53" s="340"/>
      <c r="V53" s="340"/>
      <c r="W53" s="563" t="e">
        <f>CONCATENATE(F53," + ",F54," + ",F55," + ",F56," + ",F57," + ",F58," + ",F59," + ",F60," + ",F61)</f>
        <v>#REF!</v>
      </c>
      <c r="X53" s="382" t="e">
        <f>IF(C53=0,,VLOOKUP(E53,#REF!,2, FALSE()))</f>
        <v>#REF!</v>
      </c>
      <c r="Y53" s="384" t="e">
        <f>IF(C53=0,,VLOOKUP(E53,#REF!,3, FALSE()))</f>
        <v>#REF!</v>
      </c>
      <c r="Z53" s="385" t="e">
        <f>VLOOKUP(Y53,#REF!,6, FALSE())</f>
        <v>#REF!</v>
      </c>
      <c r="AA53" s="74" t="str">
        <f>$B55</f>
        <v>Cesta Gd</v>
      </c>
      <c r="AB53" s="386" t="e">
        <f>IF(C53=0,,VLOOKUP(E53,#REF!,6, FALSE()))</f>
        <v>#REF!</v>
      </c>
      <c r="AC53" s="74"/>
      <c r="AD53" s="74">
        <f>$B56</f>
        <v>12</v>
      </c>
      <c r="AE53" s="74"/>
      <c r="AF53" s="450">
        <f>$B57</f>
        <v>0</v>
      </c>
      <c r="AG53" s="74"/>
      <c r="AH53" s="450" t="e">
        <f>$B59</f>
        <v>#REF!</v>
      </c>
      <c r="AI53" s="450" t="e">
        <f>B59+B60</f>
        <v>#REF!</v>
      </c>
      <c r="AJ53" s="389">
        <v>4.1666666666666664E-2</v>
      </c>
      <c r="AK53" s="287" t="e">
        <f t="shared" ref="AK53:BO53" si="59">(MID(#REF!, 7,2))</f>
        <v>#REF!</v>
      </c>
      <c r="AL53" s="287" t="e">
        <f t="shared" si="59"/>
        <v>#REF!</v>
      </c>
      <c r="AM53" s="287" t="e">
        <f t="shared" si="59"/>
        <v>#REF!</v>
      </c>
      <c r="AN53" s="287" t="e">
        <f t="shared" si="59"/>
        <v>#REF!</v>
      </c>
      <c r="AO53" s="287" t="e">
        <f t="shared" si="59"/>
        <v>#REF!</v>
      </c>
      <c r="AP53" s="287" t="e">
        <f t="shared" si="59"/>
        <v>#REF!</v>
      </c>
      <c r="AQ53" s="287" t="e">
        <f t="shared" si="59"/>
        <v>#REF!</v>
      </c>
      <c r="AR53" s="287" t="e">
        <f t="shared" si="59"/>
        <v>#REF!</v>
      </c>
      <c r="AS53" s="287" t="e">
        <f t="shared" si="59"/>
        <v>#REF!</v>
      </c>
      <c r="AT53" s="287" t="e">
        <f t="shared" si="59"/>
        <v>#REF!</v>
      </c>
      <c r="AU53" s="287" t="e">
        <f t="shared" si="59"/>
        <v>#REF!</v>
      </c>
      <c r="AV53" s="287" t="e">
        <f t="shared" si="59"/>
        <v>#REF!</v>
      </c>
      <c r="AW53" s="287" t="e">
        <f t="shared" si="59"/>
        <v>#REF!</v>
      </c>
      <c r="AX53" s="287" t="e">
        <f t="shared" si="59"/>
        <v>#REF!</v>
      </c>
      <c r="AY53" s="287" t="e">
        <f t="shared" si="59"/>
        <v>#REF!</v>
      </c>
      <c r="AZ53" s="287" t="e">
        <f t="shared" si="59"/>
        <v>#REF!</v>
      </c>
      <c r="BA53" s="287" t="e">
        <f t="shared" si="59"/>
        <v>#REF!</v>
      </c>
      <c r="BB53" s="287" t="e">
        <f t="shared" si="59"/>
        <v>#REF!</v>
      </c>
      <c r="BC53" s="287" t="e">
        <f t="shared" si="59"/>
        <v>#REF!</v>
      </c>
      <c r="BD53" s="287" t="e">
        <f t="shared" si="59"/>
        <v>#REF!</v>
      </c>
      <c r="BE53" s="287" t="e">
        <f t="shared" si="59"/>
        <v>#REF!</v>
      </c>
      <c r="BF53" s="287" t="e">
        <f t="shared" si="59"/>
        <v>#REF!</v>
      </c>
      <c r="BG53" s="287" t="e">
        <f t="shared" si="59"/>
        <v>#REF!</v>
      </c>
      <c r="BH53" s="287" t="e">
        <f t="shared" si="59"/>
        <v>#REF!</v>
      </c>
      <c r="BI53" s="287" t="e">
        <f t="shared" si="59"/>
        <v>#REF!</v>
      </c>
      <c r="BJ53" s="287" t="e">
        <f t="shared" si="59"/>
        <v>#REF!</v>
      </c>
      <c r="BK53" s="287" t="e">
        <f t="shared" si="59"/>
        <v>#REF!</v>
      </c>
      <c r="BL53" s="287" t="e">
        <f t="shared" si="59"/>
        <v>#REF!</v>
      </c>
      <c r="BM53" s="287" t="e">
        <f t="shared" si="59"/>
        <v>#REF!</v>
      </c>
      <c r="BN53" s="287" t="e">
        <f t="shared" si="59"/>
        <v>#REF!</v>
      </c>
      <c r="BO53" s="287" t="e">
        <f t="shared" si="59"/>
        <v>#REF!</v>
      </c>
    </row>
    <row r="54" spans="1:67" ht="20.25" customHeight="1">
      <c r="A54" s="562" t="e">
        <f>Y53</f>
        <v>#REF!</v>
      </c>
      <c r="B54" s="499"/>
      <c r="C54" s="200">
        <v>2</v>
      </c>
      <c r="D54" s="361" t="str">
        <f t="shared" si="57"/>
        <v>R06</v>
      </c>
      <c r="E54" s="74" t="str">
        <f t="shared" si="58"/>
        <v>R06/2</v>
      </c>
      <c r="F54" s="337" t="e">
        <f>IF(C54=0,,VLOOKUP(E54,#REF!,5, FALSE()))</f>
        <v>#REF!</v>
      </c>
      <c r="G54" s="448"/>
      <c r="H54" s="448"/>
      <c r="I54" s="340"/>
      <c r="J54" s="340"/>
      <c r="K54" s="449"/>
      <c r="L54" s="449"/>
      <c r="M54" s="340"/>
      <c r="N54" s="340"/>
      <c r="O54" s="449"/>
      <c r="P54" s="449"/>
      <c r="Q54" s="340"/>
      <c r="R54" s="340"/>
      <c r="S54" s="449"/>
      <c r="T54" s="449"/>
      <c r="U54" s="340"/>
      <c r="V54" s="340"/>
      <c r="W54" s="480"/>
      <c r="X54" s="382" t="e">
        <f>IF(C54=0,,VLOOKUP(E54,#REF!,2, FALSE()))</f>
        <v>#REF!</v>
      </c>
      <c r="Y54" s="384" t="e">
        <f>IF(C54=0,,VLOOKUP(E54,#REF!,3, FALSE()))</f>
        <v>#REF!</v>
      </c>
      <c r="Z54" s="385"/>
      <c r="AA54" s="74"/>
      <c r="AB54" s="386" t="e">
        <f>IF(C54=0,,VLOOKUP(E54,#REF!,6, FALSE()))</f>
        <v>#REF!</v>
      </c>
      <c r="AC54" s="74"/>
      <c r="AD54" s="74"/>
      <c r="AE54" s="74"/>
      <c r="AF54" s="74"/>
      <c r="AG54" s="74"/>
      <c r="AH54" s="74"/>
      <c r="AI54" s="74"/>
      <c r="AJ54" s="389">
        <v>4.1666666666666664E-2</v>
      </c>
      <c r="AK54" s="287" t="e">
        <f t="shared" ref="AK54:BO54" si="60">(MID(#REF!, 7,2))</f>
        <v>#REF!</v>
      </c>
      <c r="AL54" s="287" t="e">
        <f t="shared" si="60"/>
        <v>#REF!</v>
      </c>
      <c r="AM54" s="287" t="e">
        <f t="shared" si="60"/>
        <v>#REF!</v>
      </c>
      <c r="AN54" s="287" t="e">
        <f t="shared" si="60"/>
        <v>#REF!</v>
      </c>
      <c r="AO54" s="287" t="e">
        <f t="shared" si="60"/>
        <v>#REF!</v>
      </c>
      <c r="AP54" s="287" t="e">
        <f t="shared" si="60"/>
        <v>#REF!</v>
      </c>
      <c r="AQ54" s="287" t="e">
        <f t="shared" si="60"/>
        <v>#REF!</v>
      </c>
      <c r="AR54" s="287" t="e">
        <f t="shared" si="60"/>
        <v>#REF!</v>
      </c>
      <c r="AS54" s="287" t="e">
        <f t="shared" si="60"/>
        <v>#REF!</v>
      </c>
      <c r="AT54" s="287" t="e">
        <f t="shared" si="60"/>
        <v>#REF!</v>
      </c>
      <c r="AU54" s="287" t="e">
        <f t="shared" si="60"/>
        <v>#REF!</v>
      </c>
      <c r="AV54" s="287" t="e">
        <f t="shared" si="60"/>
        <v>#REF!</v>
      </c>
      <c r="AW54" s="287" t="e">
        <f t="shared" si="60"/>
        <v>#REF!</v>
      </c>
      <c r="AX54" s="287" t="e">
        <f t="shared" si="60"/>
        <v>#REF!</v>
      </c>
      <c r="AY54" s="287" t="e">
        <f t="shared" si="60"/>
        <v>#REF!</v>
      </c>
      <c r="AZ54" s="287" t="e">
        <f t="shared" si="60"/>
        <v>#REF!</v>
      </c>
      <c r="BA54" s="287" t="e">
        <f t="shared" si="60"/>
        <v>#REF!</v>
      </c>
      <c r="BB54" s="287" t="e">
        <f t="shared" si="60"/>
        <v>#REF!</v>
      </c>
      <c r="BC54" s="287" t="e">
        <f t="shared" si="60"/>
        <v>#REF!</v>
      </c>
      <c r="BD54" s="287" t="e">
        <f t="shared" si="60"/>
        <v>#REF!</v>
      </c>
      <c r="BE54" s="287" t="e">
        <f t="shared" si="60"/>
        <v>#REF!</v>
      </c>
      <c r="BF54" s="287" t="e">
        <f t="shared" si="60"/>
        <v>#REF!</v>
      </c>
      <c r="BG54" s="287" t="e">
        <f t="shared" si="60"/>
        <v>#REF!</v>
      </c>
      <c r="BH54" s="287" t="e">
        <f t="shared" si="60"/>
        <v>#REF!</v>
      </c>
      <c r="BI54" s="287" t="e">
        <f t="shared" si="60"/>
        <v>#REF!</v>
      </c>
      <c r="BJ54" s="287" t="e">
        <f t="shared" si="60"/>
        <v>#REF!</v>
      </c>
      <c r="BK54" s="287" t="e">
        <f t="shared" si="60"/>
        <v>#REF!</v>
      </c>
      <c r="BL54" s="287" t="e">
        <f t="shared" si="60"/>
        <v>#REF!</v>
      </c>
      <c r="BM54" s="287" t="e">
        <f t="shared" si="60"/>
        <v>#REF!</v>
      </c>
      <c r="BN54" s="287" t="e">
        <f t="shared" si="60"/>
        <v>#REF!</v>
      </c>
      <c r="BO54" s="287" t="e">
        <f t="shared" si="60"/>
        <v>#REF!</v>
      </c>
    </row>
    <row r="55" spans="1:67" ht="20.25" customHeight="1">
      <c r="A55" s="402" t="s">
        <v>2896</v>
      </c>
      <c r="B55" s="19" t="s">
        <v>21</v>
      </c>
      <c r="C55" s="200">
        <v>3</v>
      </c>
      <c r="D55" s="361" t="str">
        <f t="shared" si="57"/>
        <v>R06</v>
      </c>
      <c r="E55" s="74" t="str">
        <f t="shared" si="58"/>
        <v>R06/3</v>
      </c>
      <c r="F55" s="337" t="e">
        <f>IF(C55=0,,VLOOKUP(E55,#REF!,5, FALSE()))</f>
        <v>#REF!</v>
      </c>
      <c r="G55" s="448"/>
      <c r="H55" s="448"/>
      <c r="I55" s="340"/>
      <c r="J55" s="340"/>
      <c r="K55" s="449"/>
      <c r="L55" s="449"/>
      <c r="M55" s="340"/>
      <c r="N55" s="340"/>
      <c r="O55" s="449"/>
      <c r="P55" s="449"/>
      <c r="Q55" s="340"/>
      <c r="R55" s="340"/>
      <c r="S55" s="449"/>
      <c r="T55" s="449"/>
      <c r="U55" s="340"/>
      <c r="V55" s="340"/>
      <c r="W55" s="480"/>
      <c r="X55" s="382" t="e">
        <f>IF(C55=0,,VLOOKUP(E55,#REF!,2, FALSE()))</f>
        <v>#REF!</v>
      </c>
      <c r="Y55" s="384" t="e">
        <f>IF(C55=0,,VLOOKUP(E55,#REF!,3, FALSE()))</f>
        <v>#REF!</v>
      </c>
      <c r="Z55" s="385"/>
      <c r="AA55" s="74"/>
      <c r="AB55" s="386" t="e">
        <f>IF(C55=0,,VLOOKUP(E55,#REF!,6, FALSE()))</f>
        <v>#REF!</v>
      </c>
      <c r="AC55" s="74"/>
      <c r="AD55" s="74"/>
      <c r="AE55" s="74"/>
      <c r="AF55" s="74"/>
      <c r="AG55" s="74"/>
      <c r="AH55" s="74"/>
      <c r="AI55" s="74"/>
      <c r="AJ55" s="389">
        <v>2.0833333333333332E-2</v>
      </c>
      <c r="AK55" s="287" t="e">
        <f t="shared" ref="AK55:BO55" si="61">(MID(#REF!, 7,2))</f>
        <v>#REF!</v>
      </c>
      <c r="AL55" s="287" t="e">
        <f t="shared" si="61"/>
        <v>#REF!</v>
      </c>
      <c r="AM55" s="287" t="e">
        <f t="shared" si="61"/>
        <v>#REF!</v>
      </c>
      <c r="AN55" s="287" t="e">
        <f t="shared" si="61"/>
        <v>#REF!</v>
      </c>
      <c r="AO55" s="287" t="e">
        <f t="shared" si="61"/>
        <v>#REF!</v>
      </c>
      <c r="AP55" s="287" t="e">
        <f t="shared" si="61"/>
        <v>#REF!</v>
      </c>
      <c r="AQ55" s="287" t="e">
        <f t="shared" si="61"/>
        <v>#REF!</v>
      </c>
      <c r="AR55" s="287" t="e">
        <f t="shared" si="61"/>
        <v>#REF!</v>
      </c>
      <c r="AS55" s="287" t="e">
        <f t="shared" si="61"/>
        <v>#REF!</v>
      </c>
      <c r="AT55" s="287" t="e">
        <f t="shared" si="61"/>
        <v>#REF!</v>
      </c>
      <c r="AU55" s="287" t="e">
        <f t="shared" si="61"/>
        <v>#REF!</v>
      </c>
      <c r="AV55" s="287" t="e">
        <f t="shared" si="61"/>
        <v>#REF!</v>
      </c>
      <c r="AW55" s="287" t="e">
        <f t="shared" si="61"/>
        <v>#REF!</v>
      </c>
      <c r="AX55" s="287" t="e">
        <f t="shared" si="61"/>
        <v>#REF!</v>
      </c>
      <c r="AY55" s="287" t="e">
        <f t="shared" si="61"/>
        <v>#REF!</v>
      </c>
      <c r="AZ55" s="287" t="e">
        <f t="shared" si="61"/>
        <v>#REF!</v>
      </c>
      <c r="BA55" s="287" t="e">
        <f t="shared" si="61"/>
        <v>#REF!</v>
      </c>
      <c r="BB55" s="287" t="e">
        <f t="shared" si="61"/>
        <v>#REF!</v>
      </c>
      <c r="BC55" s="287" t="e">
        <f t="shared" si="61"/>
        <v>#REF!</v>
      </c>
      <c r="BD55" s="287" t="e">
        <f t="shared" si="61"/>
        <v>#REF!</v>
      </c>
      <c r="BE55" s="287" t="e">
        <f t="shared" si="61"/>
        <v>#REF!</v>
      </c>
      <c r="BF55" s="287" t="e">
        <f t="shared" si="61"/>
        <v>#REF!</v>
      </c>
      <c r="BG55" s="287" t="e">
        <f t="shared" si="61"/>
        <v>#REF!</v>
      </c>
      <c r="BH55" s="287" t="e">
        <f t="shared" si="61"/>
        <v>#REF!</v>
      </c>
      <c r="BI55" s="287" t="e">
        <f t="shared" si="61"/>
        <v>#REF!</v>
      </c>
      <c r="BJ55" s="287" t="e">
        <f t="shared" si="61"/>
        <v>#REF!</v>
      </c>
      <c r="BK55" s="287" t="e">
        <f t="shared" si="61"/>
        <v>#REF!</v>
      </c>
      <c r="BL55" s="287" t="e">
        <f t="shared" si="61"/>
        <v>#REF!</v>
      </c>
      <c r="BM55" s="287" t="e">
        <f t="shared" si="61"/>
        <v>#REF!</v>
      </c>
      <c r="BN55" s="287" t="e">
        <f t="shared" si="61"/>
        <v>#REF!</v>
      </c>
      <c r="BO55" s="287" t="e">
        <f t="shared" si="61"/>
        <v>#REF!</v>
      </c>
    </row>
    <row r="56" spans="1:67" ht="20.25" customHeight="1">
      <c r="A56" s="409" t="s">
        <v>2921</v>
      </c>
      <c r="B56" s="410">
        <v>12</v>
      </c>
      <c r="C56" s="200">
        <v>4</v>
      </c>
      <c r="D56" s="361" t="str">
        <f t="shared" si="57"/>
        <v>R06</v>
      </c>
      <c r="E56" s="74" t="str">
        <f t="shared" si="58"/>
        <v>R06/4</v>
      </c>
      <c r="F56" s="337" t="e">
        <f>IF(C56=0,,VLOOKUP(E56,#REF!,5, FALSE()))</f>
        <v>#REF!</v>
      </c>
      <c r="G56" s="448"/>
      <c r="H56" s="448"/>
      <c r="I56" s="340"/>
      <c r="J56" s="340"/>
      <c r="K56" s="449"/>
      <c r="L56" s="449"/>
      <c r="M56" s="340"/>
      <c r="N56" s="340"/>
      <c r="O56" s="449"/>
      <c r="P56" s="449"/>
      <c r="Q56" s="340"/>
      <c r="R56" s="340"/>
      <c r="S56" s="449"/>
      <c r="T56" s="449"/>
      <c r="U56" s="340"/>
      <c r="V56" s="340"/>
      <c r="W56" s="480"/>
      <c r="X56" s="382" t="e">
        <f>IF(C56=0,,VLOOKUP(E56,#REF!,2, FALSE()))</f>
        <v>#REF!</v>
      </c>
      <c r="Y56" s="384" t="e">
        <f>IF(C56=0,,VLOOKUP(E56,#REF!,3, FALSE()))</f>
        <v>#REF!</v>
      </c>
      <c r="Z56" s="385"/>
      <c r="AA56" s="74"/>
      <c r="AB56" s="386" t="e">
        <f>IF(C56=0,,VLOOKUP(E56,#REF!,6, FALSE()))</f>
        <v>#REF!</v>
      </c>
      <c r="AC56" s="74"/>
      <c r="AD56" s="74"/>
      <c r="AE56" s="74"/>
      <c r="AF56" s="74"/>
      <c r="AG56" s="74"/>
      <c r="AH56" s="74"/>
      <c r="AI56" s="74"/>
      <c r="AJ56" s="422">
        <v>4.1666666666666664E-2</v>
      </c>
      <c r="AK56" s="287" t="e">
        <f t="shared" ref="AK56:BO56" si="62">(MID(#REF!, 7,2))</f>
        <v>#REF!</v>
      </c>
      <c r="AL56" s="287" t="e">
        <f t="shared" si="62"/>
        <v>#REF!</v>
      </c>
      <c r="AM56" s="287" t="e">
        <f t="shared" si="62"/>
        <v>#REF!</v>
      </c>
      <c r="AN56" s="287" t="e">
        <f t="shared" si="62"/>
        <v>#REF!</v>
      </c>
      <c r="AO56" s="287" t="e">
        <f t="shared" si="62"/>
        <v>#REF!</v>
      </c>
      <c r="AP56" s="287" t="e">
        <f t="shared" si="62"/>
        <v>#REF!</v>
      </c>
      <c r="AQ56" s="287" t="e">
        <f t="shared" si="62"/>
        <v>#REF!</v>
      </c>
      <c r="AR56" s="287" t="e">
        <f t="shared" si="62"/>
        <v>#REF!</v>
      </c>
      <c r="AS56" s="287" t="e">
        <f t="shared" si="62"/>
        <v>#REF!</v>
      </c>
      <c r="AT56" s="287" t="e">
        <f t="shared" si="62"/>
        <v>#REF!</v>
      </c>
      <c r="AU56" s="287" t="e">
        <f t="shared" si="62"/>
        <v>#REF!</v>
      </c>
      <c r="AV56" s="287" t="e">
        <f t="shared" si="62"/>
        <v>#REF!</v>
      </c>
      <c r="AW56" s="287" t="e">
        <f t="shared" si="62"/>
        <v>#REF!</v>
      </c>
      <c r="AX56" s="287" t="e">
        <f t="shared" si="62"/>
        <v>#REF!</v>
      </c>
      <c r="AY56" s="287" t="e">
        <f t="shared" si="62"/>
        <v>#REF!</v>
      </c>
      <c r="AZ56" s="287" t="e">
        <f t="shared" si="62"/>
        <v>#REF!</v>
      </c>
      <c r="BA56" s="287" t="e">
        <f t="shared" si="62"/>
        <v>#REF!</v>
      </c>
      <c r="BB56" s="287" t="e">
        <f t="shared" si="62"/>
        <v>#REF!</v>
      </c>
      <c r="BC56" s="287" t="e">
        <f t="shared" si="62"/>
        <v>#REF!</v>
      </c>
      <c r="BD56" s="287" t="e">
        <f t="shared" si="62"/>
        <v>#REF!</v>
      </c>
      <c r="BE56" s="287" t="e">
        <f t="shared" si="62"/>
        <v>#REF!</v>
      </c>
      <c r="BF56" s="287" t="e">
        <f t="shared" si="62"/>
        <v>#REF!</v>
      </c>
      <c r="BG56" s="287" t="e">
        <f t="shared" si="62"/>
        <v>#REF!</v>
      </c>
      <c r="BH56" s="287" t="e">
        <f t="shared" si="62"/>
        <v>#REF!</v>
      </c>
      <c r="BI56" s="287" t="e">
        <f t="shared" si="62"/>
        <v>#REF!</v>
      </c>
      <c r="BJ56" s="287" t="e">
        <f t="shared" si="62"/>
        <v>#REF!</v>
      </c>
      <c r="BK56" s="287" t="e">
        <f t="shared" si="62"/>
        <v>#REF!</v>
      </c>
      <c r="BL56" s="287" t="e">
        <f t="shared" si="62"/>
        <v>#REF!</v>
      </c>
      <c r="BM56" s="287" t="e">
        <f t="shared" si="62"/>
        <v>#REF!</v>
      </c>
      <c r="BN56" s="287" t="e">
        <f t="shared" si="62"/>
        <v>#REF!</v>
      </c>
      <c r="BO56" s="287" t="e">
        <f t="shared" si="62"/>
        <v>#REF!</v>
      </c>
    </row>
    <row r="57" spans="1:67" ht="20.25" customHeight="1">
      <c r="A57" s="424" t="s">
        <v>2936</v>
      </c>
      <c r="B57" s="425">
        <v>0</v>
      </c>
      <c r="C57" s="200">
        <v>5</v>
      </c>
      <c r="D57" s="361" t="str">
        <f t="shared" si="57"/>
        <v>R06</v>
      </c>
      <c r="E57" s="74" t="str">
        <f t="shared" si="58"/>
        <v>R06/5</v>
      </c>
      <c r="F57" s="337" t="e">
        <f>IF(C57=0,,VLOOKUP(E57,#REF!,5, FALSE()))</f>
        <v>#REF!</v>
      </c>
      <c r="G57" s="448"/>
      <c r="H57" s="448"/>
      <c r="I57" s="340"/>
      <c r="J57" s="340"/>
      <c r="K57" s="449"/>
      <c r="L57" s="449"/>
      <c r="M57" s="340"/>
      <c r="N57" s="340"/>
      <c r="O57" s="449"/>
      <c r="P57" s="449"/>
      <c r="Q57" s="340"/>
      <c r="R57" s="340"/>
      <c r="S57" s="449"/>
      <c r="T57" s="449"/>
      <c r="U57" s="340"/>
      <c r="V57" s="340"/>
      <c r="W57" s="480"/>
      <c r="X57" s="382" t="e">
        <f>IF(C57=0,,VLOOKUP(E57,#REF!,2, FALSE()))</f>
        <v>#REF!</v>
      </c>
      <c r="Y57" s="384" t="e">
        <f>IF(C57=0,,VLOOKUP(E57,#REF!,3, FALSE()))</f>
        <v>#REF!</v>
      </c>
      <c r="Z57" s="385"/>
      <c r="AA57" s="74"/>
      <c r="AB57" s="386" t="e">
        <f>IF(C57=0,,VLOOKUP(E57,#REF!,6, FALSE()))</f>
        <v>#REF!</v>
      </c>
      <c r="AC57" s="74"/>
      <c r="AD57" s="74"/>
      <c r="AE57" s="74"/>
      <c r="AF57" s="74"/>
      <c r="AG57" s="74"/>
      <c r="AH57" s="74"/>
      <c r="AI57" s="74"/>
      <c r="AJ57" s="389"/>
      <c r="AK57" s="287" t="e">
        <f t="shared" ref="AK57:BO57" si="63">(MID(#REF!, 7,2))</f>
        <v>#REF!</v>
      </c>
      <c r="AL57" s="287" t="e">
        <f t="shared" si="63"/>
        <v>#REF!</v>
      </c>
      <c r="AM57" s="287" t="e">
        <f t="shared" si="63"/>
        <v>#REF!</v>
      </c>
      <c r="AN57" s="287" t="e">
        <f t="shared" si="63"/>
        <v>#REF!</v>
      </c>
      <c r="AO57" s="287" t="e">
        <f t="shared" si="63"/>
        <v>#REF!</v>
      </c>
      <c r="AP57" s="287" t="e">
        <f t="shared" si="63"/>
        <v>#REF!</v>
      </c>
      <c r="AQ57" s="287" t="e">
        <f t="shared" si="63"/>
        <v>#REF!</v>
      </c>
      <c r="AR57" s="287" t="e">
        <f t="shared" si="63"/>
        <v>#REF!</v>
      </c>
      <c r="AS57" s="287" t="e">
        <f t="shared" si="63"/>
        <v>#REF!</v>
      </c>
      <c r="AT57" s="287" t="e">
        <f t="shared" si="63"/>
        <v>#REF!</v>
      </c>
      <c r="AU57" s="287" t="e">
        <f t="shared" si="63"/>
        <v>#REF!</v>
      </c>
      <c r="AV57" s="287" t="e">
        <f t="shared" si="63"/>
        <v>#REF!</v>
      </c>
      <c r="AW57" s="287" t="e">
        <f t="shared" si="63"/>
        <v>#REF!</v>
      </c>
      <c r="AX57" s="287" t="e">
        <f t="shared" si="63"/>
        <v>#REF!</v>
      </c>
      <c r="AY57" s="287" t="e">
        <f t="shared" si="63"/>
        <v>#REF!</v>
      </c>
      <c r="AZ57" s="287" t="e">
        <f t="shared" si="63"/>
        <v>#REF!</v>
      </c>
      <c r="BA57" s="287" t="e">
        <f t="shared" si="63"/>
        <v>#REF!</v>
      </c>
      <c r="BB57" s="287" t="e">
        <f t="shared" si="63"/>
        <v>#REF!</v>
      </c>
      <c r="BC57" s="287" t="e">
        <f t="shared" si="63"/>
        <v>#REF!</v>
      </c>
      <c r="BD57" s="287" t="e">
        <f t="shared" si="63"/>
        <v>#REF!</v>
      </c>
      <c r="BE57" s="287" t="e">
        <f t="shared" si="63"/>
        <v>#REF!</v>
      </c>
      <c r="BF57" s="287" t="e">
        <f t="shared" si="63"/>
        <v>#REF!</v>
      </c>
      <c r="BG57" s="287" t="e">
        <f t="shared" si="63"/>
        <v>#REF!</v>
      </c>
      <c r="BH57" s="287" t="e">
        <f t="shared" si="63"/>
        <v>#REF!</v>
      </c>
      <c r="BI57" s="287" t="e">
        <f t="shared" si="63"/>
        <v>#REF!</v>
      </c>
      <c r="BJ57" s="287" t="e">
        <f t="shared" si="63"/>
        <v>#REF!</v>
      </c>
      <c r="BK57" s="287" t="e">
        <f t="shared" si="63"/>
        <v>#REF!</v>
      </c>
      <c r="BL57" s="287" t="e">
        <f t="shared" si="63"/>
        <v>#REF!</v>
      </c>
      <c r="BM57" s="287" t="e">
        <f t="shared" si="63"/>
        <v>#REF!</v>
      </c>
      <c r="BN57" s="287" t="e">
        <f t="shared" si="63"/>
        <v>#REF!</v>
      </c>
      <c r="BO57" s="287" t="e">
        <f t="shared" si="63"/>
        <v>#REF!</v>
      </c>
    </row>
    <row r="58" spans="1:67" ht="20.25" customHeight="1">
      <c r="A58" s="424" t="e">
        <f>Z53</f>
        <v>#REF!</v>
      </c>
      <c r="B58" s="425">
        <v>1.8333333333333333</v>
      </c>
      <c r="C58" s="200">
        <v>0</v>
      </c>
      <c r="D58" s="361" t="str">
        <f t="shared" si="57"/>
        <v>R06</v>
      </c>
      <c r="E58" s="74">
        <f t="shared" si="58"/>
        <v>0</v>
      </c>
      <c r="F58" s="337">
        <f>IF(C58=0,,VLOOKUP(E58,#REF!,5, FALSE()))</f>
        <v>0</v>
      </c>
      <c r="G58" s="448"/>
      <c r="H58" s="448"/>
      <c r="I58" s="340"/>
      <c r="J58" s="340"/>
      <c r="K58" s="449"/>
      <c r="L58" s="449"/>
      <c r="M58" s="340"/>
      <c r="N58" s="340"/>
      <c r="O58" s="449"/>
      <c r="P58" s="449"/>
      <c r="Q58" s="340"/>
      <c r="R58" s="340"/>
      <c r="S58" s="449"/>
      <c r="T58" s="449"/>
      <c r="U58" s="340"/>
      <c r="V58" s="340"/>
      <c r="W58" s="480"/>
      <c r="X58" s="382">
        <f>IF(C58=0,,VLOOKUP(E58,#REF!,2, FALSE()))</f>
        <v>0</v>
      </c>
      <c r="Y58" s="384">
        <f>IF(C58=0,,VLOOKUP(E58,#REF!,3, FALSE()))</f>
        <v>0</v>
      </c>
      <c r="Z58" s="385"/>
      <c r="AA58" s="74"/>
      <c r="AB58" s="386">
        <f>IF(C58=0,,VLOOKUP(E58,#REF!,6, FALSE()))</f>
        <v>0</v>
      </c>
      <c r="AC58" s="74"/>
      <c r="AD58" s="74"/>
      <c r="AE58" s="74"/>
      <c r="AF58" s="74"/>
      <c r="AG58" s="74"/>
      <c r="AH58" s="74"/>
      <c r="AI58" s="74"/>
      <c r="AJ58" s="389"/>
      <c r="AK58" s="287" t="e">
        <f t="shared" ref="AK58:BO58" si="64">(MID(#REF!, 7,2))</f>
        <v>#REF!</v>
      </c>
      <c r="AL58" s="287" t="e">
        <f t="shared" si="64"/>
        <v>#REF!</v>
      </c>
      <c r="AM58" s="287" t="e">
        <f t="shared" si="64"/>
        <v>#REF!</v>
      </c>
      <c r="AN58" s="287" t="e">
        <f t="shared" si="64"/>
        <v>#REF!</v>
      </c>
      <c r="AO58" s="287" t="e">
        <f t="shared" si="64"/>
        <v>#REF!</v>
      </c>
      <c r="AP58" s="287" t="e">
        <f t="shared" si="64"/>
        <v>#REF!</v>
      </c>
      <c r="AQ58" s="287" t="e">
        <f t="shared" si="64"/>
        <v>#REF!</v>
      </c>
      <c r="AR58" s="287" t="e">
        <f t="shared" si="64"/>
        <v>#REF!</v>
      </c>
      <c r="AS58" s="287" t="e">
        <f t="shared" si="64"/>
        <v>#REF!</v>
      </c>
      <c r="AT58" s="287" t="e">
        <f t="shared" si="64"/>
        <v>#REF!</v>
      </c>
      <c r="AU58" s="287" t="e">
        <f t="shared" si="64"/>
        <v>#REF!</v>
      </c>
      <c r="AV58" s="287" t="e">
        <f t="shared" si="64"/>
        <v>#REF!</v>
      </c>
      <c r="AW58" s="287" t="e">
        <f t="shared" si="64"/>
        <v>#REF!</v>
      </c>
      <c r="AX58" s="287" t="e">
        <f t="shared" si="64"/>
        <v>#REF!</v>
      </c>
      <c r="AY58" s="287" t="e">
        <f t="shared" si="64"/>
        <v>#REF!</v>
      </c>
      <c r="AZ58" s="287" t="e">
        <f t="shared" si="64"/>
        <v>#REF!</v>
      </c>
      <c r="BA58" s="287" t="e">
        <f t="shared" si="64"/>
        <v>#REF!</v>
      </c>
      <c r="BB58" s="287" t="e">
        <f t="shared" si="64"/>
        <v>#REF!</v>
      </c>
      <c r="BC58" s="287" t="e">
        <f t="shared" si="64"/>
        <v>#REF!</v>
      </c>
      <c r="BD58" s="287" t="e">
        <f t="shared" si="64"/>
        <v>#REF!</v>
      </c>
      <c r="BE58" s="287" t="e">
        <f t="shared" si="64"/>
        <v>#REF!</v>
      </c>
      <c r="BF58" s="287" t="e">
        <f t="shared" si="64"/>
        <v>#REF!</v>
      </c>
      <c r="BG58" s="287" t="e">
        <f t="shared" si="64"/>
        <v>#REF!</v>
      </c>
      <c r="BH58" s="287" t="e">
        <f t="shared" si="64"/>
        <v>#REF!</v>
      </c>
      <c r="BI58" s="287" t="e">
        <f t="shared" si="64"/>
        <v>#REF!</v>
      </c>
      <c r="BJ58" s="287" t="e">
        <f t="shared" si="64"/>
        <v>#REF!</v>
      </c>
      <c r="BK58" s="287" t="e">
        <f t="shared" si="64"/>
        <v>#REF!</v>
      </c>
      <c r="BL58" s="287" t="e">
        <f t="shared" si="64"/>
        <v>#REF!</v>
      </c>
      <c r="BM58" s="287" t="e">
        <f t="shared" si="64"/>
        <v>#REF!</v>
      </c>
      <c r="BN58" s="287" t="e">
        <f t="shared" si="64"/>
        <v>#REF!</v>
      </c>
      <c r="BO58" s="287" t="e">
        <f t="shared" si="64"/>
        <v>#REF!</v>
      </c>
    </row>
    <row r="59" spans="1:67" ht="20.25" customHeight="1">
      <c r="A59" s="424" t="s">
        <v>2951</v>
      </c>
      <c r="B59" s="425" t="e">
        <f>SUM(AB53:AB61)</f>
        <v>#REF!</v>
      </c>
      <c r="C59" s="200">
        <v>0</v>
      </c>
      <c r="D59" s="361" t="str">
        <f t="shared" si="57"/>
        <v>R06</v>
      </c>
      <c r="E59" s="74">
        <f t="shared" si="58"/>
        <v>0</v>
      </c>
      <c r="F59" s="337">
        <f>IF(C59=0,,VLOOKUP(E59,#REF!,5, FALSE()))</f>
        <v>0</v>
      </c>
      <c r="G59" s="448"/>
      <c r="H59" s="448"/>
      <c r="I59" s="340"/>
      <c r="J59" s="340"/>
      <c r="K59" s="449"/>
      <c r="L59" s="449"/>
      <c r="M59" s="340"/>
      <c r="N59" s="340"/>
      <c r="O59" s="449"/>
      <c r="P59" s="449"/>
      <c r="Q59" s="340"/>
      <c r="R59" s="340"/>
      <c r="S59" s="449"/>
      <c r="T59" s="449"/>
      <c r="U59" s="340"/>
      <c r="V59" s="340"/>
      <c r="W59" s="480"/>
      <c r="X59" s="382">
        <f>IF(C59=0,,VLOOKUP(E59,#REF!,2, FALSE()))</f>
        <v>0</v>
      </c>
      <c r="Y59" s="384">
        <f>IF(C59=0,,VLOOKUP(E59,#REF!,3, FALSE()))</f>
        <v>0</v>
      </c>
      <c r="Z59" s="385"/>
      <c r="AA59" s="74"/>
      <c r="AB59" s="386">
        <f>IF(C59=0,,VLOOKUP(E59,#REF!,6, FALSE()))</f>
        <v>0</v>
      </c>
      <c r="AC59" s="74"/>
      <c r="AD59" s="74"/>
      <c r="AE59" s="74"/>
      <c r="AF59" s="74"/>
      <c r="AG59" s="74"/>
      <c r="AH59" s="74"/>
      <c r="AI59" s="74"/>
      <c r="AJ59" s="389"/>
      <c r="AK59" s="287" t="e">
        <f t="shared" ref="AK59:BO59" si="65">(MID(#REF!, 7,2))</f>
        <v>#REF!</v>
      </c>
      <c r="AL59" s="287" t="e">
        <f t="shared" si="65"/>
        <v>#REF!</v>
      </c>
      <c r="AM59" s="287" t="e">
        <f t="shared" si="65"/>
        <v>#REF!</v>
      </c>
      <c r="AN59" s="287" t="e">
        <f t="shared" si="65"/>
        <v>#REF!</v>
      </c>
      <c r="AO59" s="287" t="e">
        <f t="shared" si="65"/>
        <v>#REF!</v>
      </c>
      <c r="AP59" s="287" t="e">
        <f t="shared" si="65"/>
        <v>#REF!</v>
      </c>
      <c r="AQ59" s="287" t="e">
        <f t="shared" si="65"/>
        <v>#REF!</v>
      </c>
      <c r="AR59" s="287" t="e">
        <f t="shared" si="65"/>
        <v>#REF!</v>
      </c>
      <c r="AS59" s="287" t="e">
        <f t="shared" si="65"/>
        <v>#REF!</v>
      </c>
      <c r="AT59" s="287" t="e">
        <f t="shared" si="65"/>
        <v>#REF!</v>
      </c>
      <c r="AU59" s="287" t="e">
        <f t="shared" si="65"/>
        <v>#REF!</v>
      </c>
      <c r="AV59" s="287" t="e">
        <f t="shared" si="65"/>
        <v>#REF!</v>
      </c>
      <c r="AW59" s="287" t="e">
        <f t="shared" si="65"/>
        <v>#REF!</v>
      </c>
      <c r="AX59" s="287" t="e">
        <f t="shared" si="65"/>
        <v>#REF!</v>
      </c>
      <c r="AY59" s="287" t="e">
        <f t="shared" si="65"/>
        <v>#REF!</v>
      </c>
      <c r="AZ59" s="287" t="e">
        <f t="shared" si="65"/>
        <v>#REF!</v>
      </c>
      <c r="BA59" s="287" t="e">
        <f t="shared" si="65"/>
        <v>#REF!</v>
      </c>
      <c r="BB59" s="287" t="e">
        <f t="shared" si="65"/>
        <v>#REF!</v>
      </c>
      <c r="BC59" s="287" t="e">
        <f t="shared" si="65"/>
        <v>#REF!</v>
      </c>
      <c r="BD59" s="287" t="e">
        <f t="shared" si="65"/>
        <v>#REF!</v>
      </c>
      <c r="BE59" s="287" t="e">
        <f t="shared" si="65"/>
        <v>#REF!</v>
      </c>
      <c r="BF59" s="287" t="e">
        <f t="shared" si="65"/>
        <v>#REF!</v>
      </c>
      <c r="BG59" s="287" t="e">
        <f t="shared" si="65"/>
        <v>#REF!</v>
      </c>
      <c r="BH59" s="287" t="e">
        <f t="shared" si="65"/>
        <v>#REF!</v>
      </c>
      <c r="BI59" s="287" t="e">
        <f t="shared" si="65"/>
        <v>#REF!</v>
      </c>
      <c r="BJ59" s="287" t="e">
        <f t="shared" si="65"/>
        <v>#REF!</v>
      </c>
      <c r="BK59" s="287" t="e">
        <f t="shared" si="65"/>
        <v>#REF!</v>
      </c>
      <c r="BL59" s="287" t="e">
        <f t="shared" si="65"/>
        <v>#REF!</v>
      </c>
      <c r="BM59" s="287" t="e">
        <f t="shared" si="65"/>
        <v>#REF!</v>
      </c>
      <c r="BN59" s="287" t="e">
        <f t="shared" si="65"/>
        <v>#REF!</v>
      </c>
      <c r="BO59" s="287" t="e">
        <f t="shared" si="65"/>
        <v>#REF!</v>
      </c>
    </row>
    <row r="60" spans="1:67" ht="20.25" customHeight="1">
      <c r="A60" s="424" t="s">
        <v>2952</v>
      </c>
      <c r="B60" s="425">
        <f>SUM(AJ53:AJ61)</f>
        <v>0.14583333333333331</v>
      </c>
      <c r="C60" s="200">
        <v>0</v>
      </c>
      <c r="D60" s="361" t="str">
        <f t="shared" si="57"/>
        <v>R06</v>
      </c>
      <c r="E60" s="74">
        <f t="shared" si="58"/>
        <v>0</v>
      </c>
      <c r="F60" s="337">
        <f>IF(C60=0,,VLOOKUP(E60,#REF!,5, FALSE()))</f>
        <v>0</v>
      </c>
      <c r="G60" s="448"/>
      <c r="H60" s="448"/>
      <c r="I60" s="340"/>
      <c r="J60" s="340"/>
      <c r="K60" s="449"/>
      <c r="L60" s="449"/>
      <c r="M60" s="340"/>
      <c r="N60" s="340"/>
      <c r="O60" s="449"/>
      <c r="P60" s="449"/>
      <c r="Q60" s="340"/>
      <c r="R60" s="340"/>
      <c r="S60" s="449"/>
      <c r="T60" s="449"/>
      <c r="U60" s="340"/>
      <c r="V60" s="340"/>
      <c r="W60" s="480"/>
      <c r="X60" s="382">
        <f>IF(C60=0,,VLOOKUP(E60,#REF!,2, FALSE()))</f>
        <v>0</v>
      </c>
      <c r="Y60" s="384">
        <f>IF(C60=0,,VLOOKUP(E60,#REF!,3, FALSE()))</f>
        <v>0</v>
      </c>
      <c r="Z60" s="385"/>
      <c r="AA60" s="74"/>
      <c r="AB60" s="386">
        <f>IF(C60=0,,VLOOKUP(E60,#REF!,6, FALSE()))</f>
        <v>0</v>
      </c>
      <c r="AC60" s="74"/>
      <c r="AD60" s="74"/>
      <c r="AE60" s="74"/>
      <c r="AF60" s="74"/>
      <c r="AG60" s="74"/>
      <c r="AH60" s="74"/>
      <c r="AI60" s="74"/>
      <c r="AJ60" s="389"/>
      <c r="AK60" s="287" t="e">
        <f t="shared" ref="AK60:BO60" si="66">(MID(#REF!, 7,2))</f>
        <v>#REF!</v>
      </c>
      <c r="AL60" s="287" t="e">
        <f t="shared" si="66"/>
        <v>#REF!</v>
      </c>
      <c r="AM60" s="287" t="e">
        <f t="shared" si="66"/>
        <v>#REF!</v>
      </c>
      <c r="AN60" s="287" t="e">
        <f t="shared" si="66"/>
        <v>#REF!</v>
      </c>
      <c r="AO60" s="287" t="e">
        <f t="shared" si="66"/>
        <v>#REF!</v>
      </c>
      <c r="AP60" s="287" t="e">
        <f t="shared" si="66"/>
        <v>#REF!</v>
      </c>
      <c r="AQ60" s="287" t="e">
        <f t="shared" si="66"/>
        <v>#REF!</v>
      </c>
      <c r="AR60" s="287" t="e">
        <f t="shared" si="66"/>
        <v>#REF!</v>
      </c>
      <c r="AS60" s="287" t="e">
        <f t="shared" si="66"/>
        <v>#REF!</v>
      </c>
      <c r="AT60" s="287" t="e">
        <f t="shared" si="66"/>
        <v>#REF!</v>
      </c>
      <c r="AU60" s="287" t="e">
        <f t="shared" si="66"/>
        <v>#REF!</v>
      </c>
      <c r="AV60" s="287" t="e">
        <f t="shared" si="66"/>
        <v>#REF!</v>
      </c>
      <c r="AW60" s="287" t="e">
        <f t="shared" si="66"/>
        <v>#REF!</v>
      </c>
      <c r="AX60" s="287" t="e">
        <f t="shared" si="66"/>
        <v>#REF!</v>
      </c>
      <c r="AY60" s="287" t="e">
        <f t="shared" si="66"/>
        <v>#REF!</v>
      </c>
      <c r="AZ60" s="287" t="e">
        <f t="shared" si="66"/>
        <v>#REF!</v>
      </c>
      <c r="BA60" s="287" t="e">
        <f t="shared" si="66"/>
        <v>#REF!</v>
      </c>
      <c r="BB60" s="287" t="e">
        <f t="shared" si="66"/>
        <v>#REF!</v>
      </c>
      <c r="BC60" s="287" t="e">
        <f t="shared" si="66"/>
        <v>#REF!</v>
      </c>
      <c r="BD60" s="287" t="e">
        <f t="shared" si="66"/>
        <v>#REF!</v>
      </c>
      <c r="BE60" s="287" t="e">
        <f t="shared" si="66"/>
        <v>#REF!</v>
      </c>
      <c r="BF60" s="287" t="e">
        <f t="shared" si="66"/>
        <v>#REF!</v>
      </c>
      <c r="BG60" s="287" t="e">
        <f t="shared" si="66"/>
        <v>#REF!</v>
      </c>
      <c r="BH60" s="287" t="e">
        <f t="shared" si="66"/>
        <v>#REF!</v>
      </c>
      <c r="BI60" s="287" t="e">
        <f t="shared" si="66"/>
        <v>#REF!</v>
      </c>
      <c r="BJ60" s="287" t="e">
        <f t="shared" si="66"/>
        <v>#REF!</v>
      </c>
      <c r="BK60" s="287" t="e">
        <f t="shared" si="66"/>
        <v>#REF!</v>
      </c>
      <c r="BL60" s="287" t="e">
        <f t="shared" si="66"/>
        <v>#REF!</v>
      </c>
      <c r="BM60" s="287" t="e">
        <f t="shared" si="66"/>
        <v>#REF!</v>
      </c>
      <c r="BN60" s="287" t="e">
        <f t="shared" si="66"/>
        <v>#REF!</v>
      </c>
      <c r="BO60" s="287" t="e">
        <f t="shared" si="66"/>
        <v>#REF!</v>
      </c>
    </row>
    <row r="61" spans="1:67" ht="20.25" customHeight="1">
      <c r="A61" s="443" t="s">
        <v>2953</v>
      </c>
      <c r="B61" s="444" t="e">
        <f>B58-B59-B60</f>
        <v>#REF!</v>
      </c>
      <c r="C61" s="200">
        <v>0</v>
      </c>
      <c r="D61" s="361" t="str">
        <f t="shared" si="57"/>
        <v>R06</v>
      </c>
      <c r="E61" s="74">
        <f t="shared" si="58"/>
        <v>0</v>
      </c>
      <c r="F61" s="337">
        <f>IF(C61=0,,VLOOKUP(E61,#REF!,5, FALSE()))</f>
        <v>0</v>
      </c>
      <c r="G61" s="448"/>
      <c r="H61" s="448"/>
      <c r="I61" s="340"/>
      <c r="J61" s="340"/>
      <c r="K61" s="449"/>
      <c r="L61" s="449"/>
      <c r="M61" s="340"/>
      <c r="N61" s="340"/>
      <c r="O61" s="449"/>
      <c r="P61" s="449"/>
      <c r="Q61" s="340"/>
      <c r="R61" s="340"/>
      <c r="S61" s="449"/>
      <c r="T61" s="449"/>
      <c r="U61" s="340"/>
      <c r="V61" s="340"/>
      <c r="W61" s="481"/>
      <c r="X61" s="382">
        <f>IF(C61=0,,VLOOKUP(E61,#REF!,2, FALSE()))</f>
        <v>0</v>
      </c>
      <c r="Y61" s="384">
        <f>IF(C61=0,,VLOOKUP(E61,#REF!,3, FALSE()))</f>
        <v>0</v>
      </c>
      <c r="Z61" s="385"/>
      <c r="AA61" s="74"/>
      <c r="AB61" s="386">
        <f>IF(C61=0,,VLOOKUP(E61,#REF!,6, FALSE()))</f>
        <v>0</v>
      </c>
      <c r="AC61" s="74"/>
      <c r="AD61" s="74"/>
      <c r="AE61" s="74"/>
      <c r="AF61" s="74"/>
      <c r="AG61" s="74"/>
      <c r="AH61" s="74"/>
      <c r="AI61" s="74"/>
      <c r="AJ61" s="389"/>
      <c r="AK61" s="287" t="e">
        <f t="shared" ref="AK61:BO61" si="67">(MID(#REF!, 7,2))</f>
        <v>#REF!</v>
      </c>
      <c r="AL61" s="287" t="e">
        <f t="shared" si="67"/>
        <v>#REF!</v>
      </c>
      <c r="AM61" s="287" t="e">
        <f t="shared" si="67"/>
        <v>#REF!</v>
      </c>
      <c r="AN61" s="287" t="e">
        <f t="shared" si="67"/>
        <v>#REF!</v>
      </c>
      <c r="AO61" s="287" t="e">
        <f t="shared" si="67"/>
        <v>#REF!</v>
      </c>
      <c r="AP61" s="287" t="e">
        <f t="shared" si="67"/>
        <v>#REF!</v>
      </c>
      <c r="AQ61" s="287" t="e">
        <f t="shared" si="67"/>
        <v>#REF!</v>
      </c>
      <c r="AR61" s="287" t="e">
        <f t="shared" si="67"/>
        <v>#REF!</v>
      </c>
      <c r="AS61" s="287" t="e">
        <f t="shared" si="67"/>
        <v>#REF!</v>
      </c>
      <c r="AT61" s="287" t="e">
        <f t="shared" si="67"/>
        <v>#REF!</v>
      </c>
      <c r="AU61" s="287" t="e">
        <f t="shared" si="67"/>
        <v>#REF!</v>
      </c>
      <c r="AV61" s="287" t="e">
        <f t="shared" si="67"/>
        <v>#REF!</v>
      </c>
      <c r="AW61" s="287" t="e">
        <f t="shared" si="67"/>
        <v>#REF!</v>
      </c>
      <c r="AX61" s="287" t="e">
        <f t="shared" si="67"/>
        <v>#REF!</v>
      </c>
      <c r="AY61" s="287" t="e">
        <f t="shared" si="67"/>
        <v>#REF!</v>
      </c>
      <c r="AZ61" s="287" t="e">
        <f t="shared" si="67"/>
        <v>#REF!</v>
      </c>
      <c r="BA61" s="287" t="e">
        <f t="shared" si="67"/>
        <v>#REF!</v>
      </c>
      <c r="BB61" s="287" t="e">
        <f t="shared" si="67"/>
        <v>#REF!</v>
      </c>
      <c r="BC61" s="287" t="e">
        <f t="shared" si="67"/>
        <v>#REF!</v>
      </c>
      <c r="BD61" s="287" t="e">
        <f t="shared" si="67"/>
        <v>#REF!</v>
      </c>
      <c r="BE61" s="287" t="e">
        <f t="shared" si="67"/>
        <v>#REF!</v>
      </c>
      <c r="BF61" s="287" t="e">
        <f t="shared" si="67"/>
        <v>#REF!</v>
      </c>
      <c r="BG61" s="287" t="e">
        <f t="shared" si="67"/>
        <v>#REF!</v>
      </c>
      <c r="BH61" s="287" t="e">
        <f t="shared" si="67"/>
        <v>#REF!</v>
      </c>
      <c r="BI61" s="287" t="e">
        <f t="shared" si="67"/>
        <v>#REF!</v>
      </c>
      <c r="BJ61" s="287" t="e">
        <f t="shared" si="67"/>
        <v>#REF!</v>
      </c>
      <c r="BK61" s="287" t="e">
        <f t="shared" si="67"/>
        <v>#REF!</v>
      </c>
      <c r="BL61" s="287" t="e">
        <f t="shared" si="67"/>
        <v>#REF!</v>
      </c>
      <c r="BM61" s="287" t="e">
        <f t="shared" si="67"/>
        <v>#REF!</v>
      </c>
      <c r="BN61" s="287" t="e">
        <f t="shared" si="67"/>
        <v>#REF!</v>
      </c>
      <c r="BO61" s="287" t="e">
        <f t="shared" si="67"/>
        <v>#REF!</v>
      </c>
    </row>
    <row r="62" spans="1:67" ht="3.75" customHeight="1">
      <c r="G62" s="446"/>
      <c r="H62" s="446"/>
      <c r="I62" s="285"/>
      <c r="J62" s="285"/>
      <c r="K62" s="346"/>
      <c r="L62" s="346"/>
      <c r="M62" s="285"/>
      <c r="N62" s="285"/>
      <c r="O62" s="346"/>
      <c r="P62" s="346"/>
      <c r="Q62" s="285"/>
      <c r="R62" s="285"/>
      <c r="S62" s="346"/>
      <c r="T62" s="346"/>
      <c r="U62" s="285"/>
      <c r="V62" s="285"/>
      <c r="Y62" s="447"/>
      <c r="AK62" s="346"/>
      <c r="AL62" s="346"/>
      <c r="AM62" s="346"/>
      <c r="AN62" s="346"/>
      <c r="AO62" s="346"/>
      <c r="AP62" s="346"/>
      <c r="AQ62" s="346"/>
      <c r="AR62" s="346"/>
      <c r="AS62" s="346"/>
      <c r="AT62" s="346"/>
      <c r="AU62" s="346"/>
      <c r="AV62" s="346"/>
      <c r="AW62" s="346"/>
      <c r="AX62" s="346"/>
      <c r="AY62" s="346"/>
      <c r="AZ62" s="346"/>
      <c r="BA62" s="346"/>
      <c r="BB62" s="346"/>
      <c r="BC62" s="346"/>
      <c r="BD62" s="346"/>
      <c r="BE62" s="346"/>
      <c r="BF62" s="346"/>
      <c r="BG62" s="346"/>
      <c r="BH62" s="346"/>
      <c r="BI62" s="346"/>
      <c r="BJ62" s="346"/>
      <c r="BK62" s="346"/>
      <c r="BL62" s="346"/>
      <c r="BM62" s="346"/>
      <c r="BN62" s="346"/>
      <c r="BO62" s="346"/>
    </row>
    <row r="63" spans="1:67" ht="20.25" customHeight="1">
      <c r="A63" s="200" t="s">
        <v>2459</v>
      </c>
      <c r="B63" s="217" t="s">
        <v>277</v>
      </c>
      <c r="C63" s="200">
        <v>1</v>
      </c>
      <c r="D63" s="361" t="str">
        <f t="shared" ref="D63:D71" si="68">$B$63</f>
        <v>R07</v>
      </c>
      <c r="E63" s="74" t="str">
        <f t="shared" ref="E63:E71" si="69">IF(C63=0,,CONCATENATE(D63,"/",C63))</f>
        <v>R07/1</v>
      </c>
      <c r="F63" s="337" t="e">
        <f>IF(C63=0,,VLOOKUP(E63,#REF!,5, FALSE()))</f>
        <v>#REF!</v>
      </c>
      <c r="G63" s="448"/>
      <c r="H63" s="448"/>
      <c r="I63" s="340"/>
      <c r="J63" s="340"/>
      <c r="K63" s="449"/>
      <c r="L63" s="449"/>
      <c r="M63" s="340"/>
      <c r="N63" s="340"/>
      <c r="O63" s="449"/>
      <c r="P63" s="449"/>
      <c r="Q63" s="340"/>
      <c r="R63" s="340"/>
      <c r="S63" s="449"/>
      <c r="T63" s="449"/>
      <c r="U63" s="340"/>
      <c r="V63" s="340"/>
      <c r="W63" s="563" t="e">
        <f>CONCATENATE(F63," + ",F64," + ",F65," + ",F66," + ",F67," + ",F68," + ",F69," + ",F70," + ",F71)</f>
        <v>#REF!</v>
      </c>
      <c r="X63" s="382" t="e">
        <f>IF(C63=0,,VLOOKUP(E63,#REF!,2, FALSE()))</f>
        <v>#REF!</v>
      </c>
      <c r="Y63" s="384" t="e">
        <f>IF(C63=0,,VLOOKUP(E63,#REF!,3, FALSE()))</f>
        <v>#REF!</v>
      </c>
      <c r="Z63" s="385" t="e">
        <f>VLOOKUP(Y63,#REF!,6, FALSE())</f>
        <v>#REF!</v>
      </c>
      <c r="AA63" s="74" t="str">
        <f>$B65</f>
        <v>Cesta Gd</v>
      </c>
      <c r="AB63" s="386" t="e">
        <f>IF(C63=0,,VLOOKUP(E63,#REF!,6, FALSE()))</f>
        <v>#REF!</v>
      </c>
      <c r="AC63" s="74"/>
      <c r="AD63" s="74">
        <f>$B66</f>
        <v>10</v>
      </c>
      <c r="AE63" s="74"/>
      <c r="AF63" s="450">
        <f>$B67</f>
        <v>0</v>
      </c>
      <c r="AG63" s="74"/>
      <c r="AH63" s="450" t="e">
        <f>$B69</f>
        <v>#REF!</v>
      </c>
      <c r="AI63" s="450" t="e">
        <f>B69+B70</f>
        <v>#REF!</v>
      </c>
      <c r="AJ63" s="389"/>
      <c r="AK63" s="287" t="e">
        <f t="shared" ref="AK63:BO63" si="70">(MID(#REF!, 7,2))</f>
        <v>#REF!</v>
      </c>
      <c r="AL63" s="287" t="e">
        <f t="shared" si="70"/>
        <v>#REF!</v>
      </c>
      <c r="AM63" s="287" t="e">
        <f t="shared" si="70"/>
        <v>#REF!</v>
      </c>
      <c r="AN63" s="287" t="e">
        <f t="shared" si="70"/>
        <v>#REF!</v>
      </c>
      <c r="AO63" s="287" t="e">
        <f t="shared" si="70"/>
        <v>#REF!</v>
      </c>
      <c r="AP63" s="287" t="e">
        <f t="shared" si="70"/>
        <v>#REF!</v>
      </c>
      <c r="AQ63" s="287" t="e">
        <f t="shared" si="70"/>
        <v>#REF!</v>
      </c>
      <c r="AR63" s="287" t="e">
        <f t="shared" si="70"/>
        <v>#REF!</v>
      </c>
      <c r="AS63" s="287" t="e">
        <f t="shared" si="70"/>
        <v>#REF!</v>
      </c>
      <c r="AT63" s="287" t="e">
        <f t="shared" si="70"/>
        <v>#REF!</v>
      </c>
      <c r="AU63" s="287" t="e">
        <f t="shared" si="70"/>
        <v>#REF!</v>
      </c>
      <c r="AV63" s="287" t="e">
        <f t="shared" si="70"/>
        <v>#REF!</v>
      </c>
      <c r="AW63" s="287" t="e">
        <f t="shared" si="70"/>
        <v>#REF!</v>
      </c>
      <c r="AX63" s="287" t="e">
        <f t="shared" si="70"/>
        <v>#REF!</v>
      </c>
      <c r="AY63" s="287" t="e">
        <f t="shared" si="70"/>
        <v>#REF!</v>
      </c>
      <c r="AZ63" s="287" t="e">
        <f t="shared" si="70"/>
        <v>#REF!</v>
      </c>
      <c r="BA63" s="287" t="e">
        <f t="shared" si="70"/>
        <v>#REF!</v>
      </c>
      <c r="BB63" s="287" t="e">
        <f t="shared" si="70"/>
        <v>#REF!</v>
      </c>
      <c r="BC63" s="287" t="e">
        <f t="shared" si="70"/>
        <v>#REF!</v>
      </c>
      <c r="BD63" s="287" t="e">
        <f t="shared" si="70"/>
        <v>#REF!</v>
      </c>
      <c r="BE63" s="287" t="e">
        <f t="shared" si="70"/>
        <v>#REF!</v>
      </c>
      <c r="BF63" s="287" t="e">
        <f t="shared" si="70"/>
        <v>#REF!</v>
      </c>
      <c r="BG63" s="287" t="e">
        <f t="shared" si="70"/>
        <v>#REF!</v>
      </c>
      <c r="BH63" s="287" t="e">
        <f t="shared" si="70"/>
        <v>#REF!</v>
      </c>
      <c r="BI63" s="287" t="e">
        <f t="shared" si="70"/>
        <v>#REF!</v>
      </c>
      <c r="BJ63" s="287" t="e">
        <f t="shared" si="70"/>
        <v>#REF!</v>
      </c>
      <c r="BK63" s="287" t="e">
        <f t="shared" si="70"/>
        <v>#REF!</v>
      </c>
      <c r="BL63" s="287" t="e">
        <f t="shared" si="70"/>
        <v>#REF!</v>
      </c>
      <c r="BM63" s="287" t="e">
        <f t="shared" si="70"/>
        <v>#REF!</v>
      </c>
      <c r="BN63" s="287" t="e">
        <f t="shared" si="70"/>
        <v>#REF!</v>
      </c>
      <c r="BO63" s="287" t="e">
        <f t="shared" si="70"/>
        <v>#REF!</v>
      </c>
    </row>
    <row r="64" spans="1:67" ht="20.25" customHeight="1">
      <c r="A64" s="562" t="e">
        <f>Y63</f>
        <v>#REF!</v>
      </c>
      <c r="B64" s="499"/>
      <c r="C64" s="200">
        <v>2</v>
      </c>
      <c r="D64" s="361" t="str">
        <f t="shared" si="68"/>
        <v>R07</v>
      </c>
      <c r="E64" s="74" t="str">
        <f t="shared" si="69"/>
        <v>R07/2</v>
      </c>
      <c r="F64" s="337" t="e">
        <f>IF(C64=0,,VLOOKUP(E64,#REF!,5, FALSE()))</f>
        <v>#REF!</v>
      </c>
      <c r="G64" s="448"/>
      <c r="H64" s="448"/>
      <c r="I64" s="340"/>
      <c r="J64" s="340"/>
      <c r="K64" s="449"/>
      <c r="L64" s="449"/>
      <c r="M64" s="340"/>
      <c r="N64" s="340"/>
      <c r="O64" s="449"/>
      <c r="P64" s="449"/>
      <c r="Q64" s="340"/>
      <c r="R64" s="340"/>
      <c r="S64" s="449"/>
      <c r="T64" s="449"/>
      <c r="U64" s="340"/>
      <c r="V64" s="340"/>
      <c r="W64" s="480"/>
      <c r="X64" s="382" t="e">
        <f>IF(C64=0,,VLOOKUP(E64,#REF!,2, FALSE()))</f>
        <v>#REF!</v>
      </c>
      <c r="Y64" s="384" t="e">
        <f>IF(C64=0,,VLOOKUP(E64,#REF!,3, FALSE()))</f>
        <v>#REF!</v>
      </c>
      <c r="Z64" s="385"/>
      <c r="AA64" s="74"/>
      <c r="AB64" s="386" t="e">
        <f>IF(C64=0,,VLOOKUP(E64,#REF!,6, FALSE()))</f>
        <v>#REF!</v>
      </c>
      <c r="AC64" s="74"/>
      <c r="AD64" s="74"/>
      <c r="AE64" s="74"/>
      <c r="AF64" s="74"/>
      <c r="AG64" s="74"/>
      <c r="AH64" s="74"/>
      <c r="AI64" s="74"/>
      <c r="AJ64" s="389">
        <v>4.1666666666666664E-2</v>
      </c>
      <c r="AK64" s="287" t="e">
        <f t="shared" ref="AK64:BO64" si="71">(MID(#REF!, 7,2))</f>
        <v>#REF!</v>
      </c>
      <c r="AL64" s="287" t="e">
        <f t="shared" si="71"/>
        <v>#REF!</v>
      </c>
      <c r="AM64" s="287" t="e">
        <f t="shared" si="71"/>
        <v>#REF!</v>
      </c>
      <c r="AN64" s="287" t="e">
        <f t="shared" si="71"/>
        <v>#REF!</v>
      </c>
      <c r="AO64" s="287" t="e">
        <f t="shared" si="71"/>
        <v>#REF!</v>
      </c>
      <c r="AP64" s="287" t="e">
        <f t="shared" si="71"/>
        <v>#REF!</v>
      </c>
      <c r="AQ64" s="287" t="e">
        <f t="shared" si="71"/>
        <v>#REF!</v>
      </c>
      <c r="AR64" s="287" t="e">
        <f t="shared" si="71"/>
        <v>#REF!</v>
      </c>
      <c r="AS64" s="287" t="e">
        <f t="shared" si="71"/>
        <v>#REF!</v>
      </c>
      <c r="AT64" s="287" t="e">
        <f t="shared" si="71"/>
        <v>#REF!</v>
      </c>
      <c r="AU64" s="287" t="e">
        <f t="shared" si="71"/>
        <v>#REF!</v>
      </c>
      <c r="AV64" s="287" t="e">
        <f t="shared" si="71"/>
        <v>#REF!</v>
      </c>
      <c r="AW64" s="287" t="e">
        <f t="shared" si="71"/>
        <v>#REF!</v>
      </c>
      <c r="AX64" s="287" t="e">
        <f t="shared" si="71"/>
        <v>#REF!</v>
      </c>
      <c r="AY64" s="287" t="e">
        <f t="shared" si="71"/>
        <v>#REF!</v>
      </c>
      <c r="AZ64" s="287" t="e">
        <f t="shared" si="71"/>
        <v>#REF!</v>
      </c>
      <c r="BA64" s="287" t="e">
        <f t="shared" si="71"/>
        <v>#REF!</v>
      </c>
      <c r="BB64" s="287" t="e">
        <f t="shared" si="71"/>
        <v>#REF!</v>
      </c>
      <c r="BC64" s="287" t="e">
        <f t="shared" si="71"/>
        <v>#REF!</v>
      </c>
      <c r="BD64" s="287" t="e">
        <f t="shared" si="71"/>
        <v>#REF!</v>
      </c>
      <c r="BE64" s="287" t="e">
        <f t="shared" si="71"/>
        <v>#REF!</v>
      </c>
      <c r="BF64" s="287" t="e">
        <f t="shared" si="71"/>
        <v>#REF!</v>
      </c>
      <c r="BG64" s="287" t="e">
        <f t="shared" si="71"/>
        <v>#REF!</v>
      </c>
      <c r="BH64" s="287" t="e">
        <f t="shared" si="71"/>
        <v>#REF!</v>
      </c>
      <c r="BI64" s="287" t="e">
        <f t="shared" si="71"/>
        <v>#REF!</v>
      </c>
      <c r="BJ64" s="287" t="e">
        <f t="shared" si="71"/>
        <v>#REF!</v>
      </c>
      <c r="BK64" s="287" t="e">
        <f t="shared" si="71"/>
        <v>#REF!</v>
      </c>
      <c r="BL64" s="287" t="e">
        <f t="shared" si="71"/>
        <v>#REF!</v>
      </c>
      <c r="BM64" s="287" t="e">
        <f t="shared" si="71"/>
        <v>#REF!</v>
      </c>
      <c r="BN64" s="287" t="e">
        <f t="shared" si="71"/>
        <v>#REF!</v>
      </c>
      <c r="BO64" s="287" t="e">
        <f t="shared" si="71"/>
        <v>#REF!</v>
      </c>
    </row>
    <row r="65" spans="1:67" ht="20.25" customHeight="1">
      <c r="A65" s="402" t="s">
        <v>2896</v>
      </c>
      <c r="B65" s="19" t="s">
        <v>21</v>
      </c>
      <c r="C65" s="200">
        <v>3</v>
      </c>
      <c r="D65" s="361" t="str">
        <f t="shared" si="68"/>
        <v>R07</v>
      </c>
      <c r="E65" s="74" t="str">
        <f t="shared" si="69"/>
        <v>R07/3</v>
      </c>
      <c r="F65" s="337" t="e">
        <f>IF(C65=0,,VLOOKUP(E65,#REF!,5, FALSE()))</f>
        <v>#REF!</v>
      </c>
      <c r="G65" s="448"/>
      <c r="H65" s="448"/>
      <c r="I65" s="340"/>
      <c r="J65" s="340"/>
      <c r="K65" s="449"/>
      <c r="L65" s="449"/>
      <c r="M65" s="340"/>
      <c r="N65" s="340"/>
      <c r="O65" s="449"/>
      <c r="P65" s="449"/>
      <c r="Q65" s="340"/>
      <c r="R65" s="340"/>
      <c r="S65" s="449"/>
      <c r="T65" s="449"/>
      <c r="U65" s="340"/>
      <c r="V65" s="340"/>
      <c r="W65" s="480"/>
      <c r="X65" s="382" t="e">
        <f>IF(C65=0,,VLOOKUP(E65,#REF!,2, FALSE()))</f>
        <v>#REF!</v>
      </c>
      <c r="Y65" s="384" t="e">
        <f>IF(C65=0,,VLOOKUP(E65,#REF!,3, FALSE()))</f>
        <v>#REF!</v>
      </c>
      <c r="Z65" s="385"/>
      <c r="AA65" s="74"/>
      <c r="AB65" s="386" t="e">
        <f>IF(C65=0,,VLOOKUP(E65,#REF!,6, FALSE()))</f>
        <v>#REF!</v>
      </c>
      <c r="AC65" s="74"/>
      <c r="AD65" s="74"/>
      <c r="AE65" s="74"/>
      <c r="AF65" s="74"/>
      <c r="AG65" s="74"/>
      <c r="AH65" s="74"/>
      <c r="AI65" s="74"/>
      <c r="AJ65" s="389"/>
      <c r="AK65" s="287" t="e">
        <f t="shared" ref="AK65:BO65" si="72">(MID(#REF!, 7,2))</f>
        <v>#REF!</v>
      </c>
      <c r="AL65" s="287" t="e">
        <f t="shared" si="72"/>
        <v>#REF!</v>
      </c>
      <c r="AM65" s="287" t="e">
        <f t="shared" si="72"/>
        <v>#REF!</v>
      </c>
      <c r="AN65" s="287" t="e">
        <f t="shared" si="72"/>
        <v>#REF!</v>
      </c>
      <c r="AO65" s="287" t="e">
        <f t="shared" si="72"/>
        <v>#REF!</v>
      </c>
      <c r="AP65" s="287" t="e">
        <f t="shared" si="72"/>
        <v>#REF!</v>
      </c>
      <c r="AQ65" s="287" t="e">
        <f t="shared" si="72"/>
        <v>#REF!</v>
      </c>
      <c r="AR65" s="287" t="e">
        <f t="shared" si="72"/>
        <v>#REF!</v>
      </c>
      <c r="AS65" s="287" t="e">
        <f t="shared" si="72"/>
        <v>#REF!</v>
      </c>
      <c r="AT65" s="287" t="e">
        <f t="shared" si="72"/>
        <v>#REF!</v>
      </c>
      <c r="AU65" s="287" t="e">
        <f t="shared" si="72"/>
        <v>#REF!</v>
      </c>
      <c r="AV65" s="287" t="e">
        <f t="shared" si="72"/>
        <v>#REF!</v>
      </c>
      <c r="AW65" s="287" t="e">
        <f t="shared" si="72"/>
        <v>#REF!</v>
      </c>
      <c r="AX65" s="287" t="e">
        <f t="shared" si="72"/>
        <v>#REF!</v>
      </c>
      <c r="AY65" s="287" t="e">
        <f t="shared" si="72"/>
        <v>#REF!</v>
      </c>
      <c r="AZ65" s="287" t="e">
        <f t="shared" si="72"/>
        <v>#REF!</v>
      </c>
      <c r="BA65" s="287" t="e">
        <f t="shared" si="72"/>
        <v>#REF!</v>
      </c>
      <c r="BB65" s="287" t="e">
        <f t="shared" si="72"/>
        <v>#REF!</v>
      </c>
      <c r="BC65" s="287" t="e">
        <f t="shared" si="72"/>
        <v>#REF!</v>
      </c>
      <c r="BD65" s="287" t="e">
        <f t="shared" si="72"/>
        <v>#REF!</v>
      </c>
      <c r="BE65" s="287" t="e">
        <f t="shared" si="72"/>
        <v>#REF!</v>
      </c>
      <c r="BF65" s="287" t="e">
        <f t="shared" si="72"/>
        <v>#REF!</v>
      </c>
      <c r="BG65" s="287" t="e">
        <f t="shared" si="72"/>
        <v>#REF!</v>
      </c>
      <c r="BH65" s="287" t="e">
        <f t="shared" si="72"/>
        <v>#REF!</v>
      </c>
      <c r="BI65" s="287" t="e">
        <f t="shared" si="72"/>
        <v>#REF!</v>
      </c>
      <c r="BJ65" s="287" t="e">
        <f t="shared" si="72"/>
        <v>#REF!</v>
      </c>
      <c r="BK65" s="287" t="e">
        <f t="shared" si="72"/>
        <v>#REF!</v>
      </c>
      <c r="BL65" s="287" t="e">
        <f t="shared" si="72"/>
        <v>#REF!</v>
      </c>
      <c r="BM65" s="287" t="e">
        <f t="shared" si="72"/>
        <v>#REF!</v>
      </c>
      <c r="BN65" s="287" t="e">
        <f t="shared" si="72"/>
        <v>#REF!</v>
      </c>
      <c r="BO65" s="287" t="e">
        <f t="shared" si="72"/>
        <v>#REF!</v>
      </c>
    </row>
    <row r="66" spans="1:67" ht="20.25" customHeight="1">
      <c r="A66" s="409" t="s">
        <v>2921</v>
      </c>
      <c r="B66" s="410">
        <v>10</v>
      </c>
      <c r="C66" s="200">
        <v>4</v>
      </c>
      <c r="D66" s="361" t="str">
        <f t="shared" si="68"/>
        <v>R07</v>
      </c>
      <c r="E66" s="74" t="str">
        <f t="shared" si="69"/>
        <v>R07/4</v>
      </c>
      <c r="F66" s="337" t="e">
        <f>IF(C66=0,,VLOOKUP(E66,#REF!,5, FALSE()))</f>
        <v>#REF!</v>
      </c>
      <c r="G66" s="448"/>
      <c r="H66" s="448"/>
      <c r="I66" s="340"/>
      <c r="J66" s="340"/>
      <c r="K66" s="449"/>
      <c r="L66" s="449"/>
      <c r="M66" s="340"/>
      <c r="N66" s="340"/>
      <c r="O66" s="449"/>
      <c r="P66" s="449"/>
      <c r="Q66" s="340"/>
      <c r="R66" s="340"/>
      <c r="S66" s="449"/>
      <c r="T66" s="449"/>
      <c r="U66" s="340"/>
      <c r="V66" s="340"/>
      <c r="W66" s="480"/>
      <c r="X66" s="382" t="e">
        <f>IF(C66=0,,VLOOKUP(E66,#REF!,2, FALSE()))</f>
        <v>#REF!</v>
      </c>
      <c r="Y66" s="384" t="e">
        <f>IF(C66=0,,VLOOKUP(E66,#REF!,3, FALSE()))</f>
        <v>#REF!</v>
      </c>
      <c r="Z66" s="385"/>
      <c r="AA66" s="74"/>
      <c r="AB66" s="386" t="e">
        <f>IF(C66=0,,VLOOKUP(E66,#REF!,6, FALSE()))</f>
        <v>#REF!</v>
      </c>
      <c r="AC66" s="74"/>
      <c r="AD66" s="74"/>
      <c r="AE66" s="74"/>
      <c r="AF66" s="74"/>
      <c r="AG66" s="74"/>
      <c r="AH66" s="74"/>
      <c r="AI66" s="74"/>
      <c r="AJ66" s="422">
        <v>4.1666666666666664E-2</v>
      </c>
      <c r="AK66" s="287" t="e">
        <f t="shared" ref="AK66:BO66" si="73">(MID(#REF!, 7,2))</f>
        <v>#REF!</v>
      </c>
      <c r="AL66" s="287" t="e">
        <f t="shared" si="73"/>
        <v>#REF!</v>
      </c>
      <c r="AM66" s="287" t="e">
        <f t="shared" si="73"/>
        <v>#REF!</v>
      </c>
      <c r="AN66" s="287" t="e">
        <f t="shared" si="73"/>
        <v>#REF!</v>
      </c>
      <c r="AO66" s="287" t="e">
        <f t="shared" si="73"/>
        <v>#REF!</v>
      </c>
      <c r="AP66" s="287" t="e">
        <f t="shared" si="73"/>
        <v>#REF!</v>
      </c>
      <c r="AQ66" s="287" t="e">
        <f t="shared" si="73"/>
        <v>#REF!</v>
      </c>
      <c r="AR66" s="287" t="e">
        <f t="shared" si="73"/>
        <v>#REF!</v>
      </c>
      <c r="AS66" s="287" t="e">
        <f t="shared" si="73"/>
        <v>#REF!</v>
      </c>
      <c r="AT66" s="287" t="e">
        <f t="shared" si="73"/>
        <v>#REF!</v>
      </c>
      <c r="AU66" s="287" t="e">
        <f t="shared" si="73"/>
        <v>#REF!</v>
      </c>
      <c r="AV66" s="287" t="e">
        <f t="shared" si="73"/>
        <v>#REF!</v>
      </c>
      <c r="AW66" s="287" t="e">
        <f t="shared" si="73"/>
        <v>#REF!</v>
      </c>
      <c r="AX66" s="287" t="e">
        <f t="shared" si="73"/>
        <v>#REF!</v>
      </c>
      <c r="AY66" s="287" t="e">
        <f t="shared" si="73"/>
        <v>#REF!</v>
      </c>
      <c r="AZ66" s="287" t="e">
        <f t="shared" si="73"/>
        <v>#REF!</v>
      </c>
      <c r="BA66" s="287" t="e">
        <f t="shared" si="73"/>
        <v>#REF!</v>
      </c>
      <c r="BB66" s="287" t="e">
        <f t="shared" si="73"/>
        <v>#REF!</v>
      </c>
      <c r="BC66" s="287" t="e">
        <f t="shared" si="73"/>
        <v>#REF!</v>
      </c>
      <c r="BD66" s="287" t="e">
        <f t="shared" si="73"/>
        <v>#REF!</v>
      </c>
      <c r="BE66" s="287" t="e">
        <f t="shared" si="73"/>
        <v>#REF!</v>
      </c>
      <c r="BF66" s="287" t="e">
        <f t="shared" si="73"/>
        <v>#REF!</v>
      </c>
      <c r="BG66" s="287" t="e">
        <f t="shared" si="73"/>
        <v>#REF!</v>
      </c>
      <c r="BH66" s="287" t="e">
        <f t="shared" si="73"/>
        <v>#REF!</v>
      </c>
      <c r="BI66" s="287" t="e">
        <f t="shared" si="73"/>
        <v>#REF!</v>
      </c>
      <c r="BJ66" s="287" t="e">
        <f t="shared" si="73"/>
        <v>#REF!</v>
      </c>
      <c r="BK66" s="287" t="e">
        <f t="shared" si="73"/>
        <v>#REF!</v>
      </c>
      <c r="BL66" s="287" t="e">
        <f t="shared" si="73"/>
        <v>#REF!</v>
      </c>
      <c r="BM66" s="287" t="e">
        <f t="shared" si="73"/>
        <v>#REF!</v>
      </c>
      <c r="BN66" s="287" t="e">
        <f t="shared" si="73"/>
        <v>#REF!</v>
      </c>
      <c r="BO66" s="287" t="e">
        <f t="shared" si="73"/>
        <v>#REF!</v>
      </c>
    </row>
    <row r="67" spans="1:67" ht="20.25" customHeight="1">
      <c r="A67" s="424" t="s">
        <v>2936</v>
      </c>
      <c r="B67" s="425">
        <v>0</v>
      </c>
      <c r="C67" s="200">
        <v>5</v>
      </c>
      <c r="D67" s="361" t="str">
        <f t="shared" si="68"/>
        <v>R07</v>
      </c>
      <c r="E67" s="74" t="str">
        <f t="shared" si="69"/>
        <v>R07/5</v>
      </c>
      <c r="F67" s="337" t="e">
        <f>IF(C67=0,,VLOOKUP(E67,#REF!,5, FALSE()))</f>
        <v>#REF!</v>
      </c>
      <c r="G67" s="448"/>
      <c r="H67" s="448"/>
      <c r="I67" s="340"/>
      <c r="J67" s="340"/>
      <c r="K67" s="449"/>
      <c r="L67" s="449"/>
      <c r="M67" s="340"/>
      <c r="N67" s="340"/>
      <c r="O67" s="449"/>
      <c r="P67" s="449"/>
      <c r="Q67" s="340"/>
      <c r="R67" s="340"/>
      <c r="S67" s="449"/>
      <c r="T67" s="449"/>
      <c r="U67" s="340"/>
      <c r="V67" s="340"/>
      <c r="W67" s="480"/>
      <c r="X67" s="382" t="e">
        <f>IF(C67=0,,VLOOKUP(E67,#REF!,2, FALSE()))</f>
        <v>#REF!</v>
      </c>
      <c r="Y67" s="384" t="e">
        <f>IF(C67=0,,VLOOKUP(E67,#REF!,3, FALSE()))</f>
        <v>#REF!</v>
      </c>
      <c r="Z67" s="385"/>
      <c r="AA67" s="74"/>
      <c r="AB67" s="386" t="e">
        <f>IF(C67=0,,VLOOKUP(E67,#REF!,6, FALSE()))</f>
        <v>#REF!</v>
      </c>
      <c r="AC67" s="74"/>
      <c r="AD67" s="74"/>
      <c r="AE67" s="74"/>
      <c r="AF67" s="74"/>
      <c r="AG67" s="74"/>
      <c r="AH67" s="74"/>
      <c r="AI67" s="74"/>
      <c r="AJ67" s="389"/>
      <c r="AK67" s="287" t="e">
        <f t="shared" ref="AK67:BO67" si="74">(MID(#REF!, 7,2))</f>
        <v>#REF!</v>
      </c>
      <c r="AL67" s="287" t="e">
        <f t="shared" si="74"/>
        <v>#REF!</v>
      </c>
      <c r="AM67" s="287" t="e">
        <f t="shared" si="74"/>
        <v>#REF!</v>
      </c>
      <c r="AN67" s="287" t="e">
        <f t="shared" si="74"/>
        <v>#REF!</v>
      </c>
      <c r="AO67" s="287" t="e">
        <f t="shared" si="74"/>
        <v>#REF!</v>
      </c>
      <c r="AP67" s="287" t="e">
        <f t="shared" si="74"/>
        <v>#REF!</v>
      </c>
      <c r="AQ67" s="287" t="e">
        <f t="shared" si="74"/>
        <v>#REF!</v>
      </c>
      <c r="AR67" s="287" t="e">
        <f t="shared" si="74"/>
        <v>#REF!</v>
      </c>
      <c r="AS67" s="287" t="e">
        <f t="shared" si="74"/>
        <v>#REF!</v>
      </c>
      <c r="AT67" s="287" t="e">
        <f t="shared" si="74"/>
        <v>#REF!</v>
      </c>
      <c r="AU67" s="287" t="e">
        <f t="shared" si="74"/>
        <v>#REF!</v>
      </c>
      <c r="AV67" s="287" t="e">
        <f t="shared" si="74"/>
        <v>#REF!</v>
      </c>
      <c r="AW67" s="287" t="e">
        <f t="shared" si="74"/>
        <v>#REF!</v>
      </c>
      <c r="AX67" s="287" t="e">
        <f t="shared" si="74"/>
        <v>#REF!</v>
      </c>
      <c r="AY67" s="287" t="e">
        <f t="shared" si="74"/>
        <v>#REF!</v>
      </c>
      <c r="AZ67" s="287" t="e">
        <f t="shared" si="74"/>
        <v>#REF!</v>
      </c>
      <c r="BA67" s="287" t="e">
        <f t="shared" si="74"/>
        <v>#REF!</v>
      </c>
      <c r="BB67" s="287" t="e">
        <f t="shared" si="74"/>
        <v>#REF!</v>
      </c>
      <c r="BC67" s="287" t="e">
        <f t="shared" si="74"/>
        <v>#REF!</v>
      </c>
      <c r="BD67" s="287" t="e">
        <f t="shared" si="74"/>
        <v>#REF!</v>
      </c>
      <c r="BE67" s="287" t="e">
        <f t="shared" si="74"/>
        <v>#REF!</v>
      </c>
      <c r="BF67" s="287" t="e">
        <f t="shared" si="74"/>
        <v>#REF!</v>
      </c>
      <c r="BG67" s="287" t="e">
        <f t="shared" si="74"/>
        <v>#REF!</v>
      </c>
      <c r="BH67" s="287" t="e">
        <f t="shared" si="74"/>
        <v>#REF!</v>
      </c>
      <c r="BI67" s="287" t="e">
        <f t="shared" si="74"/>
        <v>#REF!</v>
      </c>
      <c r="BJ67" s="287" t="e">
        <f t="shared" si="74"/>
        <v>#REF!</v>
      </c>
      <c r="BK67" s="287" t="e">
        <f t="shared" si="74"/>
        <v>#REF!</v>
      </c>
      <c r="BL67" s="287" t="e">
        <f t="shared" si="74"/>
        <v>#REF!</v>
      </c>
      <c r="BM67" s="287" t="e">
        <f t="shared" si="74"/>
        <v>#REF!</v>
      </c>
      <c r="BN67" s="287" t="e">
        <f t="shared" si="74"/>
        <v>#REF!</v>
      </c>
      <c r="BO67" s="287" t="e">
        <f t="shared" si="74"/>
        <v>#REF!</v>
      </c>
    </row>
    <row r="68" spans="1:67" ht="20.25" customHeight="1">
      <c r="A68" s="424" t="e">
        <f>Z63</f>
        <v>#REF!</v>
      </c>
      <c r="B68" s="425">
        <v>1.8333333333333333</v>
      </c>
      <c r="C68" s="200">
        <v>6</v>
      </c>
      <c r="D68" s="361" t="str">
        <f t="shared" si="68"/>
        <v>R07</v>
      </c>
      <c r="E68" s="74" t="str">
        <f t="shared" si="69"/>
        <v>R07/6</v>
      </c>
      <c r="F68" s="337" t="e">
        <f>IF(C68=0,,VLOOKUP(E68,#REF!,5, FALSE()))</f>
        <v>#REF!</v>
      </c>
      <c r="G68" s="448"/>
      <c r="H68" s="448"/>
      <c r="I68" s="340"/>
      <c r="J68" s="340"/>
      <c r="K68" s="449"/>
      <c r="L68" s="449"/>
      <c r="M68" s="340"/>
      <c r="N68" s="340"/>
      <c r="O68" s="449"/>
      <c r="P68" s="449"/>
      <c r="Q68" s="340"/>
      <c r="R68" s="340"/>
      <c r="S68" s="449"/>
      <c r="T68" s="449"/>
      <c r="U68" s="340"/>
      <c r="V68" s="340"/>
      <c r="W68" s="480"/>
      <c r="X68" s="382" t="e">
        <f>IF(C68=0,,VLOOKUP(E68,#REF!,2, FALSE()))</f>
        <v>#REF!</v>
      </c>
      <c r="Y68" s="384" t="e">
        <f>IF(C68=0,,VLOOKUP(E68,#REF!,3, FALSE()))</f>
        <v>#REF!</v>
      </c>
      <c r="Z68" s="385"/>
      <c r="AA68" s="74"/>
      <c r="AB68" s="386" t="e">
        <f>IF(C68=0,,VLOOKUP(E68,#REF!,6, FALSE()))</f>
        <v>#REF!</v>
      </c>
      <c r="AC68" s="74"/>
      <c r="AD68" s="74"/>
      <c r="AE68" s="74"/>
      <c r="AF68" s="74"/>
      <c r="AG68" s="74"/>
      <c r="AH68" s="74"/>
      <c r="AI68" s="74"/>
      <c r="AJ68" s="389">
        <v>4.1666666666666664E-2</v>
      </c>
      <c r="AK68" s="287" t="e">
        <f t="shared" ref="AK68:BO68" si="75">(MID(#REF!, 7,2))</f>
        <v>#REF!</v>
      </c>
      <c r="AL68" s="287" t="e">
        <f t="shared" si="75"/>
        <v>#REF!</v>
      </c>
      <c r="AM68" s="287" t="e">
        <f t="shared" si="75"/>
        <v>#REF!</v>
      </c>
      <c r="AN68" s="287" t="e">
        <f t="shared" si="75"/>
        <v>#REF!</v>
      </c>
      <c r="AO68" s="287" t="e">
        <f t="shared" si="75"/>
        <v>#REF!</v>
      </c>
      <c r="AP68" s="287" t="e">
        <f t="shared" si="75"/>
        <v>#REF!</v>
      </c>
      <c r="AQ68" s="287" t="e">
        <f t="shared" si="75"/>
        <v>#REF!</v>
      </c>
      <c r="AR68" s="287" t="e">
        <f t="shared" si="75"/>
        <v>#REF!</v>
      </c>
      <c r="AS68" s="287" t="e">
        <f t="shared" si="75"/>
        <v>#REF!</v>
      </c>
      <c r="AT68" s="287" t="e">
        <f t="shared" si="75"/>
        <v>#REF!</v>
      </c>
      <c r="AU68" s="287" t="e">
        <f t="shared" si="75"/>
        <v>#REF!</v>
      </c>
      <c r="AV68" s="287" t="e">
        <f t="shared" si="75"/>
        <v>#REF!</v>
      </c>
      <c r="AW68" s="287" t="e">
        <f t="shared" si="75"/>
        <v>#REF!</v>
      </c>
      <c r="AX68" s="287" t="e">
        <f t="shared" si="75"/>
        <v>#REF!</v>
      </c>
      <c r="AY68" s="287" t="e">
        <f t="shared" si="75"/>
        <v>#REF!</v>
      </c>
      <c r="AZ68" s="287" t="e">
        <f t="shared" si="75"/>
        <v>#REF!</v>
      </c>
      <c r="BA68" s="287" t="e">
        <f t="shared" si="75"/>
        <v>#REF!</v>
      </c>
      <c r="BB68" s="287" t="e">
        <f t="shared" si="75"/>
        <v>#REF!</v>
      </c>
      <c r="BC68" s="287" t="e">
        <f t="shared" si="75"/>
        <v>#REF!</v>
      </c>
      <c r="BD68" s="287" t="e">
        <f t="shared" si="75"/>
        <v>#REF!</v>
      </c>
      <c r="BE68" s="287" t="e">
        <f t="shared" si="75"/>
        <v>#REF!</v>
      </c>
      <c r="BF68" s="287" t="e">
        <f t="shared" si="75"/>
        <v>#REF!</v>
      </c>
      <c r="BG68" s="287" t="e">
        <f t="shared" si="75"/>
        <v>#REF!</v>
      </c>
      <c r="BH68" s="287" t="e">
        <f t="shared" si="75"/>
        <v>#REF!</v>
      </c>
      <c r="BI68" s="287" t="e">
        <f t="shared" si="75"/>
        <v>#REF!</v>
      </c>
      <c r="BJ68" s="287" t="e">
        <f t="shared" si="75"/>
        <v>#REF!</v>
      </c>
      <c r="BK68" s="287" t="e">
        <f t="shared" si="75"/>
        <v>#REF!</v>
      </c>
      <c r="BL68" s="287" t="e">
        <f t="shared" si="75"/>
        <v>#REF!</v>
      </c>
      <c r="BM68" s="287" t="e">
        <f t="shared" si="75"/>
        <v>#REF!</v>
      </c>
      <c r="BN68" s="287" t="e">
        <f t="shared" si="75"/>
        <v>#REF!</v>
      </c>
      <c r="BO68" s="287" t="e">
        <f t="shared" si="75"/>
        <v>#REF!</v>
      </c>
    </row>
    <row r="69" spans="1:67" ht="20.25" customHeight="1">
      <c r="A69" s="424" t="s">
        <v>2951</v>
      </c>
      <c r="B69" s="425" t="e">
        <f>SUM(AB63:AB71)</f>
        <v>#REF!</v>
      </c>
      <c r="C69" s="200">
        <v>0</v>
      </c>
      <c r="D69" s="361" t="str">
        <f t="shared" si="68"/>
        <v>R07</v>
      </c>
      <c r="E69" s="74">
        <f t="shared" si="69"/>
        <v>0</v>
      </c>
      <c r="F69" s="337">
        <f>IF(C69=0,,VLOOKUP(E69,#REF!,5, FALSE()))</f>
        <v>0</v>
      </c>
      <c r="G69" s="448"/>
      <c r="H69" s="448"/>
      <c r="I69" s="340"/>
      <c r="J69" s="340"/>
      <c r="K69" s="449"/>
      <c r="L69" s="449"/>
      <c r="M69" s="340"/>
      <c r="N69" s="340"/>
      <c r="O69" s="449"/>
      <c r="P69" s="449"/>
      <c r="Q69" s="340"/>
      <c r="R69" s="340"/>
      <c r="S69" s="449"/>
      <c r="T69" s="449"/>
      <c r="U69" s="340"/>
      <c r="V69" s="340"/>
      <c r="W69" s="480"/>
      <c r="X69" s="382">
        <f>IF(C69=0,,VLOOKUP(E69,#REF!,2, FALSE()))</f>
        <v>0</v>
      </c>
      <c r="Y69" s="384">
        <f>IF(C69=0,,VLOOKUP(E69,#REF!,3, FALSE()))</f>
        <v>0</v>
      </c>
      <c r="Z69" s="385"/>
      <c r="AA69" s="74"/>
      <c r="AB69" s="386">
        <f>IF(C69=0,,VLOOKUP(E69,#REF!,6, FALSE()))</f>
        <v>0</v>
      </c>
      <c r="AC69" s="74"/>
      <c r="AD69" s="74"/>
      <c r="AE69" s="74"/>
      <c r="AF69" s="74"/>
      <c r="AG69" s="74"/>
      <c r="AH69" s="74"/>
      <c r="AI69" s="74"/>
      <c r="AJ69" s="389"/>
      <c r="AK69" s="287" t="e">
        <f t="shared" ref="AK69:BO69" si="76">(MID(#REF!, 7,2))</f>
        <v>#REF!</v>
      </c>
      <c r="AL69" s="287" t="e">
        <f t="shared" si="76"/>
        <v>#REF!</v>
      </c>
      <c r="AM69" s="287" t="e">
        <f t="shared" si="76"/>
        <v>#REF!</v>
      </c>
      <c r="AN69" s="287" t="e">
        <f t="shared" si="76"/>
        <v>#REF!</v>
      </c>
      <c r="AO69" s="287" t="e">
        <f t="shared" si="76"/>
        <v>#REF!</v>
      </c>
      <c r="AP69" s="287" t="e">
        <f t="shared" si="76"/>
        <v>#REF!</v>
      </c>
      <c r="AQ69" s="287" t="e">
        <f t="shared" si="76"/>
        <v>#REF!</v>
      </c>
      <c r="AR69" s="287" t="e">
        <f t="shared" si="76"/>
        <v>#REF!</v>
      </c>
      <c r="AS69" s="287" t="e">
        <f t="shared" si="76"/>
        <v>#REF!</v>
      </c>
      <c r="AT69" s="287" t="e">
        <f t="shared" si="76"/>
        <v>#REF!</v>
      </c>
      <c r="AU69" s="287" t="e">
        <f t="shared" si="76"/>
        <v>#REF!</v>
      </c>
      <c r="AV69" s="287" t="e">
        <f t="shared" si="76"/>
        <v>#REF!</v>
      </c>
      <c r="AW69" s="287" t="e">
        <f t="shared" si="76"/>
        <v>#REF!</v>
      </c>
      <c r="AX69" s="287" t="e">
        <f t="shared" si="76"/>
        <v>#REF!</v>
      </c>
      <c r="AY69" s="287" t="e">
        <f t="shared" si="76"/>
        <v>#REF!</v>
      </c>
      <c r="AZ69" s="287" t="e">
        <f t="shared" si="76"/>
        <v>#REF!</v>
      </c>
      <c r="BA69" s="287" t="e">
        <f t="shared" si="76"/>
        <v>#REF!</v>
      </c>
      <c r="BB69" s="287" t="e">
        <f t="shared" si="76"/>
        <v>#REF!</v>
      </c>
      <c r="BC69" s="287" t="e">
        <f t="shared" si="76"/>
        <v>#REF!</v>
      </c>
      <c r="BD69" s="287" t="e">
        <f t="shared" si="76"/>
        <v>#REF!</v>
      </c>
      <c r="BE69" s="287" t="e">
        <f t="shared" si="76"/>
        <v>#REF!</v>
      </c>
      <c r="BF69" s="287" t="e">
        <f t="shared" si="76"/>
        <v>#REF!</v>
      </c>
      <c r="BG69" s="287" t="e">
        <f t="shared" si="76"/>
        <v>#REF!</v>
      </c>
      <c r="BH69" s="287" t="e">
        <f t="shared" si="76"/>
        <v>#REF!</v>
      </c>
      <c r="BI69" s="287" t="e">
        <f t="shared" si="76"/>
        <v>#REF!</v>
      </c>
      <c r="BJ69" s="287" t="e">
        <f t="shared" si="76"/>
        <v>#REF!</v>
      </c>
      <c r="BK69" s="287" t="e">
        <f t="shared" si="76"/>
        <v>#REF!</v>
      </c>
      <c r="BL69" s="287" t="e">
        <f t="shared" si="76"/>
        <v>#REF!</v>
      </c>
      <c r="BM69" s="287" t="e">
        <f t="shared" si="76"/>
        <v>#REF!</v>
      </c>
      <c r="BN69" s="287" t="e">
        <f t="shared" si="76"/>
        <v>#REF!</v>
      </c>
      <c r="BO69" s="287" t="e">
        <f t="shared" si="76"/>
        <v>#REF!</v>
      </c>
    </row>
    <row r="70" spans="1:67" ht="20.25" customHeight="1">
      <c r="A70" s="424" t="s">
        <v>2952</v>
      </c>
      <c r="B70" s="425">
        <f>SUM(AJ63:AJ71)</f>
        <v>0.125</v>
      </c>
      <c r="C70" s="200">
        <v>0</v>
      </c>
      <c r="D70" s="361" t="str">
        <f t="shared" si="68"/>
        <v>R07</v>
      </c>
      <c r="E70" s="74">
        <f t="shared" si="69"/>
        <v>0</v>
      </c>
      <c r="F70" s="337">
        <f>IF(C70=0,,VLOOKUP(E70,#REF!,5, FALSE()))</f>
        <v>0</v>
      </c>
      <c r="G70" s="448"/>
      <c r="H70" s="448"/>
      <c r="I70" s="340"/>
      <c r="J70" s="340"/>
      <c r="K70" s="449"/>
      <c r="L70" s="449"/>
      <c r="M70" s="340"/>
      <c r="N70" s="340"/>
      <c r="O70" s="449"/>
      <c r="P70" s="449"/>
      <c r="Q70" s="340"/>
      <c r="R70" s="340"/>
      <c r="S70" s="449"/>
      <c r="T70" s="449"/>
      <c r="U70" s="340"/>
      <c r="V70" s="340"/>
      <c r="W70" s="480"/>
      <c r="X70" s="382">
        <f>IF(C70=0,,VLOOKUP(E70,#REF!,2, FALSE()))</f>
        <v>0</v>
      </c>
      <c r="Y70" s="384">
        <f>IF(C70=0,,VLOOKUP(E70,#REF!,3, FALSE()))</f>
        <v>0</v>
      </c>
      <c r="Z70" s="385"/>
      <c r="AA70" s="74"/>
      <c r="AB70" s="386">
        <f>IF(C70=0,,VLOOKUP(E70,#REF!,6, FALSE()))</f>
        <v>0</v>
      </c>
      <c r="AC70" s="74"/>
      <c r="AD70" s="74"/>
      <c r="AE70" s="74"/>
      <c r="AF70" s="74"/>
      <c r="AG70" s="74"/>
      <c r="AH70" s="74"/>
      <c r="AI70" s="74"/>
      <c r="AJ70" s="389"/>
      <c r="AK70" s="287" t="e">
        <f t="shared" ref="AK70:BO70" si="77">(MID(#REF!, 7,2))</f>
        <v>#REF!</v>
      </c>
      <c r="AL70" s="287" t="e">
        <f t="shared" si="77"/>
        <v>#REF!</v>
      </c>
      <c r="AM70" s="287" t="e">
        <f t="shared" si="77"/>
        <v>#REF!</v>
      </c>
      <c r="AN70" s="287" t="e">
        <f t="shared" si="77"/>
        <v>#REF!</v>
      </c>
      <c r="AO70" s="287" t="e">
        <f t="shared" si="77"/>
        <v>#REF!</v>
      </c>
      <c r="AP70" s="287" t="e">
        <f t="shared" si="77"/>
        <v>#REF!</v>
      </c>
      <c r="AQ70" s="287" t="e">
        <f t="shared" si="77"/>
        <v>#REF!</v>
      </c>
      <c r="AR70" s="287" t="e">
        <f t="shared" si="77"/>
        <v>#REF!</v>
      </c>
      <c r="AS70" s="287" t="e">
        <f t="shared" si="77"/>
        <v>#REF!</v>
      </c>
      <c r="AT70" s="287" t="e">
        <f t="shared" si="77"/>
        <v>#REF!</v>
      </c>
      <c r="AU70" s="287" t="e">
        <f t="shared" si="77"/>
        <v>#REF!</v>
      </c>
      <c r="AV70" s="287" t="e">
        <f t="shared" si="77"/>
        <v>#REF!</v>
      </c>
      <c r="AW70" s="287" t="e">
        <f t="shared" si="77"/>
        <v>#REF!</v>
      </c>
      <c r="AX70" s="287" t="e">
        <f t="shared" si="77"/>
        <v>#REF!</v>
      </c>
      <c r="AY70" s="287" t="e">
        <f t="shared" si="77"/>
        <v>#REF!</v>
      </c>
      <c r="AZ70" s="287" t="e">
        <f t="shared" si="77"/>
        <v>#REF!</v>
      </c>
      <c r="BA70" s="287" t="e">
        <f t="shared" si="77"/>
        <v>#REF!</v>
      </c>
      <c r="BB70" s="287" t="e">
        <f t="shared" si="77"/>
        <v>#REF!</v>
      </c>
      <c r="BC70" s="287" t="e">
        <f t="shared" si="77"/>
        <v>#REF!</v>
      </c>
      <c r="BD70" s="287" t="e">
        <f t="shared" si="77"/>
        <v>#REF!</v>
      </c>
      <c r="BE70" s="287" t="e">
        <f t="shared" si="77"/>
        <v>#REF!</v>
      </c>
      <c r="BF70" s="287" t="e">
        <f t="shared" si="77"/>
        <v>#REF!</v>
      </c>
      <c r="BG70" s="287" t="e">
        <f t="shared" si="77"/>
        <v>#REF!</v>
      </c>
      <c r="BH70" s="287" t="e">
        <f t="shared" si="77"/>
        <v>#REF!</v>
      </c>
      <c r="BI70" s="287" t="e">
        <f t="shared" si="77"/>
        <v>#REF!</v>
      </c>
      <c r="BJ70" s="287" t="e">
        <f t="shared" si="77"/>
        <v>#REF!</v>
      </c>
      <c r="BK70" s="287" t="e">
        <f t="shared" si="77"/>
        <v>#REF!</v>
      </c>
      <c r="BL70" s="287" t="e">
        <f t="shared" si="77"/>
        <v>#REF!</v>
      </c>
      <c r="BM70" s="287" t="e">
        <f t="shared" si="77"/>
        <v>#REF!</v>
      </c>
      <c r="BN70" s="287" t="e">
        <f t="shared" si="77"/>
        <v>#REF!</v>
      </c>
      <c r="BO70" s="287" t="e">
        <f t="shared" si="77"/>
        <v>#REF!</v>
      </c>
    </row>
    <row r="71" spans="1:67" ht="20.25" customHeight="1">
      <c r="A71" s="443" t="s">
        <v>2953</v>
      </c>
      <c r="B71" s="444" t="e">
        <f>B68-B69-B70</f>
        <v>#REF!</v>
      </c>
      <c r="C71" s="200">
        <v>0</v>
      </c>
      <c r="D71" s="361" t="str">
        <f t="shared" si="68"/>
        <v>R07</v>
      </c>
      <c r="E71" s="74">
        <f t="shared" si="69"/>
        <v>0</v>
      </c>
      <c r="F71" s="337">
        <f>IF(C71=0,,VLOOKUP(E71,#REF!,5, FALSE()))</f>
        <v>0</v>
      </c>
      <c r="G71" s="448"/>
      <c r="H71" s="448"/>
      <c r="I71" s="340"/>
      <c r="J71" s="340"/>
      <c r="K71" s="449"/>
      <c r="L71" s="449"/>
      <c r="M71" s="340"/>
      <c r="N71" s="340"/>
      <c r="O71" s="449"/>
      <c r="P71" s="449"/>
      <c r="Q71" s="340"/>
      <c r="R71" s="340"/>
      <c r="S71" s="449"/>
      <c r="T71" s="449"/>
      <c r="U71" s="340"/>
      <c r="V71" s="340"/>
      <c r="W71" s="481"/>
      <c r="X71" s="382">
        <f>IF(C71=0,,VLOOKUP(E71,#REF!,2, FALSE()))</f>
        <v>0</v>
      </c>
      <c r="Y71" s="384">
        <f>IF(C71=0,,VLOOKUP(E71,#REF!,3, FALSE()))</f>
        <v>0</v>
      </c>
      <c r="Z71" s="385"/>
      <c r="AA71" s="74"/>
      <c r="AB71" s="386">
        <f>IF(C71=0,,VLOOKUP(E71,#REF!,6, FALSE()))</f>
        <v>0</v>
      </c>
      <c r="AC71" s="74"/>
      <c r="AD71" s="74"/>
      <c r="AE71" s="74"/>
      <c r="AF71" s="74"/>
      <c r="AG71" s="74"/>
      <c r="AH71" s="74"/>
      <c r="AI71" s="74"/>
      <c r="AJ71" s="389"/>
      <c r="AK71" s="287" t="e">
        <f t="shared" ref="AK71:BO71" si="78">(MID(#REF!, 7,2))</f>
        <v>#REF!</v>
      </c>
      <c r="AL71" s="287" t="e">
        <f t="shared" si="78"/>
        <v>#REF!</v>
      </c>
      <c r="AM71" s="287" t="e">
        <f t="shared" si="78"/>
        <v>#REF!</v>
      </c>
      <c r="AN71" s="287" t="e">
        <f t="shared" si="78"/>
        <v>#REF!</v>
      </c>
      <c r="AO71" s="287" t="e">
        <f t="shared" si="78"/>
        <v>#REF!</v>
      </c>
      <c r="AP71" s="287" t="e">
        <f t="shared" si="78"/>
        <v>#REF!</v>
      </c>
      <c r="AQ71" s="287" t="e">
        <f t="shared" si="78"/>
        <v>#REF!</v>
      </c>
      <c r="AR71" s="287" t="e">
        <f t="shared" si="78"/>
        <v>#REF!</v>
      </c>
      <c r="AS71" s="287" t="e">
        <f t="shared" si="78"/>
        <v>#REF!</v>
      </c>
      <c r="AT71" s="287" t="e">
        <f t="shared" si="78"/>
        <v>#REF!</v>
      </c>
      <c r="AU71" s="287" t="e">
        <f t="shared" si="78"/>
        <v>#REF!</v>
      </c>
      <c r="AV71" s="287" t="e">
        <f t="shared" si="78"/>
        <v>#REF!</v>
      </c>
      <c r="AW71" s="287" t="e">
        <f t="shared" si="78"/>
        <v>#REF!</v>
      </c>
      <c r="AX71" s="287" t="e">
        <f t="shared" si="78"/>
        <v>#REF!</v>
      </c>
      <c r="AY71" s="287" t="e">
        <f t="shared" si="78"/>
        <v>#REF!</v>
      </c>
      <c r="AZ71" s="287" t="e">
        <f t="shared" si="78"/>
        <v>#REF!</v>
      </c>
      <c r="BA71" s="287" t="e">
        <f t="shared" si="78"/>
        <v>#REF!</v>
      </c>
      <c r="BB71" s="287" t="e">
        <f t="shared" si="78"/>
        <v>#REF!</v>
      </c>
      <c r="BC71" s="287" t="e">
        <f t="shared" si="78"/>
        <v>#REF!</v>
      </c>
      <c r="BD71" s="287" t="e">
        <f t="shared" si="78"/>
        <v>#REF!</v>
      </c>
      <c r="BE71" s="287" t="e">
        <f t="shared" si="78"/>
        <v>#REF!</v>
      </c>
      <c r="BF71" s="287" t="e">
        <f t="shared" si="78"/>
        <v>#REF!</v>
      </c>
      <c r="BG71" s="287" t="e">
        <f t="shared" si="78"/>
        <v>#REF!</v>
      </c>
      <c r="BH71" s="287" t="e">
        <f t="shared" si="78"/>
        <v>#REF!</v>
      </c>
      <c r="BI71" s="287" t="e">
        <f t="shared" si="78"/>
        <v>#REF!</v>
      </c>
      <c r="BJ71" s="287" t="e">
        <f t="shared" si="78"/>
        <v>#REF!</v>
      </c>
      <c r="BK71" s="287" t="e">
        <f t="shared" si="78"/>
        <v>#REF!</v>
      </c>
      <c r="BL71" s="287" t="e">
        <f t="shared" si="78"/>
        <v>#REF!</v>
      </c>
      <c r="BM71" s="287" t="e">
        <f t="shared" si="78"/>
        <v>#REF!</v>
      </c>
      <c r="BN71" s="287" t="e">
        <f t="shared" si="78"/>
        <v>#REF!</v>
      </c>
      <c r="BO71" s="287" t="e">
        <f t="shared" si="78"/>
        <v>#REF!</v>
      </c>
    </row>
    <row r="72" spans="1:67" ht="3.75" customHeight="1">
      <c r="G72" s="446"/>
      <c r="H72" s="446"/>
      <c r="I72" s="285"/>
      <c r="J72" s="285"/>
      <c r="K72" s="346"/>
      <c r="L72" s="346"/>
      <c r="M72" s="285"/>
      <c r="N72" s="285"/>
      <c r="O72" s="346"/>
      <c r="P72" s="346"/>
      <c r="Q72" s="285"/>
      <c r="R72" s="285"/>
      <c r="S72" s="346"/>
      <c r="T72" s="346"/>
      <c r="U72" s="285"/>
      <c r="V72" s="285"/>
      <c r="Y72" s="447"/>
      <c r="AK72" s="346"/>
      <c r="AL72" s="346"/>
      <c r="AM72" s="346"/>
      <c r="AN72" s="346"/>
      <c r="AO72" s="346"/>
      <c r="AP72" s="346"/>
      <c r="AQ72" s="346"/>
      <c r="AR72" s="346"/>
      <c r="AS72" s="346"/>
      <c r="AT72" s="346"/>
      <c r="AU72" s="346"/>
      <c r="AV72" s="346"/>
      <c r="AW72" s="346"/>
      <c r="AX72" s="346"/>
      <c r="AY72" s="346"/>
      <c r="AZ72" s="346"/>
      <c r="BA72" s="346"/>
      <c r="BB72" s="346"/>
      <c r="BC72" s="346"/>
      <c r="BD72" s="346"/>
      <c r="BE72" s="346"/>
      <c r="BF72" s="346"/>
      <c r="BG72" s="346"/>
      <c r="BH72" s="346"/>
      <c r="BI72" s="346"/>
      <c r="BJ72" s="346"/>
      <c r="BK72" s="346"/>
      <c r="BL72" s="346"/>
      <c r="BM72" s="346"/>
      <c r="BN72" s="346"/>
      <c r="BO72" s="346"/>
    </row>
    <row r="73" spans="1:67" ht="20.25" customHeight="1">
      <c r="A73" s="200" t="s">
        <v>2459</v>
      </c>
      <c r="B73" s="217" t="s">
        <v>302</v>
      </c>
      <c r="C73" s="200">
        <v>1</v>
      </c>
      <c r="D73" s="361" t="str">
        <f t="shared" ref="D73:D81" si="79">$B$73</f>
        <v>R08</v>
      </c>
      <c r="E73" s="74" t="str">
        <f t="shared" ref="E73:E81" si="80">IF(C73=0,,CONCATENATE(D73,"/",C73))</f>
        <v>R08/1</v>
      </c>
      <c r="F73" s="337" t="e">
        <f>IF(C73=0,,VLOOKUP(E73,#REF!,5, FALSE()))</f>
        <v>#REF!</v>
      </c>
      <c r="G73" s="448"/>
      <c r="H73" s="448"/>
      <c r="I73" s="340"/>
      <c r="J73" s="340"/>
      <c r="K73" s="449"/>
      <c r="L73" s="449"/>
      <c r="M73" s="340"/>
      <c r="N73" s="340"/>
      <c r="O73" s="449"/>
      <c r="P73" s="449"/>
      <c r="Q73" s="340"/>
      <c r="R73" s="340"/>
      <c r="S73" s="449"/>
      <c r="T73" s="449"/>
      <c r="U73" s="340"/>
      <c r="V73" s="340"/>
      <c r="W73" s="563" t="e">
        <f>CONCATENATE(F73," + ",F74," + ",F75," + ",F76," + ",F77," + ",F78," + ",F79," + ",F80," + ",F81)</f>
        <v>#REF!</v>
      </c>
      <c r="X73" s="382" t="e">
        <f>IF(C73=0,,VLOOKUP(E73,#REF!,2, FALSE()))</f>
        <v>#REF!</v>
      </c>
      <c r="Y73" s="384" t="e">
        <f>IF(C73=0,,VLOOKUP(E73,#REF!,3, FALSE()))</f>
        <v>#REF!</v>
      </c>
      <c r="Z73" s="385" t="e">
        <f>VLOOKUP(Y73,#REF!,6, FALSE())</f>
        <v>#REF!</v>
      </c>
      <c r="AA73" s="74" t="str">
        <f>$B75</f>
        <v>Cesta Gd</v>
      </c>
      <c r="AB73" s="386" t="e">
        <f>IF(C73=0,,VLOOKUP(E73,#REF!,6, FALSE()))</f>
        <v>#REF!</v>
      </c>
      <c r="AC73" s="74"/>
      <c r="AD73" s="74">
        <f>$B76</f>
        <v>12</v>
      </c>
      <c r="AE73" s="74"/>
      <c r="AF73" s="450">
        <f>$B77</f>
        <v>0</v>
      </c>
      <c r="AG73" s="74"/>
      <c r="AH73" s="450" t="e">
        <f>$B79</f>
        <v>#REF!</v>
      </c>
      <c r="AI73" s="450" t="e">
        <f>B79+B80</f>
        <v>#REF!</v>
      </c>
      <c r="AJ73" s="389">
        <v>2.0833333333333332E-2</v>
      </c>
      <c r="AK73" s="287" t="e">
        <f t="shared" ref="AK73:BO73" si="81">(MID(#REF!, 7,2))</f>
        <v>#REF!</v>
      </c>
      <c r="AL73" s="287" t="e">
        <f t="shared" si="81"/>
        <v>#REF!</v>
      </c>
      <c r="AM73" s="287" t="e">
        <f t="shared" si="81"/>
        <v>#REF!</v>
      </c>
      <c r="AN73" s="287" t="e">
        <f t="shared" si="81"/>
        <v>#REF!</v>
      </c>
      <c r="AO73" s="287" t="e">
        <f t="shared" si="81"/>
        <v>#REF!</v>
      </c>
      <c r="AP73" s="287" t="e">
        <f t="shared" si="81"/>
        <v>#REF!</v>
      </c>
      <c r="AQ73" s="287" t="e">
        <f t="shared" si="81"/>
        <v>#REF!</v>
      </c>
      <c r="AR73" s="287" t="e">
        <f t="shared" si="81"/>
        <v>#REF!</v>
      </c>
      <c r="AS73" s="287" t="e">
        <f t="shared" si="81"/>
        <v>#REF!</v>
      </c>
      <c r="AT73" s="287" t="e">
        <f t="shared" si="81"/>
        <v>#REF!</v>
      </c>
      <c r="AU73" s="287" t="e">
        <f t="shared" si="81"/>
        <v>#REF!</v>
      </c>
      <c r="AV73" s="287" t="e">
        <f t="shared" si="81"/>
        <v>#REF!</v>
      </c>
      <c r="AW73" s="287" t="e">
        <f t="shared" si="81"/>
        <v>#REF!</v>
      </c>
      <c r="AX73" s="287" t="e">
        <f t="shared" si="81"/>
        <v>#REF!</v>
      </c>
      <c r="AY73" s="287" t="e">
        <f t="shared" si="81"/>
        <v>#REF!</v>
      </c>
      <c r="AZ73" s="287" t="e">
        <f t="shared" si="81"/>
        <v>#REF!</v>
      </c>
      <c r="BA73" s="287" t="e">
        <f t="shared" si="81"/>
        <v>#REF!</v>
      </c>
      <c r="BB73" s="287" t="e">
        <f t="shared" si="81"/>
        <v>#REF!</v>
      </c>
      <c r="BC73" s="287" t="e">
        <f t="shared" si="81"/>
        <v>#REF!</v>
      </c>
      <c r="BD73" s="287" t="e">
        <f t="shared" si="81"/>
        <v>#REF!</v>
      </c>
      <c r="BE73" s="287" t="e">
        <f t="shared" si="81"/>
        <v>#REF!</v>
      </c>
      <c r="BF73" s="287" t="e">
        <f t="shared" si="81"/>
        <v>#REF!</v>
      </c>
      <c r="BG73" s="287" t="e">
        <f t="shared" si="81"/>
        <v>#REF!</v>
      </c>
      <c r="BH73" s="287" t="e">
        <f t="shared" si="81"/>
        <v>#REF!</v>
      </c>
      <c r="BI73" s="287" t="e">
        <f t="shared" si="81"/>
        <v>#REF!</v>
      </c>
      <c r="BJ73" s="287" t="e">
        <f t="shared" si="81"/>
        <v>#REF!</v>
      </c>
      <c r="BK73" s="287" t="e">
        <f t="shared" si="81"/>
        <v>#REF!</v>
      </c>
      <c r="BL73" s="287" t="e">
        <f t="shared" si="81"/>
        <v>#REF!</v>
      </c>
      <c r="BM73" s="287" t="e">
        <f t="shared" si="81"/>
        <v>#REF!</v>
      </c>
      <c r="BN73" s="287" t="e">
        <f t="shared" si="81"/>
        <v>#REF!</v>
      </c>
      <c r="BO73" s="287" t="e">
        <f t="shared" si="81"/>
        <v>#REF!</v>
      </c>
    </row>
    <row r="74" spans="1:67" ht="20.25" customHeight="1">
      <c r="A74" s="562" t="e">
        <f>Y73</f>
        <v>#REF!</v>
      </c>
      <c r="B74" s="499"/>
      <c r="C74" s="200">
        <v>2</v>
      </c>
      <c r="D74" s="361" t="str">
        <f t="shared" si="79"/>
        <v>R08</v>
      </c>
      <c r="E74" s="74" t="str">
        <f t="shared" si="80"/>
        <v>R08/2</v>
      </c>
      <c r="F74" s="337" t="e">
        <f>IF(C74=0,,VLOOKUP(E74,#REF!,5, FALSE()))</f>
        <v>#REF!</v>
      </c>
      <c r="G74" s="448"/>
      <c r="H74" s="448"/>
      <c r="I74" s="340"/>
      <c r="J74" s="340"/>
      <c r="K74" s="449"/>
      <c r="L74" s="449"/>
      <c r="M74" s="340"/>
      <c r="N74" s="340"/>
      <c r="O74" s="449"/>
      <c r="P74" s="449"/>
      <c r="Q74" s="340"/>
      <c r="R74" s="340"/>
      <c r="S74" s="449"/>
      <c r="T74" s="449"/>
      <c r="U74" s="340"/>
      <c r="V74" s="340"/>
      <c r="W74" s="480"/>
      <c r="X74" s="382" t="e">
        <f>IF(C74=0,,VLOOKUP(E74,#REF!,2, FALSE()))</f>
        <v>#REF!</v>
      </c>
      <c r="Y74" s="384" t="e">
        <f>IF(C74=0,,VLOOKUP(E74,#REF!,3, FALSE()))</f>
        <v>#REF!</v>
      </c>
      <c r="Z74" s="385"/>
      <c r="AA74" s="74"/>
      <c r="AB74" s="386" t="e">
        <f>IF(C74=0,,VLOOKUP(E74,#REF!,6, FALSE()))</f>
        <v>#REF!</v>
      </c>
      <c r="AC74" s="74"/>
      <c r="AD74" s="74"/>
      <c r="AE74" s="74"/>
      <c r="AF74" s="74"/>
      <c r="AG74" s="74"/>
      <c r="AH74" s="74"/>
      <c r="AI74" s="74"/>
      <c r="AJ74" s="389"/>
      <c r="AK74" s="287" t="e">
        <f t="shared" ref="AK74:BO74" si="82">(MID(#REF!, 7,2))</f>
        <v>#REF!</v>
      </c>
      <c r="AL74" s="287" t="e">
        <f t="shared" si="82"/>
        <v>#REF!</v>
      </c>
      <c r="AM74" s="287" t="e">
        <f t="shared" si="82"/>
        <v>#REF!</v>
      </c>
      <c r="AN74" s="287" t="e">
        <f t="shared" si="82"/>
        <v>#REF!</v>
      </c>
      <c r="AO74" s="287" t="e">
        <f t="shared" si="82"/>
        <v>#REF!</v>
      </c>
      <c r="AP74" s="287" t="e">
        <f t="shared" si="82"/>
        <v>#REF!</v>
      </c>
      <c r="AQ74" s="287" t="e">
        <f t="shared" si="82"/>
        <v>#REF!</v>
      </c>
      <c r="AR74" s="287" t="e">
        <f t="shared" si="82"/>
        <v>#REF!</v>
      </c>
      <c r="AS74" s="287" t="e">
        <f t="shared" si="82"/>
        <v>#REF!</v>
      </c>
      <c r="AT74" s="287" t="e">
        <f t="shared" si="82"/>
        <v>#REF!</v>
      </c>
      <c r="AU74" s="287" t="e">
        <f t="shared" si="82"/>
        <v>#REF!</v>
      </c>
      <c r="AV74" s="287" t="e">
        <f t="shared" si="82"/>
        <v>#REF!</v>
      </c>
      <c r="AW74" s="287" t="e">
        <f t="shared" si="82"/>
        <v>#REF!</v>
      </c>
      <c r="AX74" s="287" t="e">
        <f t="shared" si="82"/>
        <v>#REF!</v>
      </c>
      <c r="AY74" s="287" t="e">
        <f t="shared" si="82"/>
        <v>#REF!</v>
      </c>
      <c r="AZ74" s="287" t="e">
        <f t="shared" si="82"/>
        <v>#REF!</v>
      </c>
      <c r="BA74" s="287" t="e">
        <f t="shared" si="82"/>
        <v>#REF!</v>
      </c>
      <c r="BB74" s="287" t="e">
        <f t="shared" si="82"/>
        <v>#REF!</v>
      </c>
      <c r="BC74" s="287" t="e">
        <f t="shared" si="82"/>
        <v>#REF!</v>
      </c>
      <c r="BD74" s="287" t="e">
        <f t="shared" si="82"/>
        <v>#REF!</v>
      </c>
      <c r="BE74" s="287" t="e">
        <f t="shared" si="82"/>
        <v>#REF!</v>
      </c>
      <c r="BF74" s="287" t="e">
        <f t="shared" si="82"/>
        <v>#REF!</v>
      </c>
      <c r="BG74" s="287" t="e">
        <f t="shared" si="82"/>
        <v>#REF!</v>
      </c>
      <c r="BH74" s="287" t="e">
        <f t="shared" si="82"/>
        <v>#REF!</v>
      </c>
      <c r="BI74" s="287" t="e">
        <f t="shared" si="82"/>
        <v>#REF!</v>
      </c>
      <c r="BJ74" s="287" t="e">
        <f t="shared" si="82"/>
        <v>#REF!</v>
      </c>
      <c r="BK74" s="287" t="e">
        <f t="shared" si="82"/>
        <v>#REF!</v>
      </c>
      <c r="BL74" s="287" t="e">
        <f t="shared" si="82"/>
        <v>#REF!</v>
      </c>
      <c r="BM74" s="287" t="e">
        <f t="shared" si="82"/>
        <v>#REF!</v>
      </c>
      <c r="BN74" s="287" t="e">
        <f t="shared" si="82"/>
        <v>#REF!</v>
      </c>
      <c r="BO74" s="287" t="e">
        <f t="shared" si="82"/>
        <v>#REF!</v>
      </c>
    </row>
    <row r="75" spans="1:67" ht="20.25" customHeight="1">
      <c r="A75" s="402" t="s">
        <v>2896</v>
      </c>
      <c r="B75" s="19" t="s">
        <v>21</v>
      </c>
      <c r="C75" s="200">
        <v>0</v>
      </c>
      <c r="D75" s="361" t="str">
        <f t="shared" si="79"/>
        <v>R08</v>
      </c>
      <c r="E75" s="74">
        <f t="shared" si="80"/>
        <v>0</v>
      </c>
      <c r="F75" s="337">
        <f>IF(C75=0,,VLOOKUP(E75,#REF!,5, FALSE()))</f>
        <v>0</v>
      </c>
      <c r="G75" s="448"/>
      <c r="H75" s="448"/>
      <c r="I75" s="340"/>
      <c r="J75" s="340"/>
      <c r="K75" s="449"/>
      <c r="L75" s="449"/>
      <c r="M75" s="340"/>
      <c r="N75" s="340"/>
      <c r="O75" s="449"/>
      <c r="P75" s="449"/>
      <c r="Q75" s="340"/>
      <c r="R75" s="340"/>
      <c r="S75" s="449"/>
      <c r="T75" s="449"/>
      <c r="U75" s="340"/>
      <c r="V75" s="340"/>
      <c r="W75" s="480"/>
      <c r="X75" s="382">
        <f>IF(C75=0,,VLOOKUP(E75,#REF!,2, FALSE()))</f>
        <v>0</v>
      </c>
      <c r="Y75" s="384">
        <f>IF(C75=0,,VLOOKUP(E75,#REF!,3, FALSE()))</f>
        <v>0</v>
      </c>
      <c r="Z75" s="385"/>
      <c r="AA75" s="74"/>
      <c r="AB75" s="386">
        <f>IF(C75=0,,VLOOKUP(E75,#REF!,6, FALSE()))</f>
        <v>0</v>
      </c>
      <c r="AC75" s="74"/>
      <c r="AD75" s="74"/>
      <c r="AE75" s="74"/>
      <c r="AF75" s="74"/>
      <c r="AG75" s="74"/>
      <c r="AH75" s="74"/>
      <c r="AI75" s="74"/>
      <c r="AJ75" s="389"/>
      <c r="AK75" s="287" t="e">
        <f t="shared" ref="AK75:BO75" si="83">(MID(#REF!, 7,2))</f>
        <v>#REF!</v>
      </c>
      <c r="AL75" s="287" t="e">
        <f t="shared" si="83"/>
        <v>#REF!</v>
      </c>
      <c r="AM75" s="287" t="e">
        <f t="shared" si="83"/>
        <v>#REF!</v>
      </c>
      <c r="AN75" s="287" t="e">
        <f t="shared" si="83"/>
        <v>#REF!</v>
      </c>
      <c r="AO75" s="287" t="e">
        <f t="shared" si="83"/>
        <v>#REF!</v>
      </c>
      <c r="AP75" s="287" t="e">
        <f t="shared" si="83"/>
        <v>#REF!</v>
      </c>
      <c r="AQ75" s="287" t="e">
        <f t="shared" si="83"/>
        <v>#REF!</v>
      </c>
      <c r="AR75" s="287" t="e">
        <f t="shared" si="83"/>
        <v>#REF!</v>
      </c>
      <c r="AS75" s="287" t="e">
        <f t="shared" si="83"/>
        <v>#REF!</v>
      </c>
      <c r="AT75" s="287" t="e">
        <f t="shared" si="83"/>
        <v>#REF!</v>
      </c>
      <c r="AU75" s="287" t="e">
        <f t="shared" si="83"/>
        <v>#REF!</v>
      </c>
      <c r="AV75" s="287" t="e">
        <f t="shared" si="83"/>
        <v>#REF!</v>
      </c>
      <c r="AW75" s="287" t="e">
        <f t="shared" si="83"/>
        <v>#REF!</v>
      </c>
      <c r="AX75" s="287" t="e">
        <f t="shared" si="83"/>
        <v>#REF!</v>
      </c>
      <c r="AY75" s="287" t="e">
        <f t="shared" si="83"/>
        <v>#REF!</v>
      </c>
      <c r="AZ75" s="287" t="e">
        <f t="shared" si="83"/>
        <v>#REF!</v>
      </c>
      <c r="BA75" s="287" t="e">
        <f t="shared" si="83"/>
        <v>#REF!</v>
      </c>
      <c r="BB75" s="287" t="e">
        <f t="shared" si="83"/>
        <v>#REF!</v>
      </c>
      <c r="BC75" s="287" t="e">
        <f t="shared" si="83"/>
        <v>#REF!</v>
      </c>
      <c r="BD75" s="287" t="e">
        <f t="shared" si="83"/>
        <v>#REF!</v>
      </c>
      <c r="BE75" s="287" t="e">
        <f t="shared" si="83"/>
        <v>#REF!</v>
      </c>
      <c r="BF75" s="287" t="e">
        <f t="shared" si="83"/>
        <v>#REF!</v>
      </c>
      <c r="BG75" s="287" t="e">
        <f t="shared" si="83"/>
        <v>#REF!</v>
      </c>
      <c r="BH75" s="287" t="e">
        <f t="shared" si="83"/>
        <v>#REF!</v>
      </c>
      <c r="BI75" s="287" t="e">
        <f t="shared" si="83"/>
        <v>#REF!</v>
      </c>
      <c r="BJ75" s="287" t="e">
        <f t="shared" si="83"/>
        <v>#REF!</v>
      </c>
      <c r="BK75" s="287" t="e">
        <f t="shared" si="83"/>
        <v>#REF!</v>
      </c>
      <c r="BL75" s="287" t="e">
        <f t="shared" si="83"/>
        <v>#REF!</v>
      </c>
      <c r="BM75" s="287" t="e">
        <f t="shared" si="83"/>
        <v>#REF!</v>
      </c>
      <c r="BN75" s="287" t="e">
        <f t="shared" si="83"/>
        <v>#REF!</v>
      </c>
      <c r="BO75" s="287" t="e">
        <f t="shared" si="83"/>
        <v>#REF!</v>
      </c>
    </row>
    <row r="76" spans="1:67" ht="20.25" customHeight="1">
      <c r="A76" s="409" t="s">
        <v>2921</v>
      </c>
      <c r="B76" s="410">
        <v>12</v>
      </c>
      <c r="C76" s="200">
        <v>0</v>
      </c>
      <c r="D76" s="361" t="str">
        <f t="shared" si="79"/>
        <v>R08</v>
      </c>
      <c r="E76" s="74">
        <f t="shared" si="80"/>
        <v>0</v>
      </c>
      <c r="F76" s="337">
        <f>IF(C76=0,,VLOOKUP(E76,#REF!,5, FALSE()))</f>
        <v>0</v>
      </c>
      <c r="G76" s="448"/>
      <c r="H76" s="448"/>
      <c r="I76" s="340"/>
      <c r="J76" s="340"/>
      <c r="K76" s="449"/>
      <c r="L76" s="449"/>
      <c r="M76" s="340"/>
      <c r="N76" s="340"/>
      <c r="O76" s="449"/>
      <c r="P76" s="449"/>
      <c r="Q76" s="340"/>
      <c r="R76" s="340"/>
      <c r="S76" s="449"/>
      <c r="T76" s="449"/>
      <c r="U76" s="340"/>
      <c r="V76" s="340"/>
      <c r="W76" s="480"/>
      <c r="X76" s="382">
        <f>IF(C76=0,,VLOOKUP(E76,#REF!,2, FALSE()))</f>
        <v>0</v>
      </c>
      <c r="Y76" s="384">
        <f>IF(C76=0,,VLOOKUP(E76,#REF!,3, FALSE()))</f>
        <v>0</v>
      </c>
      <c r="Z76" s="385"/>
      <c r="AA76" s="74"/>
      <c r="AB76" s="386">
        <f>IF(C76=0,,VLOOKUP(E76,#REF!,6, FALSE()))</f>
        <v>0</v>
      </c>
      <c r="AC76" s="74"/>
      <c r="AD76" s="74"/>
      <c r="AE76" s="74"/>
      <c r="AF76" s="74"/>
      <c r="AG76" s="74"/>
      <c r="AH76" s="74"/>
      <c r="AI76" s="74"/>
      <c r="AJ76" s="422"/>
      <c r="AK76" s="287" t="e">
        <f t="shared" ref="AK76:BO76" si="84">(MID(#REF!, 7,2))</f>
        <v>#REF!</v>
      </c>
      <c r="AL76" s="287" t="e">
        <f t="shared" si="84"/>
        <v>#REF!</v>
      </c>
      <c r="AM76" s="287" t="e">
        <f t="shared" si="84"/>
        <v>#REF!</v>
      </c>
      <c r="AN76" s="287" t="e">
        <f t="shared" si="84"/>
        <v>#REF!</v>
      </c>
      <c r="AO76" s="287" t="e">
        <f t="shared" si="84"/>
        <v>#REF!</v>
      </c>
      <c r="AP76" s="287" t="e">
        <f t="shared" si="84"/>
        <v>#REF!</v>
      </c>
      <c r="AQ76" s="287" t="e">
        <f t="shared" si="84"/>
        <v>#REF!</v>
      </c>
      <c r="AR76" s="287" t="e">
        <f t="shared" si="84"/>
        <v>#REF!</v>
      </c>
      <c r="AS76" s="287" t="e">
        <f t="shared" si="84"/>
        <v>#REF!</v>
      </c>
      <c r="AT76" s="287" t="e">
        <f t="shared" si="84"/>
        <v>#REF!</v>
      </c>
      <c r="AU76" s="287" t="e">
        <f t="shared" si="84"/>
        <v>#REF!</v>
      </c>
      <c r="AV76" s="287" t="e">
        <f t="shared" si="84"/>
        <v>#REF!</v>
      </c>
      <c r="AW76" s="287" t="e">
        <f t="shared" si="84"/>
        <v>#REF!</v>
      </c>
      <c r="AX76" s="287" t="e">
        <f t="shared" si="84"/>
        <v>#REF!</v>
      </c>
      <c r="AY76" s="287" t="e">
        <f t="shared" si="84"/>
        <v>#REF!</v>
      </c>
      <c r="AZ76" s="287" t="e">
        <f t="shared" si="84"/>
        <v>#REF!</v>
      </c>
      <c r="BA76" s="287" t="e">
        <f t="shared" si="84"/>
        <v>#REF!</v>
      </c>
      <c r="BB76" s="287" t="e">
        <f t="shared" si="84"/>
        <v>#REF!</v>
      </c>
      <c r="BC76" s="287" t="e">
        <f t="shared" si="84"/>
        <v>#REF!</v>
      </c>
      <c r="BD76" s="287" t="e">
        <f t="shared" si="84"/>
        <v>#REF!</v>
      </c>
      <c r="BE76" s="287" t="e">
        <f t="shared" si="84"/>
        <v>#REF!</v>
      </c>
      <c r="BF76" s="287" t="e">
        <f t="shared" si="84"/>
        <v>#REF!</v>
      </c>
      <c r="BG76" s="287" t="e">
        <f t="shared" si="84"/>
        <v>#REF!</v>
      </c>
      <c r="BH76" s="287" t="e">
        <f t="shared" si="84"/>
        <v>#REF!</v>
      </c>
      <c r="BI76" s="287" t="e">
        <f t="shared" si="84"/>
        <v>#REF!</v>
      </c>
      <c r="BJ76" s="287" t="e">
        <f t="shared" si="84"/>
        <v>#REF!</v>
      </c>
      <c r="BK76" s="287" t="e">
        <f t="shared" si="84"/>
        <v>#REF!</v>
      </c>
      <c r="BL76" s="287" t="e">
        <f t="shared" si="84"/>
        <v>#REF!</v>
      </c>
      <c r="BM76" s="287" t="e">
        <f t="shared" si="84"/>
        <v>#REF!</v>
      </c>
      <c r="BN76" s="287" t="e">
        <f t="shared" si="84"/>
        <v>#REF!</v>
      </c>
      <c r="BO76" s="287" t="e">
        <f t="shared" si="84"/>
        <v>#REF!</v>
      </c>
    </row>
    <row r="77" spans="1:67" ht="20.25" customHeight="1">
      <c r="A77" s="424" t="s">
        <v>2936</v>
      </c>
      <c r="B77" s="425">
        <f>AB77</f>
        <v>0</v>
      </c>
      <c r="C77" s="200">
        <v>0</v>
      </c>
      <c r="D77" s="361" t="str">
        <f t="shared" si="79"/>
        <v>R08</v>
      </c>
      <c r="E77" s="74">
        <f t="shared" si="80"/>
        <v>0</v>
      </c>
      <c r="F77" s="337">
        <f>IF(C77=0,,VLOOKUP(E77,#REF!,5, FALSE()))</f>
        <v>0</v>
      </c>
      <c r="G77" s="448"/>
      <c r="H77" s="448"/>
      <c r="I77" s="340"/>
      <c r="J77" s="340"/>
      <c r="K77" s="449"/>
      <c r="L77" s="449"/>
      <c r="M77" s="340"/>
      <c r="N77" s="340"/>
      <c r="O77" s="449"/>
      <c r="P77" s="449"/>
      <c r="Q77" s="340"/>
      <c r="R77" s="340"/>
      <c r="S77" s="449"/>
      <c r="T77" s="449"/>
      <c r="U77" s="340"/>
      <c r="V77" s="340"/>
      <c r="W77" s="480"/>
      <c r="X77" s="382">
        <f>IF(C77=0,,VLOOKUP(E77,#REF!,2, FALSE()))</f>
        <v>0</v>
      </c>
      <c r="Y77" s="384">
        <f>IF(C77=0,,VLOOKUP(E77,#REF!,3, FALSE()))</f>
        <v>0</v>
      </c>
      <c r="Z77" s="385"/>
      <c r="AA77" s="74"/>
      <c r="AB77" s="386">
        <f>IF(C77=0,,VLOOKUP(E77,#REF!,6, FALSE()))</f>
        <v>0</v>
      </c>
      <c r="AC77" s="74"/>
      <c r="AD77" s="74"/>
      <c r="AE77" s="74"/>
      <c r="AF77" s="74"/>
      <c r="AG77" s="74"/>
      <c r="AH77" s="74"/>
      <c r="AI77" s="74"/>
      <c r="AJ77" s="389"/>
      <c r="AK77" s="287" t="e">
        <f t="shared" ref="AK77:BO77" si="85">(MID(#REF!, 7,2))</f>
        <v>#REF!</v>
      </c>
      <c r="AL77" s="287" t="e">
        <f t="shared" si="85"/>
        <v>#REF!</v>
      </c>
      <c r="AM77" s="287" t="e">
        <f t="shared" si="85"/>
        <v>#REF!</v>
      </c>
      <c r="AN77" s="287" t="e">
        <f t="shared" si="85"/>
        <v>#REF!</v>
      </c>
      <c r="AO77" s="287" t="e">
        <f t="shared" si="85"/>
        <v>#REF!</v>
      </c>
      <c r="AP77" s="287" t="e">
        <f t="shared" si="85"/>
        <v>#REF!</v>
      </c>
      <c r="AQ77" s="287" t="e">
        <f t="shared" si="85"/>
        <v>#REF!</v>
      </c>
      <c r="AR77" s="287" t="e">
        <f t="shared" si="85"/>
        <v>#REF!</v>
      </c>
      <c r="AS77" s="287" t="e">
        <f t="shared" si="85"/>
        <v>#REF!</v>
      </c>
      <c r="AT77" s="287" t="e">
        <f t="shared" si="85"/>
        <v>#REF!</v>
      </c>
      <c r="AU77" s="287" t="e">
        <f t="shared" si="85"/>
        <v>#REF!</v>
      </c>
      <c r="AV77" s="287" t="e">
        <f t="shared" si="85"/>
        <v>#REF!</v>
      </c>
      <c r="AW77" s="287" t="e">
        <f t="shared" si="85"/>
        <v>#REF!</v>
      </c>
      <c r="AX77" s="287" t="e">
        <f t="shared" si="85"/>
        <v>#REF!</v>
      </c>
      <c r="AY77" s="287" t="e">
        <f t="shared" si="85"/>
        <v>#REF!</v>
      </c>
      <c r="AZ77" s="287" t="e">
        <f t="shared" si="85"/>
        <v>#REF!</v>
      </c>
      <c r="BA77" s="287" t="e">
        <f t="shared" si="85"/>
        <v>#REF!</v>
      </c>
      <c r="BB77" s="287" t="e">
        <f t="shared" si="85"/>
        <v>#REF!</v>
      </c>
      <c r="BC77" s="287" t="e">
        <f t="shared" si="85"/>
        <v>#REF!</v>
      </c>
      <c r="BD77" s="287" t="e">
        <f t="shared" si="85"/>
        <v>#REF!</v>
      </c>
      <c r="BE77" s="287" t="e">
        <f t="shared" si="85"/>
        <v>#REF!</v>
      </c>
      <c r="BF77" s="287" t="e">
        <f t="shared" si="85"/>
        <v>#REF!</v>
      </c>
      <c r="BG77" s="287" t="e">
        <f t="shared" si="85"/>
        <v>#REF!</v>
      </c>
      <c r="BH77" s="287" t="e">
        <f t="shared" si="85"/>
        <v>#REF!</v>
      </c>
      <c r="BI77" s="287" t="e">
        <f t="shared" si="85"/>
        <v>#REF!</v>
      </c>
      <c r="BJ77" s="287" t="e">
        <f t="shared" si="85"/>
        <v>#REF!</v>
      </c>
      <c r="BK77" s="287" t="e">
        <f t="shared" si="85"/>
        <v>#REF!</v>
      </c>
      <c r="BL77" s="287" t="e">
        <f t="shared" si="85"/>
        <v>#REF!</v>
      </c>
      <c r="BM77" s="287" t="e">
        <f t="shared" si="85"/>
        <v>#REF!</v>
      </c>
      <c r="BN77" s="287" t="e">
        <f t="shared" si="85"/>
        <v>#REF!</v>
      </c>
      <c r="BO77" s="287" t="e">
        <f t="shared" si="85"/>
        <v>#REF!</v>
      </c>
    </row>
    <row r="78" spans="1:67" ht="20.25" customHeight="1">
      <c r="A78" s="424" t="e">
        <f>Z73</f>
        <v>#REF!</v>
      </c>
      <c r="B78" s="425">
        <v>1.8333333333333333</v>
      </c>
      <c r="C78" s="200">
        <v>0</v>
      </c>
      <c r="D78" s="361" t="str">
        <f t="shared" si="79"/>
        <v>R08</v>
      </c>
      <c r="E78" s="74">
        <f t="shared" si="80"/>
        <v>0</v>
      </c>
      <c r="F78" s="337">
        <f>IF(C78=0,,VLOOKUP(E78,#REF!,5, FALSE()))</f>
        <v>0</v>
      </c>
      <c r="G78" s="448"/>
      <c r="H78" s="448"/>
      <c r="I78" s="340"/>
      <c r="J78" s="340"/>
      <c r="K78" s="449"/>
      <c r="L78" s="449"/>
      <c r="M78" s="340"/>
      <c r="N78" s="340"/>
      <c r="O78" s="449"/>
      <c r="P78" s="449"/>
      <c r="Q78" s="340"/>
      <c r="R78" s="340"/>
      <c r="S78" s="449"/>
      <c r="T78" s="449"/>
      <c r="U78" s="340"/>
      <c r="V78" s="340"/>
      <c r="W78" s="480"/>
      <c r="X78" s="382">
        <f>IF(C78=0,,VLOOKUP(E78,#REF!,2, FALSE()))</f>
        <v>0</v>
      </c>
      <c r="Y78" s="384">
        <f>IF(C78=0,,VLOOKUP(E78,#REF!,3, FALSE()))</f>
        <v>0</v>
      </c>
      <c r="Z78" s="385"/>
      <c r="AA78" s="74"/>
      <c r="AB78" s="386">
        <f>IF(C78=0,,VLOOKUP(E78,#REF!,6, FALSE()))</f>
        <v>0</v>
      </c>
      <c r="AC78" s="74"/>
      <c r="AD78" s="74"/>
      <c r="AE78" s="74"/>
      <c r="AF78" s="74"/>
      <c r="AG78" s="74"/>
      <c r="AH78" s="74"/>
      <c r="AI78" s="74"/>
      <c r="AJ78" s="389"/>
      <c r="AK78" s="287" t="e">
        <f t="shared" ref="AK78:BO78" si="86">(MID(#REF!, 7,2))</f>
        <v>#REF!</v>
      </c>
      <c r="AL78" s="287" t="e">
        <f t="shared" si="86"/>
        <v>#REF!</v>
      </c>
      <c r="AM78" s="287" t="e">
        <f t="shared" si="86"/>
        <v>#REF!</v>
      </c>
      <c r="AN78" s="287" t="e">
        <f t="shared" si="86"/>
        <v>#REF!</v>
      </c>
      <c r="AO78" s="287" t="e">
        <f t="shared" si="86"/>
        <v>#REF!</v>
      </c>
      <c r="AP78" s="287" t="e">
        <f t="shared" si="86"/>
        <v>#REF!</v>
      </c>
      <c r="AQ78" s="287" t="e">
        <f t="shared" si="86"/>
        <v>#REF!</v>
      </c>
      <c r="AR78" s="287" t="e">
        <f t="shared" si="86"/>
        <v>#REF!</v>
      </c>
      <c r="AS78" s="287" t="e">
        <f t="shared" si="86"/>
        <v>#REF!</v>
      </c>
      <c r="AT78" s="287" t="e">
        <f t="shared" si="86"/>
        <v>#REF!</v>
      </c>
      <c r="AU78" s="287" t="e">
        <f t="shared" si="86"/>
        <v>#REF!</v>
      </c>
      <c r="AV78" s="287" t="e">
        <f t="shared" si="86"/>
        <v>#REF!</v>
      </c>
      <c r="AW78" s="287" t="e">
        <f t="shared" si="86"/>
        <v>#REF!</v>
      </c>
      <c r="AX78" s="287" t="e">
        <f t="shared" si="86"/>
        <v>#REF!</v>
      </c>
      <c r="AY78" s="287" t="e">
        <f t="shared" si="86"/>
        <v>#REF!</v>
      </c>
      <c r="AZ78" s="287" t="e">
        <f t="shared" si="86"/>
        <v>#REF!</v>
      </c>
      <c r="BA78" s="287" t="e">
        <f t="shared" si="86"/>
        <v>#REF!</v>
      </c>
      <c r="BB78" s="287" t="e">
        <f t="shared" si="86"/>
        <v>#REF!</v>
      </c>
      <c r="BC78" s="287" t="e">
        <f t="shared" si="86"/>
        <v>#REF!</v>
      </c>
      <c r="BD78" s="287" t="e">
        <f t="shared" si="86"/>
        <v>#REF!</v>
      </c>
      <c r="BE78" s="287" t="e">
        <f t="shared" si="86"/>
        <v>#REF!</v>
      </c>
      <c r="BF78" s="287" t="e">
        <f t="shared" si="86"/>
        <v>#REF!</v>
      </c>
      <c r="BG78" s="287" t="e">
        <f t="shared" si="86"/>
        <v>#REF!</v>
      </c>
      <c r="BH78" s="287" t="e">
        <f t="shared" si="86"/>
        <v>#REF!</v>
      </c>
      <c r="BI78" s="287" t="e">
        <f t="shared" si="86"/>
        <v>#REF!</v>
      </c>
      <c r="BJ78" s="287" t="e">
        <f t="shared" si="86"/>
        <v>#REF!</v>
      </c>
      <c r="BK78" s="287" t="e">
        <f t="shared" si="86"/>
        <v>#REF!</v>
      </c>
      <c r="BL78" s="287" t="e">
        <f t="shared" si="86"/>
        <v>#REF!</v>
      </c>
      <c r="BM78" s="287" t="e">
        <f t="shared" si="86"/>
        <v>#REF!</v>
      </c>
      <c r="BN78" s="287" t="e">
        <f t="shared" si="86"/>
        <v>#REF!</v>
      </c>
      <c r="BO78" s="287" t="e">
        <f t="shared" si="86"/>
        <v>#REF!</v>
      </c>
    </row>
    <row r="79" spans="1:67" ht="20.25" customHeight="1">
      <c r="A79" s="424" t="s">
        <v>2951</v>
      </c>
      <c r="B79" s="425" t="e">
        <f>SUM(AB73:AB81)</f>
        <v>#REF!</v>
      </c>
      <c r="C79" s="200">
        <v>0</v>
      </c>
      <c r="D79" s="361" t="str">
        <f t="shared" si="79"/>
        <v>R08</v>
      </c>
      <c r="E79" s="74">
        <f t="shared" si="80"/>
        <v>0</v>
      </c>
      <c r="F79" s="337">
        <f>IF(C79=0,,VLOOKUP(E79,#REF!,5, FALSE()))</f>
        <v>0</v>
      </c>
      <c r="G79" s="448"/>
      <c r="H79" s="448"/>
      <c r="I79" s="340"/>
      <c r="J79" s="340"/>
      <c r="K79" s="449"/>
      <c r="L79" s="449"/>
      <c r="M79" s="340"/>
      <c r="N79" s="340"/>
      <c r="O79" s="449"/>
      <c r="P79" s="449"/>
      <c r="Q79" s="340"/>
      <c r="R79" s="340"/>
      <c r="S79" s="449"/>
      <c r="T79" s="449"/>
      <c r="U79" s="340"/>
      <c r="V79" s="340"/>
      <c r="W79" s="480"/>
      <c r="X79" s="382">
        <f>IF(C79=0,,VLOOKUP(E79,#REF!,2, FALSE()))</f>
        <v>0</v>
      </c>
      <c r="Y79" s="384">
        <f>IF(C79=0,,VLOOKUP(E79,#REF!,3, FALSE()))</f>
        <v>0</v>
      </c>
      <c r="Z79" s="385"/>
      <c r="AA79" s="74"/>
      <c r="AB79" s="386">
        <f>IF(C79=0,,VLOOKUP(E79,#REF!,6, FALSE()))</f>
        <v>0</v>
      </c>
      <c r="AC79" s="74"/>
      <c r="AD79" s="74"/>
      <c r="AE79" s="74"/>
      <c r="AF79" s="74"/>
      <c r="AG79" s="74"/>
      <c r="AH79" s="74"/>
      <c r="AI79" s="74"/>
      <c r="AJ79" s="389"/>
      <c r="AK79" s="287" t="e">
        <f t="shared" ref="AK79:BO79" si="87">(MID(#REF!, 7,2))</f>
        <v>#REF!</v>
      </c>
      <c r="AL79" s="287" t="e">
        <f t="shared" si="87"/>
        <v>#REF!</v>
      </c>
      <c r="AM79" s="287" t="e">
        <f t="shared" si="87"/>
        <v>#REF!</v>
      </c>
      <c r="AN79" s="287" t="e">
        <f t="shared" si="87"/>
        <v>#REF!</v>
      </c>
      <c r="AO79" s="287" t="e">
        <f t="shared" si="87"/>
        <v>#REF!</v>
      </c>
      <c r="AP79" s="287" t="e">
        <f t="shared" si="87"/>
        <v>#REF!</v>
      </c>
      <c r="AQ79" s="287" t="e">
        <f t="shared" si="87"/>
        <v>#REF!</v>
      </c>
      <c r="AR79" s="287" t="e">
        <f t="shared" si="87"/>
        <v>#REF!</v>
      </c>
      <c r="AS79" s="287" t="e">
        <f t="shared" si="87"/>
        <v>#REF!</v>
      </c>
      <c r="AT79" s="287" t="e">
        <f t="shared" si="87"/>
        <v>#REF!</v>
      </c>
      <c r="AU79" s="287" t="e">
        <f t="shared" si="87"/>
        <v>#REF!</v>
      </c>
      <c r="AV79" s="287" t="e">
        <f t="shared" si="87"/>
        <v>#REF!</v>
      </c>
      <c r="AW79" s="287" t="e">
        <f t="shared" si="87"/>
        <v>#REF!</v>
      </c>
      <c r="AX79" s="287" t="e">
        <f t="shared" si="87"/>
        <v>#REF!</v>
      </c>
      <c r="AY79" s="287" t="e">
        <f t="shared" si="87"/>
        <v>#REF!</v>
      </c>
      <c r="AZ79" s="287" t="e">
        <f t="shared" si="87"/>
        <v>#REF!</v>
      </c>
      <c r="BA79" s="287" t="e">
        <f t="shared" si="87"/>
        <v>#REF!</v>
      </c>
      <c r="BB79" s="287" t="e">
        <f t="shared" si="87"/>
        <v>#REF!</v>
      </c>
      <c r="BC79" s="287" t="e">
        <f t="shared" si="87"/>
        <v>#REF!</v>
      </c>
      <c r="BD79" s="287" t="e">
        <f t="shared" si="87"/>
        <v>#REF!</v>
      </c>
      <c r="BE79" s="287" t="e">
        <f t="shared" si="87"/>
        <v>#REF!</v>
      </c>
      <c r="BF79" s="287" t="e">
        <f t="shared" si="87"/>
        <v>#REF!</v>
      </c>
      <c r="BG79" s="287" t="e">
        <f t="shared" si="87"/>
        <v>#REF!</v>
      </c>
      <c r="BH79" s="287" t="e">
        <f t="shared" si="87"/>
        <v>#REF!</v>
      </c>
      <c r="BI79" s="287" t="e">
        <f t="shared" si="87"/>
        <v>#REF!</v>
      </c>
      <c r="BJ79" s="287" t="e">
        <f t="shared" si="87"/>
        <v>#REF!</v>
      </c>
      <c r="BK79" s="287" t="e">
        <f t="shared" si="87"/>
        <v>#REF!</v>
      </c>
      <c r="BL79" s="287" t="e">
        <f t="shared" si="87"/>
        <v>#REF!</v>
      </c>
      <c r="BM79" s="287" t="e">
        <f t="shared" si="87"/>
        <v>#REF!</v>
      </c>
      <c r="BN79" s="287" t="e">
        <f t="shared" si="87"/>
        <v>#REF!</v>
      </c>
      <c r="BO79" s="287" t="e">
        <f t="shared" si="87"/>
        <v>#REF!</v>
      </c>
    </row>
    <row r="80" spans="1:67" ht="20.25" customHeight="1">
      <c r="A80" s="424" t="s">
        <v>2952</v>
      </c>
      <c r="B80" s="425">
        <f>SUM(AJ73:AJ81)</f>
        <v>2.0833333333333332E-2</v>
      </c>
      <c r="C80" s="200">
        <v>0</v>
      </c>
      <c r="D80" s="361" t="str">
        <f t="shared" si="79"/>
        <v>R08</v>
      </c>
      <c r="E80" s="74">
        <f t="shared" si="80"/>
        <v>0</v>
      </c>
      <c r="F80" s="337">
        <f>IF(C80=0,,VLOOKUP(E80,#REF!,5, FALSE()))</f>
        <v>0</v>
      </c>
      <c r="G80" s="448"/>
      <c r="H80" s="448"/>
      <c r="I80" s="340"/>
      <c r="J80" s="340"/>
      <c r="K80" s="449"/>
      <c r="L80" s="449"/>
      <c r="M80" s="340"/>
      <c r="N80" s="340"/>
      <c r="O80" s="449"/>
      <c r="P80" s="449"/>
      <c r="Q80" s="340"/>
      <c r="R80" s="340"/>
      <c r="S80" s="449"/>
      <c r="T80" s="449"/>
      <c r="U80" s="340"/>
      <c r="V80" s="340"/>
      <c r="W80" s="480"/>
      <c r="X80" s="382">
        <f>IF(C80=0,,VLOOKUP(E80,#REF!,2, FALSE()))</f>
        <v>0</v>
      </c>
      <c r="Y80" s="384">
        <f>IF(C80=0,,VLOOKUP(E80,#REF!,3, FALSE()))</f>
        <v>0</v>
      </c>
      <c r="Z80" s="385"/>
      <c r="AA80" s="74"/>
      <c r="AB80" s="386">
        <f>IF(C80=0,,VLOOKUP(E80,#REF!,6, FALSE()))</f>
        <v>0</v>
      </c>
      <c r="AC80" s="74"/>
      <c r="AD80" s="74"/>
      <c r="AE80" s="74"/>
      <c r="AF80" s="74"/>
      <c r="AG80" s="74"/>
      <c r="AH80" s="74"/>
      <c r="AI80" s="74"/>
      <c r="AJ80" s="389"/>
      <c r="AK80" s="287" t="e">
        <f t="shared" ref="AK80:BO80" si="88">(MID(#REF!, 7,2))</f>
        <v>#REF!</v>
      </c>
      <c r="AL80" s="287" t="e">
        <f t="shared" si="88"/>
        <v>#REF!</v>
      </c>
      <c r="AM80" s="287" t="e">
        <f t="shared" si="88"/>
        <v>#REF!</v>
      </c>
      <c r="AN80" s="287" t="e">
        <f t="shared" si="88"/>
        <v>#REF!</v>
      </c>
      <c r="AO80" s="287" t="e">
        <f t="shared" si="88"/>
        <v>#REF!</v>
      </c>
      <c r="AP80" s="287" t="e">
        <f t="shared" si="88"/>
        <v>#REF!</v>
      </c>
      <c r="AQ80" s="287" t="e">
        <f t="shared" si="88"/>
        <v>#REF!</v>
      </c>
      <c r="AR80" s="287" t="e">
        <f t="shared" si="88"/>
        <v>#REF!</v>
      </c>
      <c r="AS80" s="287" t="e">
        <f t="shared" si="88"/>
        <v>#REF!</v>
      </c>
      <c r="AT80" s="287" t="e">
        <f t="shared" si="88"/>
        <v>#REF!</v>
      </c>
      <c r="AU80" s="287" t="e">
        <f t="shared" si="88"/>
        <v>#REF!</v>
      </c>
      <c r="AV80" s="287" t="e">
        <f t="shared" si="88"/>
        <v>#REF!</v>
      </c>
      <c r="AW80" s="287" t="e">
        <f t="shared" si="88"/>
        <v>#REF!</v>
      </c>
      <c r="AX80" s="287" t="e">
        <f t="shared" si="88"/>
        <v>#REF!</v>
      </c>
      <c r="AY80" s="287" t="e">
        <f t="shared" si="88"/>
        <v>#REF!</v>
      </c>
      <c r="AZ80" s="287" t="e">
        <f t="shared" si="88"/>
        <v>#REF!</v>
      </c>
      <c r="BA80" s="287" t="e">
        <f t="shared" si="88"/>
        <v>#REF!</v>
      </c>
      <c r="BB80" s="287" t="e">
        <f t="shared" si="88"/>
        <v>#REF!</v>
      </c>
      <c r="BC80" s="287" t="e">
        <f t="shared" si="88"/>
        <v>#REF!</v>
      </c>
      <c r="BD80" s="287" t="e">
        <f t="shared" si="88"/>
        <v>#REF!</v>
      </c>
      <c r="BE80" s="287" t="e">
        <f t="shared" si="88"/>
        <v>#REF!</v>
      </c>
      <c r="BF80" s="287" t="e">
        <f t="shared" si="88"/>
        <v>#REF!</v>
      </c>
      <c r="BG80" s="287" t="e">
        <f t="shared" si="88"/>
        <v>#REF!</v>
      </c>
      <c r="BH80" s="287" t="e">
        <f t="shared" si="88"/>
        <v>#REF!</v>
      </c>
      <c r="BI80" s="287" t="e">
        <f t="shared" si="88"/>
        <v>#REF!</v>
      </c>
      <c r="BJ80" s="287" t="e">
        <f t="shared" si="88"/>
        <v>#REF!</v>
      </c>
      <c r="BK80" s="287" t="e">
        <f t="shared" si="88"/>
        <v>#REF!</v>
      </c>
      <c r="BL80" s="287" t="e">
        <f t="shared" si="88"/>
        <v>#REF!</v>
      </c>
      <c r="BM80" s="287" t="e">
        <f t="shared" si="88"/>
        <v>#REF!</v>
      </c>
      <c r="BN80" s="287" t="e">
        <f t="shared" si="88"/>
        <v>#REF!</v>
      </c>
      <c r="BO80" s="287" t="e">
        <f t="shared" si="88"/>
        <v>#REF!</v>
      </c>
    </row>
    <row r="81" spans="1:67" ht="20.25" customHeight="1">
      <c r="A81" s="443" t="s">
        <v>2953</v>
      </c>
      <c r="B81" s="444" t="e">
        <f>B78-B79-B80</f>
        <v>#REF!</v>
      </c>
      <c r="C81" s="200">
        <v>0</v>
      </c>
      <c r="D81" s="361" t="str">
        <f t="shared" si="79"/>
        <v>R08</v>
      </c>
      <c r="E81" s="74">
        <f t="shared" si="80"/>
        <v>0</v>
      </c>
      <c r="F81" s="337">
        <f>IF(C81=0,,VLOOKUP(E81,#REF!,5, FALSE()))</f>
        <v>0</v>
      </c>
      <c r="G81" s="448"/>
      <c r="H81" s="448"/>
      <c r="I81" s="340"/>
      <c r="J81" s="340"/>
      <c r="K81" s="449"/>
      <c r="L81" s="449"/>
      <c r="M81" s="340"/>
      <c r="N81" s="340"/>
      <c r="O81" s="449"/>
      <c r="P81" s="449"/>
      <c r="Q81" s="340"/>
      <c r="R81" s="340"/>
      <c r="S81" s="449"/>
      <c r="T81" s="449"/>
      <c r="U81" s="340"/>
      <c r="V81" s="340"/>
      <c r="W81" s="481"/>
      <c r="X81" s="382">
        <f>IF(C81=0,,VLOOKUP(E81,#REF!,2, FALSE()))</f>
        <v>0</v>
      </c>
      <c r="Y81" s="384">
        <f>IF(C81=0,,VLOOKUP(E81,#REF!,3, FALSE()))</f>
        <v>0</v>
      </c>
      <c r="Z81" s="385"/>
      <c r="AA81" s="74"/>
      <c r="AB81" s="386">
        <f>IF(C81=0,,VLOOKUP(E81,#REF!,6, FALSE()))</f>
        <v>0</v>
      </c>
      <c r="AC81" s="74"/>
      <c r="AD81" s="74"/>
      <c r="AE81" s="74"/>
      <c r="AF81" s="74"/>
      <c r="AG81" s="74"/>
      <c r="AH81" s="74"/>
      <c r="AI81" s="74"/>
      <c r="AJ81" s="389"/>
      <c r="AK81" s="287" t="e">
        <f t="shared" ref="AK81:BO81" si="89">(MID(#REF!, 7,2))</f>
        <v>#REF!</v>
      </c>
      <c r="AL81" s="287" t="e">
        <f t="shared" si="89"/>
        <v>#REF!</v>
      </c>
      <c r="AM81" s="287" t="e">
        <f t="shared" si="89"/>
        <v>#REF!</v>
      </c>
      <c r="AN81" s="287" t="e">
        <f t="shared" si="89"/>
        <v>#REF!</v>
      </c>
      <c r="AO81" s="287" t="e">
        <f t="shared" si="89"/>
        <v>#REF!</v>
      </c>
      <c r="AP81" s="287" t="e">
        <f t="shared" si="89"/>
        <v>#REF!</v>
      </c>
      <c r="AQ81" s="287" t="e">
        <f t="shared" si="89"/>
        <v>#REF!</v>
      </c>
      <c r="AR81" s="287" t="e">
        <f t="shared" si="89"/>
        <v>#REF!</v>
      </c>
      <c r="AS81" s="287" t="e">
        <f t="shared" si="89"/>
        <v>#REF!</v>
      </c>
      <c r="AT81" s="287" t="e">
        <f t="shared" si="89"/>
        <v>#REF!</v>
      </c>
      <c r="AU81" s="287" t="e">
        <f t="shared" si="89"/>
        <v>#REF!</v>
      </c>
      <c r="AV81" s="287" t="e">
        <f t="shared" si="89"/>
        <v>#REF!</v>
      </c>
      <c r="AW81" s="287" t="e">
        <f t="shared" si="89"/>
        <v>#REF!</v>
      </c>
      <c r="AX81" s="287" t="e">
        <f t="shared" si="89"/>
        <v>#REF!</v>
      </c>
      <c r="AY81" s="287" t="e">
        <f t="shared" si="89"/>
        <v>#REF!</v>
      </c>
      <c r="AZ81" s="287" t="e">
        <f t="shared" si="89"/>
        <v>#REF!</v>
      </c>
      <c r="BA81" s="287" t="e">
        <f t="shared" si="89"/>
        <v>#REF!</v>
      </c>
      <c r="BB81" s="287" t="e">
        <f t="shared" si="89"/>
        <v>#REF!</v>
      </c>
      <c r="BC81" s="287" t="e">
        <f t="shared" si="89"/>
        <v>#REF!</v>
      </c>
      <c r="BD81" s="287" t="e">
        <f t="shared" si="89"/>
        <v>#REF!</v>
      </c>
      <c r="BE81" s="287" t="e">
        <f t="shared" si="89"/>
        <v>#REF!</v>
      </c>
      <c r="BF81" s="287" t="e">
        <f t="shared" si="89"/>
        <v>#REF!</v>
      </c>
      <c r="BG81" s="287" t="e">
        <f t="shared" si="89"/>
        <v>#REF!</v>
      </c>
      <c r="BH81" s="287" t="e">
        <f t="shared" si="89"/>
        <v>#REF!</v>
      </c>
      <c r="BI81" s="287" t="e">
        <f t="shared" si="89"/>
        <v>#REF!</v>
      </c>
      <c r="BJ81" s="287" t="e">
        <f t="shared" si="89"/>
        <v>#REF!</v>
      </c>
      <c r="BK81" s="287" t="e">
        <f t="shared" si="89"/>
        <v>#REF!</v>
      </c>
      <c r="BL81" s="287" t="e">
        <f t="shared" si="89"/>
        <v>#REF!</v>
      </c>
      <c r="BM81" s="287" t="e">
        <f t="shared" si="89"/>
        <v>#REF!</v>
      </c>
      <c r="BN81" s="287" t="e">
        <f t="shared" si="89"/>
        <v>#REF!</v>
      </c>
      <c r="BO81" s="287" t="e">
        <f t="shared" si="89"/>
        <v>#REF!</v>
      </c>
    </row>
    <row r="82" spans="1:67" ht="3.75" customHeight="1">
      <c r="G82" s="446"/>
      <c r="H82" s="446"/>
      <c r="I82" s="285"/>
      <c r="J82" s="285"/>
      <c r="K82" s="346"/>
      <c r="L82" s="346"/>
      <c r="M82" s="285"/>
      <c r="N82" s="285"/>
      <c r="O82" s="346"/>
      <c r="P82" s="346"/>
      <c r="Q82" s="285"/>
      <c r="R82" s="285"/>
      <c r="S82" s="346"/>
      <c r="T82" s="346"/>
      <c r="U82" s="285"/>
      <c r="V82" s="285"/>
      <c r="Y82" s="447"/>
      <c r="AK82" s="346"/>
      <c r="AL82" s="346"/>
      <c r="AM82" s="346"/>
      <c r="AN82" s="346"/>
      <c r="AO82" s="346"/>
      <c r="AP82" s="346"/>
      <c r="AQ82" s="346"/>
      <c r="AR82" s="346"/>
      <c r="AS82" s="346"/>
      <c r="AT82" s="346"/>
      <c r="AU82" s="346"/>
      <c r="AV82" s="346"/>
      <c r="AW82" s="346"/>
      <c r="AX82" s="346"/>
      <c r="AY82" s="346"/>
      <c r="AZ82" s="346"/>
      <c r="BA82" s="346"/>
      <c r="BB82" s="346"/>
      <c r="BC82" s="346"/>
      <c r="BD82" s="346"/>
      <c r="BE82" s="346"/>
      <c r="BF82" s="346"/>
      <c r="BG82" s="346"/>
      <c r="BH82" s="346"/>
      <c r="BI82" s="346"/>
      <c r="BJ82" s="346"/>
      <c r="BK82" s="346"/>
      <c r="BL82" s="346"/>
      <c r="BM82" s="346"/>
      <c r="BN82" s="346"/>
      <c r="BO82" s="346"/>
    </row>
    <row r="83" spans="1:67" ht="20.25" customHeight="1">
      <c r="A83" s="200" t="s">
        <v>2459</v>
      </c>
      <c r="B83" s="217" t="s">
        <v>310</v>
      </c>
      <c r="C83" s="200">
        <v>1</v>
      </c>
      <c r="D83" s="361" t="str">
        <f t="shared" ref="D83:D91" si="90">$B$83</f>
        <v>R09</v>
      </c>
      <c r="E83" s="74" t="str">
        <f t="shared" ref="E83:E91" si="91">IF(C83=0,,CONCATENATE(D83,"/",C83))</f>
        <v>R09/1</v>
      </c>
      <c r="F83" s="337" t="e">
        <f>IF(C83=0,,VLOOKUP(E83,#REF!,5, FALSE()))</f>
        <v>#REF!</v>
      </c>
      <c r="G83" s="448"/>
      <c r="H83" s="448"/>
      <c r="I83" s="340"/>
      <c r="J83" s="340"/>
      <c r="K83" s="449"/>
      <c r="L83" s="449"/>
      <c r="M83" s="340"/>
      <c r="N83" s="340"/>
      <c r="O83" s="449"/>
      <c r="P83" s="449"/>
      <c r="Q83" s="340"/>
      <c r="R83" s="340"/>
      <c r="S83" s="449"/>
      <c r="T83" s="449"/>
      <c r="U83" s="340"/>
      <c r="V83" s="340"/>
      <c r="W83" s="563" t="e">
        <f>CONCATENATE(F83," + ",F84," + ",F85," + ",F86," + ",F87," + ",F88," + ",F89," + ",F90," + ",F91)</f>
        <v>#REF!</v>
      </c>
      <c r="X83" s="382" t="e">
        <f>IF(C83=0,,VLOOKUP(E83,#REF!,2, FALSE()))</f>
        <v>#REF!</v>
      </c>
      <c r="Y83" s="384" t="e">
        <f>IF(C83=0,,VLOOKUP(E83,#REF!,3, FALSE()))</f>
        <v>#REF!</v>
      </c>
      <c r="Z83" s="385" t="e">
        <f>VLOOKUP(Y83,#REF!,6, FALSE())</f>
        <v>#REF!</v>
      </c>
      <c r="AA83" s="74" t="str">
        <f>$B85</f>
        <v>Cesta Gd</v>
      </c>
      <c r="AB83" s="386" t="e">
        <f>IF(C83=0,,VLOOKUP(E83,#REF!,6, FALSE()))</f>
        <v>#REF!</v>
      </c>
      <c r="AC83" s="74"/>
      <c r="AD83" s="74">
        <f>$B86</f>
        <v>17</v>
      </c>
      <c r="AE83" s="74"/>
      <c r="AF83" s="450">
        <f>$B87</f>
        <v>0</v>
      </c>
      <c r="AG83" s="74"/>
      <c r="AH83" s="450" t="e">
        <f>$B89</f>
        <v>#REF!</v>
      </c>
      <c r="AI83" s="450" t="e">
        <f>B89+B90</f>
        <v>#REF!</v>
      </c>
      <c r="AJ83" s="389">
        <v>0.10416666666666667</v>
      </c>
      <c r="AK83" s="287" t="e">
        <f t="shared" ref="AK83:BO83" si="92">(MID(#REF!, 7,2))</f>
        <v>#REF!</v>
      </c>
      <c r="AL83" s="287" t="e">
        <f t="shared" si="92"/>
        <v>#REF!</v>
      </c>
      <c r="AM83" s="287" t="e">
        <f t="shared" si="92"/>
        <v>#REF!</v>
      </c>
      <c r="AN83" s="287" t="e">
        <f t="shared" si="92"/>
        <v>#REF!</v>
      </c>
      <c r="AO83" s="287" t="e">
        <f t="shared" si="92"/>
        <v>#REF!</v>
      </c>
      <c r="AP83" s="287" t="e">
        <f t="shared" si="92"/>
        <v>#REF!</v>
      </c>
      <c r="AQ83" s="287" t="e">
        <f t="shared" si="92"/>
        <v>#REF!</v>
      </c>
      <c r="AR83" s="287" t="e">
        <f t="shared" si="92"/>
        <v>#REF!</v>
      </c>
      <c r="AS83" s="287" t="e">
        <f t="shared" si="92"/>
        <v>#REF!</v>
      </c>
      <c r="AT83" s="287" t="e">
        <f t="shared" si="92"/>
        <v>#REF!</v>
      </c>
      <c r="AU83" s="287" t="e">
        <f t="shared" si="92"/>
        <v>#REF!</v>
      </c>
      <c r="AV83" s="287" t="e">
        <f t="shared" si="92"/>
        <v>#REF!</v>
      </c>
      <c r="AW83" s="287" t="e">
        <f t="shared" si="92"/>
        <v>#REF!</v>
      </c>
      <c r="AX83" s="287" t="e">
        <f t="shared" si="92"/>
        <v>#REF!</v>
      </c>
      <c r="AY83" s="287" t="e">
        <f t="shared" si="92"/>
        <v>#REF!</v>
      </c>
      <c r="AZ83" s="287" t="e">
        <f t="shared" si="92"/>
        <v>#REF!</v>
      </c>
      <c r="BA83" s="287" t="e">
        <f t="shared" si="92"/>
        <v>#REF!</v>
      </c>
      <c r="BB83" s="287" t="e">
        <f t="shared" si="92"/>
        <v>#REF!</v>
      </c>
      <c r="BC83" s="287" t="e">
        <f t="shared" si="92"/>
        <v>#REF!</v>
      </c>
      <c r="BD83" s="287" t="e">
        <f t="shared" si="92"/>
        <v>#REF!</v>
      </c>
      <c r="BE83" s="287" t="e">
        <f t="shared" si="92"/>
        <v>#REF!</v>
      </c>
      <c r="BF83" s="287" t="e">
        <f t="shared" si="92"/>
        <v>#REF!</v>
      </c>
      <c r="BG83" s="287" t="e">
        <f t="shared" si="92"/>
        <v>#REF!</v>
      </c>
      <c r="BH83" s="287" t="e">
        <f t="shared" si="92"/>
        <v>#REF!</v>
      </c>
      <c r="BI83" s="287" t="e">
        <f t="shared" si="92"/>
        <v>#REF!</v>
      </c>
      <c r="BJ83" s="287" t="e">
        <f t="shared" si="92"/>
        <v>#REF!</v>
      </c>
      <c r="BK83" s="287" t="e">
        <f t="shared" si="92"/>
        <v>#REF!</v>
      </c>
      <c r="BL83" s="287" t="e">
        <f t="shared" si="92"/>
        <v>#REF!</v>
      </c>
      <c r="BM83" s="287" t="e">
        <f t="shared" si="92"/>
        <v>#REF!</v>
      </c>
      <c r="BN83" s="287" t="e">
        <f t="shared" si="92"/>
        <v>#REF!</v>
      </c>
      <c r="BO83" s="287" t="e">
        <f t="shared" si="92"/>
        <v>#REF!</v>
      </c>
    </row>
    <row r="84" spans="1:67" ht="20.25" customHeight="1">
      <c r="A84" s="562" t="e">
        <f>Y83</f>
        <v>#REF!</v>
      </c>
      <c r="B84" s="499"/>
      <c r="C84" s="200">
        <v>2</v>
      </c>
      <c r="D84" s="361" t="str">
        <f t="shared" si="90"/>
        <v>R09</v>
      </c>
      <c r="E84" s="74" t="str">
        <f t="shared" si="91"/>
        <v>R09/2</v>
      </c>
      <c r="F84" s="337" t="e">
        <f>IF(C84=0,,VLOOKUP(E84,#REF!,5, FALSE()))</f>
        <v>#REF!</v>
      </c>
      <c r="G84" s="448"/>
      <c r="H84" s="448"/>
      <c r="I84" s="340"/>
      <c r="J84" s="340"/>
      <c r="K84" s="449"/>
      <c r="L84" s="449"/>
      <c r="M84" s="340"/>
      <c r="N84" s="340"/>
      <c r="O84" s="449"/>
      <c r="P84" s="449"/>
      <c r="Q84" s="340"/>
      <c r="R84" s="340"/>
      <c r="S84" s="449"/>
      <c r="T84" s="449"/>
      <c r="U84" s="340"/>
      <c r="V84" s="340"/>
      <c r="W84" s="480"/>
      <c r="X84" s="382" t="e">
        <f>IF(C84=0,,VLOOKUP(E84,#REF!,2, FALSE()))</f>
        <v>#REF!</v>
      </c>
      <c r="Y84" s="384" t="e">
        <f>IF(C84=0,,VLOOKUP(E84,#REF!,3, FALSE()))</f>
        <v>#REF!</v>
      </c>
      <c r="Z84" s="385"/>
      <c r="AA84" s="74"/>
      <c r="AB84" s="386" t="e">
        <f>IF(C84=0,,VLOOKUP(E84,#REF!,6, FALSE()))</f>
        <v>#REF!</v>
      </c>
      <c r="AC84" s="74"/>
      <c r="AD84" s="74"/>
      <c r="AE84" s="74"/>
      <c r="AF84" s="74"/>
      <c r="AG84" s="74"/>
      <c r="AH84" s="74"/>
      <c r="AI84" s="74"/>
      <c r="AJ84" s="389"/>
      <c r="AK84" s="287" t="e">
        <f t="shared" ref="AK84:BO84" si="93">(MID(#REF!, 7,2))</f>
        <v>#REF!</v>
      </c>
      <c r="AL84" s="287" t="e">
        <f t="shared" si="93"/>
        <v>#REF!</v>
      </c>
      <c r="AM84" s="287" t="e">
        <f t="shared" si="93"/>
        <v>#REF!</v>
      </c>
      <c r="AN84" s="287" t="e">
        <f t="shared" si="93"/>
        <v>#REF!</v>
      </c>
      <c r="AO84" s="287" t="e">
        <f t="shared" si="93"/>
        <v>#REF!</v>
      </c>
      <c r="AP84" s="287" t="e">
        <f t="shared" si="93"/>
        <v>#REF!</v>
      </c>
      <c r="AQ84" s="287" t="e">
        <f t="shared" si="93"/>
        <v>#REF!</v>
      </c>
      <c r="AR84" s="287" t="e">
        <f t="shared" si="93"/>
        <v>#REF!</v>
      </c>
      <c r="AS84" s="287" t="e">
        <f t="shared" si="93"/>
        <v>#REF!</v>
      </c>
      <c r="AT84" s="287" t="e">
        <f t="shared" si="93"/>
        <v>#REF!</v>
      </c>
      <c r="AU84" s="287" t="e">
        <f t="shared" si="93"/>
        <v>#REF!</v>
      </c>
      <c r="AV84" s="287" t="e">
        <f t="shared" si="93"/>
        <v>#REF!</v>
      </c>
      <c r="AW84" s="287" t="e">
        <f t="shared" si="93"/>
        <v>#REF!</v>
      </c>
      <c r="AX84" s="287" t="e">
        <f t="shared" si="93"/>
        <v>#REF!</v>
      </c>
      <c r="AY84" s="287" t="e">
        <f t="shared" si="93"/>
        <v>#REF!</v>
      </c>
      <c r="AZ84" s="287" t="e">
        <f t="shared" si="93"/>
        <v>#REF!</v>
      </c>
      <c r="BA84" s="287" t="e">
        <f t="shared" si="93"/>
        <v>#REF!</v>
      </c>
      <c r="BB84" s="287" t="e">
        <f t="shared" si="93"/>
        <v>#REF!</v>
      </c>
      <c r="BC84" s="287" t="e">
        <f t="shared" si="93"/>
        <v>#REF!</v>
      </c>
      <c r="BD84" s="287" t="e">
        <f t="shared" si="93"/>
        <v>#REF!</v>
      </c>
      <c r="BE84" s="287" t="e">
        <f t="shared" si="93"/>
        <v>#REF!</v>
      </c>
      <c r="BF84" s="287" t="e">
        <f t="shared" si="93"/>
        <v>#REF!</v>
      </c>
      <c r="BG84" s="287" t="e">
        <f t="shared" si="93"/>
        <v>#REF!</v>
      </c>
      <c r="BH84" s="287" t="e">
        <f t="shared" si="93"/>
        <v>#REF!</v>
      </c>
      <c r="BI84" s="287" t="e">
        <f t="shared" si="93"/>
        <v>#REF!</v>
      </c>
      <c r="BJ84" s="287" t="e">
        <f t="shared" si="93"/>
        <v>#REF!</v>
      </c>
      <c r="BK84" s="287" t="e">
        <f t="shared" si="93"/>
        <v>#REF!</v>
      </c>
      <c r="BL84" s="287" t="e">
        <f t="shared" si="93"/>
        <v>#REF!</v>
      </c>
      <c r="BM84" s="287" t="e">
        <f t="shared" si="93"/>
        <v>#REF!</v>
      </c>
      <c r="BN84" s="287" t="e">
        <f t="shared" si="93"/>
        <v>#REF!</v>
      </c>
      <c r="BO84" s="287" t="e">
        <f t="shared" si="93"/>
        <v>#REF!</v>
      </c>
    </row>
    <row r="85" spans="1:67" ht="20.25" customHeight="1">
      <c r="A85" s="402" t="s">
        <v>2896</v>
      </c>
      <c r="B85" s="19" t="s">
        <v>21</v>
      </c>
      <c r="C85" s="200">
        <v>0</v>
      </c>
      <c r="D85" s="361" t="str">
        <f t="shared" si="90"/>
        <v>R09</v>
      </c>
      <c r="E85" s="74">
        <f t="shared" si="91"/>
        <v>0</v>
      </c>
      <c r="F85" s="337">
        <f>IF(C85=0,,VLOOKUP(E85,#REF!,5, FALSE()))</f>
        <v>0</v>
      </c>
      <c r="G85" s="448"/>
      <c r="H85" s="448"/>
      <c r="I85" s="340"/>
      <c r="J85" s="340"/>
      <c r="K85" s="449"/>
      <c r="L85" s="449"/>
      <c r="M85" s="340"/>
      <c r="N85" s="340"/>
      <c r="O85" s="449"/>
      <c r="P85" s="449"/>
      <c r="Q85" s="340"/>
      <c r="R85" s="340"/>
      <c r="S85" s="449"/>
      <c r="T85" s="449"/>
      <c r="U85" s="340"/>
      <c r="V85" s="340"/>
      <c r="W85" s="480"/>
      <c r="X85" s="382">
        <f>IF(C85=0,,VLOOKUP(E85,#REF!,2, FALSE()))</f>
        <v>0</v>
      </c>
      <c r="Y85" s="384">
        <f>IF(C85=0,,VLOOKUP(E85,#REF!,3, FALSE()))</f>
        <v>0</v>
      </c>
      <c r="Z85" s="385"/>
      <c r="AA85" s="74"/>
      <c r="AB85" s="386">
        <f>IF(C85=0,,VLOOKUP(E85,#REF!,6, FALSE()))</f>
        <v>0</v>
      </c>
      <c r="AC85" s="74"/>
      <c r="AD85" s="74"/>
      <c r="AE85" s="74"/>
      <c r="AF85" s="74"/>
      <c r="AG85" s="74"/>
      <c r="AH85" s="74"/>
      <c r="AI85" s="74"/>
      <c r="AJ85" s="389"/>
      <c r="AK85" s="287" t="e">
        <f t="shared" ref="AK85:BO85" si="94">(MID(#REF!, 7,2))</f>
        <v>#REF!</v>
      </c>
      <c r="AL85" s="287" t="e">
        <f t="shared" si="94"/>
        <v>#REF!</v>
      </c>
      <c r="AM85" s="287" t="e">
        <f t="shared" si="94"/>
        <v>#REF!</v>
      </c>
      <c r="AN85" s="287" t="e">
        <f t="shared" si="94"/>
        <v>#REF!</v>
      </c>
      <c r="AO85" s="287" t="e">
        <f t="shared" si="94"/>
        <v>#REF!</v>
      </c>
      <c r="AP85" s="287" t="e">
        <f t="shared" si="94"/>
        <v>#REF!</v>
      </c>
      <c r="AQ85" s="287" t="e">
        <f t="shared" si="94"/>
        <v>#REF!</v>
      </c>
      <c r="AR85" s="287" t="e">
        <f t="shared" si="94"/>
        <v>#REF!</v>
      </c>
      <c r="AS85" s="287" t="e">
        <f t="shared" si="94"/>
        <v>#REF!</v>
      </c>
      <c r="AT85" s="287" t="e">
        <f t="shared" si="94"/>
        <v>#REF!</v>
      </c>
      <c r="AU85" s="287" t="e">
        <f t="shared" si="94"/>
        <v>#REF!</v>
      </c>
      <c r="AV85" s="287" t="e">
        <f t="shared" si="94"/>
        <v>#REF!</v>
      </c>
      <c r="AW85" s="287" t="e">
        <f t="shared" si="94"/>
        <v>#REF!</v>
      </c>
      <c r="AX85" s="287" t="e">
        <f t="shared" si="94"/>
        <v>#REF!</v>
      </c>
      <c r="AY85" s="287" t="e">
        <f t="shared" si="94"/>
        <v>#REF!</v>
      </c>
      <c r="AZ85" s="287" t="e">
        <f t="shared" si="94"/>
        <v>#REF!</v>
      </c>
      <c r="BA85" s="287" t="e">
        <f t="shared" si="94"/>
        <v>#REF!</v>
      </c>
      <c r="BB85" s="287" t="e">
        <f t="shared" si="94"/>
        <v>#REF!</v>
      </c>
      <c r="BC85" s="287" t="e">
        <f t="shared" si="94"/>
        <v>#REF!</v>
      </c>
      <c r="BD85" s="287" t="e">
        <f t="shared" si="94"/>
        <v>#REF!</v>
      </c>
      <c r="BE85" s="287" t="e">
        <f t="shared" si="94"/>
        <v>#REF!</v>
      </c>
      <c r="BF85" s="287" t="e">
        <f t="shared" si="94"/>
        <v>#REF!</v>
      </c>
      <c r="BG85" s="287" t="e">
        <f t="shared" si="94"/>
        <v>#REF!</v>
      </c>
      <c r="BH85" s="287" t="e">
        <f t="shared" si="94"/>
        <v>#REF!</v>
      </c>
      <c r="BI85" s="287" t="e">
        <f t="shared" si="94"/>
        <v>#REF!</v>
      </c>
      <c r="BJ85" s="287" t="e">
        <f t="shared" si="94"/>
        <v>#REF!</v>
      </c>
      <c r="BK85" s="287" t="e">
        <f t="shared" si="94"/>
        <v>#REF!</v>
      </c>
      <c r="BL85" s="287" t="e">
        <f t="shared" si="94"/>
        <v>#REF!</v>
      </c>
      <c r="BM85" s="287" t="e">
        <f t="shared" si="94"/>
        <v>#REF!</v>
      </c>
      <c r="BN85" s="287" t="e">
        <f t="shared" si="94"/>
        <v>#REF!</v>
      </c>
      <c r="BO85" s="287" t="e">
        <f t="shared" si="94"/>
        <v>#REF!</v>
      </c>
    </row>
    <row r="86" spans="1:67" ht="20.25" customHeight="1">
      <c r="A86" s="409" t="s">
        <v>2921</v>
      </c>
      <c r="B86" s="410">
        <v>17</v>
      </c>
      <c r="C86" s="200">
        <v>0</v>
      </c>
      <c r="D86" s="361" t="str">
        <f t="shared" si="90"/>
        <v>R09</v>
      </c>
      <c r="E86" s="74">
        <f t="shared" si="91"/>
        <v>0</v>
      </c>
      <c r="F86" s="337">
        <f>IF(C86=0,,VLOOKUP(E86,#REF!,5, FALSE()))</f>
        <v>0</v>
      </c>
      <c r="G86" s="448"/>
      <c r="H86" s="448"/>
      <c r="I86" s="340"/>
      <c r="J86" s="340"/>
      <c r="K86" s="449"/>
      <c r="L86" s="449"/>
      <c r="M86" s="340"/>
      <c r="N86" s="340"/>
      <c r="O86" s="449"/>
      <c r="P86" s="449"/>
      <c r="Q86" s="340"/>
      <c r="R86" s="340"/>
      <c r="S86" s="449"/>
      <c r="T86" s="449"/>
      <c r="U86" s="340"/>
      <c r="V86" s="340"/>
      <c r="W86" s="480"/>
      <c r="X86" s="382">
        <f>IF(C86=0,,VLOOKUP(E86,#REF!,2, FALSE()))</f>
        <v>0</v>
      </c>
      <c r="Y86" s="384">
        <f>IF(C86=0,,VLOOKUP(E86,#REF!,3, FALSE()))</f>
        <v>0</v>
      </c>
      <c r="Z86" s="385"/>
      <c r="AA86" s="74"/>
      <c r="AB86" s="386">
        <f>IF(C86=0,,VLOOKUP(E86,#REF!,6, FALSE()))</f>
        <v>0</v>
      </c>
      <c r="AC86" s="74"/>
      <c r="AD86" s="74"/>
      <c r="AE86" s="74"/>
      <c r="AF86" s="74"/>
      <c r="AG86" s="74"/>
      <c r="AH86" s="74"/>
      <c r="AI86" s="74"/>
      <c r="AJ86" s="422"/>
      <c r="AK86" s="287" t="e">
        <f t="shared" ref="AK86:BO86" si="95">(MID(#REF!, 7,2))</f>
        <v>#REF!</v>
      </c>
      <c r="AL86" s="287" t="e">
        <f t="shared" si="95"/>
        <v>#REF!</v>
      </c>
      <c r="AM86" s="287" t="e">
        <f t="shared" si="95"/>
        <v>#REF!</v>
      </c>
      <c r="AN86" s="287" t="e">
        <f t="shared" si="95"/>
        <v>#REF!</v>
      </c>
      <c r="AO86" s="287" t="e">
        <f t="shared" si="95"/>
        <v>#REF!</v>
      </c>
      <c r="AP86" s="287" t="e">
        <f t="shared" si="95"/>
        <v>#REF!</v>
      </c>
      <c r="AQ86" s="287" t="e">
        <f t="shared" si="95"/>
        <v>#REF!</v>
      </c>
      <c r="AR86" s="287" t="e">
        <f t="shared" si="95"/>
        <v>#REF!</v>
      </c>
      <c r="AS86" s="287" t="e">
        <f t="shared" si="95"/>
        <v>#REF!</v>
      </c>
      <c r="AT86" s="287" t="e">
        <f t="shared" si="95"/>
        <v>#REF!</v>
      </c>
      <c r="AU86" s="287" t="e">
        <f t="shared" si="95"/>
        <v>#REF!</v>
      </c>
      <c r="AV86" s="287" t="e">
        <f t="shared" si="95"/>
        <v>#REF!</v>
      </c>
      <c r="AW86" s="287" t="e">
        <f t="shared" si="95"/>
        <v>#REF!</v>
      </c>
      <c r="AX86" s="287" t="e">
        <f t="shared" si="95"/>
        <v>#REF!</v>
      </c>
      <c r="AY86" s="287" t="e">
        <f t="shared" si="95"/>
        <v>#REF!</v>
      </c>
      <c r="AZ86" s="287" t="e">
        <f t="shared" si="95"/>
        <v>#REF!</v>
      </c>
      <c r="BA86" s="287" t="e">
        <f t="shared" si="95"/>
        <v>#REF!</v>
      </c>
      <c r="BB86" s="287" t="e">
        <f t="shared" si="95"/>
        <v>#REF!</v>
      </c>
      <c r="BC86" s="287" t="e">
        <f t="shared" si="95"/>
        <v>#REF!</v>
      </c>
      <c r="BD86" s="287" t="e">
        <f t="shared" si="95"/>
        <v>#REF!</v>
      </c>
      <c r="BE86" s="287" t="e">
        <f t="shared" si="95"/>
        <v>#REF!</v>
      </c>
      <c r="BF86" s="287" t="e">
        <f t="shared" si="95"/>
        <v>#REF!</v>
      </c>
      <c r="BG86" s="287" t="e">
        <f t="shared" si="95"/>
        <v>#REF!</v>
      </c>
      <c r="BH86" s="287" t="e">
        <f t="shared" si="95"/>
        <v>#REF!</v>
      </c>
      <c r="BI86" s="287" t="e">
        <f t="shared" si="95"/>
        <v>#REF!</v>
      </c>
      <c r="BJ86" s="287" t="e">
        <f t="shared" si="95"/>
        <v>#REF!</v>
      </c>
      <c r="BK86" s="287" t="e">
        <f t="shared" si="95"/>
        <v>#REF!</v>
      </c>
      <c r="BL86" s="287" t="e">
        <f t="shared" si="95"/>
        <v>#REF!</v>
      </c>
      <c r="BM86" s="287" t="e">
        <f t="shared" si="95"/>
        <v>#REF!</v>
      </c>
      <c r="BN86" s="287" t="e">
        <f t="shared" si="95"/>
        <v>#REF!</v>
      </c>
      <c r="BO86" s="287" t="e">
        <f t="shared" si="95"/>
        <v>#REF!</v>
      </c>
    </row>
    <row r="87" spans="1:67" ht="20.25" customHeight="1">
      <c r="A87" s="424" t="s">
        <v>2936</v>
      </c>
      <c r="B87" s="425">
        <v>0</v>
      </c>
      <c r="C87" s="200">
        <v>0</v>
      </c>
      <c r="D87" s="361" t="str">
        <f t="shared" si="90"/>
        <v>R09</v>
      </c>
      <c r="E87" s="74">
        <f t="shared" si="91"/>
        <v>0</v>
      </c>
      <c r="F87" s="337">
        <f>IF(C87=0,,VLOOKUP(E87,#REF!,5, FALSE()))</f>
        <v>0</v>
      </c>
      <c r="G87" s="448"/>
      <c r="H87" s="448"/>
      <c r="I87" s="340"/>
      <c r="J87" s="340"/>
      <c r="K87" s="449"/>
      <c r="L87" s="449"/>
      <c r="M87" s="340"/>
      <c r="N87" s="340"/>
      <c r="O87" s="449"/>
      <c r="P87" s="449"/>
      <c r="Q87" s="340"/>
      <c r="R87" s="340"/>
      <c r="S87" s="449"/>
      <c r="T87" s="449"/>
      <c r="U87" s="340"/>
      <c r="V87" s="340"/>
      <c r="W87" s="480"/>
      <c r="X87" s="382">
        <f>IF(C87=0,,VLOOKUP(E87,#REF!,2, FALSE()))</f>
        <v>0</v>
      </c>
      <c r="Y87" s="384">
        <f>IF(C87=0,,VLOOKUP(E87,#REF!,3, FALSE()))</f>
        <v>0</v>
      </c>
      <c r="Z87" s="385"/>
      <c r="AA87" s="74"/>
      <c r="AB87" s="386">
        <f>IF(C87=0,,VLOOKUP(E87,#REF!,6, FALSE()))</f>
        <v>0</v>
      </c>
      <c r="AC87" s="74"/>
      <c r="AD87" s="74"/>
      <c r="AE87" s="74"/>
      <c r="AF87" s="74"/>
      <c r="AG87" s="74"/>
      <c r="AH87" s="74"/>
      <c r="AI87" s="74"/>
      <c r="AJ87" s="389"/>
      <c r="AK87" s="287" t="e">
        <f t="shared" ref="AK87:BO87" si="96">(MID(#REF!, 7,2))</f>
        <v>#REF!</v>
      </c>
      <c r="AL87" s="287" t="e">
        <f t="shared" si="96"/>
        <v>#REF!</v>
      </c>
      <c r="AM87" s="287" t="e">
        <f t="shared" si="96"/>
        <v>#REF!</v>
      </c>
      <c r="AN87" s="287" t="e">
        <f t="shared" si="96"/>
        <v>#REF!</v>
      </c>
      <c r="AO87" s="287" t="e">
        <f t="shared" si="96"/>
        <v>#REF!</v>
      </c>
      <c r="AP87" s="287" t="e">
        <f t="shared" si="96"/>
        <v>#REF!</v>
      </c>
      <c r="AQ87" s="287" t="e">
        <f t="shared" si="96"/>
        <v>#REF!</v>
      </c>
      <c r="AR87" s="287" t="e">
        <f t="shared" si="96"/>
        <v>#REF!</v>
      </c>
      <c r="AS87" s="287" t="e">
        <f t="shared" si="96"/>
        <v>#REF!</v>
      </c>
      <c r="AT87" s="287" t="e">
        <f t="shared" si="96"/>
        <v>#REF!</v>
      </c>
      <c r="AU87" s="287" t="e">
        <f t="shared" si="96"/>
        <v>#REF!</v>
      </c>
      <c r="AV87" s="287" t="e">
        <f t="shared" si="96"/>
        <v>#REF!</v>
      </c>
      <c r="AW87" s="287" t="e">
        <f t="shared" si="96"/>
        <v>#REF!</v>
      </c>
      <c r="AX87" s="287" t="e">
        <f t="shared" si="96"/>
        <v>#REF!</v>
      </c>
      <c r="AY87" s="287" t="e">
        <f t="shared" si="96"/>
        <v>#REF!</v>
      </c>
      <c r="AZ87" s="287" t="e">
        <f t="shared" si="96"/>
        <v>#REF!</v>
      </c>
      <c r="BA87" s="287" t="e">
        <f t="shared" si="96"/>
        <v>#REF!</v>
      </c>
      <c r="BB87" s="287" t="e">
        <f t="shared" si="96"/>
        <v>#REF!</v>
      </c>
      <c r="BC87" s="287" t="e">
        <f t="shared" si="96"/>
        <v>#REF!</v>
      </c>
      <c r="BD87" s="287" t="e">
        <f t="shared" si="96"/>
        <v>#REF!</v>
      </c>
      <c r="BE87" s="287" t="e">
        <f t="shared" si="96"/>
        <v>#REF!</v>
      </c>
      <c r="BF87" s="287" t="e">
        <f t="shared" si="96"/>
        <v>#REF!</v>
      </c>
      <c r="BG87" s="287" t="e">
        <f t="shared" si="96"/>
        <v>#REF!</v>
      </c>
      <c r="BH87" s="287" t="e">
        <f t="shared" si="96"/>
        <v>#REF!</v>
      </c>
      <c r="BI87" s="287" t="e">
        <f t="shared" si="96"/>
        <v>#REF!</v>
      </c>
      <c r="BJ87" s="287" t="e">
        <f t="shared" si="96"/>
        <v>#REF!</v>
      </c>
      <c r="BK87" s="287" t="e">
        <f t="shared" si="96"/>
        <v>#REF!</v>
      </c>
      <c r="BL87" s="287" t="e">
        <f t="shared" si="96"/>
        <v>#REF!</v>
      </c>
      <c r="BM87" s="287" t="e">
        <f t="shared" si="96"/>
        <v>#REF!</v>
      </c>
      <c r="BN87" s="287" t="e">
        <f t="shared" si="96"/>
        <v>#REF!</v>
      </c>
      <c r="BO87" s="287" t="e">
        <f t="shared" si="96"/>
        <v>#REF!</v>
      </c>
    </row>
    <row r="88" spans="1:67" ht="20.25" customHeight="1">
      <c r="A88" s="424" t="e">
        <f>Z83</f>
        <v>#REF!</v>
      </c>
      <c r="B88" s="425">
        <v>1.8333333333333333</v>
      </c>
      <c r="C88" s="200">
        <v>0</v>
      </c>
      <c r="D88" s="361" t="str">
        <f t="shared" si="90"/>
        <v>R09</v>
      </c>
      <c r="E88" s="74">
        <f t="shared" si="91"/>
        <v>0</v>
      </c>
      <c r="F88" s="337">
        <f>IF(C88=0,,VLOOKUP(E88,#REF!,5, FALSE()))</f>
        <v>0</v>
      </c>
      <c r="G88" s="448"/>
      <c r="H88" s="448"/>
      <c r="I88" s="340"/>
      <c r="J88" s="340"/>
      <c r="K88" s="449"/>
      <c r="L88" s="449"/>
      <c r="M88" s="340"/>
      <c r="N88" s="340"/>
      <c r="O88" s="449"/>
      <c r="P88" s="449"/>
      <c r="Q88" s="340"/>
      <c r="R88" s="340"/>
      <c r="S88" s="449"/>
      <c r="T88" s="449"/>
      <c r="U88" s="340"/>
      <c r="V88" s="340"/>
      <c r="W88" s="480"/>
      <c r="X88" s="382">
        <f>IF(C88=0,,VLOOKUP(E88,#REF!,2, FALSE()))</f>
        <v>0</v>
      </c>
      <c r="Y88" s="384">
        <f>IF(C88=0,,VLOOKUP(E88,#REF!,3, FALSE()))</f>
        <v>0</v>
      </c>
      <c r="Z88" s="385"/>
      <c r="AA88" s="74"/>
      <c r="AB88" s="386">
        <f>IF(C88=0,,VLOOKUP(E88,#REF!,6, FALSE()))</f>
        <v>0</v>
      </c>
      <c r="AC88" s="74"/>
      <c r="AD88" s="74"/>
      <c r="AE88" s="74"/>
      <c r="AF88" s="74"/>
      <c r="AG88" s="74"/>
      <c r="AH88" s="74"/>
      <c r="AI88" s="74"/>
      <c r="AJ88" s="389"/>
      <c r="AK88" s="287" t="e">
        <f t="shared" ref="AK88:BO88" si="97">(MID(#REF!, 7,2))</f>
        <v>#REF!</v>
      </c>
      <c r="AL88" s="287" t="e">
        <f t="shared" si="97"/>
        <v>#REF!</v>
      </c>
      <c r="AM88" s="287" t="e">
        <f t="shared" si="97"/>
        <v>#REF!</v>
      </c>
      <c r="AN88" s="287" t="e">
        <f t="shared" si="97"/>
        <v>#REF!</v>
      </c>
      <c r="AO88" s="287" t="e">
        <f t="shared" si="97"/>
        <v>#REF!</v>
      </c>
      <c r="AP88" s="287" t="e">
        <f t="shared" si="97"/>
        <v>#REF!</v>
      </c>
      <c r="AQ88" s="287" t="e">
        <f t="shared" si="97"/>
        <v>#REF!</v>
      </c>
      <c r="AR88" s="287" t="e">
        <f t="shared" si="97"/>
        <v>#REF!</v>
      </c>
      <c r="AS88" s="287" t="e">
        <f t="shared" si="97"/>
        <v>#REF!</v>
      </c>
      <c r="AT88" s="287" t="e">
        <f t="shared" si="97"/>
        <v>#REF!</v>
      </c>
      <c r="AU88" s="287" t="e">
        <f t="shared" si="97"/>
        <v>#REF!</v>
      </c>
      <c r="AV88" s="287" t="e">
        <f t="shared" si="97"/>
        <v>#REF!</v>
      </c>
      <c r="AW88" s="287" t="e">
        <f t="shared" si="97"/>
        <v>#REF!</v>
      </c>
      <c r="AX88" s="287" t="e">
        <f t="shared" si="97"/>
        <v>#REF!</v>
      </c>
      <c r="AY88" s="287" t="e">
        <f t="shared" si="97"/>
        <v>#REF!</v>
      </c>
      <c r="AZ88" s="287" t="e">
        <f t="shared" si="97"/>
        <v>#REF!</v>
      </c>
      <c r="BA88" s="287" t="e">
        <f t="shared" si="97"/>
        <v>#REF!</v>
      </c>
      <c r="BB88" s="287" t="e">
        <f t="shared" si="97"/>
        <v>#REF!</v>
      </c>
      <c r="BC88" s="287" t="e">
        <f t="shared" si="97"/>
        <v>#REF!</v>
      </c>
      <c r="BD88" s="287" t="e">
        <f t="shared" si="97"/>
        <v>#REF!</v>
      </c>
      <c r="BE88" s="287" t="e">
        <f t="shared" si="97"/>
        <v>#REF!</v>
      </c>
      <c r="BF88" s="287" t="e">
        <f t="shared" si="97"/>
        <v>#REF!</v>
      </c>
      <c r="BG88" s="287" t="e">
        <f t="shared" si="97"/>
        <v>#REF!</v>
      </c>
      <c r="BH88" s="287" t="e">
        <f t="shared" si="97"/>
        <v>#REF!</v>
      </c>
      <c r="BI88" s="287" t="e">
        <f t="shared" si="97"/>
        <v>#REF!</v>
      </c>
      <c r="BJ88" s="287" t="e">
        <f t="shared" si="97"/>
        <v>#REF!</v>
      </c>
      <c r="BK88" s="287" t="e">
        <f t="shared" si="97"/>
        <v>#REF!</v>
      </c>
      <c r="BL88" s="287" t="e">
        <f t="shared" si="97"/>
        <v>#REF!</v>
      </c>
      <c r="BM88" s="287" t="e">
        <f t="shared" si="97"/>
        <v>#REF!</v>
      </c>
      <c r="BN88" s="287" t="e">
        <f t="shared" si="97"/>
        <v>#REF!</v>
      </c>
      <c r="BO88" s="287" t="e">
        <f t="shared" si="97"/>
        <v>#REF!</v>
      </c>
    </row>
    <row r="89" spans="1:67" ht="20.25" customHeight="1">
      <c r="A89" s="424" t="s">
        <v>2951</v>
      </c>
      <c r="B89" s="425" t="e">
        <f>SUM(AB83:AB91)</f>
        <v>#REF!</v>
      </c>
      <c r="C89" s="200">
        <v>0</v>
      </c>
      <c r="D89" s="361" t="str">
        <f t="shared" si="90"/>
        <v>R09</v>
      </c>
      <c r="E89" s="74">
        <f t="shared" si="91"/>
        <v>0</v>
      </c>
      <c r="F89" s="337">
        <f>IF(C89=0,,VLOOKUP(E89,#REF!,5, FALSE()))</f>
        <v>0</v>
      </c>
      <c r="G89" s="448"/>
      <c r="H89" s="448"/>
      <c r="I89" s="340"/>
      <c r="J89" s="340"/>
      <c r="K89" s="449"/>
      <c r="L89" s="449"/>
      <c r="M89" s="340"/>
      <c r="N89" s="340"/>
      <c r="O89" s="449"/>
      <c r="P89" s="449"/>
      <c r="Q89" s="340"/>
      <c r="R89" s="340"/>
      <c r="S89" s="449"/>
      <c r="T89" s="449"/>
      <c r="U89" s="340"/>
      <c r="V89" s="340"/>
      <c r="W89" s="480"/>
      <c r="X89" s="382">
        <f>IF(C89=0,,VLOOKUP(E89,#REF!,2, FALSE()))</f>
        <v>0</v>
      </c>
      <c r="Y89" s="384">
        <f>IF(C89=0,,VLOOKUP(E89,#REF!,3, FALSE()))</f>
        <v>0</v>
      </c>
      <c r="Z89" s="385"/>
      <c r="AA89" s="74"/>
      <c r="AB89" s="386">
        <f>IF(C89=0,,VLOOKUP(E89,#REF!,6, FALSE()))</f>
        <v>0</v>
      </c>
      <c r="AC89" s="74"/>
      <c r="AD89" s="74"/>
      <c r="AE89" s="74"/>
      <c r="AF89" s="74"/>
      <c r="AG89" s="74"/>
      <c r="AH89" s="74"/>
      <c r="AI89" s="74"/>
      <c r="AJ89" s="389"/>
      <c r="AK89" s="287" t="e">
        <f t="shared" ref="AK89:BO89" si="98">(MID(#REF!, 7,2))</f>
        <v>#REF!</v>
      </c>
      <c r="AL89" s="287" t="e">
        <f t="shared" si="98"/>
        <v>#REF!</v>
      </c>
      <c r="AM89" s="287" t="e">
        <f t="shared" si="98"/>
        <v>#REF!</v>
      </c>
      <c r="AN89" s="287" t="e">
        <f t="shared" si="98"/>
        <v>#REF!</v>
      </c>
      <c r="AO89" s="287" t="e">
        <f t="shared" si="98"/>
        <v>#REF!</v>
      </c>
      <c r="AP89" s="287" t="e">
        <f t="shared" si="98"/>
        <v>#REF!</v>
      </c>
      <c r="AQ89" s="287" t="e">
        <f t="shared" si="98"/>
        <v>#REF!</v>
      </c>
      <c r="AR89" s="287" t="e">
        <f t="shared" si="98"/>
        <v>#REF!</v>
      </c>
      <c r="AS89" s="287" t="e">
        <f t="shared" si="98"/>
        <v>#REF!</v>
      </c>
      <c r="AT89" s="287" t="e">
        <f t="shared" si="98"/>
        <v>#REF!</v>
      </c>
      <c r="AU89" s="287" t="e">
        <f t="shared" si="98"/>
        <v>#REF!</v>
      </c>
      <c r="AV89" s="287" t="e">
        <f t="shared" si="98"/>
        <v>#REF!</v>
      </c>
      <c r="AW89" s="287" t="e">
        <f t="shared" si="98"/>
        <v>#REF!</v>
      </c>
      <c r="AX89" s="287" t="e">
        <f t="shared" si="98"/>
        <v>#REF!</v>
      </c>
      <c r="AY89" s="287" t="e">
        <f t="shared" si="98"/>
        <v>#REF!</v>
      </c>
      <c r="AZ89" s="287" t="e">
        <f t="shared" si="98"/>
        <v>#REF!</v>
      </c>
      <c r="BA89" s="287" t="e">
        <f t="shared" si="98"/>
        <v>#REF!</v>
      </c>
      <c r="BB89" s="287" t="e">
        <f t="shared" si="98"/>
        <v>#REF!</v>
      </c>
      <c r="BC89" s="287" t="e">
        <f t="shared" si="98"/>
        <v>#REF!</v>
      </c>
      <c r="BD89" s="287" t="e">
        <f t="shared" si="98"/>
        <v>#REF!</v>
      </c>
      <c r="BE89" s="287" t="e">
        <f t="shared" si="98"/>
        <v>#REF!</v>
      </c>
      <c r="BF89" s="287" t="e">
        <f t="shared" si="98"/>
        <v>#REF!</v>
      </c>
      <c r="BG89" s="287" t="e">
        <f t="shared" si="98"/>
        <v>#REF!</v>
      </c>
      <c r="BH89" s="287" t="e">
        <f t="shared" si="98"/>
        <v>#REF!</v>
      </c>
      <c r="BI89" s="287" t="e">
        <f t="shared" si="98"/>
        <v>#REF!</v>
      </c>
      <c r="BJ89" s="287" t="e">
        <f t="shared" si="98"/>
        <v>#REF!</v>
      </c>
      <c r="BK89" s="287" t="e">
        <f t="shared" si="98"/>
        <v>#REF!</v>
      </c>
      <c r="BL89" s="287" t="e">
        <f t="shared" si="98"/>
        <v>#REF!</v>
      </c>
      <c r="BM89" s="287" t="e">
        <f t="shared" si="98"/>
        <v>#REF!</v>
      </c>
      <c r="BN89" s="287" t="e">
        <f t="shared" si="98"/>
        <v>#REF!</v>
      </c>
      <c r="BO89" s="287" t="e">
        <f t="shared" si="98"/>
        <v>#REF!</v>
      </c>
    </row>
    <row r="90" spans="1:67" ht="20.25" customHeight="1">
      <c r="A90" s="424" t="s">
        <v>2952</v>
      </c>
      <c r="B90" s="425">
        <f>SUM(AJ83:AJ91)</f>
        <v>0.10416666666666667</v>
      </c>
      <c r="C90" s="200">
        <v>0</v>
      </c>
      <c r="D90" s="361" t="str">
        <f t="shared" si="90"/>
        <v>R09</v>
      </c>
      <c r="E90" s="74">
        <f t="shared" si="91"/>
        <v>0</v>
      </c>
      <c r="F90" s="337">
        <f>IF(C90=0,,VLOOKUP(E90,#REF!,5, FALSE()))</f>
        <v>0</v>
      </c>
      <c r="G90" s="448"/>
      <c r="H90" s="448"/>
      <c r="I90" s="340"/>
      <c r="J90" s="340"/>
      <c r="K90" s="449"/>
      <c r="L90" s="449"/>
      <c r="M90" s="340"/>
      <c r="N90" s="340"/>
      <c r="O90" s="449"/>
      <c r="P90" s="449"/>
      <c r="Q90" s="340"/>
      <c r="R90" s="340"/>
      <c r="S90" s="449"/>
      <c r="T90" s="449"/>
      <c r="U90" s="340"/>
      <c r="V90" s="340"/>
      <c r="W90" s="480"/>
      <c r="X90" s="382">
        <f>IF(C90=0,,VLOOKUP(E90,#REF!,2, FALSE()))</f>
        <v>0</v>
      </c>
      <c r="Y90" s="384">
        <f>IF(C90=0,,VLOOKUP(E90,#REF!,3, FALSE()))</f>
        <v>0</v>
      </c>
      <c r="Z90" s="385"/>
      <c r="AA90" s="74"/>
      <c r="AB90" s="386">
        <f>IF(C90=0,,VLOOKUP(E90,#REF!,6, FALSE()))</f>
        <v>0</v>
      </c>
      <c r="AC90" s="74"/>
      <c r="AD90" s="74"/>
      <c r="AE90" s="74"/>
      <c r="AF90" s="74"/>
      <c r="AG90" s="74"/>
      <c r="AH90" s="74"/>
      <c r="AI90" s="74"/>
      <c r="AJ90" s="389"/>
      <c r="AK90" s="287" t="e">
        <f t="shared" ref="AK90:BO90" si="99">(MID(#REF!, 7,2))</f>
        <v>#REF!</v>
      </c>
      <c r="AL90" s="287" t="e">
        <f t="shared" si="99"/>
        <v>#REF!</v>
      </c>
      <c r="AM90" s="287" t="e">
        <f t="shared" si="99"/>
        <v>#REF!</v>
      </c>
      <c r="AN90" s="287" t="e">
        <f t="shared" si="99"/>
        <v>#REF!</v>
      </c>
      <c r="AO90" s="287" t="e">
        <f t="shared" si="99"/>
        <v>#REF!</v>
      </c>
      <c r="AP90" s="287" t="e">
        <f t="shared" si="99"/>
        <v>#REF!</v>
      </c>
      <c r="AQ90" s="287" t="e">
        <f t="shared" si="99"/>
        <v>#REF!</v>
      </c>
      <c r="AR90" s="287" t="e">
        <f t="shared" si="99"/>
        <v>#REF!</v>
      </c>
      <c r="AS90" s="287" t="e">
        <f t="shared" si="99"/>
        <v>#REF!</v>
      </c>
      <c r="AT90" s="287" t="e">
        <f t="shared" si="99"/>
        <v>#REF!</v>
      </c>
      <c r="AU90" s="287" t="e">
        <f t="shared" si="99"/>
        <v>#REF!</v>
      </c>
      <c r="AV90" s="287" t="e">
        <f t="shared" si="99"/>
        <v>#REF!</v>
      </c>
      <c r="AW90" s="287" t="e">
        <f t="shared" si="99"/>
        <v>#REF!</v>
      </c>
      <c r="AX90" s="287" t="e">
        <f t="shared" si="99"/>
        <v>#REF!</v>
      </c>
      <c r="AY90" s="287" t="e">
        <f t="shared" si="99"/>
        <v>#REF!</v>
      </c>
      <c r="AZ90" s="287" t="e">
        <f t="shared" si="99"/>
        <v>#REF!</v>
      </c>
      <c r="BA90" s="287" t="e">
        <f t="shared" si="99"/>
        <v>#REF!</v>
      </c>
      <c r="BB90" s="287" t="e">
        <f t="shared" si="99"/>
        <v>#REF!</v>
      </c>
      <c r="BC90" s="287" t="e">
        <f t="shared" si="99"/>
        <v>#REF!</v>
      </c>
      <c r="BD90" s="287" t="e">
        <f t="shared" si="99"/>
        <v>#REF!</v>
      </c>
      <c r="BE90" s="287" t="e">
        <f t="shared" si="99"/>
        <v>#REF!</v>
      </c>
      <c r="BF90" s="287" t="e">
        <f t="shared" si="99"/>
        <v>#REF!</v>
      </c>
      <c r="BG90" s="287" t="e">
        <f t="shared" si="99"/>
        <v>#REF!</v>
      </c>
      <c r="BH90" s="287" t="e">
        <f t="shared" si="99"/>
        <v>#REF!</v>
      </c>
      <c r="BI90" s="287" t="e">
        <f t="shared" si="99"/>
        <v>#REF!</v>
      </c>
      <c r="BJ90" s="287" t="e">
        <f t="shared" si="99"/>
        <v>#REF!</v>
      </c>
      <c r="BK90" s="287" t="e">
        <f t="shared" si="99"/>
        <v>#REF!</v>
      </c>
      <c r="BL90" s="287" t="e">
        <f t="shared" si="99"/>
        <v>#REF!</v>
      </c>
      <c r="BM90" s="287" t="e">
        <f t="shared" si="99"/>
        <v>#REF!</v>
      </c>
      <c r="BN90" s="287" t="e">
        <f t="shared" si="99"/>
        <v>#REF!</v>
      </c>
      <c r="BO90" s="287" t="e">
        <f t="shared" si="99"/>
        <v>#REF!</v>
      </c>
    </row>
    <row r="91" spans="1:67" ht="20.25" customHeight="1">
      <c r="A91" s="443" t="s">
        <v>2953</v>
      </c>
      <c r="B91" s="444" t="e">
        <f>B88-B89-B90</f>
        <v>#REF!</v>
      </c>
      <c r="C91" s="200">
        <v>0</v>
      </c>
      <c r="D91" s="361" t="str">
        <f t="shared" si="90"/>
        <v>R09</v>
      </c>
      <c r="E91" s="74">
        <f t="shared" si="91"/>
        <v>0</v>
      </c>
      <c r="F91" s="337">
        <f>IF(C91=0,,VLOOKUP(E91,#REF!,5, FALSE()))</f>
        <v>0</v>
      </c>
      <c r="G91" s="448"/>
      <c r="H91" s="448"/>
      <c r="I91" s="340"/>
      <c r="J91" s="340"/>
      <c r="K91" s="449"/>
      <c r="L91" s="449"/>
      <c r="M91" s="340"/>
      <c r="N91" s="340"/>
      <c r="O91" s="449"/>
      <c r="P91" s="449"/>
      <c r="Q91" s="340"/>
      <c r="R91" s="340"/>
      <c r="S91" s="449"/>
      <c r="T91" s="449"/>
      <c r="U91" s="340"/>
      <c r="V91" s="340"/>
      <c r="W91" s="481"/>
      <c r="X91" s="382">
        <f>IF(C91=0,,VLOOKUP(E91,#REF!,2, FALSE()))</f>
        <v>0</v>
      </c>
      <c r="Y91" s="384">
        <f>IF(C91=0,,VLOOKUP(E91,#REF!,3, FALSE()))</f>
        <v>0</v>
      </c>
      <c r="Z91" s="385"/>
      <c r="AA91" s="74"/>
      <c r="AB91" s="386">
        <f>IF(C91=0,,VLOOKUP(E91,#REF!,6, FALSE()))</f>
        <v>0</v>
      </c>
      <c r="AC91" s="74"/>
      <c r="AD91" s="74"/>
      <c r="AE91" s="74"/>
      <c r="AF91" s="74"/>
      <c r="AG91" s="74"/>
      <c r="AH91" s="74"/>
      <c r="AI91" s="74"/>
      <c r="AJ91" s="389"/>
      <c r="AK91" s="287" t="e">
        <f t="shared" ref="AK91:BO91" si="100">(MID(#REF!, 7,2))</f>
        <v>#REF!</v>
      </c>
      <c r="AL91" s="287" t="e">
        <f t="shared" si="100"/>
        <v>#REF!</v>
      </c>
      <c r="AM91" s="287" t="e">
        <f t="shared" si="100"/>
        <v>#REF!</v>
      </c>
      <c r="AN91" s="287" t="e">
        <f t="shared" si="100"/>
        <v>#REF!</v>
      </c>
      <c r="AO91" s="287" t="e">
        <f t="shared" si="100"/>
        <v>#REF!</v>
      </c>
      <c r="AP91" s="287" t="e">
        <f t="shared" si="100"/>
        <v>#REF!</v>
      </c>
      <c r="AQ91" s="287" t="e">
        <f t="shared" si="100"/>
        <v>#REF!</v>
      </c>
      <c r="AR91" s="287" t="e">
        <f t="shared" si="100"/>
        <v>#REF!</v>
      </c>
      <c r="AS91" s="287" t="e">
        <f t="shared" si="100"/>
        <v>#REF!</v>
      </c>
      <c r="AT91" s="287" t="e">
        <f t="shared" si="100"/>
        <v>#REF!</v>
      </c>
      <c r="AU91" s="287" t="e">
        <f t="shared" si="100"/>
        <v>#REF!</v>
      </c>
      <c r="AV91" s="287" t="e">
        <f t="shared" si="100"/>
        <v>#REF!</v>
      </c>
      <c r="AW91" s="287" t="e">
        <f t="shared" si="100"/>
        <v>#REF!</v>
      </c>
      <c r="AX91" s="287" t="e">
        <f t="shared" si="100"/>
        <v>#REF!</v>
      </c>
      <c r="AY91" s="287" t="e">
        <f t="shared" si="100"/>
        <v>#REF!</v>
      </c>
      <c r="AZ91" s="287" t="e">
        <f t="shared" si="100"/>
        <v>#REF!</v>
      </c>
      <c r="BA91" s="287" t="e">
        <f t="shared" si="100"/>
        <v>#REF!</v>
      </c>
      <c r="BB91" s="287" t="e">
        <f t="shared" si="100"/>
        <v>#REF!</v>
      </c>
      <c r="BC91" s="287" t="e">
        <f t="shared" si="100"/>
        <v>#REF!</v>
      </c>
      <c r="BD91" s="287" t="e">
        <f t="shared" si="100"/>
        <v>#REF!</v>
      </c>
      <c r="BE91" s="287" t="e">
        <f t="shared" si="100"/>
        <v>#REF!</v>
      </c>
      <c r="BF91" s="287" t="e">
        <f t="shared" si="100"/>
        <v>#REF!</v>
      </c>
      <c r="BG91" s="287" t="e">
        <f t="shared" si="100"/>
        <v>#REF!</v>
      </c>
      <c r="BH91" s="287" t="e">
        <f t="shared" si="100"/>
        <v>#REF!</v>
      </c>
      <c r="BI91" s="287" t="e">
        <f t="shared" si="100"/>
        <v>#REF!</v>
      </c>
      <c r="BJ91" s="287" t="e">
        <f t="shared" si="100"/>
        <v>#REF!</v>
      </c>
      <c r="BK91" s="287" t="e">
        <f t="shared" si="100"/>
        <v>#REF!</v>
      </c>
      <c r="BL91" s="287" t="e">
        <f t="shared" si="100"/>
        <v>#REF!</v>
      </c>
      <c r="BM91" s="287" t="e">
        <f t="shared" si="100"/>
        <v>#REF!</v>
      </c>
      <c r="BN91" s="287" t="e">
        <f t="shared" si="100"/>
        <v>#REF!</v>
      </c>
      <c r="BO91" s="287" t="e">
        <f t="shared" si="100"/>
        <v>#REF!</v>
      </c>
    </row>
    <row r="92" spans="1:67" ht="3.75" customHeight="1">
      <c r="G92" s="446"/>
      <c r="H92" s="446"/>
      <c r="I92" s="285"/>
      <c r="J92" s="285"/>
      <c r="K92" s="346"/>
      <c r="L92" s="346"/>
      <c r="M92" s="285"/>
      <c r="N92" s="285"/>
      <c r="O92" s="346"/>
      <c r="P92" s="346"/>
      <c r="Q92" s="285"/>
      <c r="R92" s="285"/>
      <c r="S92" s="346"/>
      <c r="T92" s="346"/>
      <c r="U92" s="285"/>
      <c r="V92" s="285"/>
      <c r="Y92" s="447"/>
      <c r="AK92" s="346"/>
      <c r="AL92" s="346"/>
      <c r="AM92" s="346"/>
      <c r="AN92" s="346"/>
      <c r="AO92" s="346"/>
      <c r="AP92" s="346"/>
      <c r="AQ92" s="346"/>
      <c r="AR92" s="346"/>
      <c r="AS92" s="346"/>
      <c r="AT92" s="346"/>
      <c r="AU92" s="346"/>
      <c r="AV92" s="346"/>
      <c r="AW92" s="346"/>
      <c r="AX92" s="346"/>
      <c r="AY92" s="346"/>
      <c r="AZ92" s="346"/>
      <c r="BA92" s="346"/>
      <c r="BB92" s="346"/>
      <c r="BC92" s="346"/>
      <c r="BD92" s="346"/>
      <c r="BE92" s="346"/>
      <c r="BF92" s="346"/>
      <c r="BG92" s="346"/>
      <c r="BH92" s="346"/>
      <c r="BI92" s="346"/>
      <c r="BJ92" s="346"/>
      <c r="BK92" s="346"/>
      <c r="BL92" s="346"/>
      <c r="BM92" s="346"/>
      <c r="BN92" s="346"/>
      <c r="BO92" s="346"/>
    </row>
    <row r="93" spans="1:67" ht="20.25" customHeight="1">
      <c r="A93" s="200" t="s">
        <v>2459</v>
      </c>
      <c r="B93" s="217" t="s">
        <v>321</v>
      </c>
      <c r="C93" s="200">
        <v>1</v>
      </c>
      <c r="D93" s="361" t="str">
        <f t="shared" ref="D93:D101" si="101">$B$93</f>
        <v>R10</v>
      </c>
      <c r="E93" s="74" t="str">
        <f t="shared" ref="E93:E101" si="102">IF(C93=0,,CONCATENATE(D93,"/",C93))</f>
        <v>R10/1</v>
      </c>
      <c r="F93" s="337" t="e">
        <f>IF(C93=0,,VLOOKUP(E93,#REF!,5, FALSE()))</f>
        <v>#REF!</v>
      </c>
      <c r="G93" s="448"/>
      <c r="H93" s="448"/>
      <c r="I93" s="340"/>
      <c r="J93" s="340"/>
      <c r="K93" s="449"/>
      <c r="L93" s="449"/>
      <c r="M93" s="340"/>
      <c r="N93" s="340"/>
      <c r="O93" s="449"/>
      <c r="P93" s="449"/>
      <c r="Q93" s="340"/>
      <c r="R93" s="340"/>
      <c r="S93" s="449"/>
      <c r="T93" s="449"/>
      <c r="U93" s="340"/>
      <c r="V93" s="340"/>
      <c r="W93" s="563" t="e">
        <f>CONCATENATE(F93," + ",F94," + ",F95," + ",F96," + ",F97," + ",F98," + ",F99," + ",F100," + ",F101)</f>
        <v>#REF!</v>
      </c>
      <c r="X93" s="382" t="e">
        <f>IF(C93=0,,VLOOKUP(E93,#REF!,2, FALSE()))</f>
        <v>#REF!</v>
      </c>
      <c r="Y93" s="384" t="e">
        <f>IF(C93=0,,VLOOKUP(E93,#REF!,3, FALSE()))</f>
        <v>#REF!</v>
      </c>
      <c r="Z93" s="385" t="e">
        <f>VLOOKUP(Y93,#REF!,6, FALSE())</f>
        <v>#REF!</v>
      </c>
      <c r="AA93" s="74" t="str">
        <f>$B95</f>
        <v>Cesta Gd</v>
      </c>
      <c r="AB93" s="386" t="e">
        <f>IF(C93=0,,VLOOKUP(E93,#REF!,6, FALSE()))</f>
        <v>#REF!</v>
      </c>
      <c r="AC93" s="74"/>
      <c r="AD93" s="74">
        <f>$B96</f>
        <v>12</v>
      </c>
      <c r="AE93" s="74"/>
      <c r="AF93" s="450" t="e">
        <f>$B97</f>
        <v>#REF!</v>
      </c>
      <c r="AG93" s="74"/>
      <c r="AH93" s="450" t="e">
        <f>$B99</f>
        <v>#REF!</v>
      </c>
      <c r="AI93" s="450" t="e">
        <f>B99+B100</f>
        <v>#REF!</v>
      </c>
      <c r="AJ93" s="389">
        <v>0.16666666666666666</v>
      </c>
      <c r="AK93" s="287" t="e">
        <f t="shared" ref="AK93:BO93" si="103">(MID(#REF!, 7,2))</f>
        <v>#REF!</v>
      </c>
      <c r="AL93" s="287" t="e">
        <f t="shared" si="103"/>
        <v>#REF!</v>
      </c>
      <c r="AM93" s="287" t="e">
        <f t="shared" si="103"/>
        <v>#REF!</v>
      </c>
      <c r="AN93" s="287" t="e">
        <f t="shared" si="103"/>
        <v>#REF!</v>
      </c>
      <c r="AO93" s="287" t="e">
        <f t="shared" si="103"/>
        <v>#REF!</v>
      </c>
      <c r="AP93" s="287" t="e">
        <f t="shared" si="103"/>
        <v>#REF!</v>
      </c>
      <c r="AQ93" s="287" t="e">
        <f t="shared" si="103"/>
        <v>#REF!</v>
      </c>
      <c r="AR93" s="287" t="e">
        <f t="shared" si="103"/>
        <v>#REF!</v>
      </c>
      <c r="AS93" s="287" t="e">
        <f t="shared" si="103"/>
        <v>#REF!</v>
      </c>
      <c r="AT93" s="287" t="e">
        <f t="shared" si="103"/>
        <v>#REF!</v>
      </c>
      <c r="AU93" s="287" t="e">
        <f t="shared" si="103"/>
        <v>#REF!</v>
      </c>
      <c r="AV93" s="287" t="e">
        <f t="shared" si="103"/>
        <v>#REF!</v>
      </c>
      <c r="AW93" s="287" t="e">
        <f t="shared" si="103"/>
        <v>#REF!</v>
      </c>
      <c r="AX93" s="287" t="e">
        <f t="shared" si="103"/>
        <v>#REF!</v>
      </c>
      <c r="AY93" s="287" t="e">
        <f t="shared" si="103"/>
        <v>#REF!</v>
      </c>
      <c r="AZ93" s="287" t="e">
        <f t="shared" si="103"/>
        <v>#REF!</v>
      </c>
      <c r="BA93" s="287" t="e">
        <f t="shared" si="103"/>
        <v>#REF!</v>
      </c>
      <c r="BB93" s="287" t="e">
        <f t="shared" si="103"/>
        <v>#REF!</v>
      </c>
      <c r="BC93" s="287" t="e">
        <f t="shared" si="103"/>
        <v>#REF!</v>
      </c>
      <c r="BD93" s="287" t="e">
        <f t="shared" si="103"/>
        <v>#REF!</v>
      </c>
      <c r="BE93" s="287" t="e">
        <f t="shared" si="103"/>
        <v>#REF!</v>
      </c>
      <c r="BF93" s="287" t="e">
        <f t="shared" si="103"/>
        <v>#REF!</v>
      </c>
      <c r="BG93" s="287" t="e">
        <f t="shared" si="103"/>
        <v>#REF!</v>
      </c>
      <c r="BH93" s="287" t="e">
        <f t="shared" si="103"/>
        <v>#REF!</v>
      </c>
      <c r="BI93" s="287" t="e">
        <f t="shared" si="103"/>
        <v>#REF!</v>
      </c>
      <c r="BJ93" s="287" t="e">
        <f t="shared" si="103"/>
        <v>#REF!</v>
      </c>
      <c r="BK93" s="287" t="e">
        <f t="shared" si="103"/>
        <v>#REF!</v>
      </c>
      <c r="BL93" s="287" t="e">
        <f t="shared" si="103"/>
        <v>#REF!</v>
      </c>
      <c r="BM93" s="287" t="e">
        <f t="shared" si="103"/>
        <v>#REF!</v>
      </c>
      <c r="BN93" s="287" t="e">
        <f t="shared" si="103"/>
        <v>#REF!</v>
      </c>
      <c r="BO93" s="287" t="e">
        <f t="shared" si="103"/>
        <v>#REF!</v>
      </c>
    </row>
    <row r="94" spans="1:67" ht="20.25" customHeight="1">
      <c r="A94" s="562" t="e">
        <f>Y93</f>
        <v>#REF!</v>
      </c>
      <c r="B94" s="499"/>
      <c r="C94" s="200">
        <v>2</v>
      </c>
      <c r="D94" s="361" t="str">
        <f t="shared" si="101"/>
        <v>R10</v>
      </c>
      <c r="E94" s="74" t="str">
        <f t="shared" si="102"/>
        <v>R10/2</v>
      </c>
      <c r="F94" s="337" t="e">
        <f>IF(C94=0,,VLOOKUP(E94,#REF!,5, FALSE()))</f>
        <v>#REF!</v>
      </c>
      <c r="G94" s="448"/>
      <c r="H94" s="448"/>
      <c r="I94" s="340"/>
      <c r="J94" s="340"/>
      <c r="K94" s="449"/>
      <c r="L94" s="449"/>
      <c r="M94" s="340"/>
      <c r="N94" s="340"/>
      <c r="O94" s="449"/>
      <c r="P94" s="449"/>
      <c r="Q94" s="340"/>
      <c r="R94" s="340"/>
      <c r="S94" s="449"/>
      <c r="T94" s="449"/>
      <c r="U94" s="340"/>
      <c r="V94" s="340"/>
      <c r="W94" s="480"/>
      <c r="X94" s="382" t="e">
        <f>IF(C94=0,,VLOOKUP(E94,#REF!,2, FALSE()))</f>
        <v>#REF!</v>
      </c>
      <c r="Y94" s="384" t="e">
        <f>IF(C94=0,,VLOOKUP(E94,#REF!,3, FALSE()))</f>
        <v>#REF!</v>
      </c>
      <c r="Z94" s="385"/>
      <c r="AA94" s="74"/>
      <c r="AB94" s="386" t="e">
        <f>IF(C94=0,,VLOOKUP(E94,#REF!,6, FALSE()))</f>
        <v>#REF!</v>
      </c>
      <c r="AC94" s="74"/>
      <c r="AD94" s="74"/>
      <c r="AE94" s="74"/>
      <c r="AF94" s="74"/>
      <c r="AG94" s="74"/>
      <c r="AH94" s="74"/>
      <c r="AI94" s="74"/>
      <c r="AJ94" s="389"/>
      <c r="AK94" s="287" t="e">
        <f t="shared" ref="AK94:BO94" si="104">(MID(#REF!, 7,2))</f>
        <v>#REF!</v>
      </c>
      <c r="AL94" s="287" t="e">
        <f t="shared" si="104"/>
        <v>#REF!</v>
      </c>
      <c r="AM94" s="287" t="e">
        <f t="shared" si="104"/>
        <v>#REF!</v>
      </c>
      <c r="AN94" s="287" t="e">
        <f t="shared" si="104"/>
        <v>#REF!</v>
      </c>
      <c r="AO94" s="287" t="e">
        <f t="shared" si="104"/>
        <v>#REF!</v>
      </c>
      <c r="AP94" s="287" t="e">
        <f t="shared" si="104"/>
        <v>#REF!</v>
      </c>
      <c r="AQ94" s="287" t="e">
        <f t="shared" si="104"/>
        <v>#REF!</v>
      </c>
      <c r="AR94" s="287" t="e">
        <f t="shared" si="104"/>
        <v>#REF!</v>
      </c>
      <c r="AS94" s="287" t="e">
        <f t="shared" si="104"/>
        <v>#REF!</v>
      </c>
      <c r="AT94" s="287" t="e">
        <f t="shared" si="104"/>
        <v>#REF!</v>
      </c>
      <c r="AU94" s="287" t="e">
        <f t="shared" si="104"/>
        <v>#REF!</v>
      </c>
      <c r="AV94" s="287" t="e">
        <f t="shared" si="104"/>
        <v>#REF!</v>
      </c>
      <c r="AW94" s="287" t="e">
        <f t="shared" si="104"/>
        <v>#REF!</v>
      </c>
      <c r="AX94" s="287" t="e">
        <f t="shared" si="104"/>
        <v>#REF!</v>
      </c>
      <c r="AY94" s="287" t="e">
        <f t="shared" si="104"/>
        <v>#REF!</v>
      </c>
      <c r="AZ94" s="287" t="e">
        <f t="shared" si="104"/>
        <v>#REF!</v>
      </c>
      <c r="BA94" s="287" t="e">
        <f t="shared" si="104"/>
        <v>#REF!</v>
      </c>
      <c r="BB94" s="287" t="e">
        <f t="shared" si="104"/>
        <v>#REF!</v>
      </c>
      <c r="BC94" s="287" t="e">
        <f t="shared" si="104"/>
        <v>#REF!</v>
      </c>
      <c r="BD94" s="287" t="e">
        <f t="shared" si="104"/>
        <v>#REF!</v>
      </c>
      <c r="BE94" s="287" t="e">
        <f t="shared" si="104"/>
        <v>#REF!</v>
      </c>
      <c r="BF94" s="287" t="e">
        <f t="shared" si="104"/>
        <v>#REF!</v>
      </c>
      <c r="BG94" s="287" t="e">
        <f t="shared" si="104"/>
        <v>#REF!</v>
      </c>
      <c r="BH94" s="287" t="e">
        <f t="shared" si="104"/>
        <v>#REF!</v>
      </c>
      <c r="BI94" s="287" t="e">
        <f t="shared" si="104"/>
        <v>#REF!</v>
      </c>
      <c r="BJ94" s="287" t="e">
        <f t="shared" si="104"/>
        <v>#REF!</v>
      </c>
      <c r="BK94" s="287" t="e">
        <f t="shared" si="104"/>
        <v>#REF!</v>
      </c>
      <c r="BL94" s="287" t="e">
        <f t="shared" si="104"/>
        <v>#REF!</v>
      </c>
      <c r="BM94" s="287" t="e">
        <f t="shared" si="104"/>
        <v>#REF!</v>
      </c>
      <c r="BN94" s="287" t="e">
        <f t="shared" si="104"/>
        <v>#REF!</v>
      </c>
      <c r="BO94" s="287" t="e">
        <f t="shared" si="104"/>
        <v>#REF!</v>
      </c>
    </row>
    <row r="95" spans="1:67" ht="20.25" customHeight="1">
      <c r="A95" s="402" t="s">
        <v>2896</v>
      </c>
      <c r="B95" s="19" t="s">
        <v>21</v>
      </c>
      <c r="C95" s="200">
        <v>0</v>
      </c>
      <c r="D95" s="361" t="str">
        <f t="shared" si="101"/>
        <v>R10</v>
      </c>
      <c r="E95" s="74">
        <f t="shared" si="102"/>
        <v>0</v>
      </c>
      <c r="F95" s="337">
        <f>IF(C95=0,,VLOOKUP(E95,#REF!,5, FALSE()))</f>
        <v>0</v>
      </c>
      <c r="G95" s="448"/>
      <c r="H95" s="448"/>
      <c r="I95" s="340"/>
      <c r="J95" s="340"/>
      <c r="K95" s="449"/>
      <c r="L95" s="449"/>
      <c r="M95" s="340"/>
      <c r="N95" s="340"/>
      <c r="O95" s="449"/>
      <c r="P95" s="449"/>
      <c r="Q95" s="340"/>
      <c r="R95" s="340"/>
      <c r="S95" s="449"/>
      <c r="T95" s="449"/>
      <c r="U95" s="340"/>
      <c r="V95" s="340"/>
      <c r="W95" s="480"/>
      <c r="X95" s="382">
        <f>IF(C95=0,,VLOOKUP(E95,#REF!,2, FALSE()))</f>
        <v>0</v>
      </c>
      <c r="Y95" s="384">
        <f>IF(C95=0,,VLOOKUP(E95,#REF!,3, FALSE()))</f>
        <v>0</v>
      </c>
      <c r="Z95" s="385"/>
      <c r="AA95" s="74"/>
      <c r="AB95" s="386">
        <f>IF(C95=0,,VLOOKUP(E95,#REF!,6, FALSE()))</f>
        <v>0</v>
      </c>
      <c r="AC95" s="74"/>
      <c r="AD95" s="74"/>
      <c r="AE95" s="74"/>
      <c r="AF95" s="74"/>
      <c r="AG95" s="74"/>
      <c r="AH95" s="74"/>
      <c r="AI95" s="74"/>
      <c r="AJ95" s="389"/>
      <c r="AK95" s="287" t="e">
        <f t="shared" ref="AK95:BO95" si="105">(MID(#REF!, 7,2))</f>
        <v>#REF!</v>
      </c>
      <c r="AL95" s="287" t="e">
        <f t="shared" si="105"/>
        <v>#REF!</v>
      </c>
      <c r="AM95" s="287" t="e">
        <f t="shared" si="105"/>
        <v>#REF!</v>
      </c>
      <c r="AN95" s="287" t="e">
        <f t="shared" si="105"/>
        <v>#REF!</v>
      </c>
      <c r="AO95" s="287" t="e">
        <f t="shared" si="105"/>
        <v>#REF!</v>
      </c>
      <c r="AP95" s="287" t="e">
        <f t="shared" si="105"/>
        <v>#REF!</v>
      </c>
      <c r="AQ95" s="287" t="e">
        <f t="shared" si="105"/>
        <v>#REF!</v>
      </c>
      <c r="AR95" s="287" t="e">
        <f t="shared" si="105"/>
        <v>#REF!</v>
      </c>
      <c r="AS95" s="287" t="e">
        <f t="shared" si="105"/>
        <v>#REF!</v>
      </c>
      <c r="AT95" s="287" t="e">
        <f t="shared" si="105"/>
        <v>#REF!</v>
      </c>
      <c r="AU95" s="287" t="e">
        <f t="shared" si="105"/>
        <v>#REF!</v>
      </c>
      <c r="AV95" s="287" t="e">
        <f t="shared" si="105"/>
        <v>#REF!</v>
      </c>
      <c r="AW95" s="287" t="e">
        <f t="shared" si="105"/>
        <v>#REF!</v>
      </c>
      <c r="AX95" s="287" t="e">
        <f t="shared" si="105"/>
        <v>#REF!</v>
      </c>
      <c r="AY95" s="287" t="e">
        <f t="shared" si="105"/>
        <v>#REF!</v>
      </c>
      <c r="AZ95" s="287" t="e">
        <f t="shared" si="105"/>
        <v>#REF!</v>
      </c>
      <c r="BA95" s="287" t="e">
        <f t="shared" si="105"/>
        <v>#REF!</v>
      </c>
      <c r="BB95" s="287" t="e">
        <f t="shared" si="105"/>
        <v>#REF!</v>
      </c>
      <c r="BC95" s="287" t="e">
        <f t="shared" si="105"/>
        <v>#REF!</v>
      </c>
      <c r="BD95" s="287" t="e">
        <f t="shared" si="105"/>
        <v>#REF!</v>
      </c>
      <c r="BE95" s="287" t="e">
        <f t="shared" si="105"/>
        <v>#REF!</v>
      </c>
      <c r="BF95" s="287" t="e">
        <f t="shared" si="105"/>
        <v>#REF!</v>
      </c>
      <c r="BG95" s="287" t="e">
        <f t="shared" si="105"/>
        <v>#REF!</v>
      </c>
      <c r="BH95" s="287" t="e">
        <f t="shared" si="105"/>
        <v>#REF!</v>
      </c>
      <c r="BI95" s="287" t="e">
        <f t="shared" si="105"/>
        <v>#REF!</v>
      </c>
      <c r="BJ95" s="287" t="e">
        <f t="shared" si="105"/>
        <v>#REF!</v>
      </c>
      <c r="BK95" s="287" t="e">
        <f t="shared" si="105"/>
        <v>#REF!</v>
      </c>
      <c r="BL95" s="287" t="e">
        <f t="shared" si="105"/>
        <v>#REF!</v>
      </c>
      <c r="BM95" s="287" t="e">
        <f t="shared" si="105"/>
        <v>#REF!</v>
      </c>
      <c r="BN95" s="287" t="e">
        <f t="shared" si="105"/>
        <v>#REF!</v>
      </c>
      <c r="BO95" s="287" t="e">
        <f t="shared" si="105"/>
        <v>#REF!</v>
      </c>
    </row>
    <row r="96" spans="1:67" ht="20.25" customHeight="1">
      <c r="A96" s="409" t="s">
        <v>2921</v>
      </c>
      <c r="B96" s="410">
        <v>12</v>
      </c>
      <c r="C96" s="200">
        <v>0</v>
      </c>
      <c r="D96" s="361" t="str">
        <f t="shared" si="101"/>
        <v>R10</v>
      </c>
      <c r="E96" s="74">
        <f t="shared" si="102"/>
        <v>0</v>
      </c>
      <c r="F96" s="337">
        <f>IF(C96=0,,VLOOKUP(E96,#REF!,5, FALSE()))</f>
        <v>0</v>
      </c>
      <c r="G96" s="448"/>
      <c r="H96" s="448"/>
      <c r="I96" s="340"/>
      <c r="J96" s="340"/>
      <c r="K96" s="449"/>
      <c r="L96" s="449"/>
      <c r="M96" s="340"/>
      <c r="N96" s="340"/>
      <c r="O96" s="449"/>
      <c r="P96" s="449"/>
      <c r="Q96" s="340"/>
      <c r="R96" s="340"/>
      <c r="S96" s="449"/>
      <c r="T96" s="449"/>
      <c r="U96" s="340"/>
      <c r="V96" s="340"/>
      <c r="W96" s="480"/>
      <c r="X96" s="382">
        <f>IF(C96=0,,VLOOKUP(E96,#REF!,2, FALSE()))</f>
        <v>0</v>
      </c>
      <c r="Y96" s="384">
        <f>IF(C96=0,,VLOOKUP(E96,#REF!,3, FALSE()))</f>
        <v>0</v>
      </c>
      <c r="Z96" s="385"/>
      <c r="AA96" s="74"/>
      <c r="AB96" s="386">
        <f>IF(C96=0,,VLOOKUP(E96,#REF!,6, FALSE()))</f>
        <v>0</v>
      </c>
      <c r="AC96" s="74"/>
      <c r="AD96" s="74"/>
      <c r="AE96" s="74"/>
      <c r="AF96" s="74"/>
      <c r="AG96" s="74"/>
      <c r="AH96" s="74"/>
      <c r="AI96" s="74"/>
      <c r="AJ96" s="422"/>
      <c r="AK96" s="287" t="e">
        <f t="shared" ref="AK96:BO96" si="106">(MID(#REF!, 7,2))</f>
        <v>#REF!</v>
      </c>
      <c r="AL96" s="287" t="e">
        <f t="shared" si="106"/>
        <v>#REF!</v>
      </c>
      <c r="AM96" s="287" t="e">
        <f t="shared" si="106"/>
        <v>#REF!</v>
      </c>
      <c r="AN96" s="287" t="e">
        <f t="shared" si="106"/>
        <v>#REF!</v>
      </c>
      <c r="AO96" s="287" t="e">
        <f t="shared" si="106"/>
        <v>#REF!</v>
      </c>
      <c r="AP96" s="287" t="e">
        <f t="shared" si="106"/>
        <v>#REF!</v>
      </c>
      <c r="AQ96" s="287" t="e">
        <f t="shared" si="106"/>
        <v>#REF!</v>
      </c>
      <c r="AR96" s="287" t="e">
        <f t="shared" si="106"/>
        <v>#REF!</v>
      </c>
      <c r="AS96" s="287" t="e">
        <f t="shared" si="106"/>
        <v>#REF!</v>
      </c>
      <c r="AT96" s="287" t="e">
        <f t="shared" si="106"/>
        <v>#REF!</v>
      </c>
      <c r="AU96" s="287" t="e">
        <f t="shared" si="106"/>
        <v>#REF!</v>
      </c>
      <c r="AV96" s="287" t="e">
        <f t="shared" si="106"/>
        <v>#REF!</v>
      </c>
      <c r="AW96" s="287" t="e">
        <f t="shared" si="106"/>
        <v>#REF!</v>
      </c>
      <c r="AX96" s="287" t="e">
        <f t="shared" si="106"/>
        <v>#REF!</v>
      </c>
      <c r="AY96" s="287" t="e">
        <f t="shared" si="106"/>
        <v>#REF!</v>
      </c>
      <c r="AZ96" s="287" t="e">
        <f t="shared" si="106"/>
        <v>#REF!</v>
      </c>
      <c r="BA96" s="287" t="e">
        <f t="shared" si="106"/>
        <v>#REF!</v>
      </c>
      <c r="BB96" s="287" t="e">
        <f t="shared" si="106"/>
        <v>#REF!</v>
      </c>
      <c r="BC96" s="287" t="e">
        <f t="shared" si="106"/>
        <v>#REF!</v>
      </c>
      <c r="BD96" s="287" t="e">
        <f t="shared" si="106"/>
        <v>#REF!</v>
      </c>
      <c r="BE96" s="287" t="e">
        <f t="shared" si="106"/>
        <v>#REF!</v>
      </c>
      <c r="BF96" s="287" t="e">
        <f t="shared" si="106"/>
        <v>#REF!</v>
      </c>
      <c r="BG96" s="287" t="e">
        <f t="shared" si="106"/>
        <v>#REF!</v>
      </c>
      <c r="BH96" s="287" t="e">
        <f t="shared" si="106"/>
        <v>#REF!</v>
      </c>
      <c r="BI96" s="287" t="e">
        <f t="shared" si="106"/>
        <v>#REF!</v>
      </c>
      <c r="BJ96" s="287" t="e">
        <f t="shared" si="106"/>
        <v>#REF!</v>
      </c>
      <c r="BK96" s="287" t="e">
        <f t="shared" si="106"/>
        <v>#REF!</v>
      </c>
      <c r="BL96" s="287" t="e">
        <f t="shared" si="106"/>
        <v>#REF!</v>
      </c>
      <c r="BM96" s="287" t="e">
        <f t="shared" si="106"/>
        <v>#REF!</v>
      </c>
      <c r="BN96" s="287" t="e">
        <f t="shared" si="106"/>
        <v>#REF!</v>
      </c>
      <c r="BO96" s="287" t="e">
        <f t="shared" si="106"/>
        <v>#REF!</v>
      </c>
    </row>
    <row r="97" spans="1:67" ht="20.25" customHeight="1">
      <c r="A97" s="424" t="s">
        <v>2936</v>
      </c>
      <c r="B97" s="425" t="e">
        <f>AB93</f>
        <v>#REF!</v>
      </c>
      <c r="C97" s="200">
        <v>0</v>
      </c>
      <c r="D97" s="361" t="str">
        <f t="shared" si="101"/>
        <v>R10</v>
      </c>
      <c r="E97" s="74">
        <f t="shared" si="102"/>
        <v>0</v>
      </c>
      <c r="F97" s="337">
        <f>IF(C97=0,,VLOOKUP(E97,#REF!,5, FALSE()))</f>
        <v>0</v>
      </c>
      <c r="G97" s="448"/>
      <c r="H97" s="448"/>
      <c r="I97" s="340"/>
      <c r="J97" s="340"/>
      <c r="K97" s="449"/>
      <c r="L97" s="449"/>
      <c r="M97" s="340"/>
      <c r="N97" s="340"/>
      <c r="O97" s="449"/>
      <c r="P97" s="449"/>
      <c r="Q97" s="340"/>
      <c r="R97" s="340"/>
      <c r="S97" s="449"/>
      <c r="T97" s="449"/>
      <c r="U97" s="340"/>
      <c r="V97" s="340"/>
      <c r="W97" s="480"/>
      <c r="X97" s="382">
        <f>IF(C97=0,,VLOOKUP(E97,#REF!,2, FALSE()))</f>
        <v>0</v>
      </c>
      <c r="Y97" s="384">
        <f>IF(C97=0,,VLOOKUP(E97,#REF!,3, FALSE()))</f>
        <v>0</v>
      </c>
      <c r="Z97" s="385"/>
      <c r="AA97" s="74"/>
      <c r="AB97" s="386">
        <f>IF(C97=0,,VLOOKUP(E97,#REF!,6, FALSE()))</f>
        <v>0</v>
      </c>
      <c r="AC97" s="74"/>
      <c r="AD97" s="74"/>
      <c r="AE97" s="74"/>
      <c r="AF97" s="74"/>
      <c r="AG97" s="74"/>
      <c r="AH97" s="74"/>
      <c r="AI97" s="74"/>
      <c r="AJ97" s="389"/>
      <c r="AK97" s="287" t="e">
        <f t="shared" ref="AK97:BO97" si="107">(MID(#REF!, 7,2))</f>
        <v>#REF!</v>
      </c>
      <c r="AL97" s="287" t="e">
        <f t="shared" si="107"/>
        <v>#REF!</v>
      </c>
      <c r="AM97" s="287" t="e">
        <f t="shared" si="107"/>
        <v>#REF!</v>
      </c>
      <c r="AN97" s="287" t="e">
        <f t="shared" si="107"/>
        <v>#REF!</v>
      </c>
      <c r="AO97" s="287" t="e">
        <f t="shared" si="107"/>
        <v>#REF!</v>
      </c>
      <c r="AP97" s="287" t="e">
        <f t="shared" si="107"/>
        <v>#REF!</v>
      </c>
      <c r="AQ97" s="287" t="e">
        <f t="shared" si="107"/>
        <v>#REF!</v>
      </c>
      <c r="AR97" s="287" t="e">
        <f t="shared" si="107"/>
        <v>#REF!</v>
      </c>
      <c r="AS97" s="287" t="e">
        <f t="shared" si="107"/>
        <v>#REF!</v>
      </c>
      <c r="AT97" s="287" t="e">
        <f t="shared" si="107"/>
        <v>#REF!</v>
      </c>
      <c r="AU97" s="287" t="e">
        <f t="shared" si="107"/>
        <v>#REF!</v>
      </c>
      <c r="AV97" s="287" t="e">
        <f t="shared" si="107"/>
        <v>#REF!</v>
      </c>
      <c r="AW97" s="287" t="e">
        <f t="shared" si="107"/>
        <v>#REF!</v>
      </c>
      <c r="AX97" s="287" t="e">
        <f t="shared" si="107"/>
        <v>#REF!</v>
      </c>
      <c r="AY97" s="287" t="e">
        <f t="shared" si="107"/>
        <v>#REF!</v>
      </c>
      <c r="AZ97" s="287" t="e">
        <f t="shared" si="107"/>
        <v>#REF!</v>
      </c>
      <c r="BA97" s="287" t="e">
        <f t="shared" si="107"/>
        <v>#REF!</v>
      </c>
      <c r="BB97" s="287" t="e">
        <f t="shared" si="107"/>
        <v>#REF!</v>
      </c>
      <c r="BC97" s="287" t="e">
        <f t="shared" si="107"/>
        <v>#REF!</v>
      </c>
      <c r="BD97" s="287" t="e">
        <f t="shared" si="107"/>
        <v>#REF!</v>
      </c>
      <c r="BE97" s="287" t="e">
        <f t="shared" si="107"/>
        <v>#REF!</v>
      </c>
      <c r="BF97" s="287" t="e">
        <f t="shared" si="107"/>
        <v>#REF!</v>
      </c>
      <c r="BG97" s="287" t="e">
        <f t="shared" si="107"/>
        <v>#REF!</v>
      </c>
      <c r="BH97" s="287" t="e">
        <f t="shared" si="107"/>
        <v>#REF!</v>
      </c>
      <c r="BI97" s="287" t="e">
        <f t="shared" si="107"/>
        <v>#REF!</v>
      </c>
      <c r="BJ97" s="287" t="e">
        <f t="shared" si="107"/>
        <v>#REF!</v>
      </c>
      <c r="BK97" s="287" t="e">
        <f t="shared" si="107"/>
        <v>#REF!</v>
      </c>
      <c r="BL97" s="287" t="e">
        <f t="shared" si="107"/>
        <v>#REF!</v>
      </c>
      <c r="BM97" s="287" t="e">
        <f t="shared" si="107"/>
        <v>#REF!</v>
      </c>
      <c r="BN97" s="287" t="e">
        <f t="shared" si="107"/>
        <v>#REF!</v>
      </c>
      <c r="BO97" s="287" t="e">
        <f t="shared" si="107"/>
        <v>#REF!</v>
      </c>
    </row>
    <row r="98" spans="1:67" ht="20.25" customHeight="1">
      <c r="A98" s="424" t="e">
        <f>Z93</f>
        <v>#REF!</v>
      </c>
      <c r="B98" s="425">
        <v>1.8333333333333333</v>
      </c>
      <c r="C98" s="200">
        <v>0</v>
      </c>
      <c r="D98" s="361" t="str">
        <f t="shared" si="101"/>
        <v>R10</v>
      </c>
      <c r="E98" s="74">
        <f t="shared" si="102"/>
        <v>0</v>
      </c>
      <c r="F98" s="337">
        <f>IF(C98=0,,VLOOKUP(E98,#REF!,5, FALSE()))</f>
        <v>0</v>
      </c>
      <c r="G98" s="448"/>
      <c r="H98" s="448"/>
      <c r="I98" s="340"/>
      <c r="J98" s="340"/>
      <c r="K98" s="449"/>
      <c r="L98" s="449"/>
      <c r="M98" s="340"/>
      <c r="N98" s="340"/>
      <c r="O98" s="449"/>
      <c r="P98" s="449"/>
      <c r="Q98" s="340"/>
      <c r="R98" s="340"/>
      <c r="S98" s="449"/>
      <c r="T98" s="449"/>
      <c r="U98" s="340"/>
      <c r="V98" s="340"/>
      <c r="W98" s="480"/>
      <c r="X98" s="382">
        <f>IF(C98=0,,VLOOKUP(E98,#REF!,2, FALSE()))</f>
        <v>0</v>
      </c>
      <c r="Y98" s="384">
        <f>IF(C98=0,,VLOOKUP(E98,#REF!,3, FALSE()))</f>
        <v>0</v>
      </c>
      <c r="Z98" s="385"/>
      <c r="AA98" s="74"/>
      <c r="AB98" s="386">
        <f>IF(C98=0,,VLOOKUP(E98,#REF!,6, FALSE()))</f>
        <v>0</v>
      </c>
      <c r="AC98" s="74"/>
      <c r="AD98" s="74"/>
      <c r="AE98" s="74"/>
      <c r="AF98" s="74"/>
      <c r="AG98" s="74"/>
      <c r="AH98" s="74"/>
      <c r="AI98" s="74"/>
      <c r="AJ98" s="389"/>
      <c r="AK98" s="287" t="e">
        <f t="shared" ref="AK98:BO98" si="108">(MID(#REF!, 7,2))</f>
        <v>#REF!</v>
      </c>
      <c r="AL98" s="287" t="e">
        <f t="shared" si="108"/>
        <v>#REF!</v>
      </c>
      <c r="AM98" s="287" t="e">
        <f t="shared" si="108"/>
        <v>#REF!</v>
      </c>
      <c r="AN98" s="287" t="e">
        <f t="shared" si="108"/>
        <v>#REF!</v>
      </c>
      <c r="AO98" s="287" t="e">
        <f t="shared" si="108"/>
        <v>#REF!</v>
      </c>
      <c r="AP98" s="287" t="e">
        <f t="shared" si="108"/>
        <v>#REF!</v>
      </c>
      <c r="AQ98" s="287" t="e">
        <f t="shared" si="108"/>
        <v>#REF!</v>
      </c>
      <c r="AR98" s="287" t="e">
        <f t="shared" si="108"/>
        <v>#REF!</v>
      </c>
      <c r="AS98" s="287" t="e">
        <f t="shared" si="108"/>
        <v>#REF!</v>
      </c>
      <c r="AT98" s="287" t="e">
        <f t="shared" si="108"/>
        <v>#REF!</v>
      </c>
      <c r="AU98" s="287" t="e">
        <f t="shared" si="108"/>
        <v>#REF!</v>
      </c>
      <c r="AV98" s="287" t="e">
        <f t="shared" si="108"/>
        <v>#REF!</v>
      </c>
      <c r="AW98" s="287" t="e">
        <f t="shared" si="108"/>
        <v>#REF!</v>
      </c>
      <c r="AX98" s="287" t="e">
        <f t="shared" si="108"/>
        <v>#REF!</v>
      </c>
      <c r="AY98" s="287" t="e">
        <f t="shared" si="108"/>
        <v>#REF!</v>
      </c>
      <c r="AZ98" s="287" t="e">
        <f t="shared" si="108"/>
        <v>#REF!</v>
      </c>
      <c r="BA98" s="287" t="e">
        <f t="shared" si="108"/>
        <v>#REF!</v>
      </c>
      <c r="BB98" s="287" t="e">
        <f t="shared" si="108"/>
        <v>#REF!</v>
      </c>
      <c r="BC98" s="287" t="e">
        <f t="shared" si="108"/>
        <v>#REF!</v>
      </c>
      <c r="BD98" s="287" t="e">
        <f t="shared" si="108"/>
        <v>#REF!</v>
      </c>
      <c r="BE98" s="287" t="e">
        <f t="shared" si="108"/>
        <v>#REF!</v>
      </c>
      <c r="BF98" s="287" t="e">
        <f t="shared" si="108"/>
        <v>#REF!</v>
      </c>
      <c r="BG98" s="287" t="e">
        <f t="shared" si="108"/>
        <v>#REF!</v>
      </c>
      <c r="BH98" s="287" t="e">
        <f t="shared" si="108"/>
        <v>#REF!</v>
      </c>
      <c r="BI98" s="287" t="e">
        <f t="shared" si="108"/>
        <v>#REF!</v>
      </c>
      <c r="BJ98" s="287" t="e">
        <f t="shared" si="108"/>
        <v>#REF!</v>
      </c>
      <c r="BK98" s="287" t="e">
        <f t="shared" si="108"/>
        <v>#REF!</v>
      </c>
      <c r="BL98" s="287" t="e">
        <f t="shared" si="108"/>
        <v>#REF!</v>
      </c>
      <c r="BM98" s="287" t="e">
        <f t="shared" si="108"/>
        <v>#REF!</v>
      </c>
      <c r="BN98" s="287" t="e">
        <f t="shared" si="108"/>
        <v>#REF!</v>
      </c>
      <c r="BO98" s="287" t="e">
        <f t="shared" si="108"/>
        <v>#REF!</v>
      </c>
    </row>
    <row r="99" spans="1:67" ht="20.25" customHeight="1">
      <c r="A99" s="424" t="s">
        <v>2951</v>
      </c>
      <c r="B99" s="425" t="e">
        <f>SUM(AB93:AB101)</f>
        <v>#REF!</v>
      </c>
      <c r="C99" s="200">
        <v>0</v>
      </c>
      <c r="D99" s="361" t="str">
        <f t="shared" si="101"/>
        <v>R10</v>
      </c>
      <c r="E99" s="74">
        <f t="shared" si="102"/>
        <v>0</v>
      </c>
      <c r="F99" s="337">
        <f>IF(C99=0,,VLOOKUP(E99,#REF!,5, FALSE()))</f>
        <v>0</v>
      </c>
      <c r="G99" s="448"/>
      <c r="H99" s="448"/>
      <c r="I99" s="340"/>
      <c r="J99" s="340"/>
      <c r="K99" s="449"/>
      <c r="L99" s="449"/>
      <c r="M99" s="340"/>
      <c r="N99" s="340"/>
      <c r="O99" s="449"/>
      <c r="P99" s="449"/>
      <c r="Q99" s="340"/>
      <c r="R99" s="340"/>
      <c r="S99" s="449"/>
      <c r="T99" s="449"/>
      <c r="U99" s="340"/>
      <c r="V99" s="340"/>
      <c r="W99" s="480"/>
      <c r="X99" s="382">
        <f>IF(C99=0,,VLOOKUP(E99,#REF!,2, FALSE()))</f>
        <v>0</v>
      </c>
      <c r="Y99" s="384">
        <f>IF(C99=0,,VLOOKUP(E99,#REF!,3, FALSE()))</f>
        <v>0</v>
      </c>
      <c r="Z99" s="385"/>
      <c r="AA99" s="74"/>
      <c r="AB99" s="386">
        <f>IF(C99=0,,VLOOKUP(E99,#REF!,6, FALSE()))</f>
        <v>0</v>
      </c>
      <c r="AC99" s="74"/>
      <c r="AD99" s="74"/>
      <c r="AE99" s="74"/>
      <c r="AF99" s="74"/>
      <c r="AG99" s="74"/>
      <c r="AH99" s="74"/>
      <c r="AI99" s="74"/>
      <c r="AJ99" s="389"/>
      <c r="AK99" s="287" t="e">
        <f t="shared" ref="AK99:BO99" si="109">(MID(#REF!, 7,2))</f>
        <v>#REF!</v>
      </c>
      <c r="AL99" s="287" t="e">
        <f t="shared" si="109"/>
        <v>#REF!</v>
      </c>
      <c r="AM99" s="287" t="e">
        <f t="shared" si="109"/>
        <v>#REF!</v>
      </c>
      <c r="AN99" s="287" t="e">
        <f t="shared" si="109"/>
        <v>#REF!</v>
      </c>
      <c r="AO99" s="287" t="e">
        <f t="shared" si="109"/>
        <v>#REF!</v>
      </c>
      <c r="AP99" s="287" t="e">
        <f t="shared" si="109"/>
        <v>#REF!</v>
      </c>
      <c r="AQ99" s="287" t="e">
        <f t="shared" si="109"/>
        <v>#REF!</v>
      </c>
      <c r="AR99" s="287" t="e">
        <f t="shared" si="109"/>
        <v>#REF!</v>
      </c>
      <c r="AS99" s="287" t="e">
        <f t="shared" si="109"/>
        <v>#REF!</v>
      </c>
      <c r="AT99" s="287" t="e">
        <f t="shared" si="109"/>
        <v>#REF!</v>
      </c>
      <c r="AU99" s="287" t="e">
        <f t="shared" si="109"/>
        <v>#REF!</v>
      </c>
      <c r="AV99" s="287" t="e">
        <f t="shared" si="109"/>
        <v>#REF!</v>
      </c>
      <c r="AW99" s="287" t="e">
        <f t="shared" si="109"/>
        <v>#REF!</v>
      </c>
      <c r="AX99" s="287" t="e">
        <f t="shared" si="109"/>
        <v>#REF!</v>
      </c>
      <c r="AY99" s="287" t="e">
        <f t="shared" si="109"/>
        <v>#REF!</v>
      </c>
      <c r="AZ99" s="287" t="e">
        <f t="shared" si="109"/>
        <v>#REF!</v>
      </c>
      <c r="BA99" s="287" t="e">
        <f t="shared" si="109"/>
        <v>#REF!</v>
      </c>
      <c r="BB99" s="287" t="e">
        <f t="shared" si="109"/>
        <v>#REF!</v>
      </c>
      <c r="BC99" s="287" t="e">
        <f t="shared" si="109"/>
        <v>#REF!</v>
      </c>
      <c r="BD99" s="287" t="e">
        <f t="shared" si="109"/>
        <v>#REF!</v>
      </c>
      <c r="BE99" s="287" t="e">
        <f t="shared" si="109"/>
        <v>#REF!</v>
      </c>
      <c r="BF99" s="287" t="e">
        <f t="shared" si="109"/>
        <v>#REF!</v>
      </c>
      <c r="BG99" s="287" t="e">
        <f t="shared" si="109"/>
        <v>#REF!</v>
      </c>
      <c r="BH99" s="287" t="e">
        <f t="shared" si="109"/>
        <v>#REF!</v>
      </c>
      <c r="BI99" s="287" t="e">
        <f t="shared" si="109"/>
        <v>#REF!</v>
      </c>
      <c r="BJ99" s="287" t="e">
        <f t="shared" si="109"/>
        <v>#REF!</v>
      </c>
      <c r="BK99" s="287" t="e">
        <f t="shared" si="109"/>
        <v>#REF!</v>
      </c>
      <c r="BL99" s="287" t="e">
        <f t="shared" si="109"/>
        <v>#REF!</v>
      </c>
      <c r="BM99" s="287" t="e">
        <f t="shared" si="109"/>
        <v>#REF!</v>
      </c>
      <c r="BN99" s="287" t="e">
        <f t="shared" si="109"/>
        <v>#REF!</v>
      </c>
      <c r="BO99" s="287" t="e">
        <f t="shared" si="109"/>
        <v>#REF!</v>
      </c>
    </row>
    <row r="100" spans="1:67" ht="20.25" customHeight="1">
      <c r="A100" s="424" t="s">
        <v>2952</v>
      </c>
      <c r="B100" s="425">
        <f>SUM(AJ93:AJ101)</f>
        <v>0.16666666666666666</v>
      </c>
      <c r="C100" s="200">
        <v>0</v>
      </c>
      <c r="D100" s="361" t="str">
        <f t="shared" si="101"/>
        <v>R10</v>
      </c>
      <c r="E100" s="74">
        <f t="shared" si="102"/>
        <v>0</v>
      </c>
      <c r="F100" s="337">
        <f>IF(C100=0,,VLOOKUP(E100,#REF!,5, FALSE()))</f>
        <v>0</v>
      </c>
      <c r="G100" s="448"/>
      <c r="H100" s="448"/>
      <c r="I100" s="340"/>
      <c r="J100" s="340"/>
      <c r="K100" s="449"/>
      <c r="L100" s="449"/>
      <c r="M100" s="340"/>
      <c r="N100" s="340"/>
      <c r="O100" s="449"/>
      <c r="P100" s="449"/>
      <c r="Q100" s="340"/>
      <c r="R100" s="340"/>
      <c r="S100" s="449"/>
      <c r="T100" s="449"/>
      <c r="U100" s="340"/>
      <c r="V100" s="340"/>
      <c r="W100" s="480"/>
      <c r="X100" s="382">
        <f>IF(C100=0,,VLOOKUP(E100,#REF!,2, FALSE()))</f>
        <v>0</v>
      </c>
      <c r="Y100" s="384">
        <f>IF(C100=0,,VLOOKUP(E100,#REF!,3, FALSE()))</f>
        <v>0</v>
      </c>
      <c r="Z100" s="385"/>
      <c r="AA100" s="74"/>
      <c r="AB100" s="386">
        <f>IF(C100=0,,VLOOKUP(E100,#REF!,6, FALSE()))</f>
        <v>0</v>
      </c>
      <c r="AC100" s="74"/>
      <c r="AD100" s="74"/>
      <c r="AE100" s="74"/>
      <c r="AF100" s="74"/>
      <c r="AG100" s="74"/>
      <c r="AH100" s="74"/>
      <c r="AI100" s="74"/>
      <c r="AJ100" s="389"/>
      <c r="AK100" s="287" t="e">
        <f t="shared" ref="AK100:BO100" si="110">(MID(#REF!, 7,2))</f>
        <v>#REF!</v>
      </c>
      <c r="AL100" s="287" t="e">
        <f t="shared" si="110"/>
        <v>#REF!</v>
      </c>
      <c r="AM100" s="287" t="e">
        <f t="shared" si="110"/>
        <v>#REF!</v>
      </c>
      <c r="AN100" s="287" t="e">
        <f t="shared" si="110"/>
        <v>#REF!</v>
      </c>
      <c r="AO100" s="287" t="e">
        <f t="shared" si="110"/>
        <v>#REF!</v>
      </c>
      <c r="AP100" s="287" t="e">
        <f t="shared" si="110"/>
        <v>#REF!</v>
      </c>
      <c r="AQ100" s="287" t="e">
        <f t="shared" si="110"/>
        <v>#REF!</v>
      </c>
      <c r="AR100" s="287" t="e">
        <f t="shared" si="110"/>
        <v>#REF!</v>
      </c>
      <c r="AS100" s="287" t="e">
        <f t="shared" si="110"/>
        <v>#REF!</v>
      </c>
      <c r="AT100" s="287" t="e">
        <f t="shared" si="110"/>
        <v>#REF!</v>
      </c>
      <c r="AU100" s="287" t="e">
        <f t="shared" si="110"/>
        <v>#REF!</v>
      </c>
      <c r="AV100" s="287" t="e">
        <f t="shared" si="110"/>
        <v>#REF!</v>
      </c>
      <c r="AW100" s="287" t="e">
        <f t="shared" si="110"/>
        <v>#REF!</v>
      </c>
      <c r="AX100" s="287" t="e">
        <f t="shared" si="110"/>
        <v>#REF!</v>
      </c>
      <c r="AY100" s="287" t="e">
        <f t="shared" si="110"/>
        <v>#REF!</v>
      </c>
      <c r="AZ100" s="287" t="e">
        <f t="shared" si="110"/>
        <v>#REF!</v>
      </c>
      <c r="BA100" s="287" t="e">
        <f t="shared" si="110"/>
        <v>#REF!</v>
      </c>
      <c r="BB100" s="287" t="e">
        <f t="shared" si="110"/>
        <v>#REF!</v>
      </c>
      <c r="BC100" s="287" t="e">
        <f t="shared" si="110"/>
        <v>#REF!</v>
      </c>
      <c r="BD100" s="287" t="e">
        <f t="shared" si="110"/>
        <v>#REF!</v>
      </c>
      <c r="BE100" s="287" t="e">
        <f t="shared" si="110"/>
        <v>#REF!</v>
      </c>
      <c r="BF100" s="287" t="e">
        <f t="shared" si="110"/>
        <v>#REF!</v>
      </c>
      <c r="BG100" s="287" t="e">
        <f t="shared" si="110"/>
        <v>#REF!</v>
      </c>
      <c r="BH100" s="287" t="e">
        <f t="shared" si="110"/>
        <v>#REF!</v>
      </c>
      <c r="BI100" s="287" t="e">
        <f t="shared" si="110"/>
        <v>#REF!</v>
      </c>
      <c r="BJ100" s="287" t="e">
        <f t="shared" si="110"/>
        <v>#REF!</v>
      </c>
      <c r="BK100" s="287" t="e">
        <f t="shared" si="110"/>
        <v>#REF!</v>
      </c>
      <c r="BL100" s="287" t="e">
        <f t="shared" si="110"/>
        <v>#REF!</v>
      </c>
      <c r="BM100" s="287" t="e">
        <f t="shared" si="110"/>
        <v>#REF!</v>
      </c>
      <c r="BN100" s="287" t="e">
        <f t="shared" si="110"/>
        <v>#REF!</v>
      </c>
      <c r="BO100" s="287" t="e">
        <f t="shared" si="110"/>
        <v>#REF!</v>
      </c>
    </row>
    <row r="101" spans="1:67" ht="20.25" customHeight="1">
      <c r="A101" s="443" t="s">
        <v>2953</v>
      </c>
      <c r="B101" s="444" t="e">
        <f>B98-B99-B100</f>
        <v>#REF!</v>
      </c>
      <c r="C101" s="200">
        <v>0</v>
      </c>
      <c r="D101" s="361" t="str">
        <f t="shared" si="101"/>
        <v>R10</v>
      </c>
      <c r="E101" s="74">
        <f t="shared" si="102"/>
        <v>0</v>
      </c>
      <c r="F101" s="337">
        <f>IF(C101=0,,VLOOKUP(E101,#REF!,5, FALSE()))</f>
        <v>0</v>
      </c>
      <c r="G101" s="448"/>
      <c r="H101" s="448"/>
      <c r="I101" s="340"/>
      <c r="J101" s="340"/>
      <c r="K101" s="449"/>
      <c r="L101" s="449"/>
      <c r="M101" s="340"/>
      <c r="N101" s="340"/>
      <c r="O101" s="449"/>
      <c r="P101" s="449"/>
      <c r="Q101" s="340"/>
      <c r="R101" s="340"/>
      <c r="S101" s="449"/>
      <c r="T101" s="449"/>
      <c r="U101" s="340"/>
      <c r="V101" s="340"/>
      <c r="W101" s="481"/>
      <c r="X101" s="382">
        <f>IF(C101=0,,VLOOKUP(E101,#REF!,2, FALSE()))</f>
        <v>0</v>
      </c>
      <c r="Y101" s="384">
        <f>IF(C101=0,,VLOOKUP(E101,#REF!,3, FALSE()))</f>
        <v>0</v>
      </c>
      <c r="Z101" s="385"/>
      <c r="AA101" s="74"/>
      <c r="AB101" s="386">
        <f>IF(C101=0,,VLOOKUP(E101,#REF!,6, FALSE()))</f>
        <v>0</v>
      </c>
      <c r="AC101" s="74"/>
      <c r="AD101" s="74"/>
      <c r="AE101" s="74"/>
      <c r="AF101" s="74"/>
      <c r="AG101" s="74"/>
      <c r="AH101" s="74"/>
      <c r="AI101" s="74"/>
      <c r="AJ101" s="389"/>
      <c r="AK101" s="287" t="e">
        <f t="shared" ref="AK101:BO101" si="111">(MID(#REF!, 7,2))</f>
        <v>#REF!</v>
      </c>
      <c r="AL101" s="287" t="e">
        <f t="shared" si="111"/>
        <v>#REF!</v>
      </c>
      <c r="AM101" s="287" t="e">
        <f t="shared" si="111"/>
        <v>#REF!</v>
      </c>
      <c r="AN101" s="287" t="e">
        <f t="shared" si="111"/>
        <v>#REF!</v>
      </c>
      <c r="AO101" s="287" t="e">
        <f t="shared" si="111"/>
        <v>#REF!</v>
      </c>
      <c r="AP101" s="287" t="e">
        <f t="shared" si="111"/>
        <v>#REF!</v>
      </c>
      <c r="AQ101" s="287" t="e">
        <f t="shared" si="111"/>
        <v>#REF!</v>
      </c>
      <c r="AR101" s="287" t="e">
        <f t="shared" si="111"/>
        <v>#REF!</v>
      </c>
      <c r="AS101" s="287" t="e">
        <f t="shared" si="111"/>
        <v>#REF!</v>
      </c>
      <c r="AT101" s="287" t="e">
        <f t="shared" si="111"/>
        <v>#REF!</v>
      </c>
      <c r="AU101" s="287" t="e">
        <f t="shared" si="111"/>
        <v>#REF!</v>
      </c>
      <c r="AV101" s="287" t="e">
        <f t="shared" si="111"/>
        <v>#REF!</v>
      </c>
      <c r="AW101" s="287" t="e">
        <f t="shared" si="111"/>
        <v>#REF!</v>
      </c>
      <c r="AX101" s="287" t="e">
        <f t="shared" si="111"/>
        <v>#REF!</v>
      </c>
      <c r="AY101" s="287" t="e">
        <f t="shared" si="111"/>
        <v>#REF!</v>
      </c>
      <c r="AZ101" s="287" t="e">
        <f t="shared" si="111"/>
        <v>#REF!</v>
      </c>
      <c r="BA101" s="287" t="e">
        <f t="shared" si="111"/>
        <v>#REF!</v>
      </c>
      <c r="BB101" s="287" t="e">
        <f t="shared" si="111"/>
        <v>#REF!</v>
      </c>
      <c r="BC101" s="287" t="e">
        <f t="shared" si="111"/>
        <v>#REF!</v>
      </c>
      <c r="BD101" s="287" t="e">
        <f t="shared" si="111"/>
        <v>#REF!</v>
      </c>
      <c r="BE101" s="287" t="e">
        <f t="shared" si="111"/>
        <v>#REF!</v>
      </c>
      <c r="BF101" s="287" t="e">
        <f t="shared" si="111"/>
        <v>#REF!</v>
      </c>
      <c r="BG101" s="287" t="e">
        <f t="shared" si="111"/>
        <v>#REF!</v>
      </c>
      <c r="BH101" s="287" t="e">
        <f t="shared" si="111"/>
        <v>#REF!</v>
      </c>
      <c r="BI101" s="287" t="e">
        <f t="shared" si="111"/>
        <v>#REF!</v>
      </c>
      <c r="BJ101" s="287" t="e">
        <f t="shared" si="111"/>
        <v>#REF!</v>
      </c>
      <c r="BK101" s="287" t="e">
        <f t="shared" si="111"/>
        <v>#REF!</v>
      </c>
      <c r="BL101" s="287" t="e">
        <f t="shared" si="111"/>
        <v>#REF!</v>
      </c>
      <c r="BM101" s="287" t="e">
        <f t="shared" si="111"/>
        <v>#REF!</v>
      </c>
      <c r="BN101" s="287" t="e">
        <f t="shared" si="111"/>
        <v>#REF!</v>
      </c>
      <c r="BO101" s="287" t="e">
        <f t="shared" si="111"/>
        <v>#REF!</v>
      </c>
    </row>
    <row r="102" spans="1:67" ht="3.75" customHeight="1">
      <c r="G102" s="446"/>
      <c r="H102" s="446"/>
      <c r="I102" s="285"/>
      <c r="J102" s="285"/>
      <c r="K102" s="346"/>
      <c r="L102" s="346"/>
      <c r="M102" s="285"/>
      <c r="N102" s="285"/>
      <c r="O102" s="346"/>
      <c r="P102" s="346"/>
      <c r="Q102" s="285"/>
      <c r="R102" s="285"/>
      <c r="S102" s="346"/>
      <c r="T102" s="346"/>
      <c r="U102" s="285"/>
      <c r="V102" s="285"/>
      <c r="Y102" s="447"/>
      <c r="AK102" s="346"/>
      <c r="AL102" s="346"/>
      <c r="AM102" s="346"/>
      <c r="AN102" s="346"/>
      <c r="AO102" s="346"/>
      <c r="AP102" s="346"/>
      <c r="AQ102" s="346"/>
      <c r="AR102" s="346"/>
      <c r="AS102" s="346"/>
      <c r="AT102" s="346"/>
      <c r="AU102" s="346"/>
      <c r="AV102" s="346"/>
      <c r="AW102" s="346"/>
      <c r="AX102" s="346"/>
      <c r="AY102" s="346"/>
      <c r="AZ102" s="346"/>
      <c r="BA102" s="346"/>
      <c r="BB102" s="346"/>
      <c r="BC102" s="346"/>
      <c r="BD102" s="346"/>
      <c r="BE102" s="346"/>
      <c r="BF102" s="346"/>
      <c r="BG102" s="346"/>
      <c r="BH102" s="346"/>
      <c r="BI102" s="346"/>
      <c r="BJ102" s="346"/>
      <c r="BK102" s="346"/>
      <c r="BL102" s="346"/>
      <c r="BM102" s="346"/>
      <c r="BN102" s="346"/>
      <c r="BO102" s="346"/>
    </row>
    <row r="103" spans="1:67" ht="20.25" customHeight="1">
      <c r="A103" s="200" t="s">
        <v>2459</v>
      </c>
      <c r="B103" s="217" t="s">
        <v>329</v>
      </c>
      <c r="C103" s="200">
        <v>1</v>
      </c>
      <c r="D103" s="361" t="str">
        <f t="shared" ref="D103:D111" si="112">$B$103</f>
        <v>R11</v>
      </c>
      <c r="E103" s="74" t="str">
        <f t="shared" ref="E103:E111" si="113">IF(C103=0,,CONCATENATE(D103,"/",C103))</f>
        <v>R11/1</v>
      </c>
      <c r="F103" s="337" t="e">
        <f>IF(C103=0,,VLOOKUP(E103,#REF!,5, FALSE()))</f>
        <v>#REF!</v>
      </c>
      <c r="G103" s="448"/>
      <c r="H103" s="448"/>
      <c r="I103" s="340"/>
      <c r="J103" s="340"/>
      <c r="K103" s="449"/>
      <c r="L103" s="449"/>
      <c r="M103" s="340"/>
      <c r="N103" s="340"/>
      <c r="O103" s="449"/>
      <c r="P103" s="449"/>
      <c r="Q103" s="340"/>
      <c r="R103" s="340"/>
      <c r="S103" s="449"/>
      <c r="T103" s="449"/>
      <c r="U103" s="340"/>
      <c r="V103" s="340"/>
      <c r="W103" s="563" t="e">
        <f>CONCATENATE(F103," + ",F104," + ",F105," + ",F106," + ",F107," + ",F108," + ",F109," + ",F110," + ",F111)</f>
        <v>#REF!</v>
      </c>
      <c r="X103" s="382" t="e">
        <f>IF(C103=0,,VLOOKUP(E103,#REF!,2, FALSE()))</f>
        <v>#REF!</v>
      </c>
      <c r="Y103" s="384" t="e">
        <f>IF(C103=0,,VLOOKUP(E103,#REF!,3, FALSE()))</f>
        <v>#REF!</v>
      </c>
      <c r="Z103" s="385" t="e">
        <f>VLOOKUP(Y103,#REF!,6, FALSE())</f>
        <v>#REF!</v>
      </c>
      <c r="AA103" s="74" t="str">
        <f>$B105</f>
        <v>Cesta Gd</v>
      </c>
      <c r="AB103" s="386" t="e">
        <f>IF(C103=0,,VLOOKUP(E103,#REF!,6, FALSE()))</f>
        <v>#REF!</v>
      </c>
      <c r="AC103" s="74"/>
      <c r="AD103" s="74">
        <f>$B106</f>
        <v>12</v>
      </c>
      <c r="AE103" s="74"/>
      <c r="AF103" s="450" t="e">
        <f>$B107</f>
        <v>#REF!</v>
      </c>
      <c r="AG103" s="74"/>
      <c r="AH103" s="450" t="e">
        <f>$B109</f>
        <v>#REF!</v>
      </c>
      <c r="AI103" s="450" t="e">
        <f>B109+B110</f>
        <v>#REF!</v>
      </c>
      <c r="AJ103" s="389"/>
      <c r="AK103" s="287" t="e">
        <f t="shared" ref="AK103:BO103" si="114">(MID(#REF!, 7,2))</f>
        <v>#REF!</v>
      </c>
      <c r="AL103" s="287" t="e">
        <f t="shared" si="114"/>
        <v>#REF!</v>
      </c>
      <c r="AM103" s="287" t="e">
        <f t="shared" si="114"/>
        <v>#REF!</v>
      </c>
      <c r="AN103" s="287" t="e">
        <f t="shared" si="114"/>
        <v>#REF!</v>
      </c>
      <c r="AO103" s="287" t="e">
        <f t="shared" si="114"/>
        <v>#REF!</v>
      </c>
      <c r="AP103" s="287" t="e">
        <f t="shared" si="114"/>
        <v>#REF!</v>
      </c>
      <c r="AQ103" s="287" t="e">
        <f t="shared" si="114"/>
        <v>#REF!</v>
      </c>
      <c r="AR103" s="287" t="e">
        <f t="shared" si="114"/>
        <v>#REF!</v>
      </c>
      <c r="AS103" s="287" t="e">
        <f t="shared" si="114"/>
        <v>#REF!</v>
      </c>
      <c r="AT103" s="287" t="e">
        <f t="shared" si="114"/>
        <v>#REF!</v>
      </c>
      <c r="AU103" s="287" t="e">
        <f t="shared" si="114"/>
        <v>#REF!</v>
      </c>
      <c r="AV103" s="287" t="e">
        <f t="shared" si="114"/>
        <v>#REF!</v>
      </c>
      <c r="AW103" s="287" t="e">
        <f t="shared" si="114"/>
        <v>#REF!</v>
      </c>
      <c r="AX103" s="287" t="e">
        <f t="shared" si="114"/>
        <v>#REF!</v>
      </c>
      <c r="AY103" s="287" t="e">
        <f t="shared" si="114"/>
        <v>#REF!</v>
      </c>
      <c r="AZ103" s="287" t="e">
        <f t="shared" si="114"/>
        <v>#REF!</v>
      </c>
      <c r="BA103" s="287" t="e">
        <f t="shared" si="114"/>
        <v>#REF!</v>
      </c>
      <c r="BB103" s="287" t="e">
        <f t="shared" si="114"/>
        <v>#REF!</v>
      </c>
      <c r="BC103" s="287" t="e">
        <f t="shared" si="114"/>
        <v>#REF!</v>
      </c>
      <c r="BD103" s="287" t="e">
        <f t="shared" si="114"/>
        <v>#REF!</v>
      </c>
      <c r="BE103" s="287" t="e">
        <f t="shared" si="114"/>
        <v>#REF!</v>
      </c>
      <c r="BF103" s="287" t="e">
        <f t="shared" si="114"/>
        <v>#REF!</v>
      </c>
      <c r="BG103" s="287" t="e">
        <f t="shared" si="114"/>
        <v>#REF!</v>
      </c>
      <c r="BH103" s="287" t="e">
        <f t="shared" si="114"/>
        <v>#REF!</v>
      </c>
      <c r="BI103" s="287" t="e">
        <f t="shared" si="114"/>
        <v>#REF!</v>
      </c>
      <c r="BJ103" s="287" t="e">
        <f t="shared" si="114"/>
        <v>#REF!</v>
      </c>
      <c r="BK103" s="287" t="e">
        <f t="shared" si="114"/>
        <v>#REF!</v>
      </c>
      <c r="BL103" s="287" t="e">
        <f t="shared" si="114"/>
        <v>#REF!</v>
      </c>
      <c r="BM103" s="287" t="e">
        <f t="shared" si="114"/>
        <v>#REF!</v>
      </c>
      <c r="BN103" s="287" t="e">
        <f t="shared" si="114"/>
        <v>#REF!</v>
      </c>
      <c r="BO103" s="287" t="e">
        <f t="shared" si="114"/>
        <v>#REF!</v>
      </c>
    </row>
    <row r="104" spans="1:67" ht="20.25" customHeight="1">
      <c r="A104" s="562" t="e">
        <f>Y103</f>
        <v>#REF!</v>
      </c>
      <c r="B104" s="499"/>
      <c r="C104" s="200">
        <v>2</v>
      </c>
      <c r="D104" s="361" t="str">
        <f t="shared" si="112"/>
        <v>R11</v>
      </c>
      <c r="E104" s="74" t="str">
        <f t="shared" si="113"/>
        <v>R11/2</v>
      </c>
      <c r="F104" s="337" t="e">
        <f>IF(C104=0,,VLOOKUP(E104,#REF!,5, FALSE()))</f>
        <v>#REF!</v>
      </c>
      <c r="G104" s="448"/>
      <c r="H104" s="448"/>
      <c r="I104" s="340"/>
      <c r="J104" s="340"/>
      <c r="K104" s="449"/>
      <c r="L104" s="449"/>
      <c r="M104" s="340"/>
      <c r="N104" s="340"/>
      <c r="O104" s="449"/>
      <c r="P104" s="449"/>
      <c r="Q104" s="340"/>
      <c r="R104" s="340"/>
      <c r="S104" s="449"/>
      <c r="T104" s="449"/>
      <c r="U104" s="340"/>
      <c r="V104" s="340"/>
      <c r="W104" s="480"/>
      <c r="X104" s="382" t="e">
        <f>IF(C104=0,,VLOOKUP(E104,#REF!,2, FALSE()))</f>
        <v>#REF!</v>
      </c>
      <c r="Y104" s="384" t="e">
        <f>IF(C104=0,,VLOOKUP(E104,#REF!,3, FALSE()))</f>
        <v>#REF!</v>
      </c>
      <c r="Z104" s="385"/>
      <c r="AA104" s="74"/>
      <c r="AB104" s="386" t="e">
        <f>IF(C104=0,,VLOOKUP(E104,#REF!,6, FALSE()))</f>
        <v>#REF!</v>
      </c>
      <c r="AC104" s="74"/>
      <c r="AD104" s="74"/>
      <c r="AE104" s="74"/>
      <c r="AF104" s="74"/>
      <c r="AG104" s="74"/>
      <c r="AH104" s="74"/>
      <c r="AI104" s="74"/>
      <c r="AJ104" s="389"/>
      <c r="AK104" s="287" t="e">
        <f t="shared" ref="AK104:BO104" si="115">(MID(#REF!, 7,2))</f>
        <v>#REF!</v>
      </c>
      <c r="AL104" s="287" t="e">
        <f t="shared" si="115"/>
        <v>#REF!</v>
      </c>
      <c r="AM104" s="287" t="e">
        <f t="shared" si="115"/>
        <v>#REF!</v>
      </c>
      <c r="AN104" s="287" t="e">
        <f t="shared" si="115"/>
        <v>#REF!</v>
      </c>
      <c r="AO104" s="287" t="e">
        <f t="shared" si="115"/>
        <v>#REF!</v>
      </c>
      <c r="AP104" s="287" t="e">
        <f t="shared" si="115"/>
        <v>#REF!</v>
      </c>
      <c r="AQ104" s="287" t="e">
        <f t="shared" si="115"/>
        <v>#REF!</v>
      </c>
      <c r="AR104" s="287" t="e">
        <f t="shared" si="115"/>
        <v>#REF!</v>
      </c>
      <c r="AS104" s="287" t="e">
        <f t="shared" si="115"/>
        <v>#REF!</v>
      </c>
      <c r="AT104" s="287" t="e">
        <f t="shared" si="115"/>
        <v>#REF!</v>
      </c>
      <c r="AU104" s="287" t="e">
        <f t="shared" si="115"/>
        <v>#REF!</v>
      </c>
      <c r="AV104" s="287" t="e">
        <f t="shared" si="115"/>
        <v>#REF!</v>
      </c>
      <c r="AW104" s="287" t="e">
        <f t="shared" si="115"/>
        <v>#REF!</v>
      </c>
      <c r="AX104" s="287" t="e">
        <f t="shared" si="115"/>
        <v>#REF!</v>
      </c>
      <c r="AY104" s="287" t="e">
        <f t="shared" si="115"/>
        <v>#REF!</v>
      </c>
      <c r="AZ104" s="287" t="e">
        <f t="shared" si="115"/>
        <v>#REF!</v>
      </c>
      <c r="BA104" s="287" t="e">
        <f t="shared" si="115"/>
        <v>#REF!</v>
      </c>
      <c r="BB104" s="287" t="e">
        <f t="shared" si="115"/>
        <v>#REF!</v>
      </c>
      <c r="BC104" s="287" t="e">
        <f t="shared" si="115"/>
        <v>#REF!</v>
      </c>
      <c r="BD104" s="287" t="e">
        <f t="shared" si="115"/>
        <v>#REF!</v>
      </c>
      <c r="BE104" s="287" t="e">
        <f t="shared" si="115"/>
        <v>#REF!</v>
      </c>
      <c r="BF104" s="287" t="e">
        <f t="shared" si="115"/>
        <v>#REF!</v>
      </c>
      <c r="BG104" s="287" t="e">
        <f t="shared" si="115"/>
        <v>#REF!</v>
      </c>
      <c r="BH104" s="287" t="e">
        <f t="shared" si="115"/>
        <v>#REF!</v>
      </c>
      <c r="BI104" s="287" t="e">
        <f t="shared" si="115"/>
        <v>#REF!</v>
      </c>
      <c r="BJ104" s="287" t="e">
        <f t="shared" si="115"/>
        <v>#REF!</v>
      </c>
      <c r="BK104" s="287" t="e">
        <f t="shared" si="115"/>
        <v>#REF!</v>
      </c>
      <c r="BL104" s="287" t="e">
        <f t="shared" si="115"/>
        <v>#REF!</v>
      </c>
      <c r="BM104" s="287" t="e">
        <f t="shared" si="115"/>
        <v>#REF!</v>
      </c>
      <c r="BN104" s="287" t="e">
        <f t="shared" si="115"/>
        <v>#REF!</v>
      </c>
      <c r="BO104" s="287" t="e">
        <f t="shared" si="115"/>
        <v>#REF!</v>
      </c>
    </row>
    <row r="105" spans="1:67" ht="20.25" customHeight="1">
      <c r="A105" s="402" t="s">
        <v>2896</v>
      </c>
      <c r="B105" s="19" t="s">
        <v>21</v>
      </c>
      <c r="C105" s="200">
        <v>0</v>
      </c>
      <c r="D105" s="361" t="str">
        <f t="shared" si="112"/>
        <v>R11</v>
      </c>
      <c r="E105" s="74">
        <f t="shared" si="113"/>
        <v>0</v>
      </c>
      <c r="F105" s="337">
        <f>IF(C105=0,,VLOOKUP(E105,#REF!,5, FALSE()))</f>
        <v>0</v>
      </c>
      <c r="G105" s="448"/>
      <c r="H105" s="448"/>
      <c r="I105" s="340"/>
      <c r="J105" s="340"/>
      <c r="K105" s="449"/>
      <c r="L105" s="449"/>
      <c r="M105" s="340"/>
      <c r="N105" s="340"/>
      <c r="O105" s="449"/>
      <c r="P105" s="449"/>
      <c r="Q105" s="340"/>
      <c r="R105" s="340"/>
      <c r="S105" s="449"/>
      <c r="T105" s="449"/>
      <c r="U105" s="340"/>
      <c r="V105" s="340"/>
      <c r="W105" s="480"/>
      <c r="X105" s="382">
        <f>IF(C105=0,,VLOOKUP(E105,#REF!,2, FALSE()))</f>
        <v>0</v>
      </c>
      <c r="Y105" s="384">
        <f>IF(C105=0,,VLOOKUP(E105,#REF!,3, FALSE()))</f>
        <v>0</v>
      </c>
      <c r="Z105" s="385"/>
      <c r="AA105" s="74"/>
      <c r="AB105" s="386">
        <f>IF(C105=0,,VLOOKUP(E105,#REF!,6, FALSE()))</f>
        <v>0</v>
      </c>
      <c r="AC105" s="74"/>
      <c r="AD105" s="74"/>
      <c r="AE105" s="74"/>
      <c r="AF105" s="74"/>
      <c r="AG105" s="74"/>
      <c r="AH105" s="74"/>
      <c r="AI105" s="74"/>
      <c r="AJ105" s="389"/>
      <c r="AK105" s="287" t="e">
        <f t="shared" ref="AK105:BO105" si="116">(MID(#REF!, 7,2))</f>
        <v>#REF!</v>
      </c>
      <c r="AL105" s="287" t="e">
        <f t="shared" si="116"/>
        <v>#REF!</v>
      </c>
      <c r="AM105" s="287" t="e">
        <f t="shared" si="116"/>
        <v>#REF!</v>
      </c>
      <c r="AN105" s="287" t="e">
        <f t="shared" si="116"/>
        <v>#REF!</v>
      </c>
      <c r="AO105" s="287" t="e">
        <f t="shared" si="116"/>
        <v>#REF!</v>
      </c>
      <c r="AP105" s="287" t="e">
        <f t="shared" si="116"/>
        <v>#REF!</v>
      </c>
      <c r="AQ105" s="287" t="e">
        <f t="shared" si="116"/>
        <v>#REF!</v>
      </c>
      <c r="AR105" s="287" t="e">
        <f t="shared" si="116"/>
        <v>#REF!</v>
      </c>
      <c r="AS105" s="287" t="e">
        <f t="shared" si="116"/>
        <v>#REF!</v>
      </c>
      <c r="AT105" s="287" t="e">
        <f t="shared" si="116"/>
        <v>#REF!</v>
      </c>
      <c r="AU105" s="287" t="e">
        <f t="shared" si="116"/>
        <v>#REF!</v>
      </c>
      <c r="AV105" s="287" t="e">
        <f t="shared" si="116"/>
        <v>#REF!</v>
      </c>
      <c r="AW105" s="287" t="e">
        <f t="shared" si="116"/>
        <v>#REF!</v>
      </c>
      <c r="AX105" s="287" t="e">
        <f t="shared" si="116"/>
        <v>#REF!</v>
      </c>
      <c r="AY105" s="287" t="e">
        <f t="shared" si="116"/>
        <v>#REF!</v>
      </c>
      <c r="AZ105" s="287" t="e">
        <f t="shared" si="116"/>
        <v>#REF!</v>
      </c>
      <c r="BA105" s="287" t="e">
        <f t="shared" si="116"/>
        <v>#REF!</v>
      </c>
      <c r="BB105" s="287" t="e">
        <f t="shared" si="116"/>
        <v>#REF!</v>
      </c>
      <c r="BC105" s="287" t="e">
        <f t="shared" si="116"/>
        <v>#REF!</v>
      </c>
      <c r="BD105" s="287" t="e">
        <f t="shared" si="116"/>
        <v>#REF!</v>
      </c>
      <c r="BE105" s="287" t="e">
        <f t="shared" si="116"/>
        <v>#REF!</v>
      </c>
      <c r="BF105" s="287" t="e">
        <f t="shared" si="116"/>
        <v>#REF!</v>
      </c>
      <c r="BG105" s="287" t="e">
        <f t="shared" si="116"/>
        <v>#REF!</v>
      </c>
      <c r="BH105" s="287" t="e">
        <f t="shared" si="116"/>
        <v>#REF!</v>
      </c>
      <c r="BI105" s="287" t="e">
        <f t="shared" si="116"/>
        <v>#REF!</v>
      </c>
      <c r="BJ105" s="287" t="e">
        <f t="shared" si="116"/>
        <v>#REF!</v>
      </c>
      <c r="BK105" s="287" t="e">
        <f t="shared" si="116"/>
        <v>#REF!</v>
      </c>
      <c r="BL105" s="287" t="e">
        <f t="shared" si="116"/>
        <v>#REF!</v>
      </c>
      <c r="BM105" s="287" t="e">
        <f t="shared" si="116"/>
        <v>#REF!</v>
      </c>
      <c r="BN105" s="287" t="e">
        <f t="shared" si="116"/>
        <v>#REF!</v>
      </c>
      <c r="BO105" s="287" t="e">
        <f t="shared" si="116"/>
        <v>#REF!</v>
      </c>
    </row>
    <row r="106" spans="1:67" ht="20.25" customHeight="1">
      <c r="A106" s="409" t="s">
        <v>2921</v>
      </c>
      <c r="B106" s="410">
        <v>12</v>
      </c>
      <c r="C106" s="200">
        <v>0</v>
      </c>
      <c r="D106" s="361" t="str">
        <f t="shared" si="112"/>
        <v>R11</v>
      </c>
      <c r="E106" s="74">
        <f t="shared" si="113"/>
        <v>0</v>
      </c>
      <c r="F106" s="337">
        <f>IF(C106=0,,VLOOKUP(E106,#REF!,5, FALSE()))</f>
        <v>0</v>
      </c>
      <c r="G106" s="448"/>
      <c r="H106" s="448"/>
      <c r="I106" s="340"/>
      <c r="J106" s="340"/>
      <c r="K106" s="449"/>
      <c r="L106" s="449"/>
      <c r="M106" s="340"/>
      <c r="N106" s="340"/>
      <c r="O106" s="449"/>
      <c r="P106" s="449"/>
      <c r="Q106" s="340"/>
      <c r="R106" s="340"/>
      <c r="S106" s="449"/>
      <c r="T106" s="449"/>
      <c r="U106" s="340"/>
      <c r="V106" s="340"/>
      <c r="W106" s="480"/>
      <c r="X106" s="382">
        <f>IF(C106=0,,VLOOKUP(E106,#REF!,2, FALSE()))</f>
        <v>0</v>
      </c>
      <c r="Y106" s="384">
        <f>IF(C106=0,,VLOOKUP(E106,#REF!,3, FALSE()))</f>
        <v>0</v>
      </c>
      <c r="Z106" s="385"/>
      <c r="AA106" s="74"/>
      <c r="AB106" s="386">
        <f>IF(C106=0,,VLOOKUP(E106,#REF!,6, FALSE()))</f>
        <v>0</v>
      </c>
      <c r="AC106" s="74"/>
      <c r="AD106" s="74"/>
      <c r="AE106" s="74"/>
      <c r="AF106" s="74"/>
      <c r="AG106" s="74"/>
      <c r="AH106" s="74"/>
      <c r="AI106" s="74"/>
      <c r="AJ106" s="422"/>
      <c r="AK106" s="287" t="e">
        <f t="shared" ref="AK106:BO106" si="117">(MID(#REF!, 7,2))</f>
        <v>#REF!</v>
      </c>
      <c r="AL106" s="287" t="e">
        <f t="shared" si="117"/>
        <v>#REF!</v>
      </c>
      <c r="AM106" s="287" t="e">
        <f t="shared" si="117"/>
        <v>#REF!</v>
      </c>
      <c r="AN106" s="287" t="e">
        <f t="shared" si="117"/>
        <v>#REF!</v>
      </c>
      <c r="AO106" s="287" t="e">
        <f t="shared" si="117"/>
        <v>#REF!</v>
      </c>
      <c r="AP106" s="287" t="e">
        <f t="shared" si="117"/>
        <v>#REF!</v>
      </c>
      <c r="AQ106" s="287" t="e">
        <f t="shared" si="117"/>
        <v>#REF!</v>
      </c>
      <c r="AR106" s="287" t="e">
        <f t="shared" si="117"/>
        <v>#REF!</v>
      </c>
      <c r="AS106" s="287" t="e">
        <f t="shared" si="117"/>
        <v>#REF!</v>
      </c>
      <c r="AT106" s="287" t="e">
        <f t="shared" si="117"/>
        <v>#REF!</v>
      </c>
      <c r="AU106" s="287" t="e">
        <f t="shared" si="117"/>
        <v>#REF!</v>
      </c>
      <c r="AV106" s="287" t="e">
        <f t="shared" si="117"/>
        <v>#REF!</v>
      </c>
      <c r="AW106" s="287" t="e">
        <f t="shared" si="117"/>
        <v>#REF!</v>
      </c>
      <c r="AX106" s="287" t="e">
        <f t="shared" si="117"/>
        <v>#REF!</v>
      </c>
      <c r="AY106" s="287" t="e">
        <f t="shared" si="117"/>
        <v>#REF!</v>
      </c>
      <c r="AZ106" s="287" t="e">
        <f t="shared" si="117"/>
        <v>#REF!</v>
      </c>
      <c r="BA106" s="287" t="e">
        <f t="shared" si="117"/>
        <v>#REF!</v>
      </c>
      <c r="BB106" s="287" t="e">
        <f t="shared" si="117"/>
        <v>#REF!</v>
      </c>
      <c r="BC106" s="287" t="e">
        <f t="shared" si="117"/>
        <v>#REF!</v>
      </c>
      <c r="BD106" s="287" t="e">
        <f t="shared" si="117"/>
        <v>#REF!</v>
      </c>
      <c r="BE106" s="287" t="e">
        <f t="shared" si="117"/>
        <v>#REF!</v>
      </c>
      <c r="BF106" s="287" t="e">
        <f t="shared" si="117"/>
        <v>#REF!</v>
      </c>
      <c r="BG106" s="287" t="e">
        <f t="shared" si="117"/>
        <v>#REF!</v>
      </c>
      <c r="BH106" s="287" t="e">
        <f t="shared" si="117"/>
        <v>#REF!</v>
      </c>
      <c r="BI106" s="287" t="e">
        <f t="shared" si="117"/>
        <v>#REF!</v>
      </c>
      <c r="BJ106" s="287" t="e">
        <f t="shared" si="117"/>
        <v>#REF!</v>
      </c>
      <c r="BK106" s="287" t="e">
        <f t="shared" si="117"/>
        <v>#REF!</v>
      </c>
      <c r="BL106" s="287" t="e">
        <f t="shared" si="117"/>
        <v>#REF!</v>
      </c>
      <c r="BM106" s="287" t="e">
        <f t="shared" si="117"/>
        <v>#REF!</v>
      </c>
      <c r="BN106" s="287" t="e">
        <f t="shared" si="117"/>
        <v>#REF!</v>
      </c>
      <c r="BO106" s="287" t="e">
        <f t="shared" si="117"/>
        <v>#REF!</v>
      </c>
    </row>
    <row r="107" spans="1:67" ht="20.25" customHeight="1">
      <c r="A107" s="424" t="s">
        <v>2936</v>
      </c>
      <c r="B107" s="425" t="e">
        <f>AB103</f>
        <v>#REF!</v>
      </c>
      <c r="C107" s="200">
        <v>0</v>
      </c>
      <c r="D107" s="361" t="str">
        <f t="shared" si="112"/>
        <v>R11</v>
      </c>
      <c r="E107" s="74">
        <f t="shared" si="113"/>
        <v>0</v>
      </c>
      <c r="F107" s="337">
        <f>IF(C107=0,,VLOOKUP(E107,#REF!,5, FALSE()))</f>
        <v>0</v>
      </c>
      <c r="G107" s="448"/>
      <c r="H107" s="448"/>
      <c r="I107" s="340"/>
      <c r="J107" s="340"/>
      <c r="K107" s="449"/>
      <c r="L107" s="449"/>
      <c r="M107" s="340"/>
      <c r="N107" s="340"/>
      <c r="O107" s="449"/>
      <c r="P107" s="449"/>
      <c r="Q107" s="340"/>
      <c r="R107" s="340"/>
      <c r="S107" s="449"/>
      <c r="T107" s="449"/>
      <c r="U107" s="340"/>
      <c r="V107" s="340"/>
      <c r="W107" s="480"/>
      <c r="X107" s="382">
        <f>IF(C107=0,,VLOOKUP(E107,#REF!,2, FALSE()))</f>
        <v>0</v>
      </c>
      <c r="Y107" s="384">
        <f>IF(C107=0,,VLOOKUP(E107,#REF!,3, FALSE()))</f>
        <v>0</v>
      </c>
      <c r="Z107" s="385"/>
      <c r="AA107" s="74"/>
      <c r="AB107" s="386">
        <f>IF(C107=0,,VLOOKUP(E107,#REF!,6, FALSE()))</f>
        <v>0</v>
      </c>
      <c r="AC107" s="74"/>
      <c r="AD107" s="74"/>
      <c r="AE107" s="74"/>
      <c r="AF107" s="74"/>
      <c r="AG107" s="74"/>
      <c r="AH107" s="74"/>
      <c r="AI107" s="74"/>
      <c r="AJ107" s="389"/>
      <c r="AK107" s="287" t="e">
        <f t="shared" ref="AK107:BO107" si="118">(MID(#REF!, 7,2))</f>
        <v>#REF!</v>
      </c>
      <c r="AL107" s="287" t="e">
        <f t="shared" si="118"/>
        <v>#REF!</v>
      </c>
      <c r="AM107" s="287" t="e">
        <f t="shared" si="118"/>
        <v>#REF!</v>
      </c>
      <c r="AN107" s="287" t="e">
        <f t="shared" si="118"/>
        <v>#REF!</v>
      </c>
      <c r="AO107" s="287" t="e">
        <f t="shared" si="118"/>
        <v>#REF!</v>
      </c>
      <c r="AP107" s="287" t="e">
        <f t="shared" si="118"/>
        <v>#REF!</v>
      </c>
      <c r="AQ107" s="287" t="e">
        <f t="shared" si="118"/>
        <v>#REF!</v>
      </c>
      <c r="AR107" s="287" t="e">
        <f t="shared" si="118"/>
        <v>#REF!</v>
      </c>
      <c r="AS107" s="287" t="e">
        <f t="shared" si="118"/>
        <v>#REF!</v>
      </c>
      <c r="AT107" s="287" t="e">
        <f t="shared" si="118"/>
        <v>#REF!</v>
      </c>
      <c r="AU107" s="287" t="e">
        <f t="shared" si="118"/>
        <v>#REF!</v>
      </c>
      <c r="AV107" s="287" t="e">
        <f t="shared" si="118"/>
        <v>#REF!</v>
      </c>
      <c r="AW107" s="287" t="e">
        <f t="shared" si="118"/>
        <v>#REF!</v>
      </c>
      <c r="AX107" s="287" t="e">
        <f t="shared" si="118"/>
        <v>#REF!</v>
      </c>
      <c r="AY107" s="287" t="e">
        <f t="shared" si="118"/>
        <v>#REF!</v>
      </c>
      <c r="AZ107" s="287" t="e">
        <f t="shared" si="118"/>
        <v>#REF!</v>
      </c>
      <c r="BA107" s="287" t="e">
        <f t="shared" si="118"/>
        <v>#REF!</v>
      </c>
      <c r="BB107" s="287" t="e">
        <f t="shared" si="118"/>
        <v>#REF!</v>
      </c>
      <c r="BC107" s="287" t="e">
        <f t="shared" si="118"/>
        <v>#REF!</v>
      </c>
      <c r="BD107" s="287" t="e">
        <f t="shared" si="118"/>
        <v>#REF!</v>
      </c>
      <c r="BE107" s="287" t="e">
        <f t="shared" si="118"/>
        <v>#REF!</v>
      </c>
      <c r="BF107" s="287" t="e">
        <f t="shared" si="118"/>
        <v>#REF!</v>
      </c>
      <c r="BG107" s="287" t="e">
        <f t="shared" si="118"/>
        <v>#REF!</v>
      </c>
      <c r="BH107" s="287" t="e">
        <f t="shared" si="118"/>
        <v>#REF!</v>
      </c>
      <c r="BI107" s="287" t="e">
        <f t="shared" si="118"/>
        <v>#REF!</v>
      </c>
      <c r="BJ107" s="287" t="e">
        <f t="shared" si="118"/>
        <v>#REF!</v>
      </c>
      <c r="BK107" s="287" t="e">
        <f t="shared" si="118"/>
        <v>#REF!</v>
      </c>
      <c r="BL107" s="287" t="e">
        <f t="shared" si="118"/>
        <v>#REF!</v>
      </c>
      <c r="BM107" s="287" t="e">
        <f t="shared" si="118"/>
        <v>#REF!</v>
      </c>
      <c r="BN107" s="287" t="e">
        <f t="shared" si="118"/>
        <v>#REF!</v>
      </c>
      <c r="BO107" s="287" t="e">
        <f t="shared" si="118"/>
        <v>#REF!</v>
      </c>
    </row>
    <row r="108" spans="1:67" ht="20.25" customHeight="1">
      <c r="A108" s="424" t="e">
        <f>Z103</f>
        <v>#REF!</v>
      </c>
      <c r="B108" s="425"/>
      <c r="C108" s="200">
        <v>0</v>
      </c>
      <c r="D108" s="361" t="str">
        <f t="shared" si="112"/>
        <v>R11</v>
      </c>
      <c r="E108" s="74">
        <f t="shared" si="113"/>
        <v>0</v>
      </c>
      <c r="F108" s="337">
        <f>IF(C108=0,,VLOOKUP(E108,#REF!,5, FALSE()))</f>
        <v>0</v>
      </c>
      <c r="G108" s="448"/>
      <c r="H108" s="448"/>
      <c r="I108" s="340"/>
      <c r="J108" s="340"/>
      <c r="K108" s="449"/>
      <c r="L108" s="449"/>
      <c r="M108" s="340"/>
      <c r="N108" s="340"/>
      <c r="O108" s="449"/>
      <c r="P108" s="449"/>
      <c r="Q108" s="340"/>
      <c r="R108" s="340"/>
      <c r="S108" s="449"/>
      <c r="T108" s="449"/>
      <c r="U108" s="340"/>
      <c r="V108" s="340"/>
      <c r="W108" s="480"/>
      <c r="X108" s="382">
        <f>IF(C108=0,,VLOOKUP(E108,#REF!,2, FALSE()))</f>
        <v>0</v>
      </c>
      <c r="Y108" s="384">
        <f>IF(C108=0,,VLOOKUP(E108,#REF!,3, FALSE()))</f>
        <v>0</v>
      </c>
      <c r="Z108" s="385"/>
      <c r="AA108" s="74"/>
      <c r="AB108" s="386">
        <f>IF(C108=0,,VLOOKUP(E108,#REF!,6, FALSE()))</f>
        <v>0</v>
      </c>
      <c r="AC108" s="74"/>
      <c r="AD108" s="74"/>
      <c r="AE108" s="74"/>
      <c r="AF108" s="74"/>
      <c r="AG108" s="74"/>
      <c r="AH108" s="74"/>
      <c r="AI108" s="74"/>
      <c r="AJ108" s="389"/>
      <c r="AK108" s="287" t="e">
        <f t="shared" ref="AK108:BO108" si="119">(MID(#REF!, 7,2))</f>
        <v>#REF!</v>
      </c>
      <c r="AL108" s="287" t="e">
        <f t="shared" si="119"/>
        <v>#REF!</v>
      </c>
      <c r="AM108" s="287" t="e">
        <f t="shared" si="119"/>
        <v>#REF!</v>
      </c>
      <c r="AN108" s="287" t="e">
        <f t="shared" si="119"/>
        <v>#REF!</v>
      </c>
      <c r="AO108" s="287" t="e">
        <f t="shared" si="119"/>
        <v>#REF!</v>
      </c>
      <c r="AP108" s="287" t="e">
        <f t="shared" si="119"/>
        <v>#REF!</v>
      </c>
      <c r="AQ108" s="287" t="e">
        <f t="shared" si="119"/>
        <v>#REF!</v>
      </c>
      <c r="AR108" s="287" t="e">
        <f t="shared" si="119"/>
        <v>#REF!</v>
      </c>
      <c r="AS108" s="287" t="e">
        <f t="shared" si="119"/>
        <v>#REF!</v>
      </c>
      <c r="AT108" s="287" t="e">
        <f t="shared" si="119"/>
        <v>#REF!</v>
      </c>
      <c r="AU108" s="287" t="e">
        <f t="shared" si="119"/>
        <v>#REF!</v>
      </c>
      <c r="AV108" s="287" t="e">
        <f t="shared" si="119"/>
        <v>#REF!</v>
      </c>
      <c r="AW108" s="287" t="e">
        <f t="shared" si="119"/>
        <v>#REF!</v>
      </c>
      <c r="AX108" s="287" t="e">
        <f t="shared" si="119"/>
        <v>#REF!</v>
      </c>
      <c r="AY108" s="287" t="e">
        <f t="shared" si="119"/>
        <v>#REF!</v>
      </c>
      <c r="AZ108" s="287" t="e">
        <f t="shared" si="119"/>
        <v>#REF!</v>
      </c>
      <c r="BA108" s="287" t="e">
        <f t="shared" si="119"/>
        <v>#REF!</v>
      </c>
      <c r="BB108" s="287" t="e">
        <f t="shared" si="119"/>
        <v>#REF!</v>
      </c>
      <c r="BC108" s="287" t="e">
        <f t="shared" si="119"/>
        <v>#REF!</v>
      </c>
      <c r="BD108" s="287" t="e">
        <f t="shared" si="119"/>
        <v>#REF!</v>
      </c>
      <c r="BE108" s="287" t="e">
        <f t="shared" si="119"/>
        <v>#REF!</v>
      </c>
      <c r="BF108" s="287" t="e">
        <f t="shared" si="119"/>
        <v>#REF!</v>
      </c>
      <c r="BG108" s="287" t="e">
        <f t="shared" si="119"/>
        <v>#REF!</v>
      </c>
      <c r="BH108" s="287" t="e">
        <f t="shared" si="119"/>
        <v>#REF!</v>
      </c>
      <c r="BI108" s="287" t="e">
        <f t="shared" si="119"/>
        <v>#REF!</v>
      </c>
      <c r="BJ108" s="287" t="e">
        <f t="shared" si="119"/>
        <v>#REF!</v>
      </c>
      <c r="BK108" s="287" t="e">
        <f t="shared" si="119"/>
        <v>#REF!</v>
      </c>
      <c r="BL108" s="287" t="e">
        <f t="shared" si="119"/>
        <v>#REF!</v>
      </c>
      <c r="BM108" s="287" t="e">
        <f t="shared" si="119"/>
        <v>#REF!</v>
      </c>
      <c r="BN108" s="287" t="e">
        <f t="shared" si="119"/>
        <v>#REF!</v>
      </c>
      <c r="BO108" s="287" t="e">
        <f t="shared" si="119"/>
        <v>#REF!</v>
      </c>
    </row>
    <row r="109" spans="1:67" ht="20.25" customHeight="1">
      <c r="A109" s="424" t="s">
        <v>2951</v>
      </c>
      <c r="B109" s="425" t="e">
        <f>SUM(AB103:AB111)</f>
        <v>#REF!</v>
      </c>
      <c r="C109" s="200">
        <v>0</v>
      </c>
      <c r="D109" s="361" t="str">
        <f t="shared" si="112"/>
        <v>R11</v>
      </c>
      <c r="E109" s="74">
        <f t="shared" si="113"/>
        <v>0</v>
      </c>
      <c r="F109" s="337">
        <f>IF(C109=0,,VLOOKUP(E109,#REF!,5, FALSE()))</f>
        <v>0</v>
      </c>
      <c r="G109" s="448"/>
      <c r="H109" s="448"/>
      <c r="I109" s="340"/>
      <c r="J109" s="340"/>
      <c r="K109" s="449"/>
      <c r="L109" s="449"/>
      <c r="M109" s="340"/>
      <c r="N109" s="340"/>
      <c r="O109" s="449"/>
      <c r="P109" s="449"/>
      <c r="Q109" s="340"/>
      <c r="R109" s="340"/>
      <c r="S109" s="449"/>
      <c r="T109" s="449"/>
      <c r="U109" s="340"/>
      <c r="V109" s="340"/>
      <c r="W109" s="480"/>
      <c r="X109" s="382">
        <f>IF(C109=0,,VLOOKUP(E109,#REF!,2, FALSE()))</f>
        <v>0</v>
      </c>
      <c r="Y109" s="384">
        <f>IF(C109=0,,VLOOKUP(E109,#REF!,3, FALSE()))</f>
        <v>0</v>
      </c>
      <c r="Z109" s="385"/>
      <c r="AA109" s="74"/>
      <c r="AB109" s="386">
        <f>IF(C109=0,,VLOOKUP(E109,#REF!,6, FALSE()))</f>
        <v>0</v>
      </c>
      <c r="AC109" s="74"/>
      <c r="AD109" s="74"/>
      <c r="AE109" s="74"/>
      <c r="AF109" s="74"/>
      <c r="AG109" s="74"/>
      <c r="AH109" s="74"/>
      <c r="AI109" s="74"/>
      <c r="AJ109" s="389"/>
      <c r="AK109" s="287" t="e">
        <f t="shared" ref="AK109:BO109" si="120">(MID(#REF!, 7,2))</f>
        <v>#REF!</v>
      </c>
      <c r="AL109" s="287" t="e">
        <f t="shared" si="120"/>
        <v>#REF!</v>
      </c>
      <c r="AM109" s="287" t="e">
        <f t="shared" si="120"/>
        <v>#REF!</v>
      </c>
      <c r="AN109" s="287" t="e">
        <f t="shared" si="120"/>
        <v>#REF!</v>
      </c>
      <c r="AO109" s="287" t="e">
        <f t="shared" si="120"/>
        <v>#REF!</v>
      </c>
      <c r="AP109" s="287" t="e">
        <f t="shared" si="120"/>
        <v>#REF!</v>
      </c>
      <c r="AQ109" s="287" t="e">
        <f t="shared" si="120"/>
        <v>#REF!</v>
      </c>
      <c r="AR109" s="287" t="e">
        <f t="shared" si="120"/>
        <v>#REF!</v>
      </c>
      <c r="AS109" s="287" t="e">
        <f t="shared" si="120"/>
        <v>#REF!</v>
      </c>
      <c r="AT109" s="287" t="e">
        <f t="shared" si="120"/>
        <v>#REF!</v>
      </c>
      <c r="AU109" s="287" t="e">
        <f t="shared" si="120"/>
        <v>#REF!</v>
      </c>
      <c r="AV109" s="287" t="e">
        <f t="shared" si="120"/>
        <v>#REF!</v>
      </c>
      <c r="AW109" s="287" t="e">
        <f t="shared" si="120"/>
        <v>#REF!</v>
      </c>
      <c r="AX109" s="287" t="e">
        <f t="shared" si="120"/>
        <v>#REF!</v>
      </c>
      <c r="AY109" s="287" t="e">
        <f t="shared" si="120"/>
        <v>#REF!</v>
      </c>
      <c r="AZ109" s="287" t="e">
        <f t="shared" si="120"/>
        <v>#REF!</v>
      </c>
      <c r="BA109" s="287" t="e">
        <f t="shared" si="120"/>
        <v>#REF!</v>
      </c>
      <c r="BB109" s="287" t="e">
        <f t="shared" si="120"/>
        <v>#REF!</v>
      </c>
      <c r="BC109" s="287" t="e">
        <f t="shared" si="120"/>
        <v>#REF!</v>
      </c>
      <c r="BD109" s="287" t="e">
        <f t="shared" si="120"/>
        <v>#REF!</v>
      </c>
      <c r="BE109" s="287" t="e">
        <f t="shared" si="120"/>
        <v>#REF!</v>
      </c>
      <c r="BF109" s="287" t="e">
        <f t="shared" si="120"/>
        <v>#REF!</v>
      </c>
      <c r="BG109" s="287" t="e">
        <f t="shared" si="120"/>
        <v>#REF!</v>
      </c>
      <c r="BH109" s="287" t="e">
        <f t="shared" si="120"/>
        <v>#REF!</v>
      </c>
      <c r="BI109" s="287" t="e">
        <f t="shared" si="120"/>
        <v>#REF!</v>
      </c>
      <c r="BJ109" s="287" t="e">
        <f t="shared" si="120"/>
        <v>#REF!</v>
      </c>
      <c r="BK109" s="287" t="e">
        <f t="shared" si="120"/>
        <v>#REF!</v>
      </c>
      <c r="BL109" s="287" t="e">
        <f t="shared" si="120"/>
        <v>#REF!</v>
      </c>
      <c r="BM109" s="287" t="e">
        <f t="shared" si="120"/>
        <v>#REF!</v>
      </c>
      <c r="BN109" s="287" t="e">
        <f t="shared" si="120"/>
        <v>#REF!</v>
      </c>
      <c r="BO109" s="287" t="e">
        <f t="shared" si="120"/>
        <v>#REF!</v>
      </c>
    </row>
    <row r="110" spans="1:67" ht="20.25" customHeight="1">
      <c r="A110" s="424" t="s">
        <v>2952</v>
      </c>
      <c r="B110" s="425">
        <f>SUM(AJ103:AJ111)</f>
        <v>0</v>
      </c>
      <c r="C110" s="200">
        <v>0</v>
      </c>
      <c r="D110" s="361" t="str">
        <f t="shared" si="112"/>
        <v>R11</v>
      </c>
      <c r="E110" s="74">
        <f t="shared" si="113"/>
        <v>0</v>
      </c>
      <c r="F110" s="337">
        <f>IF(C110=0,,VLOOKUP(E110,#REF!,5, FALSE()))</f>
        <v>0</v>
      </c>
      <c r="G110" s="448"/>
      <c r="H110" s="448"/>
      <c r="I110" s="340"/>
      <c r="J110" s="340"/>
      <c r="K110" s="449"/>
      <c r="L110" s="449"/>
      <c r="M110" s="340"/>
      <c r="N110" s="340"/>
      <c r="O110" s="449"/>
      <c r="P110" s="449"/>
      <c r="Q110" s="340"/>
      <c r="R110" s="340"/>
      <c r="S110" s="449"/>
      <c r="T110" s="449"/>
      <c r="U110" s="340"/>
      <c r="V110" s="340"/>
      <c r="W110" s="480"/>
      <c r="X110" s="382">
        <f>IF(C110=0,,VLOOKUP(E110,#REF!,2, FALSE()))</f>
        <v>0</v>
      </c>
      <c r="Y110" s="384">
        <f>IF(C110=0,,VLOOKUP(E110,#REF!,3, FALSE()))</f>
        <v>0</v>
      </c>
      <c r="Z110" s="385"/>
      <c r="AA110" s="74"/>
      <c r="AB110" s="386">
        <f>IF(C110=0,,VLOOKUP(E110,#REF!,6, FALSE()))</f>
        <v>0</v>
      </c>
      <c r="AC110" s="74"/>
      <c r="AD110" s="74"/>
      <c r="AE110" s="74"/>
      <c r="AF110" s="74"/>
      <c r="AG110" s="74"/>
      <c r="AH110" s="74"/>
      <c r="AI110" s="74"/>
      <c r="AJ110" s="389"/>
      <c r="AK110" s="287" t="e">
        <f t="shared" ref="AK110:BO110" si="121">(MID(#REF!, 7,2))</f>
        <v>#REF!</v>
      </c>
      <c r="AL110" s="287" t="e">
        <f t="shared" si="121"/>
        <v>#REF!</v>
      </c>
      <c r="AM110" s="287" t="e">
        <f t="shared" si="121"/>
        <v>#REF!</v>
      </c>
      <c r="AN110" s="287" t="e">
        <f t="shared" si="121"/>
        <v>#REF!</v>
      </c>
      <c r="AO110" s="287" t="e">
        <f t="shared" si="121"/>
        <v>#REF!</v>
      </c>
      <c r="AP110" s="287" t="e">
        <f t="shared" si="121"/>
        <v>#REF!</v>
      </c>
      <c r="AQ110" s="287" t="e">
        <f t="shared" si="121"/>
        <v>#REF!</v>
      </c>
      <c r="AR110" s="287" t="e">
        <f t="shared" si="121"/>
        <v>#REF!</v>
      </c>
      <c r="AS110" s="287" t="e">
        <f t="shared" si="121"/>
        <v>#REF!</v>
      </c>
      <c r="AT110" s="287" t="e">
        <f t="shared" si="121"/>
        <v>#REF!</v>
      </c>
      <c r="AU110" s="287" t="e">
        <f t="shared" si="121"/>
        <v>#REF!</v>
      </c>
      <c r="AV110" s="287" t="e">
        <f t="shared" si="121"/>
        <v>#REF!</v>
      </c>
      <c r="AW110" s="287" t="e">
        <f t="shared" si="121"/>
        <v>#REF!</v>
      </c>
      <c r="AX110" s="287" t="e">
        <f t="shared" si="121"/>
        <v>#REF!</v>
      </c>
      <c r="AY110" s="287" t="e">
        <f t="shared" si="121"/>
        <v>#REF!</v>
      </c>
      <c r="AZ110" s="287" t="e">
        <f t="shared" si="121"/>
        <v>#REF!</v>
      </c>
      <c r="BA110" s="287" t="e">
        <f t="shared" si="121"/>
        <v>#REF!</v>
      </c>
      <c r="BB110" s="287" t="e">
        <f t="shared" si="121"/>
        <v>#REF!</v>
      </c>
      <c r="BC110" s="287" t="e">
        <f t="shared" si="121"/>
        <v>#REF!</v>
      </c>
      <c r="BD110" s="287" t="e">
        <f t="shared" si="121"/>
        <v>#REF!</v>
      </c>
      <c r="BE110" s="287" t="e">
        <f t="shared" si="121"/>
        <v>#REF!</v>
      </c>
      <c r="BF110" s="287" t="e">
        <f t="shared" si="121"/>
        <v>#REF!</v>
      </c>
      <c r="BG110" s="287" t="e">
        <f t="shared" si="121"/>
        <v>#REF!</v>
      </c>
      <c r="BH110" s="287" t="e">
        <f t="shared" si="121"/>
        <v>#REF!</v>
      </c>
      <c r="BI110" s="287" t="e">
        <f t="shared" si="121"/>
        <v>#REF!</v>
      </c>
      <c r="BJ110" s="287" t="e">
        <f t="shared" si="121"/>
        <v>#REF!</v>
      </c>
      <c r="BK110" s="287" t="e">
        <f t="shared" si="121"/>
        <v>#REF!</v>
      </c>
      <c r="BL110" s="287" t="e">
        <f t="shared" si="121"/>
        <v>#REF!</v>
      </c>
      <c r="BM110" s="287" t="e">
        <f t="shared" si="121"/>
        <v>#REF!</v>
      </c>
      <c r="BN110" s="287" t="e">
        <f t="shared" si="121"/>
        <v>#REF!</v>
      </c>
      <c r="BO110" s="287" t="e">
        <f t="shared" si="121"/>
        <v>#REF!</v>
      </c>
    </row>
    <row r="111" spans="1:67" ht="20.25" customHeight="1">
      <c r="A111" s="443" t="s">
        <v>2953</v>
      </c>
      <c r="B111" s="444" t="e">
        <f>B108-B109-B110</f>
        <v>#REF!</v>
      </c>
      <c r="C111" s="200">
        <v>0</v>
      </c>
      <c r="D111" s="361" t="str">
        <f t="shared" si="112"/>
        <v>R11</v>
      </c>
      <c r="E111" s="74">
        <f t="shared" si="113"/>
        <v>0</v>
      </c>
      <c r="F111" s="337">
        <f>IF(C111=0,,VLOOKUP(E111,#REF!,5, FALSE()))</f>
        <v>0</v>
      </c>
      <c r="G111" s="448"/>
      <c r="H111" s="448"/>
      <c r="I111" s="340"/>
      <c r="J111" s="340"/>
      <c r="K111" s="449"/>
      <c r="L111" s="449"/>
      <c r="M111" s="340"/>
      <c r="N111" s="340"/>
      <c r="O111" s="449"/>
      <c r="P111" s="449"/>
      <c r="Q111" s="340"/>
      <c r="R111" s="340"/>
      <c r="S111" s="449"/>
      <c r="T111" s="449"/>
      <c r="U111" s="340"/>
      <c r="V111" s="340"/>
      <c r="W111" s="481"/>
      <c r="X111" s="382">
        <f>IF(C111=0,,VLOOKUP(E111,#REF!,2, FALSE()))</f>
        <v>0</v>
      </c>
      <c r="Y111" s="384">
        <f>IF(C111=0,,VLOOKUP(E111,#REF!,3, FALSE()))</f>
        <v>0</v>
      </c>
      <c r="Z111" s="385"/>
      <c r="AA111" s="74"/>
      <c r="AB111" s="386">
        <f>IF(C111=0,,VLOOKUP(E111,#REF!,6, FALSE()))</f>
        <v>0</v>
      </c>
      <c r="AC111" s="74"/>
      <c r="AD111" s="74"/>
      <c r="AE111" s="74"/>
      <c r="AF111" s="74"/>
      <c r="AG111" s="74"/>
      <c r="AH111" s="74"/>
      <c r="AI111" s="74"/>
      <c r="AJ111" s="389"/>
      <c r="AK111" s="287" t="e">
        <f t="shared" ref="AK111:BO111" si="122">(MID(#REF!, 7,2))</f>
        <v>#REF!</v>
      </c>
      <c r="AL111" s="287" t="e">
        <f t="shared" si="122"/>
        <v>#REF!</v>
      </c>
      <c r="AM111" s="287" t="e">
        <f t="shared" si="122"/>
        <v>#REF!</v>
      </c>
      <c r="AN111" s="287" t="e">
        <f t="shared" si="122"/>
        <v>#REF!</v>
      </c>
      <c r="AO111" s="287" t="e">
        <f t="shared" si="122"/>
        <v>#REF!</v>
      </c>
      <c r="AP111" s="287" t="e">
        <f t="shared" si="122"/>
        <v>#REF!</v>
      </c>
      <c r="AQ111" s="287" t="e">
        <f t="shared" si="122"/>
        <v>#REF!</v>
      </c>
      <c r="AR111" s="287" t="e">
        <f t="shared" si="122"/>
        <v>#REF!</v>
      </c>
      <c r="AS111" s="287" t="e">
        <f t="shared" si="122"/>
        <v>#REF!</v>
      </c>
      <c r="AT111" s="287" t="e">
        <f t="shared" si="122"/>
        <v>#REF!</v>
      </c>
      <c r="AU111" s="287" t="e">
        <f t="shared" si="122"/>
        <v>#REF!</v>
      </c>
      <c r="AV111" s="287" t="e">
        <f t="shared" si="122"/>
        <v>#REF!</v>
      </c>
      <c r="AW111" s="287" t="e">
        <f t="shared" si="122"/>
        <v>#REF!</v>
      </c>
      <c r="AX111" s="287" t="e">
        <f t="shared" si="122"/>
        <v>#REF!</v>
      </c>
      <c r="AY111" s="287" t="e">
        <f t="shared" si="122"/>
        <v>#REF!</v>
      </c>
      <c r="AZ111" s="287" t="e">
        <f t="shared" si="122"/>
        <v>#REF!</v>
      </c>
      <c r="BA111" s="287" t="e">
        <f t="shared" si="122"/>
        <v>#REF!</v>
      </c>
      <c r="BB111" s="287" t="e">
        <f t="shared" si="122"/>
        <v>#REF!</v>
      </c>
      <c r="BC111" s="287" t="e">
        <f t="shared" si="122"/>
        <v>#REF!</v>
      </c>
      <c r="BD111" s="287" t="e">
        <f t="shared" si="122"/>
        <v>#REF!</v>
      </c>
      <c r="BE111" s="287" t="e">
        <f t="shared" si="122"/>
        <v>#REF!</v>
      </c>
      <c r="BF111" s="287" t="e">
        <f t="shared" si="122"/>
        <v>#REF!</v>
      </c>
      <c r="BG111" s="287" t="e">
        <f t="shared" si="122"/>
        <v>#REF!</v>
      </c>
      <c r="BH111" s="287" t="e">
        <f t="shared" si="122"/>
        <v>#REF!</v>
      </c>
      <c r="BI111" s="287" t="e">
        <f t="shared" si="122"/>
        <v>#REF!</v>
      </c>
      <c r="BJ111" s="287" t="e">
        <f t="shared" si="122"/>
        <v>#REF!</v>
      </c>
      <c r="BK111" s="287" t="e">
        <f t="shared" si="122"/>
        <v>#REF!</v>
      </c>
      <c r="BL111" s="287" t="e">
        <f t="shared" si="122"/>
        <v>#REF!</v>
      </c>
      <c r="BM111" s="287" t="e">
        <f t="shared" si="122"/>
        <v>#REF!</v>
      </c>
      <c r="BN111" s="287" t="e">
        <f t="shared" si="122"/>
        <v>#REF!</v>
      </c>
      <c r="BO111" s="287" t="e">
        <f t="shared" si="122"/>
        <v>#REF!</v>
      </c>
    </row>
    <row r="112" spans="1:67" ht="3.75" customHeight="1">
      <c r="G112" s="446"/>
      <c r="H112" s="446"/>
      <c r="I112" s="285"/>
      <c r="J112" s="285"/>
      <c r="K112" s="346"/>
      <c r="L112" s="346"/>
      <c r="M112" s="285"/>
      <c r="N112" s="285"/>
      <c r="O112" s="346"/>
      <c r="P112" s="346"/>
      <c r="Q112" s="285"/>
      <c r="R112" s="285"/>
      <c r="S112" s="346"/>
      <c r="T112" s="346"/>
      <c r="U112" s="285"/>
      <c r="V112" s="285"/>
      <c r="Y112" s="447"/>
      <c r="AK112" s="346"/>
      <c r="AL112" s="346"/>
      <c r="AM112" s="346"/>
      <c r="AN112" s="346"/>
      <c r="AO112" s="346"/>
      <c r="AP112" s="346"/>
      <c r="AQ112" s="346"/>
      <c r="AR112" s="346"/>
      <c r="AS112" s="346"/>
      <c r="AT112" s="346"/>
      <c r="AU112" s="346"/>
      <c r="AV112" s="346"/>
      <c r="AW112" s="346"/>
      <c r="AX112" s="346"/>
      <c r="AY112" s="346"/>
      <c r="AZ112" s="346"/>
      <c r="BA112" s="346"/>
      <c r="BB112" s="346"/>
      <c r="BC112" s="346"/>
      <c r="BD112" s="346"/>
      <c r="BE112" s="346"/>
      <c r="BF112" s="346"/>
      <c r="BG112" s="346"/>
      <c r="BH112" s="346"/>
      <c r="BI112" s="346"/>
      <c r="BJ112" s="346"/>
      <c r="BK112" s="346"/>
      <c r="BL112" s="346"/>
      <c r="BM112" s="346"/>
      <c r="BN112" s="346"/>
      <c r="BO112" s="346"/>
    </row>
    <row r="113" spans="1:67" ht="20.25" customHeight="1">
      <c r="A113" s="200" t="s">
        <v>2459</v>
      </c>
      <c r="B113" s="217" t="s">
        <v>340</v>
      </c>
      <c r="C113" s="200">
        <v>1</v>
      </c>
      <c r="D113" s="361" t="str">
        <f t="shared" ref="D113:D121" si="123">$B$113</f>
        <v>R12</v>
      </c>
      <c r="E113" s="74" t="str">
        <f t="shared" ref="E113:E121" si="124">IF(C113=0,,CONCATENATE(D113,"/",C113))</f>
        <v>R12/1</v>
      </c>
      <c r="F113" s="337" t="e">
        <f>IF(C113=0,,VLOOKUP(E113,#REF!,5, FALSE()))</f>
        <v>#REF!</v>
      </c>
      <c r="G113" s="448"/>
      <c r="H113" s="448"/>
      <c r="I113" s="340"/>
      <c r="J113" s="340"/>
      <c r="K113" s="449"/>
      <c r="L113" s="449"/>
      <c r="M113" s="340"/>
      <c r="N113" s="340"/>
      <c r="O113" s="449"/>
      <c r="P113" s="449"/>
      <c r="Q113" s="340"/>
      <c r="R113" s="340"/>
      <c r="S113" s="449"/>
      <c r="T113" s="449"/>
      <c r="U113" s="340"/>
      <c r="V113" s="340"/>
      <c r="W113" s="563" t="e">
        <f>CONCATENATE(F113," + ",F114," + ",F115," + ",F116," + ",F117," + ",F118," + ",F119," + ",F120," + ",F121)</f>
        <v>#REF!</v>
      </c>
      <c r="X113" s="382" t="e">
        <f>IF(C113=0,,VLOOKUP(E113,#REF!,2, FALSE()))</f>
        <v>#REF!</v>
      </c>
      <c r="Y113" s="384" t="e">
        <f>IF(C113=0,,VLOOKUP(E113,#REF!,3, FALSE()))</f>
        <v>#REF!</v>
      </c>
      <c r="Z113" s="385" t="e">
        <f>VLOOKUP(Y113,#REF!,6, FALSE())</f>
        <v>#REF!</v>
      </c>
      <c r="AA113" s="74" t="str">
        <f>$B115</f>
        <v>Cesta PQ</v>
      </c>
      <c r="AB113" s="386" t="e">
        <f>IF(C113=0,,VLOOKUP(E113,#REF!,6, FALSE()))</f>
        <v>#REF!</v>
      </c>
      <c r="AC113" s="74"/>
      <c r="AD113" s="74">
        <f>$B116</f>
        <v>12</v>
      </c>
      <c r="AE113" s="74"/>
      <c r="AF113" s="450" t="e">
        <f>$B117</f>
        <v>#REF!</v>
      </c>
      <c r="AG113" s="74"/>
      <c r="AH113" s="450" t="e">
        <f>$B119</f>
        <v>#REF!</v>
      </c>
      <c r="AI113" s="450" t="e">
        <f>B119+B120</f>
        <v>#REF!</v>
      </c>
      <c r="AJ113" s="389"/>
      <c r="AK113" s="287" t="e">
        <f t="shared" ref="AK113:BO113" si="125">(MID(#REF!, 7,2))</f>
        <v>#REF!</v>
      </c>
      <c r="AL113" s="287" t="e">
        <f t="shared" si="125"/>
        <v>#REF!</v>
      </c>
      <c r="AM113" s="287" t="e">
        <f t="shared" si="125"/>
        <v>#REF!</v>
      </c>
      <c r="AN113" s="287" t="e">
        <f t="shared" si="125"/>
        <v>#REF!</v>
      </c>
      <c r="AO113" s="287" t="e">
        <f t="shared" si="125"/>
        <v>#REF!</v>
      </c>
      <c r="AP113" s="287" t="e">
        <f t="shared" si="125"/>
        <v>#REF!</v>
      </c>
      <c r="AQ113" s="287" t="e">
        <f t="shared" si="125"/>
        <v>#REF!</v>
      </c>
      <c r="AR113" s="287" t="e">
        <f t="shared" si="125"/>
        <v>#REF!</v>
      </c>
      <c r="AS113" s="287" t="e">
        <f t="shared" si="125"/>
        <v>#REF!</v>
      </c>
      <c r="AT113" s="287" t="e">
        <f t="shared" si="125"/>
        <v>#REF!</v>
      </c>
      <c r="AU113" s="287" t="e">
        <f t="shared" si="125"/>
        <v>#REF!</v>
      </c>
      <c r="AV113" s="287" t="e">
        <f t="shared" si="125"/>
        <v>#REF!</v>
      </c>
      <c r="AW113" s="287" t="e">
        <f t="shared" si="125"/>
        <v>#REF!</v>
      </c>
      <c r="AX113" s="287" t="e">
        <f t="shared" si="125"/>
        <v>#REF!</v>
      </c>
      <c r="AY113" s="287" t="e">
        <f t="shared" si="125"/>
        <v>#REF!</v>
      </c>
      <c r="AZ113" s="287" t="e">
        <f t="shared" si="125"/>
        <v>#REF!</v>
      </c>
      <c r="BA113" s="287" t="e">
        <f t="shared" si="125"/>
        <v>#REF!</v>
      </c>
      <c r="BB113" s="287" t="e">
        <f t="shared" si="125"/>
        <v>#REF!</v>
      </c>
      <c r="BC113" s="287" t="e">
        <f t="shared" si="125"/>
        <v>#REF!</v>
      </c>
      <c r="BD113" s="287" t="e">
        <f t="shared" si="125"/>
        <v>#REF!</v>
      </c>
      <c r="BE113" s="287" t="e">
        <f t="shared" si="125"/>
        <v>#REF!</v>
      </c>
      <c r="BF113" s="287" t="e">
        <f t="shared" si="125"/>
        <v>#REF!</v>
      </c>
      <c r="BG113" s="287" t="e">
        <f t="shared" si="125"/>
        <v>#REF!</v>
      </c>
      <c r="BH113" s="287" t="e">
        <f t="shared" si="125"/>
        <v>#REF!</v>
      </c>
      <c r="BI113" s="287" t="e">
        <f t="shared" si="125"/>
        <v>#REF!</v>
      </c>
      <c r="BJ113" s="287" t="e">
        <f t="shared" si="125"/>
        <v>#REF!</v>
      </c>
      <c r="BK113" s="287" t="e">
        <f t="shared" si="125"/>
        <v>#REF!</v>
      </c>
      <c r="BL113" s="287" t="e">
        <f t="shared" si="125"/>
        <v>#REF!</v>
      </c>
      <c r="BM113" s="287" t="e">
        <f t="shared" si="125"/>
        <v>#REF!</v>
      </c>
      <c r="BN113" s="287" t="e">
        <f t="shared" si="125"/>
        <v>#REF!</v>
      </c>
      <c r="BO113" s="287" t="e">
        <f t="shared" si="125"/>
        <v>#REF!</v>
      </c>
    </row>
    <row r="114" spans="1:67" ht="20.25" customHeight="1">
      <c r="A114" s="562" t="e">
        <f>Y113</f>
        <v>#REF!</v>
      </c>
      <c r="B114" s="499"/>
      <c r="C114" s="200">
        <v>2</v>
      </c>
      <c r="D114" s="361" t="str">
        <f t="shared" si="123"/>
        <v>R12</v>
      </c>
      <c r="E114" s="74" t="str">
        <f t="shared" si="124"/>
        <v>R12/2</v>
      </c>
      <c r="F114" s="337" t="e">
        <f>IF(C114=0,,VLOOKUP(E114,#REF!,5, FALSE()))</f>
        <v>#REF!</v>
      </c>
      <c r="G114" s="448"/>
      <c r="H114" s="448"/>
      <c r="I114" s="340"/>
      <c r="J114" s="340"/>
      <c r="K114" s="449"/>
      <c r="L114" s="449"/>
      <c r="M114" s="340"/>
      <c r="N114" s="340"/>
      <c r="O114" s="449"/>
      <c r="P114" s="449"/>
      <c r="Q114" s="340"/>
      <c r="R114" s="340"/>
      <c r="S114" s="449"/>
      <c r="T114" s="449"/>
      <c r="U114" s="340"/>
      <c r="V114" s="340"/>
      <c r="W114" s="480"/>
      <c r="X114" s="382" t="e">
        <f>IF(C114=0,,VLOOKUP(E114,#REF!,2, FALSE()))</f>
        <v>#REF!</v>
      </c>
      <c r="Y114" s="384" t="e">
        <f>IF(C114=0,,VLOOKUP(E114,#REF!,3, FALSE()))</f>
        <v>#REF!</v>
      </c>
      <c r="Z114" s="385"/>
      <c r="AA114" s="74"/>
      <c r="AB114" s="386" t="e">
        <f>IF(C114=0,,VLOOKUP(E114,#REF!,6, FALSE()))</f>
        <v>#REF!</v>
      </c>
      <c r="AC114" s="74"/>
      <c r="AD114" s="74"/>
      <c r="AE114" s="74"/>
      <c r="AF114" s="74"/>
      <c r="AG114" s="74"/>
      <c r="AH114" s="74"/>
      <c r="AI114" s="74"/>
      <c r="AJ114" s="389"/>
      <c r="AK114" s="287" t="e">
        <f t="shared" ref="AK114:BO114" si="126">(MID(#REF!, 7,2))</f>
        <v>#REF!</v>
      </c>
      <c r="AL114" s="287" t="e">
        <f t="shared" si="126"/>
        <v>#REF!</v>
      </c>
      <c r="AM114" s="287" t="e">
        <f t="shared" si="126"/>
        <v>#REF!</v>
      </c>
      <c r="AN114" s="287" t="e">
        <f t="shared" si="126"/>
        <v>#REF!</v>
      </c>
      <c r="AO114" s="287" t="e">
        <f t="shared" si="126"/>
        <v>#REF!</v>
      </c>
      <c r="AP114" s="287" t="e">
        <f t="shared" si="126"/>
        <v>#REF!</v>
      </c>
      <c r="AQ114" s="287" t="e">
        <f t="shared" si="126"/>
        <v>#REF!</v>
      </c>
      <c r="AR114" s="287" t="e">
        <f t="shared" si="126"/>
        <v>#REF!</v>
      </c>
      <c r="AS114" s="287" t="e">
        <f t="shared" si="126"/>
        <v>#REF!</v>
      </c>
      <c r="AT114" s="287" t="e">
        <f t="shared" si="126"/>
        <v>#REF!</v>
      </c>
      <c r="AU114" s="287" t="e">
        <f t="shared" si="126"/>
        <v>#REF!</v>
      </c>
      <c r="AV114" s="287" t="e">
        <f t="shared" si="126"/>
        <v>#REF!</v>
      </c>
      <c r="AW114" s="287" t="e">
        <f t="shared" si="126"/>
        <v>#REF!</v>
      </c>
      <c r="AX114" s="287" t="e">
        <f t="shared" si="126"/>
        <v>#REF!</v>
      </c>
      <c r="AY114" s="287" t="e">
        <f t="shared" si="126"/>
        <v>#REF!</v>
      </c>
      <c r="AZ114" s="287" t="e">
        <f t="shared" si="126"/>
        <v>#REF!</v>
      </c>
      <c r="BA114" s="287" t="e">
        <f t="shared" si="126"/>
        <v>#REF!</v>
      </c>
      <c r="BB114" s="287" t="e">
        <f t="shared" si="126"/>
        <v>#REF!</v>
      </c>
      <c r="BC114" s="287" t="e">
        <f t="shared" si="126"/>
        <v>#REF!</v>
      </c>
      <c r="BD114" s="287" t="e">
        <f t="shared" si="126"/>
        <v>#REF!</v>
      </c>
      <c r="BE114" s="287" t="e">
        <f t="shared" si="126"/>
        <v>#REF!</v>
      </c>
      <c r="BF114" s="287" t="e">
        <f t="shared" si="126"/>
        <v>#REF!</v>
      </c>
      <c r="BG114" s="287" t="e">
        <f t="shared" si="126"/>
        <v>#REF!</v>
      </c>
      <c r="BH114" s="287" t="e">
        <f t="shared" si="126"/>
        <v>#REF!</v>
      </c>
      <c r="BI114" s="287" t="e">
        <f t="shared" si="126"/>
        <v>#REF!</v>
      </c>
      <c r="BJ114" s="287" t="e">
        <f t="shared" si="126"/>
        <v>#REF!</v>
      </c>
      <c r="BK114" s="287" t="e">
        <f t="shared" si="126"/>
        <v>#REF!</v>
      </c>
      <c r="BL114" s="287" t="e">
        <f t="shared" si="126"/>
        <v>#REF!</v>
      </c>
      <c r="BM114" s="287" t="e">
        <f t="shared" si="126"/>
        <v>#REF!</v>
      </c>
      <c r="BN114" s="287" t="e">
        <f t="shared" si="126"/>
        <v>#REF!</v>
      </c>
      <c r="BO114" s="287" t="e">
        <f t="shared" si="126"/>
        <v>#REF!</v>
      </c>
    </row>
    <row r="115" spans="1:67" ht="20.25" customHeight="1">
      <c r="A115" s="402" t="s">
        <v>2896</v>
      </c>
      <c r="B115" s="19" t="s">
        <v>1417</v>
      </c>
      <c r="C115" s="200">
        <v>0</v>
      </c>
      <c r="D115" s="361" t="str">
        <f t="shared" si="123"/>
        <v>R12</v>
      </c>
      <c r="E115" s="74">
        <f t="shared" si="124"/>
        <v>0</v>
      </c>
      <c r="F115" s="337">
        <f>IF(C115=0,,VLOOKUP(E115,#REF!,5, FALSE()))</f>
        <v>0</v>
      </c>
      <c r="G115" s="448"/>
      <c r="H115" s="448"/>
      <c r="I115" s="340"/>
      <c r="J115" s="340"/>
      <c r="K115" s="449"/>
      <c r="L115" s="449"/>
      <c r="M115" s="340"/>
      <c r="N115" s="340"/>
      <c r="O115" s="449"/>
      <c r="P115" s="449"/>
      <c r="Q115" s="340"/>
      <c r="R115" s="340"/>
      <c r="S115" s="449"/>
      <c r="T115" s="449"/>
      <c r="U115" s="340"/>
      <c r="V115" s="340"/>
      <c r="W115" s="480"/>
      <c r="X115" s="382">
        <f>IF(C115=0,,VLOOKUP(E115,#REF!,2, FALSE()))</f>
        <v>0</v>
      </c>
      <c r="Y115" s="384">
        <f>IF(C115=0,,VLOOKUP(E115,#REF!,3, FALSE()))</f>
        <v>0</v>
      </c>
      <c r="Z115" s="385"/>
      <c r="AA115" s="74"/>
      <c r="AB115" s="386">
        <f>IF(C115=0,,VLOOKUP(E115,#REF!,6, FALSE()))</f>
        <v>0</v>
      </c>
      <c r="AC115" s="74"/>
      <c r="AD115" s="74"/>
      <c r="AE115" s="74"/>
      <c r="AF115" s="74"/>
      <c r="AG115" s="74"/>
      <c r="AH115" s="74"/>
      <c r="AI115" s="74"/>
      <c r="AJ115" s="389"/>
      <c r="AK115" s="287" t="e">
        <f t="shared" ref="AK115:BO115" si="127">(MID(#REF!, 7,2))</f>
        <v>#REF!</v>
      </c>
      <c r="AL115" s="287" t="e">
        <f t="shared" si="127"/>
        <v>#REF!</v>
      </c>
      <c r="AM115" s="287" t="e">
        <f t="shared" si="127"/>
        <v>#REF!</v>
      </c>
      <c r="AN115" s="287" t="e">
        <f t="shared" si="127"/>
        <v>#REF!</v>
      </c>
      <c r="AO115" s="287" t="e">
        <f t="shared" si="127"/>
        <v>#REF!</v>
      </c>
      <c r="AP115" s="287" t="e">
        <f t="shared" si="127"/>
        <v>#REF!</v>
      </c>
      <c r="AQ115" s="287" t="e">
        <f t="shared" si="127"/>
        <v>#REF!</v>
      </c>
      <c r="AR115" s="287" t="e">
        <f t="shared" si="127"/>
        <v>#REF!</v>
      </c>
      <c r="AS115" s="287" t="e">
        <f t="shared" si="127"/>
        <v>#REF!</v>
      </c>
      <c r="AT115" s="287" t="e">
        <f t="shared" si="127"/>
        <v>#REF!</v>
      </c>
      <c r="AU115" s="287" t="e">
        <f t="shared" si="127"/>
        <v>#REF!</v>
      </c>
      <c r="AV115" s="287" t="e">
        <f t="shared" si="127"/>
        <v>#REF!</v>
      </c>
      <c r="AW115" s="287" t="e">
        <f t="shared" si="127"/>
        <v>#REF!</v>
      </c>
      <c r="AX115" s="287" t="e">
        <f t="shared" si="127"/>
        <v>#REF!</v>
      </c>
      <c r="AY115" s="287" t="e">
        <f t="shared" si="127"/>
        <v>#REF!</v>
      </c>
      <c r="AZ115" s="287" t="e">
        <f t="shared" si="127"/>
        <v>#REF!</v>
      </c>
      <c r="BA115" s="287" t="e">
        <f t="shared" si="127"/>
        <v>#REF!</v>
      </c>
      <c r="BB115" s="287" t="e">
        <f t="shared" si="127"/>
        <v>#REF!</v>
      </c>
      <c r="BC115" s="287" t="e">
        <f t="shared" si="127"/>
        <v>#REF!</v>
      </c>
      <c r="BD115" s="287" t="e">
        <f t="shared" si="127"/>
        <v>#REF!</v>
      </c>
      <c r="BE115" s="287" t="e">
        <f t="shared" si="127"/>
        <v>#REF!</v>
      </c>
      <c r="BF115" s="287" t="e">
        <f t="shared" si="127"/>
        <v>#REF!</v>
      </c>
      <c r="BG115" s="287" t="e">
        <f t="shared" si="127"/>
        <v>#REF!</v>
      </c>
      <c r="BH115" s="287" t="e">
        <f t="shared" si="127"/>
        <v>#REF!</v>
      </c>
      <c r="BI115" s="287" t="e">
        <f t="shared" si="127"/>
        <v>#REF!</v>
      </c>
      <c r="BJ115" s="287" t="e">
        <f t="shared" si="127"/>
        <v>#REF!</v>
      </c>
      <c r="BK115" s="287" t="e">
        <f t="shared" si="127"/>
        <v>#REF!</v>
      </c>
      <c r="BL115" s="287" t="e">
        <f t="shared" si="127"/>
        <v>#REF!</v>
      </c>
      <c r="BM115" s="287" t="e">
        <f t="shared" si="127"/>
        <v>#REF!</v>
      </c>
      <c r="BN115" s="287" t="e">
        <f t="shared" si="127"/>
        <v>#REF!</v>
      </c>
      <c r="BO115" s="287" t="e">
        <f t="shared" si="127"/>
        <v>#REF!</v>
      </c>
    </row>
    <row r="116" spans="1:67" ht="20.25" customHeight="1">
      <c r="A116" s="409" t="s">
        <v>2921</v>
      </c>
      <c r="B116" s="410">
        <v>12</v>
      </c>
      <c r="C116" s="200">
        <v>0</v>
      </c>
      <c r="D116" s="361" t="str">
        <f t="shared" si="123"/>
        <v>R12</v>
      </c>
      <c r="E116" s="74">
        <f t="shared" si="124"/>
        <v>0</v>
      </c>
      <c r="F116" s="337">
        <f>IF(C116=0,,VLOOKUP(E116,#REF!,5, FALSE()))</f>
        <v>0</v>
      </c>
      <c r="G116" s="448"/>
      <c r="H116" s="448"/>
      <c r="I116" s="340"/>
      <c r="J116" s="340"/>
      <c r="K116" s="449"/>
      <c r="L116" s="449"/>
      <c r="M116" s="340"/>
      <c r="N116" s="340"/>
      <c r="O116" s="449"/>
      <c r="P116" s="449"/>
      <c r="Q116" s="340"/>
      <c r="R116" s="340"/>
      <c r="S116" s="449"/>
      <c r="T116" s="449"/>
      <c r="U116" s="340"/>
      <c r="V116" s="340"/>
      <c r="W116" s="480"/>
      <c r="X116" s="382">
        <f>IF(C116=0,,VLOOKUP(E116,#REF!,2, FALSE()))</f>
        <v>0</v>
      </c>
      <c r="Y116" s="384">
        <f>IF(C116=0,,VLOOKUP(E116,#REF!,3, FALSE()))</f>
        <v>0</v>
      </c>
      <c r="Z116" s="385"/>
      <c r="AA116" s="74"/>
      <c r="AB116" s="386">
        <f>IF(C116=0,,VLOOKUP(E116,#REF!,6, FALSE()))</f>
        <v>0</v>
      </c>
      <c r="AC116" s="74"/>
      <c r="AD116" s="74"/>
      <c r="AE116" s="74"/>
      <c r="AF116" s="74"/>
      <c r="AG116" s="74"/>
      <c r="AH116" s="74"/>
      <c r="AI116" s="74"/>
      <c r="AJ116" s="422"/>
      <c r="AK116" s="287" t="e">
        <f t="shared" ref="AK116:BO116" si="128">(MID(#REF!, 7,2))</f>
        <v>#REF!</v>
      </c>
      <c r="AL116" s="287" t="e">
        <f t="shared" si="128"/>
        <v>#REF!</v>
      </c>
      <c r="AM116" s="287" t="e">
        <f t="shared" si="128"/>
        <v>#REF!</v>
      </c>
      <c r="AN116" s="287" t="e">
        <f t="shared" si="128"/>
        <v>#REF!</v>
      </c>
      <c r="AO116" s="287" t="e">
        <f t="shared" si="128"/>
        <v>#REF!</v>
      </c>
      <c r="AP116" s="287" t="e">
        <f t="shared" si="128"/>
        <v>#REF!</v>
      </c>
      <c r="AQ116" s="287" t="e">
        <f t="shared" si="128"/>
        <v>#REF!</v>
      </c>
      <c r="AR116" s="287" t="e">
        <f t="shared" si="128"/>
        <v>#REF!</v>
      </c>
      <c r="AS116" s="287" t="e">
        <f t="shared" si="128"/>
        <v>#REF!</v>
      </c>
      <c r="AT116" s="287" t="e">
        <f t="shared" si="128"/>
        <v>#REF!</v>
      </c>
      <c r="AU116" s="287" t="e">
        <f t="shared" si="128"/>
        <v>#REF!</v>
      </c>
      <c r="AV116" s="287" t="e">
        <f t="shared" si="128"/>
        <v>#REF!</v>
      </c>
      <c r="AW116" s="287" t="e">
        <f t="shared" si="128"/>
        <v>#REF!</v>
      </c>
      <c r="AX116" s="287" t="e">
        <f t="shared" si="128"/>
        <v>#REF!</v>
      </c>
      <c r="AY116" s="287" t="e">
        <f t="shared" si="128"/>
        <v>#REF!</v>
      </c>
      <c r="AZ116" s="287" t="e">
        <f t="shared" si="128"/>
        <v>#REF!</v>
      </c>
      <c r="BA116" s="287" t="e">
        <f t="shared" si="128"/>
        <v>#REF!</v>
      </c>
      <c r="BB116" s="287" t="e">
        <f t="shared" si="128"/>
        <v>#REF!</v>
      </c>
      <c r="BC116" s="287" t="e">
        <f t="shared" si="128"/>
        <v>#REF!</v>
      </c>
      <c r="BD116" s="287" t="e">
        <f t="shared" si="128"/>
        <v>#REF!</v>
      </c>
      <c r="BE116" s="287" t="e">
        <f t="shared" si="128"/>
        <v>#REF!</v>
      </c>
      <c r="BF116" s="287" t="e">
        <f t="shared" si="128"/>
        <v>#REF!</v>
      </c>
      <c r="BG116" s="287" t="e">
        <f t="shared" si="128"/>
        <v>#REF!</v>
      </c>
      <c r="BH116" s="287" t="e">
        <f t="shared" si="128"/>
        <v>#REF!</v>
      </c>
      <c r="BI116" s="287" t="e">
        <f t="shared" si="128"/>
        <v>#REF!</v>
      </c>
      <c r="BJ116" s="287" t="e">
        <f t="shared" si="128"/>
        <v>#REF!</v>
      </c>
      <c r="BK116" s="287" t="e">
        <f t="shared" si="128"/>
        <v>#REF!</v>
      </c>
      <c r="BL116" s="287" t="e">
        <f t="shared" si="128"/>
        <v>#REF!</v>
      </c>
      <c r="BM116" s="287" t="e">
        <f t="shared" si="128"/>
        <v>#REF!</v>
      </c>
      <c r="BN116" s="287" t="e">
        <f t="shared" si="128"/>
        <v>#REF!</v>
      </c>
      <c r="BO116" s="287" t="e">
        <f t="shared" si="128"/>
        <v>#REF!</v>
      </c>
    </row>
    <row r="117" spans="1:67" ht="20.25" customHeight="1">
      <c r="A117" s="424" t="s">
        <v>2936</v>
      </c>
      <c r="B117" s="425" t="e">
        <f>AB113+AB114</f>
        <v>#REF!</v>
      </c>
      <c r="C117" s="200">
        <v>0</v>
      </c>
      <c r="D117" s="361" t="str">
        <f t="shared" si="123"/>
        <v>R12</v>
      </c>
      <c r="E117" s="74">
        <f t="shared" si="124"/>
        <v>0</v>
      </c>
      <c r="F117" s="337">
        <f>IF(C117=0,,VLOOKUP(E117,#REF!,5, FALSE()))</f>
        <v>0</v>
      </c>
      <c r="G117" s="448"/>
      <c r="H117" s="448"/>
      <c r="I117" s="340"/>
      <c r="J117" s="340"/>
      <c r="K117" s="449"/>
      <c r="L117" s="449"/>
      <c r="M117" s="340"/>
      <c r="N117" s="340"/>
      <c r="O117" s="449"/>
      <c r="P117" s="449"/>
      <c r="Q117" s="340"/>
      <c r="R117" s="340"/>
      <c r="S117" s="449"/>
      <c r="T117" s="449"/>
      <c r="U117" s="340"/>
      <c r="V117" s="340"/>
      <c r="W117" s="480"/>
      <c r="X117" s="382">
        <f>IF(C117=0,,VLOOKUP(E117,#REF!,2, FALSE()))</f>
        <v>0</v>
      </c>
      <c r="Y117" s="384">
        <f>IF(C117=0,,VLOOKUP(E117,#REF!,3, FALSE()))</f>
        <v>0</v>
      </c>
      <c r="Z117" s="385"/>
      <c r="AA117" s="74"/>
      <c r="AB117" s="386">
        <f>IF(C117=0,,VLOOKUP(E117,#REF!,6, FALSE()))</f>
        <v>0</v>
      </c>
      <c r="AC117" s="74"/>
      <c r="AD117" s="74"/>
      <c r="AE117" s="74"/>
      <c r="AF117" s="74"/>
      <c r="AG117" s="74"/>
      <c r="AH117" s="74"/>
      <c r="AI117" s="74"/>
      <c r="AJ117" s="389"/>
      <c r="AK117" s="287" t="e">
        <f t="shared" ref="AK117:BO117" si="129">(MID(#REF!, 7,2))</f>
        <v>#REF!</v>
      </c>
      <c r="AL117" s="287" t="e">
        <f t="shared" si="129"/>
        <v>#REF!</v>
      </c>
      <c r="AM117" s="287" t="e">
        <f t="shared" si="129"/>
        <v>#REF!</v>
      </c>
      <c r="AN117" s="287" t="e">
        <f t="shared" si="129"/>
        <v>#REF!</v>
      </c>
      <c r="AO117" s="287" t="e">
        <f t="shared" si="129"/>
        <v>#REF!</v>
      </c>
      <c r="AP117" s="287" t="e">
        <f t="shared" si="129"/>
        <v>#REF!</v>
      </c>
      <c r="AQ117" s="287" t="e">
        <f t="shared" si="129"/>
        <v>#REF!</v>
      </c>
      <c r="AR117" s="287" t="e">
        <f t="shared" si="129"/>
        <v>#REF!</v>
      </c>
      <c r="AS117" s="287" t="e">
        <f t="shared" si="129"/>
        <v>#REF!</v>
      </c>
      <c r="AT117" s="287" t="e">
        <f t="shared" si="129"/>
        <v>#REF!</v>
      </c>
      <c r="AU117" s="287" t="e">
        <f t="shared" si="129"/>
        <v>#REF!</v>
      </c>
      <c r="AV117" s="287" t="e">
        <f t="shared" si="129"/>
        <v>#REF!</v>
      </c>
      <c r="AW117" s="287" t="e">
        <f t="shared" si="129"/>
        <v>#REF!</v>
      </c>
      <c r="AX117" s="287" t="e">
        <f t="shared" si="129"/>
        <v>#REF!</v>
      </c>
      <c r="AY117" s="287" t="e">
        <f t="shared" si="129"/>
        <v>#REF!</v>
      </c>
      <c r="AZ117" s="287" t="e">
        <f t="shared" si="129"/>
        <v>#REF!</v>
      </c>
      <c r="BA117" s="287" t="e">
        <f t="shared" si="129"/>
        <v>#REF!</v>
      </c>
      <c r="BB117" s="287" t="e">
        <f t="shared" si="129"/>
        <v>#REF!</v>
      </c>
      <c r="BC117" s="287" t="e">
        <f t="shared" si="129"/>
        <v>#REF!</v>
      </c>
      <c r="BD117" s="287" t="e">
        <f t="shared" si="129"/>
        <v>#REF!</v>
      </c>
      <c r="BE117" s="287" t="e">
        <f t="shared" si="129"/>
        <v>#REF!</v>
      </c>
      <c r="BF117" s="287" t="e">
        <f t="shared" si="129"/>
        <v>#REF!</v>
      </c>
      <c r="BG117" s="287" t="e">
        <f t="shared" si="129"/>
        <v>#REF!</v>
      </c>
      <c r="BH117" s="287" t="e">
        <f t="shared" si="129"/>
        <v>#REF!</v>
      </c>
      <c r="BI117" s="287" t="e">
        <f t="shared" si="129"/>
        <v>#REF!</v>
      </c>
      <c r="BJ117" s="287" t="e">
        <f t="shared" si="129"/>
        <v>#REF!</v>
      </c>
      <c r="BK117" s="287" t="e">
        <f t="shared" si="129"/>
        <v>#REF!</v>
      </c>
      <c r="BL117" s="287" t="e">
        <f t="shared" si="129"/>
        <v>#REF!</v>
      </c>
      <c r="BM117" s="287" t="e">
        <f t="shared" si="129"/>
        <v>#REF!</v>
      </c>
      <c r="BN117" s="287" t="e">
        <f t="shared" si="129"/>
        <v>#REF!</v>
      </c>
      <c r="BO117" s="287" t="e">
        <f t="shared" si="129"/>
        <v>#REF!</v>
      </c>
    </row>
    <row r="118" spans="1:67" ht="20.25" customHeight="1">
      <c r="A118" s="424" t="e">
        <f>Z113</f>
        <v>#REF!</v>
      </c>
      <c r="B118" s="425"/>
      <c r="C118" s="200">
        <v>0</v>
      </c>
      <c r="D118" s="361" t="str">
        <f t="shared" si="123"/>
        <v>R12</v>
      </c>
      <c r="E118" s="74">
        <f t="shared" si="124"/>
        <v>0</v>
      </c>
      <c r="F118" s="337">
        <f>IF(C118=0,,VLOOKUP(E118,#REF!,5, FALSE()))</f>
        <v>0</v>
      </c>
      <c r="G118" s="448"/>
      <c r="H118" s="448"/>
      <c r="I118" s="340"/>
      <c r="J118" s="340"/>
      <c r="K118" s="449"/>
      <c r="L118" s="449"/>
      <c r="M118" s="340"/>
      <c r="N118" s="340"/>
      <c r="O118" s="449"/>
      <c r="P118" s="449"/>
      <c r="Q118" s="340"/>
      <c r="R118" s="340"/>
      <c r="S118" s="449"/>
      <c r="T118" s="449"/>
      <c r="U118" s="340"/>
      <c r="V118" s="340"/>
      <c r="W118" s="480"/>
      <c r="X118" s="382">
        <f>IF(C118=0,,VLOOKUP(E118,#REF!,2, FALSE()))</f>
        <v>0</v>
      </c>
      <c r="Y118" s="384">
        <f>IF(C118=0,,VLOOKUP(E118,#REF!,3, FALSE()))</f>
        <v>0</v>
      </c>
      <c r="Z118" s="385"/>
      <c r="AA118" s="74"/>
      <c r="AB118" s="386">
        <f>IF(C118=0,,VLOOKUP(E118,#REF!,6, FALSE()))</f>
        <v>0</v>
      </c>
      <c r="AC118" s="74"/>
      <c r="AD118" s="74"/>
      <c r="AE118" s="74"/>
      <c r="AF118" s="74"/>
      <c r="AG118" s="74"/>
      <c r="AH118" s="74"/>
      <c r="AI118" s="74"/>
      <c r="AJ118" s="389"/>
      <c r="AK118" s="287" t="e">
        <f t="shared" ref="AK118:BO118" si="130">(MID(#REF!, 7,2))</f>
        <v>#REF!</v>
      </c>
      <c r="AL118" s="287" t="e">
        <f t="shared" si="130"/>
        <v>#REF!</v>
      </c>
      <c r="AM118" s="287" t="e">
        <f t="shared" si="130"/>
        <v>#REF!</v>
      </c>
      <c r="AN118" s="287" t="e">
        <f t="shared" si="130"/>
        <v>#REF!</v>
      </c>
      <c r="AO118" s="287" t="e">
        <f t="shared" si="130"/>
        <v>#REF!</v>
      </c>
      <c r="AP118" s="287" t="e">
        <f t="shared" si="130"/>
        <v>#REF!</v>
      </c>
      <c r="AQ118" s="287" t="e">
        <f t="shared" si="130"/>
        <v>#REF!</v>
      </c>
      <c r="AR118" s="287" t="e">
        <f t="shared" si="130"/>
        <v>#REF!</v>
      </c>
      <c r="AS118" s="287" t="e">
        <f t="shared" si="130"/>
        <v>#REF!</v>
      </c>
      <c r="AT118" s="287" t="e">
        <f t="shared" si="130"/>
        <v>#REF!</v>
      </c>
      <c r="AU118" s="287" t="e">
        <f t="shared" si="130"/>
        <v>#REF!</v>
      </c>
      <c r="AV118" s="287" t="e">
        <f t="shared" si="130"/>
        <v>#REF!</v>
      </c>
      <c r="AW118" s="287" t="e">
        <f t="shared" si="130"/>
        <v>#REF!</v>
      </c>
      <c r="AX118" s="287" t="e">
        <f t="shared" si="130"/>
        <v>#REF!</v>
      </c>
      <c r="AY118" s="287" t="e">
        <f t="shared" si="130"/>
        <v>#REF!</v>
      </c>
      <c r="AZ118" s="287" t="e">
        <f t="shared" si="130"/>
        <v>#REF!</v>
      </c>
      <c r="BA118" s="287" t="e">
        <f t="shared" si="130"/>
        <v>#REF!</v>
      </c>
      <c r="BB118" s="287" t="e">
        <f t="shared" si="130"/>
        <v>#REF!</v>
      </c>
      <c r="BC118" s="287" t="e">
        <f t="shared" si="130"/>
        <v>#REF!</v>
      </c>
      <c r="BD118" s="287" t="e">
        <f t="shared" si="130"/>
        <v>#REF!</v>
      </c>
      <c r="BE118" s="287" t="e">
        <f t="shared" si="130"/>
        <v>#REF!</v>
      </c>
      <c r="BF118" s="287" t="e">
        <f t="shared" si="130"/>
        <v>#REF!</v>
      </c>
      <c r="BG118" s="287" t="e">
        <f t="shared" si="130"/>
        <v>#REF!</v>
      </c>
      <c r="BH118" s="287" t="e">
        <f t="shared" si="130"/>
        <v>#REF!</v>
      </c>
      <c r="BI118" s="287" t="e">
        <f t="shared" si="130"/>
        <v>#REF!</v>
      </c>
      <c r="BJ118" s="287" t="e">
        <f t="shared" si="130"/>
        <v>#REF!</v>
      </c>
      <c r="BK118" s="287" t="e">
        <f t="shared" si="130"/>
        <v>#REF!</v>
      </c>
      <c r="BL118" s="287" t="e">
        <f t="shared" si="130"/>
        <v>#REF!</v>
      </c>
      <c r="BM118" s="287" t="e">
        <f t="shared" si="130"/>
        <v>#REF!</v>
      </c>
      <c r="BN118" s="287" t="e">
        <f t="shared" si="130"/>
        <v>#REF!</v>
      </c>
      <c r="BO118" s="287" t="e">
        <f t="shared" si="130"/>
        <v>#REF!</v>
      </c>
    </row>
    <row r="119" spans="1:67" ht="20.25" customHeight="1">
      <c r="A119" s="424" t="s">
        <v>2951</v>
      </c>
      <c r="B119" s="425" t="e">
        <f>SUM(AB113:AB121)</f>
        <v>#REF!</v>
      </c>
      <c r="C119" s="200">
        <v>0</v>
      </c>
      <c r="D119" s="361" t="str">
        <f t="shared" si="123"/>
        <v>R12</v>
      </c>
      <c r="E119" s="74">
        <f t="shared" si="124"/>
        <v>0</v>
      </c>
      <c r="F119" s="337">
        <f>IF(C119=0,,VLOOKUP(E119,#REF!,5, FALSE()))</f>
        <v>0</v>
      </c>
      <c r="G119" s="448"/>
      <c r="H119" s="448"/>
      <c r="I119" s="340"/>
      <c r="J119" s="340"/>
      <c r="K119" s="449"/>
      <c r="L119" s="449"/>
      <c r="M119" s="340"/>
      <c r="N119" s="340"/>
      <c r="O119" s="449"/>
      <c r="P119" s="449"/>
      <c r="Q119" s="340"/>
      <c r="R119" s="340"/>
      <c r="S119" s="449"/>
      <c r="T119" s="449"/>
      <c r="U119" s="340"/>
      <c r="V119" s="340"/>
      <c r="W119" s="480"/>
      <c r="X119" s="382">
        <f>IF(C119=0,,VLOOKUP(E119,#REF!,2, FALSE()))</f>
        <v>0</v>
      </c>
      <c r="Y119" s="384">
        <f>IF(C119=0,,VLOOKUP(E119,#REF!,3, FALSE()))</f>
        <v>0</v>
      </c>
      <c r="Z119" s="385"/>
      <c r="AA119" s="74"/>
      <c r="AB119" s="386">
        <f>IF(C119=0,,VLOOKUP(E119,#REF!,6, FALSE()))</f>
        <v>0</v>
      </c>
      <c r="AC119" s="74"/>
      <c r="AD119" s="74"/>
      <c r="AE119" s="74"/>
      <c r="AF119" s="74"/>
      <c r="AG119" s="74"/>
      <c r="AH119" s="74"/>
      <c r="AI119" s="74"/>
      <c r="AJ119" s="389"/>
      <c r="AK119" s="287" t="e">
        <f t="shared" ref="AK119:BO119" si="131">(MID(#REF!, 7,2))</f>
        <v>#REF!</v>
      </c>
      <c r="AL119" s="287" t="e">
        <f t="shared" si="131"/>
        <v>#REF!</v>
      </c>
      <c r="AM119" s="287" t="e">
        <f t="shared" si="131"/>
        <v>#REF!</v>
      </c>
      <c r="AN119" s="287" t="e">
        <f t="shared" si="131"/>
        <v>#REF!</v>
      </c>
      <c r="AO119" s="287" t="e">
        <f t="shared" si="131"/>
        <v>#REF!</v>
      </c>
      <c r="AP119" s="287" t="e">
        <f t="shared" si="131"/>
        <v>#REF!</v>
      </c>
      <c r="AQ119" s="287" t="e">
        <f t="shared" si="131"/>
        <v>#REF!</v>
      </c>
      <c r="AR119" s="287" t="e">
        <f t="shared" si="131"/>
        <v>#REF!</v>
      </c>
      <c r="AS119" s="287" t="e">
        <f t="shared" si="131"/>
        <v>#REF!</v>
      </c>
      <c r="AT119" s="287" t="e">
        <f t="shared" si="131"/>
        <v>#REF!</v>
      </c>
      <c r="AU119" s="287" t="e">
        <f t="shared" si="131"/>
        <v>#REF!</v>
      </c>
      <c r="AV119" s="287" t="e">
        <f t="shared" si="131"/>
        <v>#REF!</v>
      </c>
      <c r="AW119" s="287" t="e">
        <f t="shared" si="131"/>
        <v>#REF!</v>
      </c>
      <c r="AX119" s="287" t="e">
        <f t="shared" si="131"/>
        <v>#REF!</v>
      </c>
      <c r="AY119" s="287" t="e">
        <f t="shared" si="131"/>
        <v>#REF!</v>
      </c>
      <c r="AZ119" s="287" t="e">
        <f t="shared" si="131"/>
        <v>#REF!</v>
      </c>
      <c r="BA119" s="287" t="e">
        <f t="shared" si="131"/>
        <v>#REF!</v>
      </c>
      <c r="BB119" s="287" t="e">
        <f t="shared" si="131"/>
        <v>#REF!</v>
      </c>
      <c r="BC119" s="287" t="e">
        <f t="shared" si="131"/>
        <v>#REF!</v>
      </c>
      <c r="BD119" s="287" t="e">
        <f t="shared" si="131"/>
        <v>#REF!</v>
      </c>
      <c r="BE119" s="287" t="e">
        <f t="shared" si="131"/>
        <v>#REF!</v>
      </c>
      <c r="BF119" s="287" t="e">
        <f t="shared" si="131"/>
        <v>#REF!</v>
      </c>
      <c r="BG119" s="287" t="e">
        <f t="shared" si="131"/>
        <v>#REF!</v>
      </c>
      <c r="BH119" s="287" t="e">
        <f t="shared" si="131"/>
        <v>#REF!</v>
      </c>
      <c r="BI119" s="287" t="e">
        <f t="shared" si="131"/>
        <v>#REF!</v>
      </c>
      <c r="BJ119" s="287" t="e">
        <f t="shared" si="131"/>
        <v>#REF!</v>
      </c>
      <c r="BK119" s="287" t="e">
        <f t="shared" si="131"/>
        <v>#REF!</v>
      </c>
      <c r="BL119" s="287" t="e">
        <f t="shared" si="131"/>
        <v>#REF!</v>
      </c>
      <c r="BM119" s="287" t="e">
        <f t="shared" si="131"/>
        <v>#REF!</v>
      </c>
      <c r="BN119" s="287" t="e">
        <f t="shared" si="131"/>
        <v>#REF!</v>
      </c>
      <c r="BO119" s="287" t="e">
        <f t="shared" si="131"/>
        <v>#REF!</v>
      </c>
    </row>
    <row r="120" spans="1:67" ht="20.25" customHeight="1">
      <c r="A120" s="424" t="s">
        <v>2952</v>
      </c>
      <c r="B120" s="425">
        <f>SUM(AJ113:AJ121)</f>
        <v>0</v>
      </c>
      <c r="C120" s="200">
        <v>0</v>
      </c>
      <c r="D120" s="361" t="str">
        <f t="shared" si="123"/>
        <v>R12</v>
      </c>
      <c r="E120" s="74">
        <f t="shared" si="124"/>
        <v>0</v>
      </c>
      <c r="F120" s="337">
        <f>IF(C120=0,,VLOOKUP(E120,#REF!,5, FALSE()))</f>
        <v>0</v>
      </c>
      <c r="G120" s="448"/>
      <c r="H120" s="448"/>
      <c r="I120" s="340"/>
      <c r="J120" s="340"/>
      <c r="K120" s="449"/>
      <c r="L120" s="449"/>
      <c r="M120" s="340"/>
      <c r="N120" s="340"/>
      <c r="O120" s="449"/>
      <c r="P120" s="449"/>
      <c r="Q120" s="340"/>
      <c r="R120" s="340"/>
      <c r="S120" s="449"/>
      <c r="T120" s="449"/>
      <c r="U120" s="340"/>
      <c r="V120" s="340"/>
      <c r="W120" s="480"/>
      <c r="X120" s="382">
        <f>IF(C120=0,,VLOOKUP(E120,#REF!,2, FALSE()))</f>
        <v>0</v>
      </c>
      <c r="Y120" s="384">
        <f>IF(C120=0,,VLOOKUP(E120,#REF!,3, FALSE()))</f>
        <v>0</v>
      </c>
      <c r="Z120" s="385"/>
      <c r="AA120" s="74"/>
      <c r="AB120" s="386">
        <f>IF(C120=0,,VLOOKUP(E120,#REF!,6, FALSE()))</f>
        <v>0</v>
      </c>
      <c r="AC120" s="74"/>
      <c r="AD120" s="74"/>
      <c r="AE120" s="74"/>
      <c r="AF120" s="74"/>
      <c r="AG120" s="74"/>
      <c r="AH120" s="74"/>
      <c r="AI120" s="74"/>
      <c r="AJ120" s="389"/>
      <c r="AK120" s="287" t="e">
        <f t="shared" ref="AK120:BO120" si="132">(MID(#REF!, 7,2))</f>
        <v>#REF!</v>
      </c>
      <c r="AL120" s="287" t="e">
        <f t="shared" si="132"/>
        <v>#REF!</v>
      </c>
      <c r="AM120" s="287" t="e">
        <f t="shared" si="132"/>
        <v>#REF!</v>
      </c>
      <c r="AN120" s="287" t="e">
        <f t="shared" si="132"/>
        <v>#REF!</v>
      </c>
      <c r="AO120" s="287" t="e">
        <f t="shared" si="132"/>
        <v>#REF!</v>
      </c>
      <c r="AP120" s="287" t="e">
        <f t="shared" si="132"/>
        <v>#REF!</v>
      </c>
      <c r="AQ120" s="287" t="e">
        <f t="shared" si="132"/>
        <v>#REF!</v>
      </c>
      <c r="AR120" s="287" t="e">
        <f t="shared" si="132"/>
        <v>#REF!</v>
      </c>
      <c r="AS120" s="287" t="e">
        <f t="shared" si="132"/>
        <v>#REF!</v>
      </c>
      <c r="AT120" s="287" t="e">
        <f t="shared" si="132"/>
        <v>#REF!</v>
      </c>
      <c r="AU120" s="287" t="e">
        <f t="shared" si="132"/>
        <v>#REF!</v>
      </c>
      <c r="AV120" s="287" t="e">
        <f t="shared" si="132"/>
        <v>#REF!</v>
      </c>
      <c r="AW120" s="287" t="e">
        <f t="shared" si="132"/>
        <v>#REF!</v>
      </c>
      <c r="AX120" s="287" t="e">
        <f t="shared" si="132"/>
        <v>#REF!</v>
      </c>
      <c r="AY120" s="287" t="e">
        <f t="shared" si="132"/>
        <v>#REF!</v>
      </c>
      <c r="AZ120" s="287" t="e">
        <f t="shared" si="132"/>
        <v>#REF!</v>
      </c>
      <c r="BA120" s="287" t="e">
        <f t="shared" si="132"/>
        <v>#REF!</v>
      </c>
      <c r="BB120" s="287" t="e">
        <f t="shared" si="132"/>
        <v>#REF!</v>
      </c>
      <c r="BC120" s="287" t="e">
        <f t="shared" si="132"/>
        <v>#REF!</v>
      </c>
      <c r="BD120" s="287" t="e">
        <f t="shared" si="132"/>
        <v>#REF!</v>
      </c>
      <c r="BE120" s="287" t="e">
        <f t="shared" si="132"/>
        <v>#REF!</v>
      </c>
      <c r="BF120" s="287" t="e">
        <f t="shared" si="132"/>
        <v>#REF!</v>
      </c>
      <c r="BG120" s="287" t="e">
        <f t="shared" si="132"/>
        <v>#REF!</v>
      </c>
      <c r="BH120" s="287" t="e">
        <f t="shared" si="132"/>
        <v>#REF!</v>
      </c>
      <c r="BI120" s="287" t="e">
        <f t="shared" si="132"/>
        <v>#REF!</v>
      </c>
      <c r="BJ120" s="287" t="e">
        <f t="shared" si="132"/>
        <v>#REF!</v>
      </c>
      <c r="BK120" s="287" t="e">
        <f t="shared" si="132"/>
        <v>#REF!</v>
      </c>
      <c r="BL120" s="287" t="e">
        <f t="shared" si="132"/>
        <v>#REF!</v>
      </c>
      <c r="BM120" s="287" t="e">
        <f t="shared" si="132"/>
        <v>#REF!</v>
      </c>
      <c r="BN120" s="287" t="e">
        <f t="shared" si="132"/>
        <v>#REF!</v>
      </c>
      <c r="BO120" s="287" t="e">
        <f t="shared" si="132"/>
        <v>#REF!</v>
      </c>
    </row>
    <row r="121" spans="1:67" ht="20.25" customHeight="1">
      <c r="A121" s="443" t="s">
        <v>2953</v>
      </c>
      <c r="B121" s="444" t="e">
        <f>B118-B119-B120</f>
        <v>#REF!</v>
      </c>
      <c r="C121" s="200">
        <v>0</v>
      </c>
      <c r="D121" s="361" t="str">
        <f t="shared" si="123"/>
        <v>R12</v>
      </c>
      <c r="E121" s="74">
        <f t="shared" si="124"/>
        <v>0</v>
      </c>
      <c r="F121" s="337">
        <f>IF(C121=0,,VLOOKUP(E121,#REF!,5, FALSE()))</f>
        <v>0</v>
      </c>
      <c r="G121" s="448"/>
      <c r="H121" s="448"/>
      <c r="I121" s="340"/>
      <c r="J121" s="340"/>
      <c r="K121" s="449"/>
      <c r="L121" s="449"/>
      <c r="M121" s="340"/>
      <c r="N121" s="340"/>
      <c r="O121" s="449"/>
      <c r="P121" s="449"/>
      <c r="Q121" s="340"/>
      <c r="R121" s="340"/>
      <c r="S121" s="449"/>
      <c r="T121" s="449"/>
      <c r="U121" s="340"/>
      <c r="V121" s="340"/>
      <c r="W121" s="481"/>
      <c r="X121" s="382">
        <f>IF(C121=0,,VLOOKUP(E121,#REF!,2, FALSE()))</f>
        <v>0</v>
      </c>
      <c r="Y121" s="384">
        <f>IF(C121=0,,VLOOKUP(E121,#REF!,3, FALSE()))</f>
        <v>0</v>
      </c>
      <c r="Z121" s="385"/>
      <c r="AA121" s="74"/>
      <c r="AB121" s="386">
        <f>IF(C121=0,,VLOOKUP(E121,#REF!,6, FALSE()))</f>
        <v>0</v>
      </c>
      <c r="AC121" s="74"/>
      <c r="AD121" s="74"/>
      <c r="AE121" s="74"/>
      <c r="AF121" s="74"/>
      <c r="AG121" s="74"/>
      <c r="AH121" s="74"/>
      <c r="AI121" s="74"/>
      <c r="AJ121" s="389"/>
      <c r="AK121" s="287" t="e">
        <f t="shared" ref="AK121:BO121" si="133">(MID(#REF!, 7,2))</f>
        <v>#REF!</v>
      </c>
      <c r="AL121" s="287" t="e">
        <f t="shared" si="133"/>
        <v>#REF!</v>
      </c>
      <c r="AM121" s="287" t="e">
        <f t="shared" si="133"/>
        <v>#REF!</v>
      </c>
      <c r="AN121" s="287" t="e">
        <f t="shared" si="133"/>
        <v>#REF!</v>
      </c>
      <c r="AO121" s="287" t="e">
        <f t="shared" si="133"/>
        <v>#REF!</v>
      </c>
      <c r="AP121" s="287" t="e">
        <f t="shared" si="133"/>
        <v>#REF!</v>
      </c>
      <c r="AQ121" s="287" t="e">
        <f t="shared" si="133"/>
        <v>#REF!</v>
      </c>
      <c r="AR121" s="287" t="e">
        <f t="shared" si="133"/>
        <v>#REF!</v>
      </c>
      <c r="AS121" s="287" t="e">
        <f t="shared" si="133"/>
        <v>#REF!</v>
      </c>
      <c r="AT121" s="287" t="e">
        <f t="shared" si="133"/>
        <v>#REF!</v>
      </c>
      <c r="AU121" s="287" t="e">
        <f t="shared" si="133"/>
        <v>#REF!</v>
      </c>
      <c r="AV121" s="287" t="e">
        <f t="shared" si="133"/>
        <v>#REF!</v>
      </c>
      <c r="AW121" s="287" t="e">
        <f t="shared" si="133"/>
        <v>#REF!</v>
      </c>
      <c r="AX121" s="287" t="e">
        <f t="shared" si="133"/>
        <v>#REF!</v>
      </c>
      <c r="AY121" s="287" t="e">
        <f t="shared" si="133"/>
        <v>#REF!</v>
      </c>
      <c r="AZ121" s="287" t="e">
        <f t="shared" si="133"/>
        <v>#REF!</v>
      </c>
      <c r="BA121" s="287" t="e">
        <f t="shared" si="133"/>
        <v>#REF!</v>
      </c>
      <c r="BB121" s="287" t="e">
        <f t="shared" si="133"/>
        <v>#REF!</v>
      </c>
      <c r="BC121" s="287" t="e">
        <f t="shared" si="133"/>
        <v>#REF!</v>
      </c>
      <c r="BD121" s="287" t="e">
        <f t="shared" si="133"/>
        <v>#REF!</v>
      </c>
      <c r="BE121" s="287" t="e">
        <f t="shared" si="133"/>
        <v>#REF!</v>
      </c>
      <c r="BF121" s="287" t="e">
        <f t="shared" si="133"/>
        <v>#REF!</v>
      </c>
      <c r="BG121" s="287" t="e">
        <f t="shared" si="133"/>
        <v>#REF!</v>
      </c>
      <c r="BH121" s="287" t="e">
        <f t="shared" si="133"/>
        <v>#REF!</v>
      </c>
      <c r="BI121" s="287" t="e">
        <f t="shared" si="133"/>
        <v>#REF!</v>
      </c>
      <c r="BJ121" s="287" t="e">
        <f t="shared" si="133"/>
        <v>#REF!</v>
      </c>
      <c r="BK121" s="287" t="e">
        <f t="shared" si="133"/>
        <v>#REF!</v>
      </c>
      <c r="BL121" s="287" t="e">
        <f t="shared" si="133"/>
        <v>#REF!</v>
      </c>
      <c r="BM121" s="287" t="e">
        <f t="shared" si="133"/>
        <v>#REF!</v>
      </c>
      <c r="BN121" s="287" t="e">
        <f t="shared" si="133"/>
        <v>#REF!</v>
      </c>
      <c r="BO121" s="287" t="e">
        <f t="shared" si="133"/>
        <v>#REF!</v>
      </c>
    </row>
    <row r="122" spans="1:67" ht="3.75" customHeight="1">
      <c r="G122" s="446"/>
      <c r="H122" s="446"/>
      <c r="I122" s="285"/>
      <c r="J122" s="285"/>
      <c r="K122" s="346"/>
      <c r="L122" s="346"/>
      <c r="M122" s="285"/>
      <c r="N122" s="285"/>
      <c r="O122" s="346"/>
      <c r="P122" s="346"/>
      <c r="Q122" s="285"/>
      <c r="R122" s="285"/>
      <c r="S122" s="346"/>
      <c r="T122" s="346"/>
      <c r="U122" s="285"/>
      <c r="V122" s="285"/>
      <c r="Y122" s="447"/>
      <c r="AK122" s="346"/>
      <c r="AL122" s="346"/>
      <c r="AM122" s="346"/>
      <c r="AN122" s="346"/>
      <c r="AO122" s="346"/>
      <c r="AP122" s="346"/>
      <c r="AQ122" s="346"/>
      <c r="AR122" s="346"/>
      <c r="AS122" s="346"/>
      <c r="AT122" s="346"/>
      <c r="AU122" s="346"/>
      <c r="AV122" s="346"/>
      <c r="AW122" s="346"/>
      <c r="AX122" s="346"/>
      <c r="AY122" s="346"/>
      <c r="AZ122" s="346"/>
      <c r="BA122" s="346"/>
      <c r="BB122" s="346"/>
      <c r="BC122" s="346"/>
      <c r="BD122" s="346"/>
      <c r="BE122" s="346"/>
      <c r="BF122" s="346"/>
      <c r="BG122" s="346"/>
      <c r="BH122" s="346"/>
      <c r="BI122" s="346"/>
      <c r="BJ122" s="346"/>
      <c r="BK122" s="346"/>
      <c r="BL122" s="346"/>
      <c r="BM122" s="346"/>
      <c r="BN122" s="346"/>
      <c r="BO122" s="346"/>
    </row>
    <row r="123" spans="1:67" ht="20.25" customHeight="1">
      <c r="A123" s="200" t="s">
        <v>2459</v>
      </c>
      <c r="B123" s="217" t="s">
        <v>369</v>
      </c>
      <c r="C123" s="200">
        <v>1</v>
      </c>
      <c r="D123" s="361" t="str">
        <f t="shared" ref="D123:D131" si="134">$B$123</f>
        <v>R13</v>
      </c>
      <c r="E123" s="74" t="str">
        <f t="shared" ref="E123:E131" si="135">IF(C123=0,,CONCATENATE(D123,"/",C123))</f>
        <v>R13/1</v>
      </c>
      <c r="F123" s="337" t="e">
        <f>IF(C123=0,,VLOOKUP(E123,#REF!,5, FALSE()))</f>
        <v>#REF!</v>
      </c>
      <c r="G123" s="448"/>
      <c r="H123" s="448"/>
      <c r="I123" s="340"/>
      <c r="J123" s="340"/>
      <c r="K123" s="449"/>
      <c r="L123" s="449"/>
      <c r="M123" s="340"/>
      <c r="N123" s="340"/>
      <c r="O123" s="449"/>
      <c r="P123" s="449"/>
      <c r="Q123" s="340"/>
      <c r="R123" s="340"/>
      <c r="S123" s="449"/>
      <c r="T123" s="449"/>
      <c r="U123" s="340"/>
      <c r="V123" s="340"/>
      <c r="W123" s="563" t="e">
        <f>CONCATENATE(F123," + ",F124," + ",F125," + ",F126," + ",F127," + ",F128," + ",F129," + ",F130," + ",F131)</f>
        <v>#REF!</v>
      </c>
      <c r="X123" s="382" t="e">
        <f>IF(C123=0,,VLOOKUP(E123,#REF!,2, FALSE()))</f>
        <v>#REF!</v>
      </c>
      <c r="Y123" s="384" t="e">
        <f>IF(C123=0,,VLOOKUP(E123,#REF!,3, FALSE()))</f>
        <v>#REF!</v>
      </c>
      <c r="Z123" s="385" t="e">
        <f>VLOOKUP(Y123,#REF!,6, FALSE())</f>
        <v>#REF!</v>
      </c>
      <c r="AA123" s="74" t="str">
        <f>$B125</f>
        <v>Cesta Gd</v>
      </c>
      <c r="AB123" s="386" t="e">
        <f>IF(C123=0,,VLOOKUP(E123,#REF!,6, FALSE()))</f>
        <v>#REF!</v>
      </c>
      <c r="AC123" s="74"/>
      <c r="AD123" s="74">
        <f>$B126</f>
        <v>12</v>
      </c>
      <c r="AE123" s="74"/>
      <c r="AF123" s="450">
        <f>$B127</f>
        <v>0</v>
      </c>
      <c r="AG123" s="74"/>
      <c r="AH123" s="450" t="e">
        <f>$B129</f>
        <v>#REF!</v>
      </c>
      <c r="AI123" s="450" t="e">
        <f>B129+B130</f>
        <v>#REF!</v>
      </c>
      <c r="AJ123" s="389"/>
      <c r="AK123" s="287" t="e">
        <f t="shared" ref="AK123:BO123" si="136">(MID(#REF!, 7,2))</f>
        <v>#REF!</v>
      </c>
      <c r="AL123" s="287" t="e">
        <f t="shared" si="136"/>
        <v>#REF!</v>
      </c>
      <c r="AM123" s="287" t="e">
        <f t="shared" si="136"/>
        <v>#REF!</v>
      </c>
      <c r="AN123" s="287" t="e">
        <f t="shared" si="136"/>
        <v>#REF!</v>
      </c>
      <c r="AO123" s="287" t="e">
        <f t="shared" si="136"/>
        <v>#REF!</v>
      </c>
      <c r="AP123" s="287" t="e">
        <f t="shared" si="136"/>
        <v>#REF!</v>
      </c>
      <c r="AQ123" s="287" t="e">
        <f t="shared" si="136"/>
        <v>#REF!</v>
      </c>
      <c r="AR123" s="287" t="e">
        <f t="shared" si="136"/>
        <v>#REF!</v>
      </c>
      <c r="AS123" s="287" t="e">
        <f t="shared" si="136"/>
        <v>#REF!</v>
      </c>
      <c r="AT123" s="287" t="e">
        <f t="shared" si="136"/>
        <v>#REF!</v>
      </c>
      <c r="AU123" s="287" t="e">
        <f t="shared" si="136"/>
        <v>#REF!</v>
      </c>
      <c r="AV123" s="287" t="e">
        <f t="shared" si="136"/>
        <v>#REF!</v>
      </c>
      <c r="AW123" s="287" t="e">
        <f t="shared" si="136"/>
        <v>#REF!</v>
      </c>
      <c r="AX123" s="287" t="e">
        <f t="shared" si="136"/>
        <v>#REF!</v>
      </c>
      <c r="AY123" s="287" t="e">
        <f t="shared" si="136"/>
        <v>#REF!</v>
      </c>
      <c r="AZ123" s="287" t="e">
        <f t="shared" si="136"/>
        <v>#REF!</v>
      </c>
      <c r="BA123" s="287" t="e">
        <f t="shared" si="136"/>
        <v>#REF!</v>
      </c>
      <c r="BB123" s="287" t="e">
        <f t="shared" si="136"/>
        <v>#REF!</v>
      </c>
      <c r="BC123" s="287" t="e">
        <f t="shared" si="136"/>
        <v>#REF!</v>
      </c>
      <c r="BD123" s="287" t="e">
        <f t="shared" si="136"/>
        <v>#REF!</v>
      </c>
      <c r="BE123" s="287" t="e">
        <f t="shared" si="136"/>
        <v>#REF!</v>
      </c>
      <c r="BF123" s="287" t="e">
        <f t="shared" si="136"/>
        <v>#REF!</v>
      </c>
      <c r="BG123" s="287" t="e">
        <f t="shared" si="136"/>
        <v>#REF!</v>
      </c>
      <c r="BH123" s="287" t="e">
        <f t="shared" si="136"/>
        <v>#REF!</v>
      </c>
      <c r="BI123" s="287" t="e">
        <f t="shared" si="136"/>
        <v>#REF!</v>
      </c>
      <c r="BJ123" s="287" t="e">
        <f t="shared" si="136"/>
        <v>#REF!</v>
      </c>
      <c r="BK123" s="287" t="e">
        <f t="shared" si="136"/>
        <v>#REF!</v>
      </c>
      <c r="BL123" s="287" t="e">
        <f t="shared" si="136"/>
        <v>#REF!</v>
      </c>
      <c r="BM123" s="287" t="e">
        <f t="shared" si="136"/>
        <v>#REF!</v>
      </c>
      <c r="BN123" s="287" t="e">
        <f t="shared" si="136"/>
        <v>#REF!</v>
      </c>
      <c r="BO123" s="287" t="e">
        <f t="shared" si="136"/>
        <v>#REF!</v>
      </c>
    </row>
    <row r="124" spans="1:67" ht="20.25" customHeight="1">
      <c r="A124" s="562" t="e">
        <f>Y123</f>
        <v>#REF!</v>
      </c>
      <c r="B124" s="499"/>
      <c r="C124" s="200">
        <v>2</v>
      </c>
      <c r="D124" s="361" t="str">
        <f t="shared" si="134"/>
        <v>R13</v>
      </c>
      <c r="E124" s="74" t="str">
        <f t="shared" si="135"/>
        <v>R13/2</v>
      </c>
      <c r="F124" s="337" t="e">
        <f>IF(C124=0,,VLOOKUP(E124,#REF!,5, FALSE()))</f>
        <v>#REF!</v>
      </c>
      <c r="G124" s="448"/>
      <c r="H124" s="448"/>
      <c r="I124" s="340"/>
      <c r="J124" s="340"/>
      <c r="K124" s="449"/>
      <c r="L124" s="449"/>
      <c r="M124" s="340"/>
      <c r="N124" s="340"/>
      <c r="O124" s="449"/>
      <c r="P124" s="449"/>
      <c r="Q124" s="340"/>
      <c r="R124" s="340"/>
      <c r="S124" s="449"/>
      <c r="T124" s="449"/>
      <c r="U124" s="340"/>
      <c r="V124" s="340"/>
      <c r="W124" s="480"/>
      <c r="X124" s="382" t="e">
        <f>IF(C124=0,,VLOOKUP(E124,#REF!,2, FALSE()))</f>
        <v>#REF!</v>
      </c>
      <c r="Y124" s="384" t="e">
        <f>IF(C124=0,,VLOOKUP(E124,#REF!,3, FALSE()))</f>
        <v>#REF!</v>
      </c>
      <c r="Z124" s="385"/>
      <c r="AA124" s="74"/>
      <c r="AB124" s="386" t="e">
        <f>IF(C124=0,,VLOOKUP(E124,#REF!,6, FALSE()))</f>
        <v>#REF!</v>
      </c>
      <c r="AC124" s="74"/>
      <c r="AD124" s="74"/>
      <c r="AE124" s="74"/>
      <c r="AF124" s="74"/>
      <c r="AG124" s="74"/>
      <c r="AH124" s="74"/>
      <c r="AI124" s="74"/>
      <c r="AJ124" s="389"/>
      <c r="AK124" s="287" t="e">
        <f t="shared" ref="AK124:BO124" si="137">(MID(#REF!, 7,2))</f>
        <v>#REF!</v>
      </c>
      <c r="AL124" s="287" t="e">
        <f t="shared" si="137"/>
        <v>#REF!</v>
      </c>
      <c r="AM124" s="287" t="e">
        <f t="shared" si="137"/>
        <v>#REF!</v>
      </c>
      <c r="AN124" s="287" t="e">
        <f t="shared" si="137"/>
        <v>#REF!</v>
      </c>
      <c r="AO124" s="287" t="e">
        <f t="shared" si="137"/>
        <v>#REF!</v>
      </c>
      <c r="AP124" s="287" t="e">
        <f t="shared" si="137"/>
        <v>#REF!</v>
      </c>
      <c r="AQ124" s="287" t="e">
        <f t="shared" si="137"/>
        <v>#REF!</v>
      </c>
      <c r="AR124" s="287" t="e">
        <f t="shared" si="137"/>
        <v>#REF!</v>
      </c>
      <c r="AS124" s="287" t="e">
        <f t="shared" si="137"/>
        <v>#REF!</v>
      </c>
      <c r="AT124" s="287" t="e">
        <f t="shared" si="137"/>
        <v>#REF!</v>
      </c>
      <c r="AU124" s="287" t="e">
        <f t="shared" si="137"/>
        <v>#REF!</v>
      </c>
      <c r="AV124" s="287" t="e">
        <f t="shared" si="137"/>
        <v>#REF!</v>
      </c>
      <c r="AW124" s="287" t="e">
        <f t="shared" si="137"/>
        <v>#REF!</v>
      </c>
      <c r="AX124" s="287" t="e">
        <f t="shared" si="137"/>
        <v>#REF!</v>
      </c>
      <c r="AY124" s="287" t="e">
        <f t="shared" si="137"/>
        <v>#REF!</v>
      </c>
      <c r="AZ124" s="287" t="e">
        <f t="shared" si="137"/>
        <v>#REF!</v>
      </c>
      <c r="BA124" s="287" t="e">
        <f t="shared" si="137"/>
        <v>#REF!</v>
      </c>
      <c r="BB124" s="287" t="e">
        <f t="shared" si="137"/>
        <v>#REF!</v>
      </c>
      <c r="BC124" s="287" t="e">
        <f t="shared" si="137"/>
        <v>#REF!</v>
      </c>
      <c r="BD124" s="287" t="e">
        <f t="shared" si="137"/>
        <v>#REF!</v>
      </c>
      <c r="BE124" s="287" t="e">
        <f t="shared" si="137"/>
        <v>#REF!</v>
      </c>
      <c r="BF124" s="287" t="e">
        <f t="shared" si="137"/>
        <v>#REF!</v>
      </c>
      <c r="BG124" s="287" t="e">
        <f t="shared" si="137"/>
        <v>#REF!</v>
      </c>
      <c r="BH124" s="287" t="e">
        <f t="shared" si="137"/>
        <v>#REF!</v>
      </c>
      <c r="BI124" s="287" t="e">
        <f t="shared" si="137"/>
        <v>#REF!</v>
      </c>
      <c r="BJ124" s="287" t="e">
        <f t="shared" si="137"/>
        <v>#REF!</v>
      </c>
      <c r="BK124" s="287" t="e">
        <f t="shared" si="137"/>
        <v>#REF!</v>
      </c>
      <c r="BL124" s="287" t="e">
        <f t="shared" si="137"/>
        <v>#REF!</v>
      </c>
      <c r="BM124" s="287" t="e">
        <f t="shared" si="137"/>
        <v>#REF!</v>
      </c>
      <c r="BN124" s="287" t="e">
        <f t="shared" si="137"/>
        <v>#REF!</v>
      </c>
      <c r="BO124" s="287" t="e">
        <f t="shared" si="137"/>
        <v>#REF!</v>
      </c>
    </row>
    <row r="125" spans="1:67" ht="20.25" customHeight="1">
      <c r="A125" s="402" t="s">
        <v>2896</v>
      </c>
      <c r="B125" s="19" t="s">
        <v>21</v>
      </c>
      <c r="C125" s="200">
        <v>0</v>
      </c>
      <c r="D125" s="361" t="str">
        <f t="shared" si="134"/>
        <v>R13</v>
      </c>
      <c r="E125" s="74">
        <f t="shared" si="135"/>
        <v>0</v>
      </c>
      <c r="F125" s="337">
        <f>IF(C125=0,,VLOOKUP(E125,#REF!,5, FALSE()))</f>
        <v>0</v>
      </c>
      <c r="G125" s="448"/>
      <c r="H125" s="448"/>
      <c r="I125" s="340"/>
      <c r="J125" s="340"/>
      <c r="K125" s="449"/>
      <c r="L125" s="449"/>
      <c r="M125" s="340"/>
      <c r="N125" s="340"/>
      <c r="O125" s="449"/>
      <c r="P125" s="449"/>
      <c r="Q125" s="340"/>
      <c r="R125" s="340"/>
      <c r="S125" s="449"/>
      <c r="T125" s="449"/>
      <c r="U125" s="340"/>
      <c r="V125" s="340"/>
      <c r="W125" s="480"/>
      <c r="X125" s="382">
        <f>IF(C125=0,,VLOOKUP(E125,#REF!,2, FALSE()))</f>
        <v>0</v>
      </c>
      <c r="Y125" s="384">
        <f>IF(C125=0,,VLOOKUP(E125,#REF!,3, FALSE()))</f>
        <v>0</v>
      </c>
      <c r="Z125" s="385"/>
      <c r="AA125" s="74"/>
      <c r="AB125" s="386">
        <f>IF(C125=0,,VLOOKUP(E125,#REF!,6, FALSE()))</f>
        <v>0</v>
      </c>
      <c r="AC125" s="74"/>
      <c r="AD125" s="74"/>
      <c r="AE125" s="74"/>
      <c r="AF125" s="74"/>
      <c r="AG125" s="74"/>
      <c r="AH125" s="74"/>
      <c r="AI125" s="74"/>
      <c r="AJ125" s="389"/>
      <c r="AK125" s="287" t="e">
        <f t="shared" ref="AK125:BO125" si="138">(MID(#REF!, 7,2))</f>
        <v>#REF!</v>
      </c>
      <c r="AL125" s="287" t="e">
        <f t="shared" si="138"/>
        <v>#REF!</v>
      </c>
      <c r="AM125" s="287" t="e">
        <f t="shared" si="138"/>
        <v>#REF!</v>
      </c>
      <c r="AN125" s="287" t="e">
        <f t="shared" si="138"/>
        <v>#REF!</v>
      </c>
      <c r="AO125" s="287" t="e">
        <f t="shared" si="138"/>
        <v>#REF!</v>
      </c>
      <c r="AP125" s="287" t="e">
        <f t="shared" si="138"/>
        <v>#REF!</v>
      </c>
      <c r="AQ125" s="287" t="e">
        <f t="shared" si="138"/>
        <v>#REF!</v>
      </c>
      <c r="AR125" s="287" t="e">
        <f t="shared" si="138"/>
        <v>#REF!</v>
      </c>
      <c r="AS125" s="287" t="e">
        <f t="shared" si="138"/>
        <v>#REF!</v>
      </c>
      <c r="AT125" s="287" t="e">
        <f t="shared" si="138"/>
        <v>#REF!</v>
      </c>
      <c r="AU125" s="287" t="e">
        <f t="shared" si="138"/>
        <v>#REF!</v>
      </c>
      <c r="AV125" s="287" t="e">
        <f t="shared" si="138"/>
        <v>#REF!</v>
      </c>
      <c r="AW125" s="287" t="e">
        <f t="shared" si="138"/>
        <v>#REF!</v>
      </c>
      <c r="AX125" s="287" t="e">
        <f t="shared" si="138"/>
        <v>#REF!</v>
      </c>
      <c r="AY125" s="287" t="e">
        <f t="shared" si="138"/>
        <v>#REF!</v>
      </c>
      <c r="AZ125" s="287" t="e">
        <f t="shared" si="138"/>
        <v>#REF!</v>
      </c>
      <c r="BA125" s="287" t="e">
        <f t="shared" si="138"/>
        <v>#REF!</v>
      </c>
      <c r="BB125" s="287" t="e">
        <f t="shared" si="138"/>
        <v>#REF!</v>
      </c>
      <c r="BC125" s="287" t="e">
        <f t="shared" si="138"/>
        <v>#REF!</v>
      </c>
      <c r="BD125" s="287" t="e">
        <f t="shared" si="138"/>
        <v>#REF!</v>
      </c>
      <c r="BE125" s="287" t="e">
        <f t="shared" si="138"/>
        <v>#REF!</v>
      </c>
      <c r="BF125" s="287" t="e">
        <f t="shared" si="138"/>
        <v>#REF!</v>
      </c>
      <c r="BG125" s="287" t="e">
        <f t="shared" si="138"/>
        <v>#REF!</v>
      </c>
      <c r="BH125" s="287" t="e">
        <f t="shared" si="138"/>
        <v>#REF!</v>
      </c>
      <c r="BI125" s="287" t="e">
        <f t="shared" si="138"/>
        <v>#REF!</v>
      </c>
      <c r="BJ125" s="287" t="e">
        <f t="shared" si="138"/>
        <v>#REF!</v>
      </c>
      <c r="BK125" s="287" t="e">
        <f t="shared" si="138"/>
        <v>#REF!</v>
      </c>
      <c r="BL125" s="287" t="e">
        <f t="shared" si="138"/>
        <v>#REF!</v>
      </c>
      <c r="BM125" s="287" t="e">
        <f t="shared" si="138"/>
        <v>#REF!</v>
      </c>
      <c r="BN125" s="287" t="e">
        <f t="shared" si="138"/>
        <v>#REF!</v>
      </c>
      <c r="BO125" s="287" t="e">
        <f t="shared" si="138"/>
        <v>#REF!</v>
      </c>
    </row>
    <row r="126" spans="1:67" ht="20.25" customHeight="1">
      <c r="A126" s="409" t="s">
        <v>2921</v>
      </c>
      <c r="B126" s="410">
        <v>12</v>
      </c>
      <c r="C126" s="200">
        <v>0</v>
      </c>
      <c r="D126" s="361" t="str">
        <f t="shared" si="134"/>
        <v>R13</v>
      </c>
      <c r="E126" s="74">
        <f t="shared" si="135"/>
        <v>0</v>
      </c>
      <c r="F126" s="337">
        <f>IF(C126=0,,VLOOKUP(E126,#REF!,5, FALSE()))</f>
        <v>0</v>
      </c>
      <c r="G126" s="448"/>
      <c r="H126" s="448"/>
      <c r="I126" s="340"/>
      <c r="J126" s="340"/>
      <c r="K126" s="449"/>
      <c r="L126" s="449"/>
      <c r="M126" s="340"/>
      <c r="N126" s="340"/>
      <c r="O126" s="449"/>
      <c r="P126" s="449"/>
      <c r="Q126" s="340"/>
      <c r="R126" s="340"/>
      <c r="S126" s="449"/>
      <c r="T126" s="449"/>
      <c r="U126" s="340"/>
      <c r="V126" s="340"/>
      <c r="W126" s="480"/>
      <c r="X126" s="382">
        <f>IF(C126=0,,VLOOKUP(E126,#REF!,2, FALSE()))</f>
        <v>0</v>
      </c>
      <c r="Y126" s="384">
        <f>IF(C126=0,,VLOOKUP(E126,#REF!,3, FALSE()))</f>
        <v>0</v>
      </c>
      <c r="Z126" s="385"/>
      <c r="AA126" s="74"/>
      <c r="AB126" s="386">
        <f>IF(C126=0,,VLOOKUP(E126,#REF!,6, FALSE()))</f>
        <v>0</v>
      </c>
      <c r="AC126" s="74"/>
      <c r="AD126" s="74"/>
      <c r="AE126" s="74"/>
      <c r="AF126" s="74"/>
      <c r="AG126" s="74"/>
      <c r="AH126" s="74"/>
      <c r="AI126" s="74"/>
      <c r="AJ126" s="422"/>
      <c r="AK126" s="287" t="e">
        <f t="shared" ref="AK126:BO126" si="139">(MID(#REF!, 7,2))</f>
        <v>#REF!</v>
      </c>
      <c r="AL126" s="287" t="e">
        <f t="shared" si="139"/>
        <v>#REF!</v>
      </c>
      <c r="AM126" s="287" t="e">
        <f t="shared" si="139"/>
        <v>#REF!</v>
      </c>
      <c r="AN126" s="287" t="e">
        <f t="shared" si="139"/>
        <v>#REF!</v>
      </c>
      <c r="AO126" s="287" t="e">
        <f t="shared" si="139"/>
        <v>#REF!</v>
      </c>
      <c r="AP126" s="287" t="e">
        <f t="shared" si="139"/>
        <v>#REF!</v>
      </c>
      <c r="AQ126" s="287" t="e">
        <f t="shared" si="139"/>
        <v>#REF!</v>
      </c>
      <c r="AR126" s="287" t="e">
        <f t="shared" si="139"/>
        <v>#REF!</v>
      </c>
      <c r="AS126" s="287" t="e">
        <f t="shared" si="139"/>
        <v>#REF!</v>
      </c>
      <c r="AT126" s="287" t="e">
        <f t="shared" si="139"/>
        <v>#REF!</v>
      </c>
      <c r="AU126" s="287" t="e">
        <f t="shared" si="139"/>
        <v>#REF!</v>
      </c>
      <c r="AV126" s="287" t="e">
        <f t="shared" si="139"/>
        <v>#REF!</v>
      </c>
      <c r="AW126" s="287" t="e">
        <f t="shared" si="139"/>
        <v>#REF!</v>
      </c>
      <c r="AX126" s="287" t="e">
        <f t="shared" si="139"/>
        <v>#REF!</v>
      </c>
      <c r="AY126" s="287" t="e">
        <f t="shared" si="139"/>
        <v>#REF!</v>
      </c>
      <c r="AZ126" s="287" t="e">
        <f t="shared" si="139"/>
        <v>#REF!</v>
      </c>
      <c r="BA126" s="287" t="e">
        <f t="shared" si="139"/>
        <v>#REF!</v>
      </c>
      <c r="BB126" s="287" t="e">
        <f t="shared" si="139"/>
        <v>#REF!</v>
      </c>
      <c r="BC126" s="287" t="e">
        <f t="shared" si="139"/>
        <v>#REF!</v>
      </c>
      <c r="BD126" s="287" t="e">
        <f t="shared" si="139"/>
        <v>#REF!</v>
      </c>
      <c r="BE126" s="287" t="e">
        <f t="shared" si="139"/>
        <v>#REF!</v>
      </c>
      <c r="BF126" s="287" t="e">
        <f t="shared" si="139"/>
        <v>#REF!</v>
      </c>
      <c r="BG126" s="287" t="e">
        <f t="shared" si="139"/>
        <v>#REF!</v>
      </c>
      <c r="BH126" s="287" t="e">
        <f t="shared" si="139"/>
        <v>#REF!</v>
      </c>
      <c r="BI126" s="287" t="e">
        <f t="shared" si="139"/>
        <v>#REF!</v>
      </c>
      <c r="BJ126" s="287" t="e">
        <f t="shared" si="139"/>
        <v>#REF!</v>
      </c>
      <c r="BK126" s="287" t="e">
        <f t="shared" si="139"/>
        <v>#REF!</v>
      </c>
      <c r="BL126" s="287" t="e">
        <f t="shared" si="139"/>
        <v>#REF!</v>
      </c>
      <c r="BM126" s="287" t="e">
        <f t="shared" si="139"/>
        <v>#REF!</v>
      </c>
      <c r="BN126" s="287" t="e">
        <f t="shared" si="139"/>
        <v>#REF!</v>
      </c>
      <c r="BO126" s="287" t="e">
        <f t="shared" si="139"/>
        <v>#REF!</v>
      </c>
    </row>
    <row r="127" spans="1:67" ht="20.25" customHeight="1">
      <c r="A127" s="424" t="s">
        <v>2936</v>
      </c>
      <c r="B127" s="425">
        <v>0</v>
      </c>
      <c r="C127" s="200">
        <v>0</v>
      </c>
      <c r="D127" s="361" t="str">
        <f t="shared" si="134"/>
        <v>R13</v>
      </c>
      <c r="E127" s="74">
        <f t="shared" si="135"/>
        <v>0</v>
      </c>
      <c r="F127" s="337">
        <f>IF(C127=0,,VLOOKUP(E127,#REF!,5, FALSE()))</f>
        <v>0</v>
      </c>
      <c r="G127" s="448"/>
      <c r="H127" s="448"/>
      <c r="I127" s="340"/>
      <c r="J127" s="340"/>
      <c r="K127" s="449"/>
      <c r="L127" s="449"/>
      <c r="M127" s="340"/>
      <c r="N127" s="340"/>
      <c r="O127" s="449"/>
      <c r="P127" s="449"/>
      <c r="Q127" s="340"/>
      <c r="R127" s="340"/>
      <c r="S127" s="449"/>
      <c r="T127" s="449"/>
      <c r="U127" s="340"/>
      <c r="V127" s="340"/>
      <c r="W127" s="480"/>
      <c r="X127" s="382">
        <f>IF(C127=0,,VLOOKUP(E127,#REF!,2, FALSE()))</f>
        <v>0</v>
      </c>
      <c r="Y127" s="384">
        <f>IF(C127=0,,VLOOKUP(E127,#REF!,3, FALSE()))</f>
        <v>0</v>
      </c>
      <c r="Z127" s="385"/>
      <c r="AA127" s="74"/>
      <c r="AB127" s="386">
        <f>IF(C127=0,,VLOOKUP(E127,#REF!,6, FALSE()))</f>
        <v>0</v>
      </c>
      <c r="AC127" s="74"/>
      <c r="AD127" s="74"/>
      <c r="AE127" s="74"/>
      <c r="AF127" s="74"/>
      <c r="AG127" s="74"/>
      <c r="AH127" s="74"/>
      <c r="AI127" s="74"/>
      <c r="AJ127" s="389"/>
      <c r="AK127" s="287" t="e">
        <f t="shared" ref="AK127:BO127" si="140">(MID(#REF!, 7,2))</f>
        <v>#REF!</v>
      </c>
      <c r="AL127" s="287" t="e">
        <f t="shared" si="140"/>
        <v>#REF!</v>
      </c>
      <c r="AM127" s="287" t="e">
        <f t="shared" si="140"/>
        <v>#REF!</v>
      </c>
      <c r="AN127" s="287" t="e">
        <f t="shared" si="140"/>
        <v>#REF!</v>
      </c>
      <c r="AO127" s="287" t="e">
        <f t="shared" si="140"/>
        <v>#REF!</v>
      </c>
      <c r="AP127" s="287" t="e">
        <f t="shared" si="140"/>
        <v>#REF!</v>
      </c>
      <c r="AQ127" s="287" t="e">
        <f t="shared" si="140"/>
        <v>#REF!</v>
      </c>
      <c r="AR127" s="287" t="e">
        <f t="shared" si="140"/>
        <v>#REF!</v>
      </c>
      <c r="AS127" s="287" t="e">
        <f t="shared" si="140"/>
        <v>#REF!</v>
      </c>
      <c r="AT127" s="287" t="e">
        <f t="shared" si="140"/>
        <v>#REF!</v>
      </c>
      <c r="AU127" s="287" t="e">
        <f t="shared" si="140"/>
        <v>#REF!</v>
      </c>
      <c r="AV127" s="287" t="e">
        <f t="shared" si="140"/>
        <v>#REF!</v>
      </c>
      <c r="AW127" s="287" t="e">
        <f t="shared" si="140"/>
        <v>#REF!</v>
      </c>
      <c r="AX127" s="287" t="e">
        <f t="shared" si="140"/>
        <v>#REF!</v>
      </c>
      <c r="AY127" s="287" t="e">
        <f t="shared" si="140"/>
        <v>#REF!</v>
      </c>
      <c r="AZ127" s="287" t="e">
        <f t="shared" si="140"/>
        <v>#REF!</v>
      </c>
      <c r="BA127" s="287" t="e">
        <f t="shared" si="140"/>
        <v>#REF!</v>
      </c>
      <c r="BB127" s="287" t="e">
        <f t="shared" si="140"/>
        <v>#REF!</v>
      </c>
      <c r="BC127" s="287" t="e">
        <f t="shared" si="140"/>
        <v>#REF!</v>
      </c>
      <c r="BD127" s="287" t="e">
        <f t="shared" si="140"/>
        <v>#REF!</v>
      </c>
      <c r="BE127" s="287" t="e">
        <f t="shared" si="140"/>
        <v>#REF!</v>
      </c>
      <c r="BF127" s="287" t="e">
        <f t="shared" si="140"/>
        <v>#REF!</v>
      </c>
      <c r="BG127" s="287" t="e">
        <f t="shared" si="140"/>
        <v>#REF!</v>
      </c>
      <c r="BH127" s="287" t="e">
        <f t="shared" si="140"/>
        <v>#REF!</v>
      </c>
      <c r="BI127" s="287" t="e">
        <f t="shared" si="140"/>
        <v>#REF!</v>
      </c>
      <c r="BJ127" s="287" t="e">
        <f t="shared" si="140"/>
        <v>#REF!</v>
      </c>
      <c r="BK127" s="287" t="e">
        <f t="shared" si="140"/>
        <v>#REF!</v>
      </c>
      <c r="BL127" s="287" t="e">
        <f t="shared" si="140"/>
        <v>#REF!</v>
      </c>
      <c r="BM127" s="287" t="e">
        <f t="shared" si="140"/>
        <v>#REF!</v>
      </c>
      <c r="BN127" s="287" t="e">
        <f t="shared" si="140"/>
        <v>#REF!</v>
      </c>
      <c r="BO127" s="287" t="e">
        <f t="shared" si="140"/>
        <v>#REF!</v>
      </c>
    </row>
    <row r="128" spans="1:67" ht="20.25" customHeight="1">
      <c r="A128" s="424" t="e">
        <f>Z123</f>
        <v>#REF!</v>
      </c>
      <c r="B128" s="425"/>
      <c r="C128" s="200">
        <v>0</v>
      </c>
      <c r="D128" s="361" t="str">
        <f t="shared" si="134"/>
        <v>R13</v>
      </c>
      <c r="E128" s="74">
        <f t="shared" si="135"/>
        <v>0</v>
      </c>
      <c r="F128" s="337">
        <f>IF(C128=0,,VLOOKUP(E128,#REF!,5, FALSE()))</f>
        <v>0</v>
      </c>
      <c r="G128" s="448"/>
      <c r="H128" s="448"/>
      <c r="I128" s="340"/>
      <c r="J128" s="340"/>
      <c r="K128" s="449"/>
      <c r="L128" s="449"/>
      <c r="M128" s="340"/>
      <c r="N128" s="340"/>
      <c r="O128" s="449"/>
      <c r="P128" s="449"/>
      <c r="Q128" s="340"/>
      <c r="R128" s="340"/>
      <c r="S128" s="449"/>
      <c r="T128" s="449"/>
      <c r="U128" s="340"/>
      <c r="V128" s="340"/>
      <c r="W128" s="480"/>
      <c r="X128" s="382">
        <f>IF(C128=0,,VLOOKUP(E128,#REF!,2, FALSE()))</f>
        <v>0</v>
      </c>
      <c r="Y128" s="384">
        <f>IF(C128=0,,VLOOKUP(E128,#REF!,3, FALSE()))</f>
        <v>0</v>
      </c>
      <c r="Z128" s="385"/>
      <c r="AA128" s="74"/>
      <c r="AB128" s="386">
        <f>IF(C128=0,,VLOOKUP(E128,#REF!,6, FALSE()))</f>
        <v>0</v>
      </c>
      <c r="AC128" s="74"/>
      <c r="AD128" s="74"/>
      <c r="AE128" s="74"/>
      <c r="AF128" s="74"/>
      <c r="AG128" s="74"/>
      <c r="AH128" s="74"/>
      <c r="AI128" s="74"/>
      <c r="AJ128" s="389"/>
      <c r="AK128" s="287" t="e">
        <f t="shared" ref="AK128:BO128" si="141">(MID(#REF!, 7,2))</f>
        <v>#REF!</v>
      </c>
      <c r="AL128" s="287" t="e">
        <f t="shared" si="141"/>
        <v>#REF!</v>
      </c>
      <c r="AM128" s="287" t="e">
        <f t="shared" si="141"/>
        <v>#REF!</v>
      </c>
      <c r="AN128" s="287" t="e">
        <f t="shared" si="141"/>
        <v>#REF!</v>
      </c>
      <c r="AO128" s="287" t="e">
        <f t="shared" si="141"/>
        <v>#REF!</v>
      </c>
      <c r="AP128" s="287" t="e">
        <f t="shared" si="141"/>
        <v>#REF!</v>
      </c>
      <c r="AQ128" s="287" t="e">
        <f t="shared" si="141"/>
        <v>#REF!</v>
      </c>
      <c r="AR128" s="287" t="e">
        <f t="shared" si="141"/>
        <v>#REF!</v>
      </c>
      <c r="AS128" s="287" t="e">
        <f t="shared" si="141"/>
        <v>#REF!</v>
      </c>
      <c r="AT128" s="287" t="e">
        <f t="shared" si="141"/>
        <v>#REF!</v>
      </c>
      <c r="AU128" s="287" t="e">
        <f t="shared" si="141"/>
        <v>#REF!</v>
      </c>
      <c r="AV128" s="287" t="e">
        <f t="shared" si="141"/>
        <v>#REF!</v>
      </c>
      <c r="AW128" s="287" t="e">
        <f t="shared" si="141"/>
        <v>#REF!</v>
      </c>
      <c r="AX128" s="287" t="e">
        <f t="shared" si="141"/>
        <v>#REF!</v>
      </c>
      <c r="AY128" s="287" t="e">
        <f t="shared" si="141"/>
        <v>#REF!</v>
      </c>
      <c r="AZ128" s="287" t="e">
        <f t="shared" si="141"/>
        <v>#REF!</v>
      </c>
      <c r="BA128" s="287" t="e">
        <f t="shared" si="141"/>
        <v>#REF!</v>
      </c>
      <c r="BB128" s="287" t="e">
        <f t="shared" si="141"/>
        <v>#REF!</v>
      </c>
      <c r="BC128" s="287" t="e">
        <f t="shared" si="141"/>
        <v>#REF!</v>
      </c>
      <c r="BD128" s="287" t="e">
        <f t="shared" si="141"/>
        <v>#REF!</v>
      </c>
      <c r="BE128" s="287" t="e">
        <f t="shared" si="141"/>
        <v>#REF!</v>
      </c>
      <c r="BF128" s="287" t="e">
        <f t="shared" si="141"/>
        <v>#REF!</v>
      </c>
      <c r="BG128" s="287" t="e">
        <f t="shared" si="141"/>
        <v>#REF!</v>
      </c>
      <c r="BH128" s="287" t="e">
        <f t="shared" si="141"/>
        <v>#REF!</v>
      </c>
      <c r="BI128" s="287" t="e">
        <f t="shared" si="141"/>
        <v>#REF!</v>
      </c>
      <c r="BJ128" s="287" t="e">
        <f t="shared" si="141"/>
        <v>#REF!</v>
      </c>
      <c r="BK128" s="287" t="e">
        <f t="shared" si="141"/>
        <v>#REF!</v>
      </c>
      <c r="BL128" s="287" t="e">
        <f t="shared" si="141"/>
        <v>#REF!</v>
      </c>
      <c r="BM128" s="287" t="e">
        <f t="shared" si="141"/>
        <v>#REF!</v>
      </c>
      <c r="BN128" s="287" t="e">
        <f t="shared" si="141"/>
        <v>#REF!</v>
      </c>
      <c r="BO128" s="287" t="e">
        <f t="shared" si="141"/>
        <v>#REF!</v>
      </c>
    </row>
    <row r="129" spans="1:67" ht="23.25" customHeight="1">
      <c r="A129" s="424" t="s">
        <v>2951</v>
      </c>
      <c r="B129" s="425" t="e">
        <f>SUM(AB123:AB131)</f>
        <v>#REF!</v>
      </c>
      <c r="C129" s="200">
        <v>0</v>
      </c>
      <c r="D129" s="361" t="str">
        <f t="shared" si="134"/>
        <v>R13</v>
      </c>
      <c r="E129" s="74">
        <f t="shared" si="135"/>
        <v>0</v>
      </c>
      <c r="F129" s="337">
        <f>IF(C129=0,,VLOOKUP(E129,#REF!,5, FALSE()))</f>
        <v>0</v>
      </c>
      <c r="G129" s="448"/>
      <c r="H129" s="448"/>
      <c r="I129" s="340"/>
      <c r="J129" s="340"/>
      <c r="K129" s="449"/>
      <c r="L129" s="449"/>
      <c r="M129" s="340"/>
      <c r="N129" s="340"/>
      <c r="O129" s="449"/>
      <c r="P129" s="449"/>
      <c r="Q129" s="340"/>
      <c r="R129" s="340"/>
      <c r="S129" s="449"/>
      <c r="T129" s="449"/>
      <c r="U129" s="340"/>
      <c r="V129" s="340"/>
      <c r="W129" s="480"/>
      <c r="X129" s="382">
        <f>IF(C129=0,,VLOOKUP(E129,#REF!,2, FALSE()))</f>
        <v>0</v>
      </c>
      <c r="Y129" s="384">
        <f>IF(C129=0,,VLOOKUP(E129,#REF!,3, FALSE()))</f>
        <v>0</v>
      </c>
      <c r="Z129" s="385"/>
      <c r="AA129" s="74"/>
      <c r="AB129" s="386">
        <f>IF(C129=0,,VLOOKUP(E129,#REF!,6, FALSE()))</f>
        <v>0</v>
      </c>
      <c r="AC129" s="74"/>
      <c r="AD129" s="74"/>
      <c r="AE129" s="74"/>
      <c r="AF129" s="74"/>
      <c r="AG129" s="74"/>
      <c r="AH129" s="74"/>
      <c r="AI129" s="74"/>
      <c r="AJ129" s="389"/>
      <c r="AK129" s="287" t="e">
        <f t="shared" ref="AK129:BO129" si="142">(MID(#REF!, 7,2))</f>
        <v>#REF!</v>
      </c>
      <c r="AL129" s="287" t="e">
        <f t="shared" si="142"/>
        <v>#REF!</v>
      </c>
      <c r="AM129" s="287" t="e">
        <f t="shared" si="142"/>
        <v>#REF!</v>
      </c>
      <c r="AN129" s="287" t="e">
        <f t="shared" si="142"/>
        <v>#REF!</v>
      </c>
      <c r="AO129" s="287" t="e">
        <f t="shared" si="142"/>
        <v>#REF!</v>
      </c>
      <c r="AP129" s="287" t="e">
        <f t="shared" si="142"/>
        <v>#REF!</v>
      </c>
      <c r="AQ129" s="287" t="e">
        <f t="shared" si="142"/>
        <v>#REF!</v>
      </c>
      <c r="AR129" s="287" t="e">
        <f t="shared" si="142"/>
        <v>#REF!</v>
      </c>
      <c r="AS129" s="287" t="e">
        <f t="shared" si="142"/>
        <v>#REF!</v>
      </c>
      <c r="AT129" s="287" t="e">
        <f t="shared" si="142"/>
        <v>#REF!</v>
      </c>
      <c r="AU129" s="287" t="e">
        <f t="shared" si="142"/>
        <v>#REF!</v>
      </c>
      <c r="AV129" s="287" t="e">
        <f t="shared" si="142"/>
        <v>#REF!</v>
      </c>
      <c r="AW129" s="287" t="e">
        <f t="shared" si="142"/>
        <v>#REF!</v>
      </c>
      <c r="AX129" s="287" t="e">
        <f t="shared" si="142"/>
        <v>#REF!</v>
      </c>
      <c r="AY129" s="287" t="e">
        <f t="shared" si="142"/>
        <v>#REF!</v>
      </c>
      <c r="AZ129" s="287" t="e">
        <f t="shared" si="142"/>
        <v>#REF!</v>
      </c>
      <c r="BA129" s="287" t="e">
        <f t="shared" si="142"/>
        <v>#REF!</v>
      </c>
      <c r="BB129" s="287" t="e">
        <f t="shared" si="142"/>
        <v>#REF!</v>
      </c>
      <c r="BC129" s="287" t="e">
        <f t="shared" si="142"/>
        <v>#REF!</v>
      </c>
      <c r="BD129" s="287" t="e">
        <f t="shared" si="142"/>
        <v>#REF!</v>
      </c>
      <c r="BE129" s="287" t="e">
        <f t="shared" si="142"/>
        <v>#REF!</v>
      </c>
      <c r="BF129" s="287" t="e">
        <f t="shared" si="142"/>
        <v>#REF!</v>
      </c>
      <c r="BG129" s="287" t="e">
        <f t="shared" si="142"/>
        <v>#REF!</v>
      </c>
      <c r="BH129" s="287" t="e">
        <f t="shared" si="142"/>
        <v>#REF!</v>
      </c>
      <c r="BI129" s="287" t="e">
        <f t="shared" si="142"/>
        <v>#REF!</v>
      </c>
      <c r="BJ129" s="287" t="e">
        <f t="shared" si="142"/>
        <v>#REF!</v>
      </c>
      <c r="BK129" s="287" t="e">
        <f t="shared" si="142"/>
        <v>#REF!</v>
      </c>
      <c r="BL129" s="287" t="e">
        <f t="shared" si="142"/>
        <v>#REF!</v>
      </c>
      <c r="BM129" s="287" t="e">
        <f t="shared" si="142"/>
        <v>#REF!</v>
      </c>
      <c r="BN129" s="287" t="e">
        <f t="shared" si="142"/>
        <v>#REF!</v>
      </c>
      <c r="BO129" s="287" t="e">
        <f t="shared" si="142"/>
        <v>#REF!</v>
      </c>
    </row>
    <row r="130" spans="1:67" ht="20.25" customHeight="1">
      <c r="A130" s="424" t="s">
        <v>2952</v>
      </c>
      <c r="B130" s="425">
        <f>SUM(AJ123:AJ131)</f>
        <v>0</v>
      </c>
      <c r="C130" s="200">
        <v>0</v>
      </c>
      <c r="D130" s="361" t="str">
        <f t="shared" si="134"/>
        <v>R13</v>
      </c>
      <c r="E130" s="74">
        <f t="shared" si="135"/>
        <v>0</v>
      </c>
      <c r="F130" s="337">
        <f>IF(C130=0,,VLOOKUP(E130,#REF!,5, FALSE()))</f>
        <v>0</v>
      </c>
      <c r="G130" s="448"/>
      <c r="H130" s="448"/>
      <c r="I130" s="340"/>
      <c r="J130" s="340"/>
      <c r="K130" s="449"/>
      <c r="L130" s="449"/>
      <c r="M130" s="340"/>
      <c r="N130" s="340"/>
      <c r="O130" s="449"/>
      <c r="P130" s="449"/>
      <c r="Q130" s="340"/>
      <c r="R130" s="340"/>
      <c r="S130" s="449"/>
      <c r="T130" s="449"/>
      <c r="U130" s="340"/>
      <c r="V130" s="340"/>
      <c r="W130" s="480"/>
      <c r="X130" s="382">
        <f>IF(C130=0,,VLOOKUP(E130,#REF!,2, FALSE()))</f>
        <v>0</v>
      </c>
      <c r="Y130" s="384">
        <f>IF(C130=0,,VLOOKUP(E130,#REF!,3, FALSE()))</f>
        <v>0</v>
      </c>
      <c r="Z130" s="385"/>
      <c r="AA130" s="74"/>
      <c r="AB130" s="386">
        <f>IF(C130=0,,VLOOKUP(E130,#REF!,6, FALSE()))</f>
        <v>0</v>
      </c>
      <c r="AC130" s="74"/>
      <c r="AD130" s="74"/>
      <c r="AE130" s="74"/>
      <c r="AF130" s="74"/>
      <c r="AG130" s="74"/>
      <c r="AH130" s="74"/>
      <c r="AI130" s="74"/>
      <c r="AJ130" s="389"/>
      <c r="AK130" s="287" t="e">
        <f t="shared" ref="AK130:BO130" si="143">(MID(#REF!, 7,2))</f>
        <v>#REF!</v>
      </c>
      <c r="AL130" s="287" t="e">
        <f t="shared" si="143"/>
        <v>#REF!</v>
      </c>
      <c r="AM130" s="287" t="e">
        <f t="shared" si="143"/>
        <v>#REF!</v>
      </c>
      <c r="AN130" s="287" t="e">
        <f t="shared" si="143"/>
        <v>#REF!</v>
      </c>
      <c r="AO130" s="287" t="e">
        <f t="shared" si="143"/>
        <v>#REF!</v>
      </c>
      <c r="AP130" s="287" t="e">
        <f t="shared" si="143"/>
        <v>#REF!</v>
      </c>
      <c r="AQ130" s="287" t="e">
        <f t="shared" si="143"/>
        <v>#REF!</v>
      </c>
      <c r="AR130" s="287" t="e">
        <f t="shared" si="143"/>
        <v>#REF!</v>
      </c>
      <c r="AS130" s="287" t="e">
        <f t="shared" si="143"/>
        <v>#REF!</v>
      </c>
      <c r="AT130" s="287" t="e">
        <f t="shared" si="143"/>
        <v>#REF!</v>
      </c>
      <c r="AU130" s="287" t="e">
        <f t="shared" si="143"/>
        <v>#REF!</v>
      </c>
      <c r="AV130" s="287" t="e">
        <f t="shared" si="143"/>
        <v>#REF!</v>
      </c>
      <c r="AW130" s="287" t="e">
        <f t="shared" si="143"/>
        <v>#REF!</v>
      </c>
      <c r="AX130" s="287" t="e">
        <f t="shared" si="143"/>
        <v>#REF!</v>
      </c>
      <c r="AY130" s="287" t="e">
        <f t="shared" si="143"/>
        <v>#REF!</v>
      </c>
      <c r="AZ130" s="287" t="e">
        <f t="shared" si="143"/>
        <v>#REF!</v>
      </c>
      <c r="BA130" s="287" t="e">
        <f t="shared" si="143"/>
        <v>#REF!</v>
      </c>
      <c r="BB130" s="287" t="e">
        <f t="shared" si="143"/>
        <v>#REF!</v>
      </c>
      <c r="BC130" s="287" t="e">
        <f t="shared" si="143"/>
        <v>#REF!</v>
      </c>
      <c r="BD130" s="287" t="e">
        <f t="shared" si="143"/>
        <v>#REF!</v>
      </c>
      <c r="BE130" s="287" t="e">
        <f t="shared" si="143"/>
        <v>#REF!</v>
      </c>
      <c r="BF130" s="287" t="e">
        <f t="shared" si="143"/>
        <v>#REF!</v>
      </c>
      <c r="BG130" s="287" t="e">
        <f t="shared" si="143"/>
        <v>#REF!</v>
      </c>
      <c r="BH130" s="287" t="e">
        <f t="shared" si="143"/>
        <v>#REF!</v>
      </c>
      <c r="BI130" s="287" t="e">
        <f t="shared" si="143"/>
        <v>#REF!</v>
      </c>
      <c r="BJ130" s="287" t="e">
        <f t="shared" si="143"/>
        <v>#REF!</v>
      </c>
      <c r="BK130" s="287" t="e">
        <f t="shared" si="143"/>
        <v>#REF!</v>
      </c>
      <c r="BL130" s="287" t="e">
        <f t="shared" si="143"/>
        <v>#REF!</v>
      </c>
      <c r="BM130" s="287" t="e">
        <f t="shared" si="143"/>
        <v>#REF!</v>
      </c>
      <c r="BN130" s="287" t="e">
        <f t="shared" si="143"/>
        <v>#REF!</v>
      </c>
      <c r="BO130" s="287" t="e">
        <f t="shared" si="143"/>
        <v>#REF!</v>
      </c>
    </row>
    <row r="131" spans="1:67" ht="20.25" customHeight="1">
      <c r="A131" s="443" t="s">
        <v>2953</v>
      </c>
      <c r="B131" s="444" t="e">
        <f>B128-B129-B130</f>
        <v>#REF!</v>
      </c>
      <c r="C131" s="200">
        <v>0</v>
      </c>
      <c r="D131" s="361" t="str">
        <f t="shared" si="134"/>
        <v>R13</v>
      </c>
      <c r="E131" s="74">
        <f t="shared" si="135"/>
        <v>0</v>
      </c>
      <c r="F131" s="337">
        <f>IF(C131=0,,VLOOKUP(E131,#REF!,5, FALSE()))</f>
        <v>0</v>
      </c>
      <c r="G131" s="448"/>
      <c r="H131" s="448"/>
      <c r="I131" s="340"/>
      <c r="J131" s="340"/>
      <c r="K131" s="449"/>
      <c r="L131" s="449"/>
      <c r="M131" s="340"/>
      <c r="N131" s="340"/>
      <c r="O131" s="449"/>
      <c r="P131" s="449"/>
      <c r="Q131" s="340"/>
      <c r="R131" s="340"/>
      <c r="S131" s="449"/>
      <c r="T131" s="449"/>
      <c r="U131" s="340"/>
      <c r="V131" s="340"/>
      <c r="W131" s="481"/>
      <c r="X131" s="382">
        <f>IF(C131=0,,VLOOKUP(E131,#REF!,2, FALSE()))</f>
        <v>0</v>
      </c>
      <c r="Y131" s="384">
        <f>IF(C131=0,,VLOOKUP(E131,#REF!,3, FALSE()))</f>
        <v>0</v>
      </c>
      <c r="Z131" s="385"/>
      <c r="AA131" s="74"/>
      <c r="AB131" s="386">
        <f>IF(C131=0,,VLOOKUP(E131,#REF!,6, FALSE()))</f>
        <v>0</v>
      </c>
      <c r="AC131" s="74"/>
      <c r="AD131" s="74"/>
      <c r="AE131" s="74"/>
      <c r="AF131" s="74"/>
      <c r="AG131" s="74"/>
      <c r="AH131" s="74"/>
      <c r="AI131" s="74"/>
      <c r="AJ131" s="389"/>
      <c r="AK131" s="287" t="e">
        <f t="shared" ref="AK131:BO131" si="144">(MID(#REF!, 7,2))</f>
        <v>#REF!</v>
      </c>
      <c r="AL131" s="287" t="e">
        <f t="shared" si="144"/>
        <v>#REF!</v>
      </c>
      <c r="AM131" s="287" t="e">
        <f t="shared" si="144"/>
        <v>#REF!</v>
      </c>
      <c r="AN131" s="287" t="e">
        <f t="shared" si="144"/>
        <v>#REF!</v>
      </c>
      <c r="AO131" s="287" t="e">
        <f t="shared" si="144"/>
        <v>#REF!</v>
      </c>
      <c r="AP131" s="287" t="e">
        <f t="shared" si="144"/>
        <v>#REF!</v>
      </c>
      <c r="AQ131" s="287" t="e">
        <f t="shared" si="144"/>
        <v>#REF!</v>
      </c>
      <c r="AR131" s="287" t="e">
        <f t="shared" si="144"/>
        <v>#REF!</v>
      </c>
      <c r="AS131" s="287" t="e">
        <f t="shared" si="144"/>
        <v>#REF!</v>
      </c>
      <c r="AT131" s="287" t="e">
        <f t="shared" si="144"/>
        <v>#REF!</v>
      </c>
      <c r="AU131" s="287" t="e">
        <f t="shared" si="144"/>
        <v>#REF!</v>
      </c>
      <c r="AV131" s="287" t="e">
        <f t="shared" si="144"/>
        <v>#REF!</v>
      </c>
      <c r="AW131" s="287" t="e">
        <f t="shared" si="144"/>
        <v>#REF!</v>
      </c>
      <c r="AX131" s="287" t="e">
        <f t="shared" si="144"/>
        <v>#REF!</v>
      </c>
      <c r="AY131" s="287" t="e">
        <f t="shared" si="144"/>
        <v>#REF!</v>
      </c>
      <c r="AZ131" s="287" t="e">
        <f t="shared" si="144"/>
        <v>#REF!</v>
      </c>
      <c r="BA131" s="287" t="e">
        <f t="shared" si="144"/>
        <v>#REF!</v>
      </c>
      <c r="BB131" s="287" t="e">
        <f t="shared" si="144"/>
        <v>#REF!</v>
      </c>
      <c r="BC131" s="287" t="e">
        <f t="shared" si="144"/>
        <v>#REF!</v>
      </c>
      <c r="BD131" s="287" t="e">
        <f t="shared" si="144"/>
        <v>#REF!</v>
      </c>
      <c r="BE131" s="287" t="e">
        <f t="shared" si="144"/>
        <v>#REF!</v>
      </c>
      <c r="BF131" s="287" t="e">
        <f t="shared" si="144"/>
        <v>#REF!</v>
      </c>
      <c r="BG131" s="287" t="e">
        <f t="shared" si="144"/>
        <v>#REF!</v>
      </c>
      <c r="BH131" s="287" t="e">
        <f t="shared" si="144"/>
        <v>#REF!</v>
      </c>
      <c r="BI131" s="287" t="e">
        <f t="shared" si="144"/>
        <v>#REF!</v>
      </c>
      <c r="BJ131" s="287" t="e">
        <f t="shared" si="144"/>
        <v>#REF!</v>
      </c>
      <c r="BK131" s="287" t="e">
        <f t="shared" si="144"/>
        <v>#REF!</v>
      </c>
      <c r="BL131" s="287" t="e">
        <f t="shared" si="144"/>
        <v>#REF!</v>
      </c>
      <c r="BM131" s="287" t="e">
        <f t="shared" si="144"/>
        <v>#REF!</v>
      </c>
      <c r="BN131" s="287" t="e">
        <f t="shared" si="144"/>
        <v>#REF!</v>
      </c>
      <c r="BO131" s="287" t="e">
        <f t="shared" si="144"/>
        <v>#REF!</v>
      </c>
    </row>
    <row r="132" spans="1:67" ht="3.75" customHeight="1">
      <c r="G132" s="446"/>
      <c r="H132" s="446"/>
      <c r="I132" s="285"/>
      <c r="J132" s="285"/>
      <c r="K132" s="346"/>
      <c r="L132" s="346"/>
      <c r="M132" s="285"/>
      <c r="N132" s="285"/>
      <c r="O132" s="346"/>
      <c r="P132" s="346"/>
      <c r="Q132" s="285"/>
      <c r="R132" s="285"/>
      <c r="S132" s="346"/>
      <c r="T132" s="346"/>
      <c r="U132" s="285"/>
      <c r="V132" s="285"/>
      <c r="Y132" s="447"/>
      <c r="AK132" s="346"/>
      <c r="AL132" s="346"/>
      <c r="AM132" s="346"/>
      <c r="AN132" s="346"/>
      <c r="AO132" s="346"/>
      <c r="AP132" s="346"/>
      <c r="AQ132" s="346"/>
      <c r="AR132" s="346"/>
      <c r="AS132" s="346"/>
      <c r="AT132" s="346"/>
      <c r="AU132" s="346"/>
      <c r="AV132" s="346"/>
      <c r="AW132" s="346"/>
      <c r="AX132" s="346"/>
      <c r="AY132" s="346"/>
      <c r="AZ132" s="346"/>
      <c r="BA132" s="346"/>
      <c r="BB132" s="346"/>
      <c r="BC132" s="346"/>
      <c r="BD132" s="346"/>
      <c r="BE132" s="346"/>
      <c r="BF132" s="346"/>
      <c r="BG132" s="346"/>
      <c r="BH132" s="346"/>
      <c r="BI132" s="346"/>
      <c r="BJ132" s="346"/>
      <c r="BK132" s="346"/>
      <c r="BL132" s="346"/>
      <c r="BM132" s="346"/>
      <c r="BN132" s="346"/>
      <c r="BO132" s="346"/>
    </row>
    <row r="133" spans="1:67" ht="20.25" customHeight="1">
      <c r="A133" s="200" t="s">
        <v>2459</v>
      </c>
      <c r="B133" s="217" t="s">
        <v>379</v>
      </c>
      <c r="C133" s="200">
        <v>1</v>
      </c>
      <c r="D133" s="361" t="str">
        <f t="shared" ref="D133:D141" si="145">$B$133</f>
        <v>R14</v>
      </c>
      <c r="E133" s="74" t="str">
        <f t="shared" ref="E133:E141" si="146">IF(C133=0,,CONCATENATE(D133,"/",C133))</f>
        <v>R14/1</v>
      </c>
      <c r="F133" s="337" t="e">
        <f>IF(C133=0,,VLOOKUP(E133,#REF!,5, FALSE()))</f>
        <v>#REF!</v>
      </c>
      <c r="G133" s="470"/>
      <c r="H133" s="470"/>
      <c r="I133" s="471"/>
      <c r="J133" s="471"/>
      <c r="K133" s="472"/>
      <c r="L133" s="472"/>
      <c r="M133" s="471"/>
      <c r="N133" s="471"/>
      <c r="O133" s="472"/>
      <c r="P133" s="472"/>
      <c r="Q133" s="471"/>
      <c r="R133" s="471"/>
      <c r="S133" s="472"/>
      <c r="T133" s="472"/>
      <c r="U133" s="471"/>
      <c r="V133" s="471"/>
      <c r="W133" s="563" t="e">
        <f>CONCATENATE(F133," + ",F134," + ",F135," + ",F136," + ",F137," + ",F138," + ",F139," + ",F140," + ",F141)</f>
        <v>#REF!</v>
      </c>
      <c r="X133" s="382" t="e">
        <f>IF(C133=0,,VLOOKUP(E133,#REF!,2, FALSE()))</f>
        <v>#REF!</v>
      </c>
      <c r="Y133" s="384" t="e">
        <f>IF(C133=0,,VLOOKUP(E133,#REF!,3, FALSE()))</f>
        <v>#REF!</v>
      </c>
      <c r="Z133" s="385" t="e">
        <f>VLOOKUP(Y133,#REF!,6, FALSE())</f>
        <v>#REF!</v>
      </c>
      <c r="AA133" s="74" t="str">
        <f>$B135</f>
        <v>Cesta PQ</v>
      </c>
      <c r="AB133" s="386" t="e">
        <f>IF(C133=0,,VLOOKUP(E133,#REF!,6, FALSE()))</f>
        <v>#REF!</v>
      </c>
      <c r="AC133" s="74"/>
      <c r="AD133" s="74">
        <f>$B136</f>
        <v>8</v>
      </c>
      <c r="AE133" s="74"/>
      <c r="AF133" s="450">
        <f>$B137</f>
        <v>0</v>
      </c>
      <c r="AG133" s="74"/>
      <c r="AH133" s="450" t="e">
        <f>$B139</f>
        <v>#REF!</v>
      </c>
      <c r="AI133" s="450" t="e">
        <f>B139+B140</f>
        <v>#REF!</v>
      </c>
      <c r="AJ133" s="389"/>
      <c r="AK133" s="287" t="e">
        <f t="shared" ref="AK133:BO133" si="147">(MID(#REF!, 7,2))</f>
        <v>#REF!</v>
      </c>
      <c r="AL133" s="287" t="e">
        <f t="shared" si="147"/>
        <v>#REF!</v>
      </c>
      <c r="AM133" s="287" t="e">
        <f t="shared" si="147"/>
        <v>#REF!</v>
      </c>
      <c r="AN133" s="287" t="e">
        <f t="shared" si="147"/>
        <v>#REF!</v>
      </c>
      <c r="AO133" s="287" t="e">
        <f t="shared" si="147"/>
        <v>#REF!</v>
      </c>
      <c r="AP133" s="287" t="e">
        <f t="shared" si="147"/>
        <v>#REF!</v>
      </c>
      <c r="AQ133" s="287" t="e">
        <f t="shared" si="147"/>
        <v>#REF!</v>
      </c>
      <c r="AR133" s="287" t="e">
        <f t="shared" si="147"/>
        <v>#REF!</v>
      </c>
      <c r="AS133" s="287" t="e">
        <f t="shared" si="147"/>
        <v>#REF!</v>
      </c>
      <c r="AT133" s="287" t="e">
        <f t="shared" si="147"/>
        <v>#REF!</v>
      </c>
      <c r="AU133" s="287" t="e">
        <f t="shared" si="147"/>
        <v>#REF!</v>
      </c>
      <c r="AV133" s="287" t="e">
        <f t="shared" si="147"/>
        <v>#REF!</v>
      </c>
      <c r="AW133" s="287" t="e">
        <f t="shared" si="147"/>
        <v>#REF!</v>
      </c>
      <c r="AX133" s="287" t="e">
        <f t="shared" si="147"/>
        <v>#REF!</v>
      </c>
      <c r="AY133" s="287" t="e">
        <f t="shared" si="147"/>
        <v>#REF!</v>
      </c>
      <c r="AZ133" s="287" t="e">
        <f t="shared" si="147"/>
        <v>#REF!</v>
      </c>
      <c r="BA133" s="287" t="e">
        <f t="shared" si="147"/>
        <v>#REF!</v>
      </c>
      <c r="BB133" s="287" t="e">
        <f t="shared" si="147"/>
        <v>#REF!</v>
      </c>
      <c r="BC133" s="287" t="e">
        <f t="shared" si="147"/>
        <v>#REF!</v>
      </c>
      <c r="BD133" s="287" t="e">
        <f t="shared" si="147"/>
        <v>#REF!</v>
      </c>
      <c r="BE133" s="287" t="e">
        <f t="shared" si="147"/>
        <v>#REF!</v>
      </c>
      <c r="BF133" s="287" t="e">
        <f t="shared" si="147"/>
        <v>#REF!</v>
      </c>
      <c r="BG133" s="287" t="e">
        <f t="shared" si="147"/>
        <v>#REF!</v>
      </c>
      <c r="BH133" s="287" t="e">
        <f t="shared" si="147"/>
        <v>#REF!</v>
      </c>
      <c r="BI133" s="287" t="e">
        <f t="shared" si="147"/>
        <v>#REF!</v>
      </c>
      <c r="BJ133" s="287" t="e">
        <f t="shared" si="147"/>
        <v>#REF!</v>
      </c>
      <c r="BK133" s="287" t="e">
        <f t="shared" si="147"/>
        <v>#REF!</v>
      </c>
      <c r="BL133" s="287" t="e">
        <f t="shared" si="147"/>
        <v>#REF!</v>
      </c>
      <c r="BM133" s="287" t="e">
        <f t="shared" si="147"/>
        <v>#REF!</v>
      </c>
      <c r="BN133" s="287" t="e">
        <f t="shared" si="147"/>
        <v>#REF!</v>
      </c>
      <c r="BO133" s="287" t="e">
        <f t="shared" si="147"/>
        <v>#REF!</v>
      </c>
    </row>
    <row r="134" spans="1:67" ht="20.25" customHeight="1">
      <c r="A134" s="562" t="e">
        <f>Y133</f>
        <v>#REF!</v>
      </c>
      <c r="B134" s="499"/>
      <c r="C134" s="200">
        <v>2</v>
      </c>
      <c r="D134" s="361" t="str">
        <f t="shared" si="145"/>
        <v>R14</v>
      </c>
      <c r="E134" s="74" t="str">
        <f t="shared" si="146"/>
        <v>R14/2</v>
      </c>
      <c r="F134" s="337" t="e">
        <f>IF(C134=0,,VLOOKUP(E134,#REF!,5, FALSE()))</f>
        <v>#REF!</v>
      </c>
      <c r="G134" s="473"/>
      <c r="H134" s="473"/>
      <c r="I134" s="461"/>
      <c r="J134" s="461"/>
      <c r="K134" s="474"/>
      <c r="L134" s="474"/>
      <c r="M134" s="461"/>
      <c r="N134" s="461"/>
      <c r="O134" s="474"/>
      <c r="P134" s="474"/>
      <c r="Q134" s="461"/>
      <c r="R134" s="461"/>
      <c r="S134" s="474"/>
      <c r="T134" s="474"/>
      <c r="U134" s="461"/>
      <c r="V134" s="461"/>
      <c r="W134" s="480"/>
      <c r="X134" s="382" t="e">
        <f>IF(C134=0,,VLOOKUP(E134,#REF!,2, FALSE()))</f>
        <v>#REF!</v>
      </c>
      <c r="Y134" s="384" t="e">
        <f>IF(C134=0,,VLOOKUP(E134,#REF!,3, FALSE()))</f>
        <v>#REF!</v>
      </c>
      <c r="Z134" s="385"/>
      <c r="AA134" s="74"/>
      <c r="AB134" s="386" t="e">
        <f>IF(C134=0,,VLOOKUP(E134,#REF!,6, FALSE()))</f>
        <v>#REF!</v>
      </c>
      <c r="AC134" s="74"/>
      <c r="AD134" s="74"/>
      <c r="AE134" s="74"/>
      <c r="AF134" s="74"/>
      <c r="AG134" s="74"/>
      <c r="AH134" s="74"/>
      <c r="AI134" s="74"/>
      <c r="AJ134" s="389"/>
      <c r="AK134" s="287" t="e">
        <f t="shared" ref="AK134:BO134" si="148">(MID(#REF!, 7,2))</f>
        <v>#REF!</v>
      </c>
      <c r="AL134" s="287" t="e">
        <f t="shared" si="148"/>
        <v>#REF!</v>
      </c>
      <c r="AM134" s="287" t="e">
        <f t="shared" si="148"/>
        <v>#REF!</v>
      </c>
      <c r="AN134" s="287" t="e">
        <f t="shared" si="148"/>
        <v>#REF!</v>
      </c>
      <c r="AO134" s="287" t="e">
        <f t="shared" si="148"/>
        <v>#REF!</v>
      </c>
      <c r="AP134" s="287" t="e">
        <f t="shared" si="148"/>
        <v>#REF!</v>
      </c>
      <c r="AQ134" s="287" t="e">
        <f t="shared" si="148"/>
        <v>#REF!</v>
      </c>
      <c r="AR134" s="287" t="e">
        <f t="shared" si="148"/>
        <v>#REF!</v>
      </c>
      <c r="AS134" s="287" t="e">
        <f t="shared" si="148"/>
        <v>#REF!</v>
      </c>
      <c r="AT134" s="287" t="e">
        <f t="shared" si="148"/>
        <v>#REF!</v>
      </c>
      <c r="AU134" s="287" t="e">
        <f t="shared" si="148"/>
        <v>#REF!</v>
      </c>
      <c r="AV134" s="287" t="e">
        <f t="shared" si="148"/>
        <v>#REF!</v>
      </c>
      <c r="AW134" s="287" t="e">
        <f t="shared" si="148"/>
        <v>#REF!</v>
      </c>
      <c r="AX134" s="287" t="e">
        <f t="shared" si="148"/>
        <v>#REF!</v>
      </c>
      <c r="AY134" s="287" t="e">
        <f t="shared" si="148"/>
        <v>#REF!</v>
      </c>
      <c r="AZ134" s="287" t="e">
        <f t="shared" si="148"/>
        <v>#REF!</v>
      </c>
      <c r="BA134" s="287" t="e">
        <f t="shared" si="148"/>
        <v>#REF!</v>
      </c>
      <c r="BB134" s="287" t="e">
        <f t="shared" si="148"/>
        <v>#REF!</v>
      </c>
      <c r="BC134" s="287" t="e">
        <f t="shared" si="148"/>
        <v>#REF!</v>
      </c>
      <c r="BD134" s="287" t="e">
        <f t="shared" si="148"/>
        <v>#REF!</v>
      </c>
      <c r="BE134" s="287" t="e">
        <f t="shared" si="148"/>
        <v>#REF!</v>
      </c>
      <c r="BF134" s="287" t="e">
        <f t="shared" si="148"/>
        <v>#REF!</v>
      </c>
      <c r="BG134" s="287" t="e">
        <f t="shared" si="148"/>
        <v>#REF!</v>
      </c>
      <c r="BH134" s="287" t="e">
        <f t="shared" si="148"/>
        <v>#REF!</v>
      </c>
      <c r="BI134" s="287" t="e">
        <f t="shared" si="148"/>
        <v>#REF!</v>
      </c>
      <c r="BJ134" s="287" t="e">
        <f t="shared" si="148"/>
        <v>#REF!</v>
      </c>
      <c r="BK134" s="287" t="e">
        <f t="shared" si="148"/>
        <v>#REF!</v>
      </c>
      <c r="BL134" s="287" t="e">
        <f t="shared" si="148"/>
        <v>#REF!</v>
      </c>
      <c r="BM134" s="287" t="e">
        <f t="shared" si="148"/>
        <v>#REF!</v>
      </c>
      <c r="BN134" s="287" t="e">
        <f t="shared" si="148"/>
        <v>#REF!</v>
      </c>
      <c r="BO134" s="287" t="e">
        <f t="shared" si="148"/>
        <v>#REF!</v>
      </c>
    </row>
    <row r="135" spans="1:67" ht="20.25" customHeight="1">
      <c r="A135" s="402" t="s">
        <v>2896</v>
      </c>
      <c r="B135" s="19" t="s">
        <v>1417</v>
      </c>
      <c r="C135" s="200">
        <v>0</v>
      </c>
      <c r="D135" s="361" t="str">
        <f t="shared" si="145"/>
        <v>R14</v>
      </c>
      <c r="E135" s="74">
        <f t="shared" si="146"/>
        <v>0</v>
      </c>
      <c r="F135" s="337">
        <f>IF(C135=0,,VLOOKUP(E135,#REF!,5, FALSE()))</f>
        <v>0</v>
      </c>
      <c r="G135" s="473"/>
      <c r="H135" s="473"/>
      <c r="I135" s="461"/>
      <c r="J135" s="461"/>
      <c r="K135" s="474"/>
      <c r="L135" s="474"/>
      <c r="M135" s="461"/>
      <c r="N135" s="461"/>
      <c r="O135" s="474"/>
      <c r="P135" s="474"/>
      <c r="Q135" s="461"/>
      <c r="R135" s="461"/>
      <c r="S135" s="474"/>
      <c r="T135" s="474"/>
      <c r="U135" s="461"/>
      <c r="V135" s="461"/>
      <c r="W135" s="480"/>
      <c r="X135" s="382">
        <f>IF(C135=0,,VLOOKUP(E135,#REF!,2, FALSE()))</f>
        <v>0</v>
      </c>
      <c r="Y135" s="384">
        <f>IF(C135=0,,VLOOKUP(E135,#REF!,3, FALSE()))</f>
        <v>0</v>
      </c>
      <c r="Z135" s="385"/>
      <c r="AA135" s="74"/>
      <c r="AB135" s="386">
        <f>IF(C135=0,,VLOOKUP(E135,#REF!,6, FALSE()))</f>
        <v>0</v>
      </c>
      <c r="AC135" s="74"/>
      <c r="AD135" s="74"/>
      <c r="AE135" s="74"/>
      <c r="AF135" s="74"/>
      <c r="AG135" s="74"/>
      <c r="AH135" s="74"/>
      <c r="AI135" s="74"/>
      <c r="AJ135" s="389"/>
      <c r="AK135" s="287" t="e">
        <f t="shared" ref="AK135:BO135" si="149">(MID(#REF!, 7,2))</f>
        <v>#REF!</v>
      </c>
      <c r="AL135" s="287" t="e">
        <f t="shared" si="149"/>
        <v>#REF!</v>
      </c>
      <c r="AM135" s="287" t="e">
        <f t="shared" si="149"/>
        <v>#REF!</v>
      </c>
      <c r="AN135" s="287" t="e">
        <f t="shared" si="149"/>
        <v>#REF!</v>
      </c>
      <c r="AO135" s="287" t="e">
        <f t="shared" si="149"/>
        <v>#REF!</v>
      </c>
      <c r="AP135" s="287" t="e">
        <f t="shared" si="149"/>
        <v>#REF!</v>
      </c>
      <c r="AQ135" s="287" t="e">
        <f t="shared" si="149"/>
        <v>#REF!</v>
      </c>
      <c r="AR135" s="287" t="e">
        <f t="shared" si="149"/>
        <v>#REF!</v>
      </c>
      <c r="AS135" s="287" t="e">
        <f t="shared" si="149"/>
        <v>#REF!</v>
      </c>
      <c r="AT135" s="287" t="e">
        <f t="shared" si="149"/>
        <v>#REF!</v>
      </c>
      <c r="AU135" s="287" t="e">
        <f t="shared" si="149"/>
        <v>#REF!</v>
      </c>
      <c r="AV135" s="287" t="e">
        <f t="shared" si="149"/>
        <v>#REF!</v>
      </c>
      <c r="AW135" s="287" t="e">
        <f t="shared" si="149"/>
        <v>#REF!</v>
      </c>
      <c r="AX135" s="287" t="e">
        <f t="shared" si="149"/>
        <v>#REF!</v>
      </c>
      <c r="AY135" s="287" t="e">
        <f t="shared" si="149"/>
        <v>#REF!</v>
      </c>
      <c r="AZ135" s="287" t="e">
        <f t="shared" si="149"/>
        <v>#REF!</v>
      </c>
      <c r="BA135" s="287" t="e">
        <f t="shared" si="149"/>
        <v>#REF!</v>
      </c>
      <c r="BB135" s="287" t="e">
        <f t="shared" si="149"/>
        <v>#REF!</v>
      </c>
      <c r="BC135" s="287" t="e">
        <f t="shared" si="149"/>
        <v>#REF!</v>
      </c>
      <c r="BD135" s="287" t="e">
        <f t="shared" si="149"/>
        <v>#REF!</v>
      </c>
      <c r="BE135" s="287" t="e">
        <f t="shared" si="149"/>
        <v>#REF!</v>
      </c>
      <c r="BF135" s="287" t="e">
        <f t="shared" si="149"/>
        <v>#REF!</v>
      </c>
      <c r="BG135" s="287" t="e">
        <f t="shared" si="149"/>
        <v>#REF!</v>
      </c>
      <c r="BH135" s="287" t="e">
        <f t="shared" si="149"/>
        <v>#REF!</v>
      </c>
      <c r="BI135" s="287" t="e">
        <f t="shared" si="149"/>
        <v>#REF!</v>
      </c>
      <c r="BJ135" s="287" t="e">
        <f t="shared" si="149"/>
        <v>#REF!</v>
      </c>
      <c r="BK135" s="287" t="e">
        <f t="shared" si="149"/>
        <v>#REF!</v>
      </c>
      <c r="BL135" s="287" t="e">
        <f t="shared" si="149"/>
        <v>#REF!</v>
      </c>
      <c r="BM135" s="287" t="e">
        <f t="shared" si="149"/>
        <v>#REF!</v>
      </c>
      <c r="BN135" s="287" t="e">
        <f t="shared" si="149"/>
        <v>#REF!</v>
      </c>
      <c r="BO135" s="287" t="e">
        <f t="shared" si="149"/>
        <v>#REF!</v>
      </c>
    </row>
    <row r="136" spans="1:67" ht="20.25" customHeight="1">
      <c r="A136" s="409" t="s">
        <v>2921</v>
      </c>
      <c r="B136" s="410">
        <v>8</v>
      </c>
      <c r="C136" s="200">
        <v>0</v>
      </c>
      <c r="D136" s="361" t="str">
        <f t="shared" si="145"/>
        <v>R14</v>
      </c>
      <c r="E136" s="74">
        <f t="shared" si="146"/>
        <v>0</v>
      </c>
      <c r="F136" s="337">
        <f>IF(C136=0,,VLOOKUP(E136,#REF!,5, FALSE()))</f>
        <v>0</v>
      </c>
      <c r="G136" s="473"/>
      <c r="H136" s="473"/>
      <c r="I136" s="461"/>
      <c r="J136" s="461"/>
      <c r="K136" s="474"/>
      <c r="L136" s="474"/>
      <c r="M136" s="461"/>
      <c r="N136" s="461"/>
      <c r="O136" s="474"/>
      <c r="P136" s="474"/>
      <c r="Q136" s="461"/>
      <c r="R136" s="461"/>
      <c r="S136" s="474"/>
      <c r="T136" s="474"/>
      <c r="U136" s="461"/>
      <c r="V136" s="461"/>
      <c r="W136" s="480"/>
      <c r="X136" s="382">
        <f>IF(C136=0,,VLOOKUP(E136,#REF!,2, FALSE()))</f>
        <v>0</v>
      </c>
      <c r="Y136" s="384">
        <f>IF(C136=0,,VLOOKUP(E136,#REF!,3, FALSE()))</f>
        <v>0</v>
      </c>
      <c r="Z136" s="385"/>
      <c r="AA136" s="74"/>
      <c r="AB136" s="386">
        <f>IF(C136=0,,VLOOKUP(E136,#REF!,6, FALSE()))</f>
        <v>0</v>
      </c>
      <c r="AC136" s="74"/>
      <c r="AD136" s="74"/>
      <c r="AE136" s="74"/>
      <c r="AF136" s="74"/>
      <c r="AG136" s="74"/>
      <c r="AH136" s="74"/>
      <c r="AI136" s="74"/>
      <c r="AJ136" s="422"/>
      <c r="AK136" s="287" t="e">
        <f t="shared" ref="AK136:BO136" si="150">(MID(#REF!, 7,2))</f>
        <v>#REF!</v>
      </c>
      <c r="AL136" s="287" t="e">
        <f t="shared" si="150"/>
        <v>#REF!</v>
      </c>
      <c r="AM136" s="287" t="e">
        <f t="shared" si="150"/>
        <v>#REF!</v>
      </c>
      <c r="AN136" s="287" t="e">
        <f t="shared" si="150"/>
        <v>#REF!</v>
      </c>
      <c r="AO136" s="287" t="e">
        <f t="shared" si="150"/>
        <v>#REF!</v>
      </c>
      <c r="AP136" s="287" t="e">
        <f t="shared" si="150"/>
        <v>#REF!</v>
      </c>
      <c r="AQ136" s="287" t="e">
        <f t="shared" si="150"/>
        <v>#REF!</v>
      </c>
      <c r="AR136" s="287" t="e">
        <f t="shared" si="150"/>
        <v>#REF!</v>
      </c>
      <c r="AS136" s="287" t="e">
        <f t="shared" si="150"/>
        <v>#REF!</v>
      </c>
      <c r="AT136" s="287" t="e">
        <f t="shared" si="150"/>
        <v>#REF!</v>
      </c>
      <c r="AU136" s="287" t="e">
        <f t="shared" si="150"/>
        <v>#REF!</v>
      </c>
      <c r="AV136" s="287" t="e">
        <f t="shared" si="150"/>
        <v>#REF!</v>
      </c>
      <c r="AW136" s="287" t="e">
        <f t="shared" si="150"/>
        <v>#REF!</v>
      </c>
      <c r="AX136" s="287" t="e">
        <f t="shared" si="150"/>
        <v>#REF!</v>
      </c>
      <c r="AY136" s="287" t="e">
        <f t="shared" si="150"/>
        <v>#REF!</v>
      </c>
      <c r="AZ136" s="287" t="e">
        <f t="shared" si="150"/>
        <v>#REF!</v>
      </c>
      <c r="BA136" s="287" t="e">
        <f t="shared" si="150"/>
        <v>#REF!</v>
      </c>
      <c r="BB136" s="287" t="e">
        <f t="shared" si="150"/>
        <v>#REF!</v>
      </c>
      <c r="BC136" s="287" t="e">
        <f t="shared" si="150"/>
        <v>#REF!</v>
      </c>
      <c r="BD136" s="287" t="e">
        <f t="shared" si="150"/>
        <v>#REF!</v>
      </c>
      <c r="BE136" s="287" t="e">
        <f t="shared" si="150"/>
        <v>#REF!</v>
      </c>
      <c r="BF136" s="287" t="e">
        <f t="shared" si="150"/>
        <v>#REF!</v>
      </c>
      <c r="BG136" s="287" t="e">
        <f t="shared" si="150"/>
        <v>#REF!</v>
      </c>
      <c r="BH136" s="287" t="e">
        <f t="shared" si="150"/>
        <v>#REF!</v>
      </c>
      <c r="BI136" s="287" t="e">
        <f t="shared" si="150"/>
        <v>#REF!</v>
      </c>
      <c r="BJ136" s="287" t="e">
        <f t="shared" si="150"/>
        <v>#REF!</v>
      </c>
      <c r="BK136" s="287" t="e">
        <f t="shared" si="150"/>
        <v>#REF!</v>
      </c>
      <c r="BL136" s="287" t="e">
        <f t="shared" si="150"/>
        <v>#REF!</v>
      </c>
      <c r="BM136" s="287" t="e">
        <f t="shared" si="150"/>
        <v>#REF!</v>
      </c>
      <c r="BN136" s="287" t="e">
        <f t="shared" si="150"/>
        <v>#REF!</v>
      </c>
      <c r="BO136" s="287" t="e">
        <f t="shared" si="150"/>
        <v>#REF!</v>
      </c>
    </row>
    <row r="137" spans="1:67" ht="20.25" customHeight="1">
      <c r="A137" s="424" t="s">
        <v>2936</v>
      </c>
      <c r="B137" s="425">
        <v>0</v>
      </c>
      <c r="C137" s="200">
        <v>0</v>
      </c>
      <c r="D137" s="361" t="str">
        <f t="shared" si="145"/>
        <v>R14</v>
      </c>
      <c r="E137" s="74">
        <f t="shared" si="146"/>
        <v>0</v>
      </c>
      <c r="F137" s="337">
        <f>IF(C137=0,,VLOOKUP(E137,#REF!,5, FALSE()))</f>
        <v>0</v>
      </c>
      <c r="G137" s="473"/>
      <c r="H137" s="473"/>
      <c r="I137" s="461"/>
      <c r="J137" s="461"/>
      <c r="K137" s="474"/>
      <c r="L137" s="474"/>
      <c r="M137" s="461"/>
      <c r="N137" s="461"/>
      <c r="O137" s="474"/>
      <c r="P137" s="474"/>
      <c r="Q137" s="461"/>
      <c r="R137" s="461"/>
      <c r="S137" s="474"/>
      <c r="T137" s="474"/>
      <c r="U137" s="461"/>
      <c r="V137" s="461"/>
      <c r="W137" s="480"/>
      <c r="X137" s="382">
        <f>IF(C137=0,,VLOOKUP(E137,#REF!,2, FALSE()))</f>
        <v>0</v>
      </c>
      <c r="Y137" s="384">
        <f>IF(C137=0,,VLOOKUP(E137,#REF!,3, FALSE()))</f>
        <v>0</v>
      </c>
      <c r="Z137" s="385"/>
      <c r="AA137" s="74"/>
      <c r="AB137" s="386">
        <f>IF(C137=0,,VLOOKUP(E137,#REF!,6, FALSE()))</f>
        <v>0</v>
      </c>
      <c r="AC137" s="74"/>
      <c r="AD137" s="74"/>
      <c r="AE137" s="74"/>
      <c r="AF137" s="74"/>
      <c r="AG137" s="74"/>
      <c r="AH137" s="74"/>
      <c r="AI137" s="74"/>
      <c r="AJ137" s="389"/>
      <c r="AK137" s="287" t="e">
        <f t="shared" ref="AK137:BO137" si="151">(MID(#REF!, 7,2))</f>
        <v>#REF!</v>
      </c>
      <c r="AL137" s="287" t="e">
        <f t="shared" si="151"/>
        <v>#REF!</v>
      </c>
      <c r="AM137" s="287" t="e">
        <f t="shared" si="151"/>
        <v>#REF!</v>
      </c>
      <c r="AN137" s="287" t="e">
        <f t="shared" si="151"/>
        <v>#REF!</v>
      </c>
      <c r="AO137" s="287" t="e">
        <f t="shared" si="151"/>
        <v>#REF!</v>
      </c>
      <c r="AP137" s="287" t="e">
        <f t="shared" si="151"/>
        <v>#REF!</v>
      </c>
      <c r="AQ137" s="287" t="e">
        <f t="shared" si="151"/>
        <v>#REF!</v>
      </c>
      <c r="AR137" s="287" t="e">
        <f t="shared" si="151"/>
        <v>#REF!</v>
      </c>
      <c r="AS137" s="287" t="e">
        <f t="shared" si="151"/>
        <v>#REF!</v>
      </c>
      <c r="AT137" s="287" t="e">
        <f t="shared" si="151"/>
        <v>#REF!</v>
      </c>
      <c r="AU137" s="287" t="e">
        <f t="shared" si="151"/>
        <v>#REF!</v>
      </c>
      <c r="AV137" s="287" t="e">
        <f t="shared" si="151"/>
        <v>#REF!</v>
      </c>
      <c r="AW137" s="287" t="e">
        <f t="shared" si="151"/>
        <v>#REF!</v>
      </c>
      <c r="AX137" s="287" t="e">
        <f t="shared" si="151"/>
        <v>#REF!</v>
      </c>
      <c r="AY137" s="287" t="e">
        <f t="shared" si="151"/>
        <v>#REF!</v>
      </c>
      <c r="AZ137" s="287" t="e">
        <f t="shared" si="151"/>
        <v>#REF!</v>
      </c>
      <c r="BA137" s="287" t="e">
        <f t="shared" si="151"/>
        <v>#REF!</v>
      </c>
      <c r="BB137" s="287" t="e">
        <f t="shared" si="151"/>
        <v>#REF!</v>
      </c>
      <c r="BC137" s="287" t="e">
        <f t="shared" si="151"/>
        <v>#REF!</v>
      </c>
      <c r="BD137" s="287" t="e">
        <f t="shared" si="151"/>
        <v>#REF!</v>
      </c>
      <c r="BE137" s="287" t="e">
        <f t="shared" si="151"/>
        <v>#REF!</v>
      </c>
      <c r="BF137" s="287" t="e">
        <f t="shared" si="151"/>
        <v>#REF!</v>
      </c>
      <c r="BG137" s="287" t="e">
        <f t="shared" si="151"/>
        <v>#REF!</v>
      </c>
      <c r="BH137" s="287" t="e">
        <f t="shared" si="151"/>
        <v>#REF!</v>
      </c>
      <c r="BI137" s="287" t="e">
        <f t="shared" si="151"/>
        <v>#REF!</v>
      </c>
      <c r="BJ137" s="287" t="e">
        <f t="shared" si="151"/>
        <v>#REF!</v>
      </c>
      <c r="BK137" s="287" t="e">
        <f t="shared" si="151"/>
        <v>#REF!</v>
      </c>
      <c r="BL137" s="287" t="e">
        <f t="shared" si="151"/>
        <v>#REF!</v>
      </c>
      <c r="BM137" s="287" t="e">
        <f t="shared" si="151"/>
        <v>#REF!</v>
      </c>
      <c r="BN137" s="287" t="e">
        <f t="shared" si="151"/>
        <v>#REF!</v>
      </c>
      <c r="BO137" s="287" t="e">
        <f t="shared" si="151"/>
        <v>#REF!</v>
      </c>
    </row>
    <row r="138" spans="1:67" ht="20.25" customHeight="1">
      <c r="A138" s="424" t="e">
        <f>Z133</f>
        <v>#REF!</v>
      </c>
      <c r="B138" s="425">
        <v>0</v>
      </c>
      <c r="C138" s="200">
        <v>0</v>
      </c>
      <c r="D138" s="361" t="str">
        <f t="shared" si="145"/>
        <v>R14</v>
      </c>
      <c r="E138" s="74">
        <f t="shared" si="146"/>
        <v>0</v>
      </c>
      <c r="F138" s="337">
        <f>IF(C138=0,,VLOOKUP(E138,#REF!,5, FALSE()))</f>
        <v>0</v>
      </c>
      <c r="G138" s="473"/>
      <c r="H138" s="473"/>
      <c r="I138" s="461"/>
      <c r="J138" s="461"/>
      <c r="K138" s="474"/>
      <c r="L138" s="474"/>
      <c r="M138" s="461"/>
      <c r="N138" s="461"/>
      <c r="O138" s="474"/>
      <c r="P138" s="474"/>
      <c r="Q138" s="461"/>
      <c r="R138" s="461"/>
      <c r="S138" s="474"/>
      <c r="T138" s="474"/>
      <c r="U138" s="461"/>
      <c r="V138" s="461"/>
      <c r="W138" s="480"/>
      <c r="X138" s="382">
        <f>IF(C138=0,,VLOOKUP(E138,#REF!,2, FALSE()))</f>
        <v>0</v>
      </c>
      <c r="Y138" s="384">
        <f>IF(C138=0,,VLOOKUP(E138,#REF!,3, FALSE()))</f>
        <v>0</v>
      </c>
      <c r="Z138" s="385"/>
      <c r="AA138" s="74"/>
      <c r="AB138" s="386">
        <f>IF(C138=0,,VLOOKUP(E138,#REF!,6, FALSE()))</f>
        <v>0</v>
      </c>
      <c r="AC138" s="74"/>
      <c r="AD138" s="74"/>
      <c r="AE138" s="74"/>
      <c r="AF138" s="74"/>
      <c r="AG138" s="74"/>
      <c r="AH138" s="74"/>
      <c r="AI138" s="74"/>
      <c r="AJ138" s="389"/>
      <c r="AK138" s="287" t="e">
        <f t="shared" ref="AK138:BO138" si="152">(MID(#REF!, 7,2))</f>
        <v>#REF!</v>
      </c>
      <c r="AL138" s="287" t="e">
        <f t="shared" si="152"/>
        <v>#REF!</v>
      </c>
      <c r="AM138" s="287" t="e">
        <f t="shared" si="152"/>
        <v>#REF!</v>
      </c>
      <c r="AN138" s="287" t="e">
        <f t="shared" si="152"/>
        <v>#REF!</v>
      </c>
      <c r="AO138" s="287" t="e">
        <f t="shared" si="152"/>
        <v>#REF!</v>
      </c>
      <c r="AP138" s="287" t="e">
        <f t="shared" si="152"/>
        <v>#REF!</v>
      </c>
      <c r="AQ138" s="287" t="e">
        <f t="shared" si="152"/>
        <v>#REF!</v>
      </c>
      <c r="AR138" s="287" t="e">
        <f t="shared" si="152"/>
        <v>#REF!</v>
      </c>
      <c r="AS138" s="287" t="e">
        <f t="shared" si="152"/>
        <v>#REF!</v>
      </c>
      <c r="AT138" s="287" t="e">
        <f t="shared" si="152"/>
        <v>#REF!</v>
      </c>
      <c r="AU138" s="287" t="e">
        <f t="shared" si="152"/>
        <v>#REF!</v>
      </c>
      <c r="AV138" s="287" t="e">
        <f t="shared" si="152"/>
        <v>#REF!</v>
      </c>
      <c r="AW138" s="287" t="e">
        <f t="shared" si="152"/>
        <v>#REF!</v>
      </c>
      <c r="AX138" s="287" t="e">
        <f t="shared" si="152"/>
        <v>#REF!</v>
      </c>
      <c r="AY138" s="287" t="e">
        <f t="shared" si="152"/>
        <v>#REF!</v>
      </c>
      <c r="AZ138" s="287" t="e">
        <f t="shared" si="152"/>
        <v>#REF!</v>
      </c>
      <c r="BA138" s="287" t="e">
        <f t="shared" si="152"/>
        <v>#REF!</v>
      </c>
      <c r="BB138" s="287" t="e">
        <f t="shared" si="152"/>
        <v>#REF!</v>
      </c>
      <c r="BC138" s="287" t="e">
        <f t="shared" si="152"/>
        <v>#REF!</v>
      </c>
      <c r="BD138" s="287" t="e">
        <f t="shared" si="152"/>
        <v>#REF!</v>
      </c>
      <c r="BE138" s="287" t="e">
        <f t="shared" si="152"/>
        <v>#REF!</v>
      </c>
      <c r="BF138" s="287" t="e">
        <f t="shared" si="152"/>
        <v>#REF!</v>
      </c>
      <c r="BG138" s="287" t="e">
        <f t="shared" si="152"/>
        <v>#REF!</v>
      </c>
      <c r="BH138" s="287" t="e">
        <f t="shared" si="152"/>
        <v>#REF!</v>
      </c>
      <c r="BI138" s="287" t="e">
        <f t="shared" si="152"/>
        <v>#REF!</v>
      </c>
      <c r="BJ138" s="287" t="e">
        <f t="shared" si="152"/>
        <v>#REF!</v>
      </c>
      <c r="BK138" s="287" t="e">
        <f t="shared" si="152"/>
        <v>#REF!</v>
      </c>
      <c r="BL138" s="287" t="e">
        <f t="shared" si="152"/>
        <v>#REF!</v>
      </c>
      <c r="BM138" s="287" t="e">
        <f t="shared" si="152"/>
        <v>#REF!</v>
      </c>
      <c r="BN138" s="287" t="e">
        <f t="shared" si="152"/>
        <v>#REF!</v>
      </c>
      <c r="BO138" s="287" t="e">
        <f t="shared" si="152"/>
        <v>#REF!</v>
      </c>
    </row>
    <row r="139" spans="1:67" ht="20.25" customHeight="1">
      <c r="A139" s="424" t="s">
        <v>2951</v>
      </c>
      <c r="B139" s="425" t="e">
        <f>SUM(AB133:AB141)</f>
        <v>#REF!</v>
      </c>
      <c r="C139" s="200">
        <v>0</v>
      </c>
      <c r="D139" s="361" t="str">
        <f t="shared" si="145"/>
        <v>R14</v>
      </c>
      <c r="E139" s="74">
        <f t="shared" si="146"/>
        <v>0</v>
      </c>
      <c r="F139" s="337">
        <f>IF(C139=0,,VLOOKUP(E139,#REF!,5, FALSE()))</f>
        <v>0</v>
      </c>
      <c r="G139" s="473"/>
      <c r="H139" s="473"/>
      <c r="I139" s="461"/>
      <c r="J139" s="461"/>
      <c r="K139" s="474"/>
      <c r="L139" s="474"/>
      <c r="M139" s="461"/>
      <c r="N139" s="461"/>
      <c r="O139" s="474"/>
      <c r="P139" s="474"/>
      <c r="Q139" s="461"/>
      <c r="R139" s="461"/>
      <c r="S139" s="474"/>
      <c r="T139" s="474"/>
      <c r="U139" s="461"/>
      <c r="V139" s="461"/>
      <c r="W139" s="480"/>
      <c r="X139" s="382">
        <f>IF(C139=0,,VLOOKUP(E139,#REF!,2, FALSE()))</f>
        <v>0</v>
      </c>
      <c r="Y139" s="384">
        <f>IF(C139=0,,VLOOKUP(E139,#REF!,3, FALSE()))</f>
        <v>0</v>
      </c>
      <c r="Z139" s="385"/>
      <c r="AA139" s="74"/>
      <c r="AB139" s="386">
        <f>IF(C139=0,,VLOOKUP(E139,#REF!,6, FALSE()))</f>
        <v>0</v>
      </c>
      <c r="AC139" s="74"/>
      <c r="AD139" s="74"/>
      <c r="AE139" s="74"/>
      <c r="AF139" s="74"/>
      <c r="AG139" s="74"/>
      <c r="AH139" s="74"/>
      <c r="AI139" s="74"/>
      <c r="AJ139" s="389"/>
      <c r="AK139" s="287" t="e">
        <f t="shared" ref="AK139:BO139" si="153">(MID(#REF!, 7,2))</f>
        <v>#REF!</v>
      </c>
      <c r="AL139" s="287" t="e">
        <f t="shared" si="153"/>
        <v>#REF!</v>
      </c>
      <c r="AM139" s="287" t="e">
        <f t="shared" si="153"/>
        <v>#REF!</v>
      </c>
      <c r="AN139" s="287" t="e">
        <f t="shared" si="153"/>
        <v>#REF!</v>
      </c>
      <c r="AO139" s="287" t="e">
        <f t="shared" si="153"/>
        <v>#REF!</v>
      </c>
      <c r="AP139" s="287" t="e">
        <f t="shared" si="153"/>
        <v>#REF!</v>
      </c>
      <c r="AQ139" s="287" t="e">
        <f t="shared" si="153"/>
        <v>#REF!</v>
      </c>
      <c r="AR139" s="287" t="e">
        <f t="shared" si="153"/>
        <v>#REF!</v>
      </c>
      <c r="AS139" s="287" t="e">
        <f t="shared" si="153"/>
        <v>#REF!</v>
      </c>
      <c r="AT139" s="287" t="e">
        <f t="shared" si="153"/>
        <v>#REF!</v>
      </c>
      <c r="AU139" s="287" t="e">
        <f t="shared" si="153"/>
        <v>#REF!</v>
      </c>
      <c r="AV139" s="287" t="e">
        <f t="shared" si="153"/>
        <v>#REF!</v>
      </c>
      <c r="AW139" s="287" t="e">
        <f t="shared" si="153"/>
        <v>#REF!</v>
      </c>
      <c r="AX139" s="287" t="e">
        <f t="shared" si="153"/>
        <v>#REF!</v>
      </c>
      <c r="AY139" s="287" t="e">
        <f t="shared" si="153"/>
        <v>#REF!</v>
      </c>
      <c r="AZ139" s="287" t="e">
        <f t="shared" si="153"/>
        <v>#REF!</v>
      </c>
      <c r="BA139" s="287" t="e">
        <f t="shared" si="153"/>
        <v>#REF!</v>
      </c>
      <c r="BB139" s="287" t="e">
        <f t="shared" si="153"/>
        <v>#REF!</v>
      </c>
      <c r="BC139" s="287" t="e">
        <f t="shared" si="153"/>
        <v>#REF!</v>
      </c>
      <c r="BD139" s="287" t="e">
        <f t="shared" si="153"/>
        <v>#REF!</v>
      </c>
      <c r="BE139" s="287" t="e">
        <f t="shared" si="153"/>
        <v>#REF!</v>
      </c>
      <c r="BF139" s="287" t="e">
        <f t="shared" si="153"/>
        <v>#REF!</v>
      </c>
      <c r="BG139" s="287" t="e">
        <f t="shared" si="153"/>
        <v>#REF!</v>
      </c>
      <c r="BH139" s="287" t="e">
        <f t="shared" si="153"/>
        <v>#REF!</v>
      </c>
      <c r="BI139" s="287" t="e">
        <f t="shared" si="153"/>
        <v>#REF!</v>
      </c>
      <c r="BJ139" s="287" t="e">
        <f t="shared" si="153"/>
        <v>#REF!</v>
      </c>
      <c r="BK139" s="287" t="e">
        <f t="shared" si="153"/>
        <v>#REF!</v>
      </c>
      <c r="BL139" s="287" t="e">
        <f t="shared" si="153"/>
        <v>#REF!</v>
      </c>
      <c r="BM139" s="287" t="e">
        <f t="shared" si="153"/>
        <v>#REF!</v>
      </c>
      <c r="BN139" s="287" t="e">
        <f t="shared" si="153"/>
        <v>#REF!</v>
      </c>
      <c r="BO139" s="287" t="e">
        <f t="shared" si="153"/>
        <v>#REF!</v>
      </c>
    </row>
    <row r="140" spans="1:67" ht="20.25" customHeight="1">
      <c r="A140" s="424" t="s">
        <v>2952</v>
      </c>
      <c r="B140" s="425">
        <f>SUM(AJ133:AJ141)</f>
        <v>0</v>
      </c>
      <c r="C140" s="200">
        <v>0</v>
      </c>
      <c r="D140" s="361" t="str">
        <f t="shared" si="145"/>
        <v>R14</v>
      </c>
      <c r="E140" s="74">
        <f t="shared" si="146"/>
        <v>0</v>
      </c>
      <c r="F140" s="337">
        <f>IF(C140=0,,VLOOKUP(E140,#REF!,5, FALSE()))</f>
        <v>0</v>
      </c>
      <c r="G140" s="473"/>
      <c r="H140" s="473"/>
      <c r="I140" s="461"/>
      <c r="J140" s="461"/>
      <c r="K140" s="474"/>
      <c r="L140" s="474"/>
      <c r="M140" s="461"/>
      <c r="N140" s="461"/>
      <c r="O140" s="474"/>
      <c r="P140" s="474"/>
      <c r="Q140" s="461"/>
      <c r="R140" s="461"/>
      <c r="S140" s="474"/>
      <c r="T140" s="474"/>
      <c r="U140" s="461"/>
      <c r="V140" s="461"/>
      <c r="W140" s="480"/>
      <c r="X140" s="382">
        <f>IF(C140=0,,VLOOKUP(E140,#REF!,2, FALSE()))</f>
        <v>0</v>
      </c>
      <c r="Y140" s="384">
        <f>IF(C140=0,,VLOOKUP(E140,#REF!,3, FALSE()))</f>
        <v>0</v>
      </c>
      <c r="Z140" s="385"/>
      <c r="AA140" s="74"/>
      <c r="AB140" s="386">
        <f>IF(C140=0,,VLOOKUP(E140,#REF!,6, FALSE()))</f>
        <v>0</v>
      </c>
      <c r="AC140" s="74"/>
      <c r="AD140" s="74"/>
      <c r="AE140" s="74"/>
      <c r="AF140" s="74"/>
      <c r="AG140" s="74"/>
      <c r="AH140" s="74"/>
      <c r="AI140" s="74"/>
      <c r="AJ140" s="389"/>
      <c r="AK140" s="287" t="e">
        <f t="shared" ref="AK140:BO140" si="154">(MID(#REF!, 7,2))</f>
        <v>#REF!</v>
      </c>
      <c r="AL140" s="287" t="e">
        <f t="shared" si="154"/>
        <v>#REF!</v>
      </c>
      <c r="AM140" s="287" t="e">
        <f t="shared" si="154"/>
        <v>#REF!</v>
      </c>
      <c r="AN140" s="287" t="e">
        <f t="shared" si="154"/>
        <v>#REF!</v>
      </c>
      <c r="AO140" s="287" t="e">
        <f t="shared" si="154"/>
        <v>#REF!</v>
      </c>
      <c r="AP140" s="287" t="e">
        <f t="shared" si="154"/>
        <v>#REF!</v>
      </c>
      <c r="AQ140" s="287" t="e">
        <f t="shared" si="154"/>
        <v>#REF!</v>
      </c>
      <c r="AR140" s="287" t="e">
        <f t="shared" si="154"/>
        <v>#REF!</v>
      </c>
      <c r="AS140" s="287" t="e">
        <f t="shared" si="154"/>
        <v>#REF!</v>
      </c>
      <c r="AT140" s="287" t="e">
        <f t="shared" si="154"/>
        <v>#REF!</v>
      </c>
      <c r="AU140" s="287" t="e">
        <f t="shared" si="154"/>
        <v>#REF!</v>
      </c>
      <c r="AV140" s="287" t="e">
        <f t="shared" si="154"/>
        <v>#REF!</v>
      </c>
      <c r="AW140" s="287" t="e">
        <f t="shared" si="154"/>
        <v>#REF!</v>
      </c>
      <c r="AX140" s="287" t="e">
        <f t="shared" si="154"/>
        <v>#REF!</v>
      </c>
      <c r="AY140" s="287" t="e">
        <f t="shared" si="154"/>
        <v>#REF!</v>
      </c>
      <c r="AZ140" s="287" t="e">
        <f t="shared" si="154"/>
        <v>#REF!</v>
      </c>
      <c r="BA140" s="287" t="e">
        <f t="shared" si="154"/>
        <v>#REF!</v>
      </c>
      <c r="BB140" s="287" t="e">
        <f t="shared" si="154"/>
        <v>#REF!</v>
      </c>
      <c r="BC140" s="287" t="e">
        <f t="shared" si="154"/>
        <v>#REF!</v>
      </c>
      <c r="BD140" s="287" t="e">
        <f t="shared" si="154"/>
        <v>#REF!</v>
      </c>
      <c r="BE140" s="287" t="e">
        <f t="shared" si="154"/>
        <v>#REF!</v>
      </c>
      <c r="BF140" s="287" t="e">
        <f t="shared" si="154"/>
        <v>#REF!</v>
      </c>
      <c r="BG140" s="287" t="e">
        <f t="shared" si="154"/>
        <v>#REF!</v>
      </c>
      <c r="BH140" s="287" t="e">
        <f t="shared" si="154"/>
        <v>#REF!</v>
      </c>
      <c r="BI140" s="287" t="e">
        <f t="shared" si="154"/>
        <v>#REF!</v>
      </c>
      <c r="BJ140" s="287" t="e">
        <f t="shared" si="154"/>
        <v>#REF!</v>
      </c>
      <c r="BK140" s="287" t="e">
        <f t="shared" si="154"/>
        <v>#REF!</v>
      </c>
      <c r="BL140" s="287" t="e">
        <f t="shared" si="154"/>
        <v>#REF!</v>
      </c>
      <c r="BM140" s="287" t="e">
        <f t="shared" si="154"/>
        <v>#REF!</v>
      </c>
      <c r="BN140" s="287" t="e">
        <f t="shared" si="154"/>
        <v>#REF!</v>
      </c>
      <c r="BO140" s="287" t="e">
        <f t="shared" si="154"/>
        <v>#REF!</v>
      </c>
    </row>
    <row r="141" spans="1:67" ht="20.25" customHeight="1">
      <c r="A141" s="443" t="s">
        <v>2953</v>
      </c>
      <c r="B141" s="444" t="e">
        <f>B138-B139-B140</f>
        <v>#REF!</v>
      </c>
      <c r="C141" s="200">
        <v>0</v>
      </c>
      <c r="D141" s="361" t="str">
        <f t="shared" si="145"/>
        <v>R14</v>
      </c>
      <c r="E141" s="74">
        <f t="shared" si="146"/>
        <v>0</v>
      </c>
      <c r="F141" s="337">
        <f>IF(C141=0,,VLOOKUP(E141,#REF!,5, FALSE()))</f>
        <v>0</v>
      </c>
      <c r="G141" s="473"/>
      <c r="H141" s="473"/>
      <c r="I141" s="461"/>
      <c r="J141" s="461"/>
      <c r="K141" s="474"/>
      <c r="L141" s="474"/>
      <c r="M141" s="461"/>
      <c r="N141" s="461"/>
      <c r="O141" s="474"/>
      <c r="P141" s="474"/>
      <c r="Q141" s="461"/>
      <c r="R141" s="461"/>
      <c r="S141" s="474"/>
      <c r="T141" s="474"/>
      <c r="U141" s="461"/>
      <c r="V141" s="461"/>
      <c r="W141" s="481"/>
      <c r="X141" s="382">
        <f>IF(C141=0,,VLOOKUP(E141,#REF!,2, FALSE()))</f>
        <v>0</v>
      </c>
      <c r="Y141" s="384">
        <f>IF(C141=0,,VLOOKUP(E141,#REF!,3, FALSE()))</f>
        <v>0</v>
      </c>
      <c r="Z141" s="385"/>
      <c r="AA141" s="74"/>
      <c r="AB141" s="386">
        <f>IF(C141=0,,VLOOKUP(E141,#REF!,6, FALSE()))</f>
        <v>0</v>
      </c>
      <c r="AC141" s="74"/>
      <c r="AD141" s="74"/>
      <c r="AE141" s="74"/>
      <c r="AF141" s="74"/>
      <c r="AG141" s="74"/>
      <c r="AH141" s="74"/>
      <c r="AI141" s="74"/>
      <c r="AJ141" s="389"/>
      <c r="AK141" s="287" t="e">
        <f t="shared" ref="AK141:BO141" si="155">(MID(#REF!, 7,2))</f>
        <v>#REF!</v>
      </c>
      <c r="AL141" s="287" t="e">
        <f t="shared" si="155"/>
        <v>#REF!</v>
      </c>
      <c r="AM141" s="287" t="e">
        <f t="shared" si="155"/>
        <v>#REF!</v>
      </c>
      <c r="AN141" s="287" t="e">
        <f t="shared" si="155"/>
        <v>#REF!</v>
      </c>
      <c r="AO141" s="287" t="e">
        <f t="shared" si="155"/>
        <v>#REF!</v>
      </c>
      <c r="AP141" s="287" t="e">
        <f t="shared" si="155"/>
        <v>#REF!</v>
      </c>
      <c r="AQ141" s="287" t="e">
        <f t="shared" si="155"/>
        <v>#REF!</v>
      </c>
      <c r="AR141" s="287" t="e">
        <f t="shared" si="155"/>
        <v>#REF!</v>
      </c>
      <c r="AS141" s="287" t="e">
        <f t="shared" si="155"/>
        <v>#REF!</v>
      </c>
      <c r="AT141" s="287" t="e">
        <f t="shared" si="155"/>
        <v>#REF!</v>
      </c>
      <c r="AU141" s="287" t="e">
        <f t="shared" si="155"/>
        <v>#REF!</v>
      </c>
      <c r="AV141" s="287" t="e">
        <f t="shared" si="155"/>
        <v>#REF!</v>
      </c>
      <c r="AW141" s="287" t="e">
        <f t="shared" si="155"/>
        <v>#REF!</v>
      </c>
      <c r="AX141" s="287" t="e">
        <f t="shared" si="155"/>
        <v>#REF!</v>
      </c>
      <c r="AY141" s="287" t="e">
        <f t="shared" si="155"/>
        <v>#REF!</v>
      </c>
      <c r="AZ141" s="287" t="e">
        <f t="shared" si="155"/>
        <v>#REF!</v>
      </c>
      <c r="BA141" s="287" t="e">
        <f t="shared" si="155"/>
        <v>#REF!</v>
      </c>
      <c r="BB141" s="287" t="e">
        <f t="shared" si="155"/>
        <v>#REF!</v>
      </c>
      <c r="BC141" s="287" t="e">
        <f t="shared" si="155"/>
        <v>#REF!</v>
      </c>
      <c r="BD141" s="287" t="e">
        <f t="shared" si="155"/>
        <v>#REF!</v>
      </c>
      <c r="BE141" s="287" t="e">
        <f t="shared" si="155"/>
        <v>#REF!</v>
      </c>
      <c r="BF141" s="287" t="e">
        <f t="shared" si="155"/>
        <v>#REF!</v>
      </c>
      <c r="BG141" s="287" t="e">
        <f t="shared" si="155"/>
        <v>#REF!</v>
      </c>
      <c r="BH141" s="287" t="e">
        <f t="shared" si="155"/>
        <v>#REF!</v>
      </c>
      <c r="BI141" s="287" t="e">
        <f t="shared" si="155"/>
        <v>#REF!</v>
      </c>
      <c r="BJ141" s="287" t="e">
        <f t="shared" si="155"/>
        <v>#REF!</v>
      </c>
      <c r="BK141" s="287" t="e">
        <f t="shared" si="155"/>
        <v>#REF!</v>
      </c>
      <c r="BL141" s="287" t="e">
        <f t="shared" si="155"/>
        <v>#REF!</v>
      </c>
      <c r="BM141" s="287" t="e">
        <f t="shared" si="155"/>
        <v>#REF!</v>
      </c>
      <c r="BN141" s="287" t="e">
        <f t="shared" si="155"/>
        <v>#REF!</v>
      </c>
      <c r="BO141" s="287" t="e">
        <f t="shared" si="155"/>
        <v>#REF!</v>
      </c>
    </row>
    <row r="142" spans="1:67" ht="3.75" customHeight="1">
      <c r="G142" s="446"/>
      <c r="H142" s="446"/>
      <c r="I142" s="285"/>
      <c r="J142" s="285"/>
      <c r="K142" s="346"/>
      <c r="L142" s="346"/>
      <c r="M142" s="285"/>
      <c r="N142" s="285"/>
      <c r="O142" s="346"/>
      <c r="P142" s="346"/>
      <c r="Q142" s="285"/>
      <c r="R142" s="285"/>
      <c r="S142" s="346"/>
      <c r="T142" s="346"/>
      <c r="U142" s="285"/>
      <c r="V142" s="285"/>
      <c r="Y142" s="447"/>
      <c r="AK142" s="346"/>
      <c r="AL142" s="346"/>
      <c r="AM142" s="346"/>
      <c r="AN142" s="346"/>
      <c r="AO142" s="346"/>
      <c r="AP142" s="346"/>
      <c r="AQ142" s="346"/>
      <c r="AR142" s="346"/>
      <c r="AS142" s="346"/>
      <c r="AT142" s="346"/>
      <c r="AU142" s="346"/>
      <c r="AV142" s="346"/>
      <c r="AW142" s="346"/>
      <c r="AX142" s="346"/>
      <c r="AY142" s="346"/>
      <c r="AZ142" s="346"/>
      <c r="BA142" s="346"/>
      <c r="BB142" s="346"/>
      <c r="BC142" s="346"/>
      <c r="BD142" s="346"/>
      <c r="BE142" s="346"/>
      <c r="BF142" s="346"/>
      <c r="BG142" s="346"/>
      <c r="BH142" s="346"/>
      <c r="BI142" s="346"/>
      <c r="BJ142" s="346"/>
      <c r="BK142" s="346"/>
      <c r="BL142" s="346"/>
      <c r="BM142" s="346"/>
      <c r="BN142" s="346"/>
      <c r="BO142" s="346"/>
    </row>
    <row r="143" spans="1:67" ht="20.25" customHeight="1">
      <c r="A143" s="200" t="s">
        <v>2459</v>
      </c>
      <c r="B143" s="217" t="s">
        <v>397</v>
      </c>
      <c r="C143" s="200">
        <v>1</v>
      </c>
      <c r="D143" s="361" t="str">
        <f t="shared" ref="D143:D151" si="156">$B$143</f>
        <v>R15</v>
      </c>
      <c r="E143" s="74" t="str">
        <f t="shared" ref="E143:E151" si="157">IF(C143=0,,CONCATENATE(D143,"/",C143))</f>
        <v>R15/1</v>
      </c>
      <c r="F143" s="337" t="e">
        <f>IF(C143=0,,VLOOKUP(E143,#REF!,5, FALSE()))</f>
        <v>#REF!</v>
      </c>
      <c r="G143" s="470"/>
      <c r="H143" s="470"/>
      <c r="I143" s="471"/>
      <c r="J143" s="471"/>
      <c r="K143" s="472"/>
      <c r="L143" s="472"/>
      <c r="M143" s="471"/>
      <c r="N143" s="471"/>
      <c r="O143" s="472"/>
      <c r="P143" s="472"/>
      <c r="Q143" s="471"/>
      <c r="R143" s="471"/>
      <c r="S143" s="472"/>
      <c r="T143" s="472"/>
      <c r="U143" s="471"/>
      <c r="V143" s="471"/>
      <c r="W143" s="563" t="e">
        <f>CONCATENATE(F143," + ",F144," + ",F145," + ",F146," + ",F147," + ",F148," + ",F149," + ",F150," + ",F151)</f>
        <v>#REF!</v>
      </c>
      <c r="X143" s="382" t="e">
        <f>IF(C143=0,,VLOOKUP(E143,#REF!,2, FALSE()))</f>
        <v>#REF!</v>
      </c>
      <c r="Y143" s="384" t="e">
        <f>IF(C143=0,,VLOOKUP(E143,#REF!,3, FALSE()))</f>
        <v>#REF!</v>
      </c>
      <c r="Z143" s="385" t="e">
        <f>VLOOKUP(Y143,#REF!,6, FALSE())</f>
        <v>#REF!</v>
      </c>
      <c r="AA143" s="74" t="str">
        <f>$B145</f>
        <v>Cesta Gd</v>
      </c>
      <c r="AB143" s="386" t="e">
        <f>IF(C143=0,,VLOOKUP(E143,#REF!,6, FALSE()))</f>
        <v>#REF!</v>
      </c>
      <c r="AC143" s="74"/>
      <c r="AD143" s="74">
        <f>$B146</f>
        <v>0</v>
      </c>
      <c r="AE143" s="74"/>
      <c r="AF143" s="450">
        <f>$B147</f>
        <v>0</v>
      </c>
      <c r="AG143" s="74"/>
      <c r="AH143" s="450" t="e">
        <f>$B149</f>
        <v>#REF!</v>
      </c>
      <c r="AI143" s="450" t="e">
        <f>B149+B150</f>
        <v>#REF!</v>
      </c>
      <c r="AJ143" s="389"/>
      <c r="AK143" s="287" t="e">
        <f t="shared" ref="AK143:BO143" si="158">(MID(#REF!, 7,2))</f>
        <v>#REF!</v>
      </c>
      <c r="AL143" s="287" t="e">
        <f t="shared" si="158"/>
        <v>#REF!</v>
      </c>
      <c r="AM143" s="287" t="e">
        <f t="shared" si="158"/>
        <v>#REF!</v>
      </c>
      <c r="AN143" s="287" t="e">
        <f t="shared" si="158"/>
        <v>#REF!</v>
      </c>
      <c r="AO143" s="287" t="e">
        <f t="shared" si="158"/>
        <v>#REF!</v>
      </c>
      <c r="AP143" s="287" t="e">
        <f t="shared" si="158"/>
        <v>#REF!</v>
      </c>
      <c r="AQ143" s="287" t="e">
        <f t="shared" si="158"/>
        <v>#REF!</v>
      </c>
      <c r="AR143" s="287" t="e">
        <f t="shared" si="158"/>
        <v>#REF!</v>
      </c>
      <c r="AS143" s="287" t="e">
        <f t="shared" si="158"/>
        <v>#REF!</v>
      </c>
      <c r="AT143" s="287" t="e">
        <f t="shared" si="158"/>
        <v>#REF!</v>
      </c>
      <c r="AU143" s="287" t="e">
        <f t="shared" si="158"/>
        <v>#REF!</v>
      </c>
      <c r="AV143" s="287" t="e">
        <f t="shared" si="158"/>
        <v>#REF!</v>
      </c>
      <c r="AW143" s="287" t="e">
        <f t="shared" si="158"/>
        <v>#REF!</v>
      </c>
      <c r="AX143" s="287" t="e">
        <f t="shared" si="158"/>
        <v>#REF!</v>
      </c>
      <c r="AY143" s="287" t="e">
        <f t="shared" si="158"/>
        <v>#REF!</v>
      </c>
      <c r="AZ143" s="287" t="e">
        <f t="shared" si="158"/>
        <v>#REF!</v>
      </c>
      <c r="BA143" s="287" t="e">
        <f t="shared" si="158"/>
        <v>#REF!</v>
      </c>
      <c r="BB143" s="287" t="e">
        <f t="shared" si="158"/>
        <v>#REF!</v>
      </c>
      <c r="BC143" s="287" t="e">
        <f t="shared" si="158"/>
        <v>#REF!</v>
      </c>
      <c r="BD143" s="287" t="e">
        <f t="shared" si="158"/>
        <v>#REF!</v>
      </c>
      <c r="BE143" s="287" t="e">
        <f t="shared" si="158"/>
        <v>#REF!</v>
      </c>
      <c r="BF143" s="287" t="e">
        <f t="shared" si="158"/>
        <v>#REF!</v>
      </c>
      <c r="BG143" s="287" t="e">
        <f t="shared" si="158"/>
        <v>#REF!</v>
      </c>
      <c r="BH143" s="287" t="e">
        <f t="shared" si="158"/>
        <v>#REF!</v>
      </c>
      <c r="BI143" s="287" t="e">
        <f t="shared" si="158"/>
        <v>#REF!</v>
      </c>
      <c r="BJ143" s="287" t="e">
        <f t="shared" si="158"/>
        <v>#REF!</v>
      </c>
      <c r="BK143" s="287" t="e">
        <f t="shared" si="158"/>
        <v>#REF!</v>
      </c>
      <c r="BL143" s="287" t="e">
        <f t="shared" si="158"/>
        <v>#REF!</v>
      </c>
      <c r="BM143" s="287" t="e">
        <f t="shared" si="158"/>
        <v>#REF!</v>
      </c>
      <c r="BN143" s="287" t="e">
        <f t="shared" si="158"/>
        <v>#REF!</v>
      </c>
      <c r="BO143" s="287" t="e">
        <f t="shared" si="158"/>
        <v>#REF!</v>
      </c>
    </row>
    <row r="144" spans="1:67" ht="20.25" customHeight="1">
      <c r="A144" s="562" t="e">
        <f>Y143</f>
        <v>#REF!</v>
      </c>
      <c r="B144" s="499"/>
      <c r="C144" s="200">
        <v>2</v>
      </c>
      <c r="D144" s="361" t="str">
        <f t="shared" si="156"/>
        <v>R15</v>
      </c>
      <c r="E144" s="74" t="str">
        <f t="shared" si="157"/>
        <v>R15/2</v>
      </c>
      <c r="F144" s="337" t="e">
        <f>IF(C144=0,,VLOOKUP(E144,#REF!,5, FALSE()))</f>
        <v>#REF!</v>
      </c>
      <c r="G144" s="473"/>
      <c r="H144" s="473"/>
      <c r="I144" s="461"/>
      <c r="J144" s="461"/>
      <c r="K144" s="474"/>
      <c r="L144" s="474"/>
      <c r="M144" s="461"/>
      <c r="N144" s="461"/>
      <c r="O144" s="474"/>
      <c r="P144" s="474"/>
      <c r="Q144" s="461"/>
      <c r="R144" s="461"/>
      <c r="S144" s="474"/>
      <c r="T144" s="474"/>
      <c r="U144" s="461"/>
      <c r="V144" s="461"/>
      <c r="W144" s="480"/>
      <c r="X144" s="382" t="e">
        <f>IF(C144=0,,VLOOKUP(E144,#REF!,2, FALSE()))</f>
        <v>#REF!</v>
      </c>
      <c r="Y144" s="384" t="e">
        <f>IF(C144=0,,VLOOKUP(E144,#REF!,3, FALSE()))</f>
        <v>#REF!</v>
      </c>
      <c r="Z144" s="385"/>
      <c r="AA144" s="74"/>
      <c r="AB144" s="386" t="e">
        <f>IF(C144=0,,VLOOKUP(E144,#REF!,6, FALSE()))</f>
        <v>#REF!</v>
      </c>
      <c r="AC144" s="74"/>
      <c r="AD144" s="74"/>
      <c r="AE144" s="74"/>
      <c r="AF144" s="74"/>
      <c r="AG144" s="74"/>
      <c r="AH144" s="74"/>
      <c r="AI144" s="74"/>
      <c r="AJ144" s="389"/>
      <c r="AK144" s="287" t="e">
        <f t="shared" ref="AK144:BO144" si="159">(MID(#REF!, 7,2))</f>
        <v>#REF!</v>
      </c>
      <c r="AL144" s="287" t="e">
        <f t="shared" si="159"/>
        <v>#REF!</v>
      </c>
      <c r="AM144" s="287" t="e">
        <f t="shared" si="159"/>
        <v>#REF!</v>
      </c>
      <c r="AN144" s="287" t="e">
        <f t="shared" si="159"/>
        <v>#REF!</v>
      </c>
      <c r="AO144" s="287" t="e">
        <f t="shared" si="159"/>
        <v>#REF!</v>
      </c>
      <c r="AP144" s="287" t="e">
        <f t="shared" si="159"/>
        <v>#REF!</v>
      </c>
      <c r="AQ144" s="287" t="e">
        <f t="shared" si="159"/>
        <v>#REF!</v>
      </c>
      <c r="AR144" s="287" t="e">
        <f t="shared" si="159"/>
        <v>#REF!</v>
      </c>
      <c r="AS144" s="287" t="e">
        <f t="shared" si="159"/>
        <v>#REF!</v>
      </c>
      <c r="AT144" s="287" t="e">
        <f t="shared" si="159"/>
        <v>#REF!</v>
      </c>
      <c r="AU144" s="287" t="e">
        <f t="shared" si="159"/>
        <v>#REF!</v>
      </c>
      <c r="AV144" s="287" t="e">
        <f t="shared" si="159"/>
        <v>#REF!</v>
      </c>
      <c r="AW144" s="287" t="e">
        <f t="shared" si="159"/>
        <v>#REF!</v>
      </c>
      <c r="AX144" s="287" t="e">
        <f t="shared" si="159"/>
        <v>#REF!</v>
      </c>
      <c r="AY144" s="287" t="e">
        <f t="shared" si="159"/>
        <v>#REF!</v>
      </c>
      <c r="AZ144" s="287" t="e">
        <f t="shared" si="159"/>
        <v>#REF!</v>
      </c>
      <c r="BA144" s="287" t="e">
        <f t="shared" si="159"/>
        <v>#REF!</v>
      </c>
      <c r="BB144" s="287" t="e">
        <f t="shared" si="159"/>
        <v>#REF!</v>
      </c>
      <c r="BC144" s="287" t="e">
        <f t="shared" si="159"/>
        <v>#REF!</v>
      </c>
      <c r="BD144" s="287" t="e">
        <f t="shared" si="159"/>
        <v>#REF!</v>
      </c>
      <c r="BE144" s="287" t="e">
        <f t="shared" si="159"/>
        <v>#REF!</v>
      </c>
      <c r="BF144" s="287" t="e">
        <f t="shared" si="159"/>
        <v>#REF!</v>
      </c>
      <c r="BG144" s="287" t="e">
        <f t="shared" si="159"/>
        <v>#REF!</v>
      </c>
      <c r="BH144" s="287" t="e">
        <f t="shared" si="159"/>
        <v>#REF!</v>
      </c>
      <c r="BI144" s="287" t="e">
        <f t="shared" si="159"/>
        <v>#REF!</v>
      </c>
      <c r="BJ144" s="287" t="e">
        <f t="shared" si="159"/>
        <v>#REF!</v>
      </c>
      <c r="BK144" s="287" t="e">
        <f t="shared" si="159"/>
        <v>#REF!</v>
      </c>
      <c r="BL144" s="287" t="e">
        <f t="shared" si="159"/>
        <v>#REF!</v>
      </c>
      <c r="BM144" s="287" t="e">
        <f t="shared" si="159"/>
        <v>#REF!</v>
      </c>
      <c r="BN144" s="287" t="e">
        <f t="shared" si="159"/>
        <v>#REF!</v>
      </c>
      <c r="BO144" s="287" t="e">
        <f t="shared" si="159"/>
        <v>#REF!</v>
      </c>
    </row>
    <row r="145" spans="1:67" ht="20.25" customHeight="1">
      <c r="A145" s="402" t="s">
        <v>2896</v>
      </c>
      <c r="B145" s="19" t="s">
        <v>21</v>
      </c>
      <c r="C145" s="200">
        <v>0</v>
      </c>
      <c r="D145" s="361" t="str">
        <f t="shared" si="156"/>
        <v>R15</v>
      </c>
      <c r="E145" s="74">
        <f t="shared" si="157"/>
        <v>0</v>
      </c>
      <c r="F145" s="337">
        <f>IF(C145=0,,VLOOKUP(E145,#REF!,5, FALSE()))</f>
        <v>0</v>
      </c>
      <c r="G145" s="473"/>
      <c r="H145" s="473"/>
      <c r="I145" s="461"/>
      <c r="J145" s="461"/>
      <c r="K145" s="474"/>
      <c r="L145" s="474"/>
      <c r="M145" s="461"/>
      <c r="N145" s="461"/>
      <c r="O145" s="474"/>
      <c r="P145" s="474"/>
      <c r="Q145" s="461"/>
      <c r="R145" s="461"/>
      <c r="S145" s="474"/>
      <c r="T145" s="474"/>
      <c r="U145" s="461"/>
      <c r="V145" s="461"/>
      <c r="W145" s="480"/>
      <c r="X145" s="382">
        <f>IF(C145=0,,VLOOKUP(E145,#REF!,2, FALSE()))</f>
        <v>0</v>
      </c>
      <c r="Y145" s="384">
        <f>IF(C145=0,,VLOOKUP(E145,#REF!,3, FALSE()))</f>
        <v>0</v>
      </c>
      <c r="Z145" s="385"/>
      <c r="AA145" s="74"/>
      <c r="AB145" s="386">
        <f>IF(C145=0,,VLOOKUP(E145,#REF!,6, FALSE()))</f>
        <v>0</v>
      </c>
      <c r="AC145" s="74"/>
      <c r="AD145" s="74"/>
      <c r="AE145" s="74"/>
      <c r="AF145" s="74"/>
      <c r="AG145" s="74"/>
      <c r="AH145" s="74"/>
      <c r="AI145" s="74"/>
      <c r="AJ145" s="389"/>
      <c r="AK145" s="287" t="e">
        <f t="shared" ref="AK145:BO145" si="160">(MID(#REF!, 7,2))</f>
        <v>#REF!</v>
      </c>
      <c r="AL145" s="287" t="e">
        <f t="shared" si="160"/>
        <v>#REF!</v>
      </c>
      <c r="AM145" s="287" t="e">
        <f t="shared" si="160"/>
        <v>#REF!</v>
      </c>
      <c r="AN145" s="287" t="e">
        <f t="shared" si="160"/>
        <v>#REF!</v>
      </c>
      <c r="AO145" s="287" t="e">
        <f t="shared" si="160"/>
        <v>#REF!</v>
      </c>
      <c r="AP145" s="287" t="e">
        <f t="shared" si="160"/>
        <v>#REF!</v>
      </c>
      <c r="AQ145" s="287" t="e">
        <f t="shared" si="160"/>
        <v>#REF!</v>
      </c>
      <c r="AR145" s="287" t="e">
        <f t="shared" si="160"/>
        <v>#REF!</v>
      </c>
      <c r="AS145" s="287" t="e">
        <f t="shared" si="160"/>
        <v>#REF!</v>
      </c>
      <c r="AT145" s="287" t="e">
        <f t="shared" si="160"/>
        <v>#REF!</v>
      </c>
      <c r="AU145" s="287" t="e">
        <f t="shared" si="160"/>
        <v>#REF!</v>
      </c>
      <c r="AV145" s="287" t="e">
        <f t="shared" si="160"/>
        <v>#REF!</v>
      </c>
      <c r="AW145" s="287" t="e">
        <f t="shared" si="160"/>
        <v>#REF!</v>
      </c>
      <c r="AX145" s="287" t="e">
        <f t="shared" si="160"/>
        <v>#REF!</v>
      </c>
      <c r="AY145" s="287" t="e">
        <f t="shared" si="160"/>
        <v>#REF!</v>
      </c>
      <c r="AZ145" s="287" t="e">
        <f t="shared" si="160"/>
        <v>#REF!</v>
      </c>
      <c r="BA145" s="287" t="e">
        <f t="shared" si="160"/>
        <v>#REF!</v>
      </c>
      <c r="BB145" s="287" t="e">
        <f t="shared" si="160"/>
        <v>#REF!</v>
      </c>
      <c r="BC145" s="287" t="e">
        <f t="shared" si="160"/>
        <v>#REF!</v>
      </c>
      <c r="BD145" s="287" t="e">
        <f t="shared" si="160"/>
        <v>#REF!</v>
      </c>
      <c r="BE145" s="287" t="e">
        <f t="shared" si="160"/>
        <v>#REF!</v>
      </c>
      <c r="BF145" s="287" t="e">
        <f t="shared" si="160"/>
        <v>#REF!</v>
      </c>
      <c r="BG145" s="287" t="e">
        <f t="shared" si="160"/>
        <v>#REF!</v>
      </c>
      <c r="BH145" s="287" t="e">
        <f t="shared" si="160"/>
        <v>#REF!</v>
      </c>
      <c r="BI145" s="287" t="e">
        <f t="shared" si="160"/>
        <v>#REF!</v>
      </c>
      <c r="BJ145" s="287" t="e">
        <f t="shared" si="160"/>
        <v>#REF!</v>
      </c>
      <c r="BK145" s="287" t="e">
        <f t="shared" si="160"/>
        <v>#REF!</v>
      </c>
      <c r="BL145" s="287" t="e">
        <f t="shared" si="160"/>
        <v>#REF!</v>
      </c>
      <c r="BM145" s="287" t="e">
        <f t="shared" si="160"/>
        <v>#REF!</v>
      </c>
      <c r="BN145" s="287" t="e">
        <f t="shared" si="160"/>
        <v>#REF!</v>
      </c>
      <c r="BO145" s="287" t="e">
        <f t="shared" si="160"/>
        <v>#REF!</v>
      </c>
    </row>
    <row r="146" spans="1:67" ht="20.25" customHeight="1">
      <c r="A146" s="409" t="s">
        <v>2921</v>
      </c>
      <c r="B146" s="410">
        <v>0</v>
      </c>
      <c r="C146" s="200">
        <v>0</v>
      </c>
      <c r="D146" s="361" t="str">
        <f t="shared" si="156"/>
        <v>R15</v>
      </c>
      <c r="E146" s="74">
        <f t="shared" si="157"/>
        <v>0</v>
      </c>
      <c r="F146" s="337">
        <f>IF(C146=0,,VLOOKUP(E146,#REF!,5, FALSE()))</f>
        <v>0</v>
      </c>
      <c r="G146" s="473"/>
      <c r="H146" s="473"/>
      <c r="I146" s="461"/>
      <c r="J146" s="461"/>
      <c r="K146" s="474"/>
      <c r="L146" s="474"/>
      <c r="M146" s="461"/>
      <c r="N146" s="461"/>
      <c r="O146" s="474"/>
      <c r="P146" s="474"/>
      <c r="Q146" s="461"/>
      <c r="R146" s="461"/>
      <c r="S146" s="474"/>
      <c r="T146" s="474"/>
      <c r="U146" s="461"/>
      <c r="V146" s="461"/>
      <c r="W146" s="480"/>
      <c r="X146" s="382">
        <f>IF(C146=0,,VLOOKUP(E146,#REF!,2, FALSE()))</f>
        <v>0</v>
      </c>
      <c r="Y146" s="384">
        <f>IF(C146=0,,VLOOKUP(E146,#REF!,3, FALSE()))</f>
        <v>0</v>
      </c>
      <c r="Z146" s="385"/>
      <c r="AA146" s="74"/>
      <c r="AB146" s="386">
        <f>IF(C146=0,,VLOOKUP(E146,#REF!,6, FALSE()))</f>
        <v>0</v>
      </c>
      <c r="AC146" s="74"/>
      <c r="AD146" s="74"/>
      <c r="AE146" s="74"/>
      <c r="AF146" s="74"/>
      <c r="AG146" s="74"/>
      <c r="AH146" s="74"/>
      <c r="AI146" s="74"/>
      <c r="AJ146" s="422"/>
      <c r="AK146" s="287" t="e">
        <f t="shared" ref="AK146:BO146" si="161">(MID(#REF!, 7,2))</f>
        <v>#REF!</v>
      </c>
      <c r="AL146" s="287" t="e">
        <f t="shared" si="161"/>
        <v>#REF!</v>
      </c>
      <c r="AM146" s="287" t="e">
        <f t="shared" si="161"/>
        <v>#REF!</v>
      </c>
      <c r="AN146" s="287" t="e">
        <f t="shared" si="161"/>
        <v>#REF!</v>
      </c>
      <c r="AO146" s="287" t="e">
        <f t="shared" si="161"/>
        <v>#REF!</v>
      </c>
      <c r="AP146" s="287" t="e">
        <f t="shared" si="161"/>
        <v>#REF!</v>
      </c>
      <c r="AQ146" s="287" t="e">
        <f t="shared" si="161"/>
        <v>#REF!</v>
      </c>
      <c r="AR146" s="287" t="e">
        <f t="shared" si="161"/>
        <v>#REF!</v>
      </c>
      <c r="AS146" s="287" t="e">
        <f t="shared" si="161"/>
        <v>#REF!</v>
      </c>
      <c r="AT146" s="287" t="e">
        <f t="shared" si="161"/>
        <v>#REF!</v>
      </c>
      <c r="AU146" s="287" t="e">
        <f t="shared" si="161"/>
        <v>#REF!</v>
      </c>
      <c r="AV146" s="287" t="e">
        <f t="shared" si="161"/>
        <v>#REF!</v>
      </c>
      <c r="AW146" s="287" t="e">
        <f t="shared" si="161"/>
        <v>#REF!</v>
      </c>
      <c r="AX146" s="287" t="e">
        <f t="shared" si="161"/>
        <v>#REF!</v>
      </c>
      <c r="AY146" s="287" t="e">
        <f t="shared" si="161"/>
        <v>#REF!</v>
      </c>
      <c r="AZ146" s="287" t="e">
        <f t="shared" si="161"/>
        <v>#REF!</v>
      </c>
      <c r="BA146" s="287" t="e">
        <f t="shared" si="161"/>
        <v>#REF!</v>
      </c>
      <c r="BB146" s="287" t="e">
        <f t="shared" si="161"/>
        <v>#REF!</v>
      </c>
      <c r="BC146" s="287" t="e">
        <f t="shared" si="161"/>
        <v>#REF!</v>
      </c>
      <c r="BD146" s="287" t="e">
        <f t="shared" si="161"/>
        <v>#REF!</v>
      </c>
      <c r="BE146" s="287" t="e">
        <f t="shared" si="161"/>
        <v>#REF!</v>
      </c>
      <c r="BF146" s="287" t="e">
        <f t="shared" si="161"/>
        <v>#REF!</v>
      </c>
      <c r="BG146" s="287" t="e">
        <f t="shared" si="161"/>
        <v>#REF!</v>
      </c>
      <c r="BH146" s="287" t="e">
        <f t="shared" si="161"/>
        <v>#REF!</v>
      </c>
      <c r="BI146" s="287" t="e">
        <f t="shared" si="161"/>
        <v>#REF!</v>
      </c>
      <c r="BJ146" s="287" t="e">
        <f t="shared" si="161"/>
        <v>#REF!</v>
      </c>
      <c r="BK146" s="287" t="e">
        <f t="shared" si="161"/>
        <v>#REF!</v>
      </c>
      <c r="BL146" s="287" t="e">
        <f t="shared" si="161"/>
        <v>#REF!</v>
      </c>
      <c r="BM146" s="287" t="e">
        <f t="shared" si="161"/>
        <v>#REF!</v>
      </c>
      <c r="BN146" s="287" t="e">
        <f t="shared" si="161"/>
        <v>#REF!</v>
      </c>
      <c r="BO146" s="287" t="e">
        <f t="shared" si="161"/>
        <v>#REF!</v>
      </c>
    </row>
    <row r="147" spans="1:67" ht="20.25" customHeight="1">
      <c r="A147" s="424" t="s">
        <v>2936</v>
      </c>
      <c r="B147" s="425">
        <v>0</v>
      </c>
      <c r="C147" s="200">
        <v>0</v>
      </c>
      <c r="D147" s="361" t="str">
        <f t="shared" si="156"/>
        <v>R15</v>
      </c>
      <c r="E147" s="74">
        <f t="shared" si="157"/>
        <v>0</v>
      </c>
      <c r="F147" s="337">
        <f>IF(C147=0,,VLOOKUP(E147,#REF!,5, FALSE()))</f>
        <v>0</v>
      </c>
      <c r="G147" s="473"/>
      <c r="H147" s="473"/>
      <c r="I147" s="461"/>
      <c r="J147" s="461"/>
      <c r="K147" s="474"/>
      <c r="L147" s="474"/>
      <c r="M147" s="461"/>
      <c r="N147" s="461"/>
      <c r="O147" s="474"/>
      <c r="P147" s="474"/>
      <c r="Q147" s="461"/>
      <c r="R147" s="461"/>
      <c r="S147" s="474"/>
      <c r="T147" s="474"/>
      <c r="U147" s="461"/>
      <c r="V147" s="461"/>
      <c r="W147" s="480"/>
      <c r="X147" s="382">
        <f>IF(C147=0,,VLOOKUP(E147,#REF!,2, FALSE()))</f>
        <v>0</v>
      </c>
      <c r="Y147" s="384">
        <f>IF(C147=0,,VLOOKUP(E147,#REF!,3, FALSE()))</f>
        <v>0</v>
      </c>
      <c r="Z147" s="385"/>
      <c r="AA147" s="74"/>
      <c r="AB147" s="386">
        <f>IF(C147=0,,VLOOKUP(E147,#REF!,6, FALSE()))</f>
        <v>0</v>
      </c>
      <c r="AC147" s="74"/>
      <c r="AD147" s="74"/>
      <c r="AE147" s="74"/>
      <c r="AF147" s="74"/>
      <c r="AG147" s="74"/>
      <c r="AH147" s="74"/>
      <c r="AI147" s="74"/>
      <c r="AJ147" s="389"/>
      <c r="AK147" s="287" t="e">
        <f t="shared" ref="AK147:BO147" si="162">(MID(#REF!, 7,2))</f>
        <v>#REF!</v>
      </c>
      <c r="AL147" s="287" t="e">
        <f t="shared" si="162"/>
        <v>#REF!</v>
      </c>
      <c r="AM147" s="287" t="e">
        <f t="shared" si="162"/>
        <v>#REF!</v>
      </c>
      <c r="AN147" s="287" t="e">
        <f t="shared" si="162"/>
        <v>#REF!</v>
      </c>
      <c r="AO147" s="287" t="e">
        <f t="shared" si="162"/>
        <v>#REF!</v>
      </c>
      <c r="AP147" s="287" t="e">
        <f t="shared" si="162"/>
        <v>#REF!</v>
      </c>
      <c r="AQ147" s="287" t="e">
        <f t="shared" si="162"/>
        <v>#REF!</v>
      </c>
      <c r="AR147" s="287" t="e">
        <f t="shared" si="162"/>
        <v>#REF!</v>
      </c>
      <c r="AS147" s="287" t="e">
        <f t="shared" si="162"/>
        <v>#REF!</v>
      </c>
      <c r="AT147" s="287" t="e">
        <f t="shared" si="162"/>
        <v>#REF!</v>
      </c>
      <c r="AU147" s="287" t="e">
        <f t="shared" si="162"/>
        <v>#REF!</v>
      </c>
      <c r="AV147" s="287" t="e">
        <f t="shared" si="162"/>
        <v>#REF!</v>
      </c>
      <c r="AW147" s="287" t="e">
        <f t="shared" si="162"/>
        <v>#REF!</v>
      </c>
      <c r="AX147" s="287" t="e">
        <f t="shared" si="162"/>
        <v>#REF!</v>
      </c>
      <c r="AY147" s="287" t="e">
        <f t="shared" si="162"/>
        <v>#REF!</v>
      </c>
      <c r="AZ147" s="287" t="e">
        <f t="shared" si="162"/>
        <v>#REF!</v>
      </c>
      <c r="BA147" s="287" t="e">
        <f t="shared" si="162"/>
        <v>#REF!</v>
      </c>
      <c r="BB147" s="287" t="e">
        <f t="shared" si="162"/>
        <v>#REF!</v>
      </c>
      <c r="BC147" s="287" t="e">
        <f t="shared" si="162"/>
        <v>#REF!</v>
      </c>
      <c r="BD147" s="287" t="e">
        <f t="shared" si="162"/>
        <v>#REF!</v>
      </c>
      <c r="BE147" s="287" t="e">
        <f t="shared" si="162"/>
        <v>#REF!</v>
      </c>
      <c r="BF147" s="287" t="e">
        <f t="shared" si="162"/>
        <v>#REF!</v>
      </c>
      <c r="BG147" s="287" t="e">
        <f t="shared" si="162"/>
        <v>#REF!</v>
      </c>
      <c r="BH147" s="287" t="e">
        <f t="shared" si="162"/>
        <v>#REF!</v>
      </c>
      <c r="BI147" s="287" t="e">
        <f t="shared" si="162"/>
        <v>#REF!</v>
      </c>
      <c r="BJ147" s="287" t="e">
        <f t="shared" si="162"/>
        <v>#REF!</v>
      </c>
      <c r="BK147" s="287" t="e">
        <f t="shared" si="162"/>
        <v>#REF!</v>
      </c>
      <c r="BL147" s="287" t="e">
        <f t="shared" si="162"/>
        <v>#REF!</v>
      </c>
      <c r="BM147" s="287" t="e">
        <f t="shared" si="162"/>
        <v>#REF!</v>
      </c>
      <c r="BN147" s="287" t="e">
        <f t="shared" si="162"/>
        <v>#REF!</v>
      </c>
      <c r="BO147" s="287" t="e">
        <f t="shared" si="162"/>
        <v>#REF!</v>
      </c>
    </row>
    <row r="148" spans="1:67" ht="20.25" customHeight="1">
      <c r="A148" s="424" t="e">
        <f>Z143</f>
        <v>#REF!</v>
      </c>
      <c r="B148" s="425">
        <v>1.8333333333333333</v>
      </c>
      <c r="C148" s="200">
        <v>0</v>
      </c>
      <c r="D148" s="361" t="str">
        <f t="shared" si="156"/>
        <v>R15</v>
      </c>
      <c r="E148" s="74">
        <f t="shared" si="157"/>
        <v>0</v>
      </c>
      <c r="F148" s="337">
        <f>IF(C148=0,,VLOOKUP(E148,#REF!,5, FALSE()))</f>
        <v>0</v>
      </c>
      <c r="G148" s="473"/>
      <c r="H148" s="473"/>
      <c r="I148" s="461"/>
      <c r="J148" s="461"/>
      <c r="K148" s="474"/>
      <c r="L148" s="474"/>
      <c r="M148" s="461"/>
      <c r="N148" s="461"/>
      <c r="O148" s="474"/>
      <c r="P148" s="474"/>
      <c r="Q148" s="461"/>
      <c r="R148" s="461"/>
      <c r="S148" s="474"/>
      <c r="T148" s="474"/>
      <c r="U148" s="461"/>
      <c r="V148" s="461"/>
      <c r="W148" s="480"/>
      <c r="X148" s="382">
        <f>IF(C148=0,,VLOOKUP(E148,#REF!,2, FALSE()))</f>
        <v>0</v>
      </c>
      <c r="Y148" s="384">
        <f>IF(C148=0,,VLOOKUP(E148,#REF!,3, FALSE()))</f>
        <v>0</v>
      </c>
      <c r="Z148" s="385"/>
      <c r="AA148" s="74"/>
      <c r="AB148" s="386">
        <f>IF(C148=0,,VLOOKUP(E148,#REF!,6, FALSE()))</f>
        <v>0</v>
      </c>
      <c r="AC148" s="74"/>
      <c r="AD148" s="74"/>
      <c r="AE148" s="74"/>
      <c r="AF148" s="74"/>
      <c r="AG148" s="74"/>
      <c r="AH148" s="74"/>
      <c r="AI148" s="74"/>
      <c r="AJ148" s="389"/>
      <c r="AK148" s="287" t="e">
        <f t="shared" ref="AK148:BO148" si="163">(MID(#REF!, 7,2))</f>
        <v>#REF!</v>
      </c>
      <c r="AL148" s="287" t="e">
        <f t="shared" si="163"/>
        <v>#REF!</v>
      </c>
      <c r="AM148" s="287" t="e">
        <f t="shared" si="163"/>
        <v>#REF!</v>
      </c>
      <c r="AN148" s="287" t="e">
        <f t="shared" si="163"/>
        <v>#REF!</v>
      </c>
      <c r="AO148" s="287" t="e">
        <f t="shared" si="163"/>
        <v>#REF!</v>
      </c>
      <c r="AP148" s="287" t="e">
        <f t="shared" si="163"/>
        <v>#REF!</v>
      </c>
      <c r="AQ148" s="287" t="e">
        <f t="shared" si="163"/>
        <v>#REF!</v>
      </c>
      <c r="AR148" s="287" t="e">
        <f t="shared" si="163"/>
        <v>#REF!</v>
      </c>
      <c r="AS148" s="287" t="e">
        <f t="shared" si="163"/>
        <v>#REF!</v>
      </c>
      <c r="AT148" s="287" t="e">
        <f t="shared" si="163"/>
        <v>#REF!</v>
      </c>
      <c r="AU148" s="287" t="e">
        <f t="shared" si="163"/>
        <v>#REF!</v>
      </c>
      <c r="AV148" s="287" t="e">
        <f t="shared" si="163"/>
        <v>#REF!</v>
      </c>
      <c r="AW148" s="287" t="e">
        <f t="shared" si="163"/>
        <v>#REF!</v>
      </c>
      <c r="AX148" s="287" t="e">
        <f t="shared" si="163"/>
        <v>#REF!</v>
      </c>
      <c r="AY148" s="287" t="e">
        <f t="shared" si="163"/>
        <v>#REF!</v>
      </c>
      <c r="AZ148" s="287" t="e">
        <f t="shared" si="163"/>
        <v>#REF!</v>
      </c>
      <c r="BA148" s="287" t="e">
        <f t="shared" si="163"/>
        <v>#REF!</v>
      </c>
      <c r="BB148" s="287" t="e">
        <f t="shared" si="163"/>
        <v>#REF!</v>
      </c>
      <c r="BC148" s="287" t="e">
        <f t="shared" si="163"/>
        <v>#REF!</v>
      </c>
      <c r="BD148" s="287" t="e">
        <f t="shared" si="163"/>
        <v>#REF!</v>
      </c>
      <c r="BE148" s="287" t="e">
        <f t="shared" si="163"/>
        <v>#REF!</v>
      </c>
      <c r="BF148" s="287" t="e">
        <f t="shared" si="163"/>
        <v>#REF!</v>
      </c>
      <c r="BG148" s="287" t="e">
        <f t="shared" si="163"/>
        <v>#REF!</v>
      </c>
      <c r="BH148" s="287" t="e">
        <f t="shared" si="163"/>
        <v>#REF!</v>
      </c>
      <c r="BI148" s="287" t="e">
        <f t="shared" si="163"/>
        <v>#REF!</v>
      </c>
      <c r="BJ148" s="287" t="e">
        <f t="shared" si="163"/>
        <v>#REF!</v>
      </c>
      <c r="BK148" s="287" t="e">
        <f t="shared" si="163"/>
        <v>#REF!</v>
      </c>
      <c r="BL148" s="287" t="e">
        <f t="shared" si="163"/>
        <v>#REF!</v>
      </c>
      <c r="BM148" s="287" t="e">
        <f t="shared" si="163"/>
        <v>#REF!</v>
      </c>
      <c r="BN148" s="287" t="e">
        <f t="shared" si="163"/>
        <v>#REF!</v>
      </c>
      <c r="BO148" s="287" t="e">
        <f t="shared" si="163"/>
        <v>#REF!</v>
      </c>
    </row>
    <row r="149" spans="1:67" ht="20.25" customHeight="1">
      <c r="A149" s="424" t="s">
        <v>2951</v>
      </c>
      <c r="B149" s="425" t="e">
        <f>SUM(AB143:AB151)</f>
        <v>#REF!</v>
      </c>
      <c r="C149" s="200">
        <v>0</v>
      </c>
      <c r="D149" s="361" t="str">
        <f t="shared" si="156"/>
        <v>R15</v>
      </c>
      <c r="E149" s="74">
        <f t="shared" si="157"/>
        <v>0</v>
      </c>
      <c r="F149" s="337">
        <f>IF(C149=0,,VLOOKUP(E149,#REF!,5, FALSE()))</f>
        <v>0</v>
      </c>
      <c r="G149" s="473"/>
      <c r="H149" s="473"/>
      <c r="I149" s="461"/>
      <c r="J149" s="461"/>
      <c r="K149" s="474"/>
      <c r="L149" s="474"/>
      <c r="M149" s="461"/>
      <c r="N149" s="461"/>
      <c r="O149" s="474"/>
      <c r="P149" s="474"/>
      <c r="Q149" s="461"/>
      <c r="R149" s="461"/>
      <c r="S149" s="474"/>
      <c r="T149" s="474"/>
      <c r="U149" s="461"/>
      <c r="V149" s="461"/>
      <c r="W149" s="480"/>
      <c r="X149" s="382">
        <f>IF(C149=0,,VLOOKUP(E149,#REF!,2, FALSE()))</f>
        <v>0</v>
      </c>
      <c r="Y149" s="384">
        <f>IF(C149=0,,VLOOKUP(E149,#REF!,3, FALSE()))</f>
        <v>0</v>
      </c>
      <c r="Z149" s="385"/>
      <c r="AA149" s="74"/>
      <c r="AB149" s="386">
        <f>IF(C149=0,,VLOOKUP(E149,#REF!,6, FALSE()))</f>
        <v>0</v>
      </c>
      <c r="AC149" s="74"/>
      <c r="AD149" s="74"/>
      <c r="AE149" s="74"/>
      <c r="AF149" s="74"/>
      <c r="AG149" s="74"/>
      <c r="AH149" s="74"/>
      <c r="AI149" s="74"/>
      <c r="AJ149" s="389"/>
      <c r="AK149" s="287" t="e">
        <f t="shared" ref="AK149:BO149" si="164">(MID(#REF!, 7,2))</f>
        <v>#REF!</v>
      </c>
      <c r="AL149" s="287" t="e">
        <f t="shared" si="164"/>
        <v>#REF!</v>
      </c>
      <c r="AM149" s="287" t="e">
        <f t="shared" si="164"/>
        <v>#REF!</v>
      </c>
      <c r="AN149" s="287" t="e">
        <f t="shared" si="164"/>
        <v>#REF!</v>
      </c>
      <c r="AO149" s="287" t="e">
        <f t="shared" si="164"/>
        <v>#REF!</v>
      </c>
      <c r="AP149" s="287" t="e">
        <f t="shared" si="164"/>
        <v>#REF!</v>
      </c>
      <c r="AQ149" s="287" t="e">
        <f t="shared" si="164"/>
        <v>#REF!</v>
      </c>
      <c r="AR149" s="287" t="e">
        <f t="shared" si="164"/>
        <v>#REF!</v>
      </c>
      <c r="AS149" s="287" t="e">
        <f t="shared" si="164"/>
        <v>#REF!</v>
      </c>
      <c r="AT149" s="287" t="e">
        <f t="shared" si="164"/>
        <v>#REF!</v>
      </c>
      <c r="AU149" s="287" t="e">
        <f t="shared" si="164"/>
        <v>#REF!</v>
      </c>
      <c r="AV149" s="287" t="e">
        <f t="shared" si="164"/>
        <v>#REF!</v>
      </c>
      <c r="AW149" s="287" t="e">
        <f t="shared" si="164"/>
        <v>#REF!</v>
      </c>
      <c r="AX149" s="287" t="e">
        <f t="shared" si="164"/>
        <v>#REF!</v>
      </c>
      <c r="AY149" s="287" t="e">
        <f t="shared" si="164"/>
        <v>#REF!</v>
      </c>
      <c r="AZ149" s="287" t="e">
        <f t="shared" si="164"/>
        <v>#REF!</v>
      </c>
      <c r="BA149" s="287" t="e">
        <f t="shared" si="164"/>
        <v>#REF!</v>
      </c>
      <c r="BB149" s="287" t="e">
        <f t="shared" si="164"/>
        <v>#REF!</v>
      </c>
      <c r="BC149" s="287" t="e">
        <f t="shared" si="164"/>
        <v>#REF!</v>
      </c>
      <c r="BD149" s="287" t="e">
        <f t="shared" si="164"/>
        <v>#REF!</v>
      </c>
      <c r="BE149" s="287" t="e">
        <f t="shared" si="164"/>
        <v>#REF!</v>
      </c>
      <c r="BF149" s="287" t="e">
        <f t="shared" si="164"/>
        <v>#REF!</v>
      </c>
      <c r="BG149" s="287" t="e">
        <f t="shared" si="164"/>
        <v>#REF!</v>
      </c>
      <c r="BH149" s="287" t="e">
        <f t="shared" si="164"/>
        <v>#REF!</v>
      </c>
      <c r="BI149" s="287" t="e">
        <f t="shared" si="164"/>
        <v>#REF!</v>
      </c>
      <c r="BJ149" s="287" t="e">
        <f t="shared" si="164"/>
        <v>#REF!</v>
      </c>
      <c r="BK149" s="287" t="e">
        <f t="shared" si="164"/>
        <v>#REF!</v>
      </c>
      <c r="BL149" s="287" t="e">
        <f t="shared" si="164"/>
        <v>#REF!</v>
      </c>
      <c r="BM149" s="287" t="e">
        <f t="shared" si="164"/>
        <v>#REF!</v>
      </c>
      <c r="BN149" s="287" t="e">
        <f t="shared" si="164"/>
        <v>#REF!</v>
      </c>
      <c r="BO149" s="287" t="e">
        <f t="shared" si="164"/>
        <v>#REF!</v>
      </c>
    </row>
    <row r="150" spans="1:67" ht="20.25" customHeight="1">
      <c r="A150" s="424" t="s">
        <v>2952</v>
      </c>
      <c r="B150" s="425">
        <f>SUM(AJ143:AJ151)</f>
        <v>0</v>
      </c>
      <c r="C150" s="200">
        <v>0</v>
      </c>
      <c r="D150" s="361" t="str">
        <f t="shared" si="156"/>
        <v>R15</v>
      </c>
      <c r="E150" s="74">
        <f t="shared" si="157"/>
        <v>0</v>
      </c>
      <c r="F150" s="337">
        <f>IF(C150=0,,VLOOKUP(E150,#REF!,5, FALSE()))</f>
        <v>0</v>
      </c>
      <c r="G150" s="473"/>
      <c r="H150" s="473"/>
      <c r="I150" s="461"/>
      <c r="J150" s="461"/>
      <c r="K150" s="474"/>
      <c r="L150" s="474"/>
      <c r="M150" s="461"/>
      <c r="N150" s="461"/>
      <c r="O150" s="474"/>
      <c r="P150" s="474"/>
      <c r="Q150" s="461"/>
      <c r="R150" s="461"/>
      <c r="S150" s="474"/>
      <c r="T150" s="474"/>
      <c r="U150" s="461"/>
      <c r="V150" s="461"/>
      <c r="W150" s="480"/>
      <c r="X150" s="382">
        <f>IF(C150=0,,VLOOKUP(E150,#REF!,2, FALSE()))</f>
        <v>0</v>
      </c>
      <c r="Y150" s="384">
        <f>IF(C150=0,,VLOOKUP(E150,#REF!,3, FALSE()))</f>
        <v>0</v>
      </c>
      <c r="Z150" s="385"/>
      <c r="AA150" s="74"/>
      <c r="AB150" s="386">
        <f>IF(C150=0,,VLOOKUP(E150,#REF!,6, FALSE()))</f>
        <v>0</v>
      </c>
      <c r="AC150" s="74"/>
      <c r="AD150" s="74"/>
      <c r="AE150" s="74"/>
      <c r="AF150" s="74"/>
      <c r="AG150" s="74"/>
      <c r="AH150" s="74"/>
      <c r="AI150" s="74"/>
      <c r="AJ150" s="389"/>
      <c r="AK150" s="287" t="e">
        <f t="shared" ref="AK150:BO150" si="165">(MID(#REF!, 7,2))</f>
        <v>#REF!</v>
      </c>
      <c r="AL150" s="287" t="e">
        <f t="shared" si="165"/>
        <v>#REF!</v>
      </c>
      <c r="AM150" s="287" t="e">
        <f t="shared" si="165"/>
        <v>#REF!</v>
      </c>
      <c r="AN150" s="287" t="e">
        <f t="shared" si="165"/>
        <v>#REF!</v>
      </c>
      <c r="AO150" s="287" t="e">
        <f t="shared" si="165"/>
        <v>#REF!</v>
      </c>
      <c r="AP150" s="287" t="e">
        <f t="shared" si="165"/>
        <v>#REF!</v>
      </c>
      <c r="AQ150" s="287" t="e">
        <f t="shared" si="165"/>
        <v>#REF!</v>
      </c>
      <c r="AR150" s="287" t="e">
        <f t="shared" si="165"/>
        <v>#REF!</v>
      </c>
      <c r="AS150" s="287" t="e">
        <f t="shared" si="165"/>
        <v>#REF!</v>
      </c>
      <c r="AT150" s="287" t="e">
        <f t="shared" si="165"/>
        <v>#REF!</v>
      </c>
      <c r="AU150" s="287" t="e">
        <f t="shared" si="165"/>
        <v>#REF!</v>
      </c>
      <c r="AV150" s="287" t="e">
        <f t="shared" si="165"/>
        <v>#REF!</v>
      </c>
      <c r="AW150" s="287" t="e">
        <f t="shared" si="165"/>
        <v>#REF!</v>
      </c>
      <c r="AX150" s="287" t="e">
        <f t="shared" si="165"/>
        <v>#REF!</v>
      </c>
      <c r="AY150" s="287" t="e">
        <f t="shared" si="165"/>
        <v>#REF!</v>
      </c>
      <c r="AZ150" s="287" t="e">
        <f t="shared" si="165"/>
        <v>#REF!</v>
      </c>
      <c r="BA150" s="287" t="e">
        <f t="shared" si="165"/>
        <v>#REF!</v>
      </c>
      <c r="BB150" s="287" t="e">
        <f t="shared" si="165"/>
        <v>#REF!</v>
      </c>
      <c r="BC150" s="287" t="e">
        <f t="shared" si="165"/>
        <v>#REF!</v>
      </c>
      <c r="BD150" s="287" t="e">
        <f t="shared" si="165"/>
        <v>#REF!</v>
      </c>
      <c r="BE150" s="287" t="e">
        <f t="shared" si="165"/>
        <v>#REF!</v>
      </c>
      <c r="BF150" s="287" t="e">
        <f t="shared" si="165"/>
        <v>#REF!</v>
      </c>
      <c r="BG150" s="287" t="e">
        <f t="shared" si="165"/>
        <v>#REF!</v>
      </c>
      <c r="BH150" s="287" t="e">
        <f t="shared" si="165"/>
        <v>#REF!</v>
      </c>
      <c r="BI150" s="287" t="e">
        <f t="shared" si="165"/>
        <v>#REF!</v>
      </c>
      <c r="BJ150" s="287" t="e">
        <f t="shared" si="165"/>
        <v>#REF!</v>
      </c>
      <c r="BK150" s="287" t="e">
        <f t="shared" si="165"/>
        <v>#REF!</v>
      </c>
      <c r="BL150" s="287" t="e">
        <f t="shared" si="165"/>
        <v>#REF!</v>
      </c>
      <c r="BM150" s="287" t="e">
        <f t="shared" si="165"/>
        <v>#REF!</v>
      </c>
      <c r="BN150" s="287" t="e">
        <f t="shared" si="165"/>
        <v>#REF!</v>
      </c>
      <c r="BO150" s="287" t="e">
        <f t="shared" si="165"/>
        <v>#REF!</v>
      </c>
    </row>
    <row r="151" spans="1:67" ht="20.25" customHeight="1">
      <c r="A151" s="443" t="s">
        <v>2953</v>
      </c>
      <c r="B151" s="444" t="e">
        <f>B148-B149-B150</f>
        <v>#REF!</v>
      </c>
      <c r="C151" s="200">
        <v>0</v>
      </c>
      <c r="D151" s="361" t="str">
        <f t="shared" si="156"/>
        <v>R15</v>
      </c>
      <c r="E151" s="74">
        <f t="shared" si="157"/>
        <v>0</v>
      </c>
      <c r="F151" s="337">
        <f>IF(C151=0,,VLOOKUP(E151,#REF!,5, FALSE()))</f>
        <v>0</v>
      </c>
      <c r="G151" s="473"/>
      <c r="H151" s="473"/>
      <c r="I151" s="461"/>
      <c r="J151" s="461"/>
      <c r="K151" s="474"/>
      <c r="L151" s="474"/>
      <c r="M151" s="461"/>
      <c r="N151" s="461"/>
      <c r="O151" s="474"/>
      <c r="P151" s="474"/>
      <c r="Q151" s="461"/>
      <c r="R151" s="461"/>
      <c r="S151" s="474"/>
      <c r="T151" s="474"/>
      <c r="U151" s="461"/>
      <c r="V151" s="461"/>
      <c r="W151" s="481"/>
      <c r="X151" s="382">
        <f>IF(C151=0,,VLOOKUP(E151,#REF!,2, FALSE()))</f>
        <v>0</v>
      </c>
      <c r="Y151" s="384">
        <f>IF(C151=0,,VLOOKUP(E151,#REF!,3, FALSE()))</f>
        <v>0</v>
      </c>
      <c r="Z151" s="385"/>
      <c r="AA151" s="74"/>
      <c r="AB151" s="386">
        <f>IF(C151=0,,VLOOKUP(E151,#REF!,6, FALSE()))</f>
        <v>0</v>
      </c>
      <c r="AC151" s="74"/>
      <c r="AD151" s="74"/>
      <c r="AE151" s="74"/>
      <c r="AF151" s="74"/>
      <c r="AG151" s="74"/>
      <c r="AH151" s="74"/>
      <c r="AI151" s="74"/>
      <c r="AJ151" s="389"/>
      <c r="AK151" s="287" t="e">
        <f t="shared" ref="AK151:BO151" si="166">(MID(#REF!, 7,2))</f>
        <v>#REF!</v>
      </c>
      <c r="AL151" s="287" t="e">
        <f t="shared" si="166"/>
        <v>#REF!</v>
      </c>
      <c r="AM151" s="287" t="e">
        <f t="shared" si="166"/>
        <v>#REF!</v>
      </c>
      <c r="AN151" s="287" t="e">
        <f t="shared" si="166"/>
        <v>#REF!</v>
      </c>
      <c r="AO151" s="287" t="e">
        <f t="shared" si="166"/>
        <v>#REF!</v>
      </c>
      <c r="AP151" s="287" t="e">
        <f t="shared" si="166"/>
        <v>#REF!</v>
      </c>
      <c r="AQ151" s="287" t="e">
        <f t="shared" si="166"/>
        <v>#REF!</v>
      </c>
      <c r="AR151" s="287" t="e">
        <f t="shared" si="166"/>
        <v>#REF!</v>
      </c>
      <c r="AS151" s="287" t="e">
        <f t="shared" si="166"/>
        <v>#REF!</v>
      </c>
      <c r="AT151" s="287" t="e">
        <f t="shared" si="166"/>
        <v>#REF!</v>
      </c>
      <c r="AU151" s="287" t="e">
        <f t="shared" si="166"/>
        <v>#REF!</v>
      </c>
      <c r="AV151" s="287" t="e">
        <f t="shared" si="166"/>
        <v>#REF!</v>
      </c>
      <c r="AW151" s="287" t="e">
        <f t="shared" si="166"/>
        <v>#REF!</v>
      </c>
      <c r="AX151" s="287" t="e">
        <f t="shared" si="166"/>
        <v>#REF!</v>
      </c>
      <c r="AY151" s="287" t="e">
        <f t="shared" si="166"/>
        <v>#REF!</v>
      </c>
      <c r="AZ151" s="287" t="e">
        <f t="shared" si="166"/>
        <v>#REF!</v>
      </c>
      <c r="BA151" s="287" t="e">
        <f t="shared" si="166"/>
        <v>#REF!</v>
      </c>
      <c r="BB151" s="287" t="e">
        <f t="shared" si="166"/>
        <v>#REF!</v>
      </c>
      <c r="BC151" s="287" t="e">
        <f t="shared" si="166"/>
        <v>#REF!</v>
      </c>
      <c r="BD151" s="287" t="e">
        <f t="shared" si="166"/>
        <v>#REF!</v>
      </c>
      <c r="BE151" s="287" t="e">
        <f t="shared" si="166"/>
        <v>#REF!</v>
      </c>
      <c r="BF151" s="287" t="e">
        <f t="shared" si="166"/>
        <v>#REF!</v>
      </c>
      <c r="BG151" s="287" t="e">
        <f t="shared" si="166"/>
        <v>#REF!</v>
      </c>
      <c r="BH151" s="287" t="e">
        <f t="shared" si="166"/>
        <v>#REF!</v>
      </c>
      <c r="BI151" s="287" t="e">
        <f t="shared" si="166"/>
        <v>#REF!</v>
      </c>
      <c r="BJ151" s="287" t="e">
        <f t="shared" si="166"/>
        <v>#REF!</v>
      </c>
      <c r="BK151" s="287" t="e">
        <f t="shared" si="166"/>
        <v>#REF!</v>
      </c>
      <c r="BL151" s="287" t="e">
        <f t="shared" si="166"/>
        <v>#REF!</v>
      </c>
      <c r="BM151" s="287" t="e">
        <f t="shared" si="166"/>
        <v>#REF!</v>
      </c>
      <c r="BN151" s="287" t="e">
        <f t="shared" si="166"/>
        <v>#REF!</v>
      </c>
      <c r="BO151" s="287" t="e">
        <f t="shared" si="166"/>
        <v>#REF!</v>
      </c>
    </row>
    <row r="152" spans="1:67" ht="3.75" customHeight="1">
      <c r="G152" s="446"/>
      <c r="H152" s="446"/>
      <c r="I152" s="285"/>
      <c r="J152" s="285"/>
      <c r="K152" s="346"/>
      <c r="L152" s="346"/>
      <c r="M152" s="285"/>
      <c r="N152" s="285"/>
      <c r="O152" s="346"/>
      <c r="P152" s="346"/>
      <c r="Q152" s="285"/>
      <c r="R152" s="285"/>
      <c r="S152" s="346"/>
      <c r="T152" s="346"/>
      <c r="U152" s="285"/>
      <c r="V152" s="285"/>
      <c r="Y152" s="447"/>
      <c r="AK152" s="346"/>
      <c r="AL152" s="346"/>
      <c r="AM152" s="346"/>
      <c r="AN152" s="346"/>
      <c r="AO152" s="346"/>
      <c r="AP152" s="346"/>
      <c r="AQ152" s="346"/>
      <c r="AR152" s="346"/>
      <c r="AS152" s="346"/>
      <c r="AT152" s="346"/>
      <c r="AU152" s="346"/>
      <c r="AV152" s="346"/>
      <c r="AW152" s="346"/>
      <c r="AX152" s="346"/>
      <c r="AY152" s="346"/>
      <c r="AZ152" s="346"/>
      <c r="BA152" s="346"/>
      <c r="BB152" s="346"/>
      <c r="BC152" s="346"/>
      <c r="BD152" s="346"/>
      <c r="BE152" s="346"/>
      <c r="BF152" s="346"/>
      <c r="BG152" s="346"/>
      <c r="BH152" s="346"/>
      <c r="BI152" s="346"/>
      <c r="BJ152" s="346"/>
      <c r="BK152" s="346"/>
      <c r="BL152" s="346"/>
      <c r="BM152" s="346"/>
      <c r="BN152" s="346"/>
      <c r="BO152" s="346"/>
    </row>
    <row r="153" spans="1:67" ht="20.25" customHeight="1">
      <c r="A153" s="200" t="s">
        <v>2459</v>
      </c>
      <c r="B153" s="217" t="s">
        <v>455</v>
      </c>
      <c r="C153" s="200">
        <v>1</v>
      </c>
      <c r="D153" s="361" t="str">
        <f t="shared" ref="D153:D161" si="167">$B$153</f>
        <v>R16</v>
      </c>
      <c r="E153" s="74" t="str">
        <f t="shared" ref="E153:E161" si="168">IF(C153=0,,CONCATENATE(D153,"/",C153))</f>
        <v>R16/1</v>
      </c>
      <c r="F153" s="337" t="e">
        <f>IF(C153=0,,VLOOKUP(E153,#REF!,5, FALSE()))</f>
        <v>#REF!</v>
      </c>
      <c r="G153" s="470"/>
      <c r="H153" s="470"/>
      <c r="I153" s="471"/>
      <c r="J153" s="471"/>
      <c r="K153" s="472"/>
      <c r="L153" s="472"/>
      <c r="M153" s="471"/>
      <c r="N153" s="471"/>
      <c r="O153" s="472"/>
      <c r="P153" s="472"/>
      <c r="Q153" s="471"/>
      <c r="R153" s="471"/>
      <c r="S153" s="472"/>
      <c r="T153" s="472"/>
      <c r="U153" s="471"/>
      <c r="V153" s="471"/>
      <c r="W153" s="563" t="e">
        <f>CONCATENATE(F153," + ",F154," + ",F155," + ",F156," + ",F157," + ",F158," + ",F159," + ",F160," + ",F161)</f>
        <v>#REF!</v>
      </c>
      <c r="X153" s="382" t="e">
        <f>IF(C153=0,,VLOOKUP(E153,#REF!,2, FALSE()))</f>
        <v>#REF!</v>
      </c>
      <c r="Y153" s="384" t="e">
        <f>IF(C153=0,,VLOOKUP(E153,#REF!,3, FALSE()))</f>
        <v>#REF!</v>
      </c>
      <c r="Z153" s="385" t="e">
        <f>VLOOKUP(Y153,#REF!,6, FALSE())</f>
        <v>#REF!</v>
      </c>
      <c r="AA153" s="74" t="str">
        <f>$B155</f>
        <v>Cesta Gd</v>
      </c>
      <c r="AB153" s="386" t="e">
        <f>IF(C153=0,,VLOOKUP(E153,#REF!,6, FALSE()))</f>
        <v>#REF!</v>
      </c>
      <c r="AC153" s="74"/>
      <c r="AD153" s="74">
        <f>$B156</f>
        <v>0</v>
      </c>
      <c r="AE153" s="74"/>
      <c r="AF153" s="450">
        <f>$B157</f>
        <v>0</v>
      </c>
      <c r="AG153" s="74"/>
      <c r="AH153" s="450" t="e">
        <f>$B159</f>
        <v>#REF!</v>
      </c>
      <c r="AI153" s="450" t="e">
        <f>B159+B160</f>
        <v>#REF!</v>
      </c>
      <c r="AJ153" s="389"/>
      <c r="AK153" s="287" t="e">
        <f t="shared" ref="AK153:BO153" si="169">(MID(#REF!, 7,2))</f>
        <v>#REF!</v>
      </c>
      <c r="AL153" s="287" t="e">
        <f t="shared" si="169"/>
        <v>#REF!</v>
      </c>
      <c r="AM153" s="287" t="e">
        <f t="shared" si="169"/>
        <v>#REF!</v>
      </c>
      <c r="AN153" s="287" t="e">
        <f t="shared" si="169"/>
        <v>#REF!</v>
      </c>
      <c r="AO153" s="287" t="e">
        <f t="shared" si="169"/>
        <v>#REF!</v>
      </c>
      <c r="AP153" s="287" t="e">
        <f t="shared" si="169"/>
        <v>#REF!</v>
      </c>
      <c r="AQ153" s="287" t="e">
        <f t="shared" si="169"/>
        <v>#REF!</v>
      </c>
      <c r="AR153" s="287" t="e">
        <f t="shared" si="169"/>
        <v>#REF!</v>
      </c>
      <c r="AS153" s="287" t="e">
        <f t="shared" si="169"/>
        <v>#REF!</v>
      </c>
      <c r="AT153" s="287" t="e">
        <f t="shared" si="169"/>
        <v>#REF!</v>
      </c>
      <c r="AU153" s="287" t="e">
        <f t="shared" si="169"/>
        <v>#REF!</v>
      </c>
      <c r="AV153" s="287" t="e">
        <f t="shared" si="169"/>
        <v>#REF!</v>
      </c>
      <c r="AW153" s="287" t="e">
        <f t="shared" si="169"/>
        <v>#REF!</v>
      </c>
      <c r="AX153" s="287" t="e">
        <f t="shared" si="169"/>
        <v>#REF!</v>
      </c>
      <c r="AY153" s="287" t="e">
        <f t="shared" si="169"/>
        <v>#REF!</v>
      </c>
      <c r="AZ153" s="287" t="e">
        <f t="shared" si="169"/>
        <v>#REF!</v>
      </c>
      <c r="BA153" s="287" t="e">
        <f t="shared" si="169"/>
        <v>#REF!</v>
      </c>
      <c r="BB153" s="287" t="e">
        <f t="shared" si="169"/>
        <v>#REF!</v>
      </c>
      <c r="BC153" s="287" t="e">
        <f t="shared" si="169"/>
        <v>#REF!</v>
      </c>
      <c r="BD153" s="287" t="e">
        <f t="shared" si="169"/>
        <v>#REF!</v>
      </c>
      <c r="BE153" s="287" t="e">
        <f t="shared" si="169"/>
        <v>#REF!</v>
      </c>
      <c r="BF153" s="287" t="e">
        <f t="shared" si="169"/>
        <v>#REF!</v>
      </c>
      <c r="BG153" s="287" t="e">
        <f t="shared" si="169"/>
        <v>#REF!</v>
      </c>
      <c r="BH153" s="287" t="e">
        <f t="shared" si="169"/>
        <v>#REF!</v>
      </c>
      <c r="BI153" s="287" t="e">
        <f t="shared" si="169"/>
        <v>#REF!</v>
      </c>
      <c r="BJ153" s="287" t="e">
        <f t="shared" si="169"/>
        <v>#REF!</v>
      </c>
      <c r="BK153" s="287" t="e">
        <f t="shared" si="169"/>
        <v>#REF!</v>
      </c>
      <c r="BL153" s="287" t="e">
        <f t="shared" si="169"/>
        <v>#REF!</v>
      </c>
      <c r="BM153" s="287" t="e">
        <f t="shared" si="169"/>
        <v>#REF!</v>
      </c>
      <c r="BN153" s="287" t="e">
        <f t="shared" si="169"/>
        <v>#REF!</v>
      </c>
      <c r="BO153" s="287" t="e">
        <f t="shared" si="169"/>
        <v>#REF!</v>
      </c>
    </row>
    <row r="154" spans="1:67" ht="20.25" customHeight="1">
      <c r="A154" s="562" t="e">
        <f>Y153</f>
        <v>#REF!</v>
      </c>
      <c r="B154" s="499"/>
      <c r="C154" s="200">
        <v>2</v>
      </c>
      <c r="D154" s="361" t="str">
        <f t="shared" si="167"/>
        <v>R16</v>
      </c>
      <c r="E154" s="74" t="str">
        <f t="shared" si="168"/>
        <v>R16/2</v>
      </c>
      <c r="F154" s="337" t="e">
        <f>IF(C154=0,,VLOOKUP(E154,#REF!,5, FALSE()))</f>
        <v>#REF!</v>
      </c>
      <c r="G154" s="473"/>
      <c r="H154" s="473"/>
      <c r="I154" s="461"/>
      <c r="J154" s="461"/>
      <c r="K154" s="474"/>
      <c r="L154" s="474"/>
      <c r="M154" s="461"/>
      <c r="N154" s="461"/>
      <c r="O154" s="474"/>
      <c r="P154" s="474"/>
      <c r="Q154" s="461"/>
      <c r="R154" s="461"/>
      <c r="S154" s="474"/>
      <c r="T154" s="474"/>
      <c r="U154" s="461"/>
      <c r="V154" s="461"/>
      <c r="W154" s="480"/>
      <c r="X154" s="382" t="e">
        <f>IF(C154=0,,VLOOKUP(E154,#REF!,2, FALSE()))</f>
        <v>#REF!</v>
      </c>
      <c r="Y154" s="384" t="e">
        <f>IF(C154=0,,VLOOKUP(E154,#REF!,3, FALSE()))</f>
        <v>#REF!</v>
      </c>
      <c r="Z154" s="385"/>
      <c r="AA154" s="74"/>
      <c r="AB154" s="386" t="e">
        <f>IF(C154=0,,VLOOKUP(E154,#REF!,6, FALSE()))</f>
        <v>#REF!</v>
      </c>
      <c r="AC154" s="74"/>
      <c r="AD154" s="74"/>
      <c r="AE154" s="74"/>
      <c r="AF154" s="74"/>
      <c r="AG154" s="74"/>
      <c r="AH154" s="74"/>
      <c r="AI154" s="74"/>
      <c r="AJ154" s="389"/>
      <c r="AK154" s="287" t="e">
        <f t="shared" ref="AK154:BO154" si="170">(MID(#REF!, 7,2))</f>
        <v>#REF!</v>
      </c>
      <c r="AL154" s="287" t="e">
        <f t="shared" si="170"/>
        <v>#REF!</v>
      </c>
      <c r="AM154" s="287" t="e">
        <f t="shared" si="170"/>
        <v>#REF!</v>
      </c>
      <c r="AN154" s="287" t="e">
        <f t="shared" si="170"/>
        <v>#REF!</v>
      </c>
      <c r="AO154" s="287" t="e">
        <f t="shared" si="170"/>
        <v>#REF!</v>
      </c>
      <c r="AP154" s="287" t="e">
        <f t="shared" si="170"/>
        <v>#REF!</v>
      </c>
      <c r="AQ154" s="287" t="e">
        <f t="shared" si="170"/>
        <v>#REF!</v>
      </c>
      <c r="AR154" s="287" t="e">
        <f t="shared" si="170"/>
        <v>#REF!</v>
      </c>
      <c r="AS154" s="287" t="e">
        <f t="shared" si="170"/>
        <v>#REF!</v>
      </c>
      <c r="AT154" s="287" t="e">
        <f t="shared" si="170"/>
        <v>#REF!</v>
      </c>
      <c r="AU154" s="287" t="e">
        <f t="shared" si="170"/>
        <v>#REF!</v>
      </c>
      <c r="AV154" s="287" t="e">
        <f t="shared" si="170"/>
        <v>#REF!</v>
      </c>
      <c r="AW154" s="287" t="e">
        <f t="shared" si="170"/>
        <v>#REF!</v>
      </c>
      <c r="AX154" s="287" t="e">
        <f t="shared" si="170"/>
        <v>#REF!</v>
      </c>
      <c r="AY154" s="287" t="e">
        <f t="shared" si="170"/>
        <v>#REF!</v>
      </c>
      <c r="AZ154" s="287" t="e">
        <f t="shared" si="170"/>
        <v>#REF!</v>
      </c>
      <c r="BA154" s="287" t="e">
        <f t="shared" si="170"/>
        <v>#REF!</v>
      </c>
      <c r="BB154" s="287" t="e">
        <f t="shared" si="170"/>
        <v>#REF!</v>
      </c>
      <c r="BC154" s="287" t="e">
        <f t="shared" si="170"/>
        <v>#REF!</v>
      </c>
      <c r="BD154" s="287" t="e">
        <f t="shared" si="170"/>
        <v>#REF!</v>
      </c>
      <c r="BE154" s="287" t="e">
        <f t="shared" si="170"/>
        <v>#REF!</v>
      </c>
      <c r="BF154" s="287" t="e">
        <f t="shared" si="170"/>
        <v>#REF!</v>
      </c>
      <c r="BG154" s="287" t="e">
        <f t="shared" si="170"/>
        <v>#REF!</v>
      </c>
      <c r="BH154" s="287" t="e">
        <f t="shared" si="170"/>
        <v>#REF!</v>
      </c>
      <c r="BI154" s="287" t="e">
        <f t="shared" si="170"/>
        <v>#REF!</v>
      </c>
      <c r="BJ154" s="287" t="e">
        <f t="shared" si="170"/>
        <v>#REF!</v>
      </c>
      <c r="BK154" s="287" t="e">
        <f t="shared" si="170"/>
        <v>#REF!</v>
      </c>
      <c r="BL154" s="287" t="e">
        <f t="shared" si="170"/>
        <v>#REF!</v>
      </c>
      <c r="BM154" s="287" t="e">
        <f t="shared" si="170"/>
        <v>#REF!</v>
      </c>
      <c r="BN154" s="287" t="e">
        <f t="shared" si="170"/>
        <v>#REF!</v>
      </c>
      <c r="BO154" s="287" t="e">
        <f t="shared" si="170"/>
        <v>#REF!</v>
      </c>
    </row>
    <row r="155" spans="1:67" ht="20.25" customHeight="1">
      <c r="A155" s="402" t="s">
        <v>2896</v>
      </c>
      <c r="B155" s="19" t="s">
        <v>21</v>
      </c>
      <c r="C155" s="200">
        <v>3</v>
      </c>
      <c r="D155" s="361" t="str">
        <f t="shared" si="167"/>
        <v>R16</v>
      </c>
      <c r="E155" s="74" t="str">
        <f t="shared" si="168"/>
        <v>R16/3</v>
      </c>
      <c r="F155" s="337" t="e">
        <f>IF(C155=0,,VLOOKUP(E155,#REF!,5, FALSE()))</f>
        <v>#REF!</v>
      </c>
      <c r="G155" s="473"/>
      <c r="H155" s="473"/>
      <c r="I155" s="461"/>
      <c r="J155" s="461"/>
      <c r="K155" s="474"/>
      <c r="L155" s="474"/>
      <c r="M155" s="461"/>
      <c r="N155" s="461"/>
      <c r="O155" s="474"/>
      <c r="P155" s="474"/>
      <c r="Q155" s="461"/>
      <c r="R155" s="461"/>
      <c r="S155" s="474"/>
      <c r="T155" s="474"/>
      <c r="U155" s="461"/>
      <c r="V155" s="461"/>
      <c r="W155" s="480"/>
      <c r="X155" s="382" t="e">
        <f>IF(C155=0,,VLOOKUP(E155,#REF!,2, FALSE()))</f>
        <v>#REF!</v>
      </c>
      <c r="Y155" s="384" t="e">
        <f>IF(C155=0,,VLOOKUP(E155,#REF!,3, FALSE()))</f>
        <v>#REF!</v>
      </c>
      <c r="Z155" s="385"/>
      <c r="AA155" s="74"/>
      <c r="AB155" s="386" t="e">
        <f>IF(C155=0,,VLOOKUP(E155,#REF!,6, FALSE()))</f>
        <v>#REF!</v>
      </c>
      <c r="AC155" s="74"/>
      <c r="AD155" s="74"/>
      <c r="AE155" s="74"/>
      <c r="AF155" s="74"/>
      <c r="AG155" s="74"/>
      <c r="AH155" s="74"/>
      <c r="AI155" s="74"/>
      <c r="AJ155" s="389"/>
      <c r="AK155" s="287" t="e">
        <f t="shared" ref="AK155:BO155" si="171">(MID(#REF!, 7,2))</f>
        <v>#REF!</v>
      </c>
      <c r="AL155" s="287" t="e">
        <f t="shared" si="171"/>
        <v>#REF!</v>
      </c>
      <c r="AM155" s="287" t="e">
        <f t="shared" si="171"/>
        <v>#REF!</v>
      </c>
      <c r="AN155" s="287" t="e">
        <f t="shared" si="171"/>
        <v>#REF!</v>
      </c>
      <c r="AO155" s="287" t="e">
        <f t="shared" si="171"/>
        <v>#REF!</v>
      </c>
      <c r="AP155" s="287" t="e">
        <f t="shared" si="171"/>
        <v>#REF!</v>
      </c>
      <c r="AQ155" s="287" t="e">
        <f t="shared" si="171"/>
        <v>#REF!</v>
      </c>
      <c r="AR155" s="287" t="e">
        <f t="shared" si="171"/>
        <v>#REF!</v>
      </c>
      <c r="AS155" s="287" t="e">
        <f t="shared" si="171"/>
        <v>#REF!</v>
      </c>
      <c r="AT155" s="287" t="e">
        <f t="shared" si="171"/>
        <v>#REF!</v>
      </c>
      <c r="AU155" s="287" t="e">
        <f t="shared" si="171"/>
        <v>#REF!</v>
      </c>
      <c r="AV155" s="287" t="e">
        <f t="shared" si="171"/>
        <v>#REF!</v>
      </c>
      <c r="AW155" s="287" t="e">
        <f t="shared" si="171"/>
        <v>#REF!</v>
      </c>
      <c r="AX155" s="287" t="e">
        <f t="shared" si="171"/>
        <v>#REF!</v>
      </c>
      <c r="AY155" s="287" t="e">
        <f t="shared" si="171"/>
        <v>#REF!</v>
      </c>
      <c r="AZ155" s="287" t="e">
        <f t="shared" si="171"/>
        <v>#REF!</v>
      </c>
      <c r="BA155" s="287" t="e">
        <f t="shared" si="171"/>
        <v>#REF!</v>
      </c>
      <c r="BB155" s="287" t="e">
        <f t="shared" si="171"/>
        <v>#REF!</v>
      </c>
      <c r="BC155" s="287" t="e">
        <f t="shared" si="171"/>
        <v>#REF!</v>
      </c>
      <c r="BD155" s="287" t="e">
        <f t="shared" si="171"/>
        <v>#REF!</v>
      </c>
      <c r="BE155" s="287" t="e">
        <f t="shared" si="171"/>
        <v>#REF!</v>
      </c>
      <c r="BF155" s="287" t="e">
        <f t="shared" si="171"/>
        <v>#REF!</v>
      </c>
      <c r="BG155" s="287" t="e">
        <f t="shared" si="171"/>
        <v>#REF!</v>
      </c>
      <c r="BH155" s="287" t="e">
        <f t="shared" si="171"/>
        <v>#REF!</v>
      </c>
      <c r="BI155" s="287" t="e">
        <f t="shared" si="171"/>
        <v>#REF!</v>
      </c>
      <c r="BJ155" s="287" t="e">
        <f t="shared" si="171"/>
        <v>#REF!</v>
      </c>
      <c r="BK155" s="287" t="e">
        <f t="shared" si="171"/>
        <v>#REF!</v>
      </c>
      <c r="BL155" s="287" t="e">
        <f t="shared" si="171"/>
        <v>#REF!</v>
      </c>
      <c r="BM155" s="287" t="e">
        <f t="shared" si="171"/>
        <v>#REF!</v>
      </c>
      <c r="BN155" s="287" t="e">
        <f t="shared" si="171"/>
        <v>#REF!</v>
      </c>
      <c r="BO155" s="287" t="e">
        <f t="shared" si="171"/>
        <v>#REF!</v>
      </c>
    </row>
    <row r="156" spans="1:67" ht="20.25" customHeight="1">
      <c r="A156" s="409" t="s">
        <v>2921</v>
      </c>
      <c r="B156" s="410">
        <v>0</v>
      </c>
      <c r="C156" s="200">
        <v>4</v>
      </c>
      <c r="D156" s="361" t="str">
        <f t="shared" si="167"/>
        <v>R16</v>
      </c>
      <c r="E156" s="74" t="str">
        <f t="shared" si="168"/>
        <v>R16/4</v>
      </c>
      <c r="F156" s="337" t="e">
        <f>IF(C156=0,,VLOOKUP(E156,#REF!,5, FALSE()))</f>
        <v>#REF!</v>
      </c>
      <c r="G156" s="473"/>
      <c r="H156" s="473"/>
      <c r="I156" s="461"/>
      <c r="J156" s="461"/>
      <c r="K156" s="474"/>
      <c r="L156" s="474"/>
      <c r="M156" s="461"/>
      <c r="N156" s="461"/>
      <c r="O156" s="474"/>
      <c r="P156" s="474"/>
      <c r="Q156" s="461"/>
      <c r="R156" s="461"/>
      <c r="S156" s="474"/>
      <c r="T156" s="474"/>
      <c r="U156" s="461"/>
      <c r="V156" s="461"/>
      <c r="W156" s="480"/>
      <c r="X156" s="382" t="e">
        <f>IF(C156=0,,VLOOKUP(E156,#REF!,2, FALSE()))</f>
        <v>#REF!</v>
      </c>
      <c r="Y156" s="384" t="e">
        <f>IF(C156=0,,VLOOKUP(E156,#REF!,3, FALSE()))</f>
        <v>#REF!</v>
      </c>
      <c r="Z156" s="385"/>
      <c r="AA156" s="74"/>
      <c r="AB156" s="386" t="e">
        <f>IF(C156=0,,VLOOKUP(E156,#REF!,6, FALSE()))</f>
        <v>#REF!</v>
      </c>
      <c r="AC156" s="74"/>
      <c r="AD156" s="74"/>
      <c r="AE156" s="74"/>
      <c r="AF156" s="74"/>
      <c r="AG156" s="74"/>
      <c r="AH156" s="74"/>
      <c r="AI156" s="74"/>
      <c r="AJ156" s="422"/>
      <c r="AK156" s="287" t="e">
        <f t="shared" ref="AK156:BO156" si="172">(MID(#REF!, 7,2))</f>
        <v>#REF!</v>
      </c>
      <c r="AL156" s="287" t="e">
        <f t="shared" si="172"/>
        <v>#REF!</v>
      </c>
      <c r="AM156" s="287" t="e">
        <f t="shared" si="172"/>
        <v>#REF!</v>
      </c>
      <c r="AN156" s="287" t="e">
        <f t="shared" si="172"/>
        <v>#REF!</v>
      </c>
      <c r="AO156" s="287" t="e">
        <f t="shared" si="172"/>
        <v>#REF!</v>
      </c>
      <c r="AP156" s="287" t="e">
        <f t="shared" si="172"/>
        <v>#REF!</v>
      </c>
      <c r="AQ156" s="287" t="e">
        <f t="shared" si="172"/>
        <v>#REF!</v>
      </c>
      <c r="AR156" s="287" t="e">
        <f t="shared" si="172"/>
        <v>#REF!</v>
      </c>
      <c r="AS156" s="287" t="e">
        <f t="shared" si="172"/>
        <v>#REF!</v>
      </c>
      <c r="AT156" s="287" t="e">
        <f t="shared" si="172"/>
        <v>#REF!</v>
      </c>
      <c r="AU156" s="287" t="e">
        <f t="shared" si="172"/>
        <v>#REF!</v>
      </c>
      <c r="AV156" s="287" t="e">
        <f t="shared" si="172"/>
        <v>#REF!</v>
      </c>
      <c r="AW156" s="287" t="e">
        <f t="shared" si="172"/>
        <v>#REF!</v>
      </c>
      <c r="AX156" s="287" t="e">
        <f t="shared" si="172"/>
        <v>#REF!</v>
      </c>
      <c r="AY156" s="287" t="e">
        <f t="shared" si="172"/>
        <v>#REF!</v>
      </c>
      <c r="AZ156" s="287" t="e">
        <f t="shared" si="172"/>
        <v>#REF!</v>
      </c>
      <c r="BA156" s="287" t="e">
        <f t="shared" si="172"/>
        <v>#REF!</v>
      </c>
      <c r="BB156" s="287" t="e">
        <f t="shared" si="172"/>
        <v>#REF!</v>
      </c>
      <c r="BC156" s="287" t="e">
        <f t="shared" si="172"/>
        <v>#REF!</v>
      </c>
      <c r="BD156" s="287" t="e">
        <f t="shared" si="172"/>
        <v>#REF!</v>
      </c>
      <c r="BE156" s="287" t="e">
        <f t="shared" si="172"/>
        <v>#REF!</v>
      </c>
      <c r="BF156" s="287" t="e">
        <f t="shared" si="172"/>
        <v>#REF!</v>
      </c>
      <c r="BG156" s="287" t="e">
        <f t="shared" si="172"/>
        <v>#REF!</v>
      </c>
      <c r="BH156" s="287" t="e">
        <f t="shared" si="172"/>
        <v>#REF!</v>
      </c>
      <c r="BI156" s="287" t="e">
        <f t="shared" si="172"/>
        <v>#REF!</v>
      </c>
      <c r="BJ156" s="287" t="e">
        <f t="shared" si="172"/>
        <v>#REF!</v>
      </c>
      <c r="BK156" s="287" t="e">
        <f t="shared" si="172"/>
        <v>#REF!</v>
      </c>
      <c r="BL156" s="287" t="e">
        <f t="shared" si="172"/>
        <v>#REF!</v>
      </c>
      <c r="BM156" s="287" t="e">
        <f t="shared" si="172"/>
        <v>#REF!</v>
      </c>
      <c r="BN156" s="287" t="e">
        <f t="shared" si="172"/>
        <v>#REF!</v>
      </c>
      <c r="BO156" s="287" t="e">
        <f t="shared" si="172"/>
        <v>#REF!</v>
      </c>
    </row>
    <row r="157" spans="1:67" ht="20.25" customHeight="1">
      <c r="A157" s="424" t="s">
        <v>2936</v>
      </c>
      <c r="B157" s="425">
        <v>0</v>
      </c>
      <c r="C157" s="200">
        <v>5</v>
      </c>
      <c r="D157" s="361" t="str">
        <f t="shared" si="167"/>
        <v>R16</v>
      </c>
      <c r="E157" s="74" t="str">
        <f t="shared" si="168"/>
        <v>R16/5</v>
      </c>
      <c r="F157" s="337" t="e">
        <f>IF(C157=0,,VLOOKUP(E157,#REF!,5, FALSE()))</f>
        <v>#REF!</v>
      </c>
      <c r="G157" s="473"/>
      <c r="H157" s="473"/>
      <c r="I157" s="461"/>
      <c r="J157" s="461"/>
      <c r="K157" s="474"/>
      <c r="L157" s="474"/>
      <c r="M157" s="461"/>
      <c r="N157" s="461"/>
      <c r="O157" s="474"/>
      <c r="P157" s="474"/>
      <c r="Q157" s="461"/>
      <c r="R157" s="461"/>
      <c r="S157" s="474"/>
      <c r="T157" s="474"/>
      <c r="U157" s="461"/>
      <c r="V157" s="461"/>
      <c r="W157" s="480"/>
      <c r="X157" s="382" t="e">
        <f>IF(C157=0,,VLOOKUP(E157,#REF!,2, FALSE()))</f>
        <v>#REF!</v>
      </c>
      <c r="Y157" s="384" t="e">
        <f>IF(C157=0,,VLOOKUP(E157,#REF!,3, FALSE()))</f>
        <v>#REF!</v>
      </c>
      <c r="Z157" s="385"/>
      <c r="AA157" s="74"/>
      <c r="AB157" s="386" t="e">
        <f>IF(C157=0,,VLOOKUP(E157,#REF!,6, FALSE()))</f>
        <v>#REF!</v>
      </c>
      <c r="AC157" s="74"/>
      <c r="AD157" s="74"/>
      <c r="AE157" s="74"/>
      <c r="AF157" s="74"/>
      <c r="AG157" s="74"/>
      <c r="AH157" s="74"/>
      <c r="AI157" s="74"/>
      <c r="AJ157" s="389"/>
      <c r="AK157" s="287" t="e">
        <f t="shared" ref="AK157:BO157" si="173">(MID(#REF!, 7,2))</f>
        <v>#REF!</v>
      </c>
      <c r="AL157" s="287" t="e">
        <f t="shared" si="173"/>
        <v>#REF!</v>
      </c>
      <c r="AM157" s="287" t="e">
        <f t="shared" si="173"/>
        <v>#REF!</v>
      </c>
      <c r="AN157" s="287" t="e">
        <f t="shared" si="173"/>
        <v>#REF!</v>
      </c>
      <c r="AO157" s="287" t="e">
        <f t="shared" si="173"/>
        <v>#REF!</v>
      </c>
      <c r="AP157" s="287" t="e">
        <f t="shared" si="173"/>
        <v>#REF!</v>
      </c>
      <c r="AQ157" s="287" t="e">
        <f t="shared" si="173"/>
        <v>#REF!</v>
      </c>
      <c r="AR157" s="287" t="e">
        <f t="shared" si="173"/>
        <v>#REF!</v>
      </c>
      <c r="AS157" s="287" t="e">
        <f t="shared" si="173"/>
        <v>#REF!</v>
      </c>
      <c r="AT157" s="287" t="e">
        <f t="shared" si="173"/>
        <v>#REF!</v>
      </c>
      <c r="AU157" s="287" t="e">
        <f t="shared" si="173"/>
        <v>#REF!</v>
      </c>
      <c r="AV157" s="287" t="e">
        <f t="shared" si="173"/>
        <v>#REF!</v>
      </c>
      <c r="AW157" s="287" t="e">
        <f t="shared" si="173"/>
        <v>#REF!</v>
      </c>
      <c r="AX157" s="287" t="e">
        <f t="shared" si="173"/>
        <v>#REF!</v>
      </c>
      <c r="AY157" s="287" t="e">
        <f t="shared" si="173"/>
        <v>#REF!</v>
      </c>
      <c r="AZ157" s="287" t="e">
        <f t="shared" si="173"/>
        <v>#REF!</v>
      </c>
      <c r="BA157" s="287" t="e">
        <f t="shared" si="173"/>
        <v>#REF!</v>
      </c>
      <c r="BB157" s="287" t="e">
        <f t="shared" si="173"/>
        <v>#REF!</v>
      </c>
      <c r="BC157" s="287" t="e">
        <f t="shared" si="173"/>
        <v>#REF!</v>
      </c>
      <c r="BD157" s="287" t="e">
        <f t="shared" si="173"/>
        <v>#REF!</v>
      </c>
      <c r="BE157" s="287" t="e">
        <f t="shared" si="173"/>
        <v>#REF!</v>
      </c>
      <c r="BF157" s="287" t="e">
        <f t="shared" si="173"/>
        <v>#REF!</v>
      </c>
      <c r="BG157" s="287" t="e">
        <f t="shared" si="173"/>
        <v>#REF!</v>
      </c>
      <c r="BH157" s="287" t="e">
        <f t="shared" si="173"/>
        <v>#REF!</v>
      </c>
      <c r="BI157" s="287" t="e">
        <f t="shared" si="173"/>
        <v>#REF!</v>
      </c>
      <c r="BJ157" s="287" t="e">
        <f t="shared" si="173"/>
        <v>#REF!</v>
      </c>
      <c r="BK157" s="287" t="e">
        <f t="shared" si="173"/>
        <v>#REF!</v>
      </c>
      <c r="BL157" s="287" t="e">
        <f t="shared" si="173"/>
        <v>#REF!</v>
      </c>
      <c r="BM157" s="287" t="e">
        <f t="shared" si="173"/>
        <v>#REF!</v>
      </c>
      <c r="BN157" s="287" t="e">
        <f t="shared" si="173"/>
        <v>#REF!</v>
      </c>
      <c r="BO157" s="287" t="e">
        <f t="shared" si="173"/>
        <v>#REF!</v>
      </c>
    </row>
    <row r="158" spans="1:67" ht="20.25" customHeight="1">
      <c r="A158" s="424" t="e">
        <f>Z153</f>
        <v>#REF!</v>
      </c>
      <c r="B158" s="425">
        <v>0</v>
      </c>
      <c r="C158" s="200">
        <v>0</v>
      </c>
      <c r="D158" s="361" t="str">
        <f t="shared" si="167"/>
        <v>R16</v>
      </c>
      <c r="E158" s="74">
        <f t="shared" si="168"/>
        <v>0</v>
      </c>
      <c r="F158" s="337">
        <f>IF(C158=0,,VLOOKUP(E158,#REF!,5, FALSE()))</f>
        <v>0</v>
      </c>
      <c r="G158" s="473"/>
      <c r="H158" s="473"/>
      <c r="I158" s="461"/>
      <c r="J158" s="461"/>
      <c r="K158" s="474"/>
      <c r="L158" s="474"/>
      <c r="M158" s="461"/>
      <c r="N158" s="461"/>
      <c r="O158" s="474"/>
      <c r="P158" s="474"/>
      <c r="Q158" s="461"/>
      <c r="R158" s="461"/>
      <c r="S158" s="474"/>
      <c r="T158" s="474"/>
      <c r="U158" s="461"/>
      <c r="V158" s="461"/>
      <c r="W158" s="480"/>
      <c r="X158" s="382">
        <f>IF(C158=0,,VLOOKUP(E158,#REF!,2, FALSE()))</f>
        <v>0</v>
      </c>
      <c r="Y158" s="384">
        <f>IF(C158=0,,VLOOKUP(E158,#REF!,3, FALSE()))</f>
        <v>0</v>
      </c>
      <c r="Z158" s="385"/>
      <c r="AA158" s="74"/>
      <c r="AB158" s="386">
        <f>IF(C158=0,,VLOOKUP(E158,#REF!,6, FALSE()))</f>
        <v>0</v>
      </c>
      <c r="AC158" s="74"/>
      <c r="AD158" s="74"/>
      <c r="AE158" s="74"/>
      <c r="AF158" s="74"/>
      <c r="AG158" s="74"/>
      <c r="AH158" s="74"/>
      <c r="AI158" s="74"/>
      <c r="AJ158" s="389"/>
      <c r="AK158" s="287" t="e">
        <f t="shared" ref="AK158:BO158" si="174">(MID(#REF!, 7,2))</f>
        <v>#REF!</v>
      </c>
      <c r="AL158" s="287" t="e">
        <f t="shared" si="174"/>
        <v>#REF!</v>
      </c>
      <c r="AM158" s="287" t="e">
        <f t="shared" si="174"/>
        <v>#REF!</v>
      </c>
      <c r="AN158" s="287" t="e">
        <f t="shared" si="174"/>
        <v>#REF!</v>
      </c>
      <c r="AO158" s="287" t="e">
        <f t="shared" si="174"/>
        <v>#REF!</v>
      </c>
      <c r="AP158" s="287" t="e">
        <f t="shared" si="174"/>
        <v>#REF!</v>
      </c>
      <c r="AQ158" s="287" t="e">
        <f t="shared" si="174"/>
        <v>#REF!</v>
      </c>
      <c r="AR158" s="287" t="e">
        <f t="shared" si="174"/>
        <v>#REF!</v>
      </c>
      <c r="AS158" s="287" t="e">
        <f t="shared" si="174"/>
        <v>#REF!</v>
      </c>
      <c r="AT158" s="287" t="e">
        <f t="shared" si="174"/>
        <v>#REF!</v>
      </c>
      <c r="AU158" s="287" t="e">
        <f t="shared" si="174"/>
        <v>#REF!</v>
      </c>
      <c r="AV158" s="287" t="e">
        <f t="shared" si="174"/>
        <v>#REF!</v>
      </c>
      <c r="AW158" s="287" t="e">
        <f t="shared" si="174"/>
        <v>#REF!</v>
      </c>
      <c r="AX158" s="287" t="e">
        <f t="shared" si="174"/>
        <v>#REF!</v>
      </c>
      <c r="AY158" s="287" t="e">
        <f t="shared" si="174"/>
        <v>#REF!</v>
      </c>
      <c r="AZ158" s="287" t="e">
        <f t="shared" si="174"/>
        <v>#REF!</v>
      </c>
      <c r="BA158" s="287" t="e">
        <f t="shared" si="174"/>
        <v>#REF!</v>
      </c>
      <c r="BB158" s="287" t="e">
        <f t="shared" si="174"/>
        <v>#REF!</v>
      </c>
      <c r="BC158" s="287" t="e">
        <f t="shared" si="174"/>
        <v>#REF!</v>
      </c>
      <c r="BD158" s="287" t="e">
        <f t="shared" si="174"/>
        <v>#REF!</v>
      </c>
      <c r="BE158" s="287" t="e">
        <f t="shared" si="174"/>
        <v>#REF!</v>
      </c>
      <c r="BF158" s="287" t="e">
        <f t="shared" si="174"/>
        <v>#REF!</v>
      </c>
      <c r="BG158" s="287" t="e">
        <f t="shared" si="174"/>
        <v>#REF!</v>
      </c>
      <c r="BH158" s="287" t="e">
        <f t="shared" si="174"/>
        <v>#REF!</v>
      </c>
      <c r="BI158" s="287" t="e">
        <f t="shared" si="174"/>
        <v>#REF!</v>
      </c>
      <c r="BJ158" s="287" t="e">
        <f t="shared" si="174"/>
        <v>#REF!</v>
      </c>
      <c r="BK158" s="287" t="e">
        <f t="shared" si="174"/>
        <v>#REF!</v>
      </c>
      <c r="BL158" s="287" t="e">
        <f t="shared" si="174"/>
        <v>#REF!</v>
      </c>
      <c r="BM158" s="287" t="e">
        <f t="shared" si="174"/>
        <v>#REF!</v>
      </c>
      <c r="BN158" s="287" t="e">
        <f t="shared" si="174"/>
        <v>#REF!</v>
      </c>
      <c r="BO158" s="287" t="e">
        <f t="shared" si="174"/>
        <v>#REF!</v>
      </c>
    </row>
    <row r="159" spans="1:67" ht="20.25" customHeight="1">
      <c r="A159" s="424" t="s">
        <v>2951</v>
      </c>
      <c r="B159" s="425" t="e">
        <f>SUM(AB153:AB161)</f>
        <v>#REF!</v>
      </c>
      <c r="C159" s="200">
        <v>0</v>
      </c>
      <c r="D159" s="361" t="str">
        <f t="shared" si="167"/>
        <v>R16</v>
      </c>
      <c r="E159" s="74">
        <f t="shared" si="168"/>
        <v>0</v>
      </c>
      <c r="F159" s="337">
        <f>IF(C159=0,,VLOOKUP(E159,#REF!,5, FALSE()))</f>
        <v>0</v>
      </c>
      <c r="G159" s="473"/>
      <c r="H159" s="473"/>
      <c r="I159" s="461"/>
      <c r="J159" s="461"/>
      <c r="K159" s="474"/>
      <c r="L159" s="474"/>
      <c r="M159" s="461"/>
      <c r="N159" s="461"/>
      <c r="O159" s="474"/>
      <c r="P159" s="474"/>
      <c r="Q159" s="461"/>
      <c r="R159" s="461"/>
      <c r="S159" s="474"/>
      <c r="T159" s="474"/>
      <c r="U159" s="461"/>
      <c r="V159" s="461"/>
      <c r="W159" s="480"/>
      <c r="X159" s="382">
        <f>IF(C159=0,,VLOOKUP(E159,#REF!,2, FALSE()))</f>
        <v>0</v>
      </c>
      <c r="Y159" s="384">
        <f>IF(C159=0,,VLOOKUP(E159,#REF!,3, FALSE()))</f>
        <v>0</v>
      </c>
      <c r="Z159" s="385"/>
      <c r="AA159" s="74"/>
      <c r="AB159" s="386">
        <f>IF(C159=0,,VLOOKUP(E159,#REF!,6, FALSE()))</f>
        <v>0</v>
      </c>
      <c r="AC159" s="74"/>
      <c r="AD159" s="74"/>
      <c r="AE159" s="74"/>
      <c r="AF159" s="74"/>
      <c r="AG159" s="74"/>
      <c r="AH159" s="74"/>
      <c r="AI159" s="74"/>
      <c r="AJ159" s="389"/>
      <c r="AK159" s="287" t="e">
        <f t="shared" ref="AK159:BO159" si="175">(MID(#REF!, 7,2))</f>
        <v>#REF!</v>
      </c>
      <c r="AL159" s="287" t="e">
        <f t="shared" si="175"/>
        <v>#REF!</v>
      </c>
      <c r="AM159" s="287" t="e">
        <f t="shared" si="175"/>
        <v>#REF!</v>
      </c>
      <c r="AN159" s="287" t="e">
        <f t="shared" si="175"/>
        <v>#REF!</v>
      </c>
      <c r="AO159" s="287" t="e">
        <f t="shared" si="175"/>
        <v>#REF!</v>
      </c>
      <c r="AP159" s="287" t="e">
        <f t="shared" si="175"/>
        <v>#REF!</v>
      </c>
      <c r="AQ159" s="287" t="e">
        <f t="shared" si="175"/>
        <v>#REF!</v>
      </c>
      <c r="AR159" s="287" t="e">
        <f t="shared" si="175"/>
        <v>#REF!</v>
      </c>
      <c r="AS159" s="287" t="e">
        <f t="shared" si="175"/>
        <v>#REF!</v>
      </c>
      <c r="AT159" s="287" t="e">
        <f t="shared" si="175"/>
        <v>#REF!</v>
      </c>
      <c r="AU159" s="287" t="e">
        <f t="shared" si="175"/>
        <v>#REF!</v>
      </c>
      <c r="AV159" s="287" t="e">
        <f t="shared" si="175"/>
        <v>#REF!</v>
      </c>
      <c r="AW159" s="287" t="e">
        <f t="shared" si="175"/>
        <v>#REF!</v>
      </c>
      <c r="AX159" s="287" t="e">
        <f t="shared" si="175"/>
        <v>#REF!</v>
      </c>
      <c r="AY159" s="287" t="e">
        <f t="shared" si="175"/>
        <v>#REF!</v>
      </c>
      <c r="AZ159" s="287" t="e">
        <f t="shared" si="175"/>
        <v>#REF!</v>
      </c>
      <c r="BA159" s="287" t="e">
        <f t="shared" si="175"/>
        <v>#REF!</v>
      </c>
      <c r="BB159" s="287" t="e">
        <f t="shared" si="175"/>
        <v>#REF!</v>
      </c>
      <c r="BC159" s="287" t="e">
        <f t="shared" si="175"/>
        <v>#REF!</v>
      </c>
      <c r="BD159" s="287" t="e">
        <f t="shared" si="175"/>
        <v>#REF!</v>
      </c>
      <c r="BE159" s="287" t="e">
        <f t="shared" si="175"/>
        <v>#REF!</v>
      </c>
      <c r="BF159" s="287" t="e">
        <f t="shared" si="175"/>
        <v>#REF!</v>
      </c>
      <c r="BG159" s="287" t="e">
        <f t="shared" si="175"/>
        <v>#REF!</v>
      </c>
      <c r="BH159" s="287" t="e">
        <f t="shared" si="175"/>
        <v>#REF!</v>
      </c>
      <c r="BI159" s="287" t="e">
        <f t="shared" si="175"/>
        <v>#REF!</v>
      </c>
      <c r="BJ159" s="287" t="e">
        <f t="shared" si="175"/>
        <v>#REF!</v>
      </c>
      <c r="BK159" s="287" t="e">
        <f t="shared" si="175"/>
        <v>#REF!</v>
      </c>
      <c r="BL159" s="287" t="e">
        <f t="shared" si="175"/>
        <v>#REF!</v>
      </c>
      <c r="BM159" s="287" t="e">
        <f t="shared" si="175"/>
        <v>#REF!</v>
      </c>
      <c r="BN159" s="287" t="e">
        <f t="shared" si="175"/>
        <v>#REF!</v>
      </c>
      <c r="BO159" s="287" t="e">
        <f t="shared" si="175"/>
        <v>#REF!</v>
      </c>
    </row>
    <row r="160" spans="1:67" ht="20.25" customHeight="1">
      <c r="A160" s="424" t="s">
        <v>2952</v>
      </c>
      <c r="B160" s="425">
        <f>SUM(AJ153:AJ161)</f>
        <v>0</v>
      </c>
      <c r="C160" s="200">
        <v>0</v>
      </c>
      <c r="D160" s="361" t="str">
        <f t="shared" si="167"/>
        <v>R16</v>
      </c>
      <c r="E160" s="74">
        <f t="shared" si="168"/>
        <v>0</v>
      </c>
      <c r="F160" s="337">
        <f>IF(C160=0,,VLOOKUP(E160,#REF!,5, FALSE()))</f>
        <v>0</v>
      </c>
      <c r="G160" s="473"/>
      <c r="H160" s="473"/>
      <c r="I160" s="461"/>
      <c r="J160" s="461"/>
      <c r="K160" s="474"/>
      <c r="L160" s="474"/>
      <c r="M160" s="461"/>
      <c r="N160" s="461"/>
      <c r="O160" s="474"/>
      <c r="P160" s="474"/>
      <c r="Q160" s="461"/>
      <c r="R160" s="461"/>
      <c r="S160" s="474"/>
      <c r="T160" s="474"/>
      <c r="U160" s="461"/>
      <c r="V160" s="461"/>
      <c r="W160" s="480"/>
      <c r="X160" s="382">
        <f>IF(C160=0,,VLOOKUP(E160,#REF!,2, FALSE()))</f>
        <v>0</v>
      </c>
      <c r="Y160" s="384">
        <f>IF(C160=0,,VLOOKUP(E160,#REF!,3, FALSE()))</f>
        <v>0</v>
      </c>
      <c r="Z160" s="385"/>
      <c r="AA160" s="74"/>
      <c r="AB160" s="386">
        <f>IF(C160=0,,VLOOKUP(E160,#REF!,6, FALSE()))</f>
        <v>0</v>
      </c>
      <c r="AC160" s="74"/>
      <c r="AD160" s="74"/>
      <c r="AE160" s="74"/>
      <c r="AF160" s="74"/>
      <c r="AG160" s="74"/>
      <c r="AH160" s="74"/>
      <c r="AI160" s="74"/>
      <c r="AJ160" s="389"/>
      <c r="AK160" s="287" t="e">
        <f t="shared" ref="AK160:BO160" si="176">(MID(#REF!, 7,2))</f>
        <v>#REF!</v>
      </c>
      <c r="AL160" s="287" t="e">
        <f t="shared" si="176"/>
        <v>#REF!</v>
      </c>
      <c r="AM160" s="287" t="e">
        <f t="shared" si="176"/>
        <v>#REF!</v>
      </c>
      <c r="AN160" s="287" t="e">
        <f t="shared" si="176"/>
        <v>#REF!</v>
      </c>
      <c r="AO160" s="287" t="e">
        <f t="shared" si="176"/>
        <v>#REF!</v>
      </c>
      <c r="AP160" s="287" t="e">
        <f t="shared" si="176"/>
        <v>#REF!</v>
      </c>
      <c r="AQ160" s="287" t="e">
        <f t="shared" si="176"/>
        <v>#REF!</v>
      </c>
      <c r="AR160" s="287" t="e">
        <f t="shared" si="176"/>
        <v>#REF!</v>
      </c>
      <c r="AS160" s="287" t="e">
        <f t="shared" si="176"/>
        <v>#REF!</v>
      </c>
      <c r="AT160" s="287" t="e">
        <f t="shared" si="176"/>
        <v>#REF!</v>
      </c>
      <c r="AU160" s="287" t="e">
        <f t="shared" si="176"/>
        <v>#REF!</v>
      </c>
      <c r="AV160" s="287" t="e">
        <f t="shared" si="176"/>
        <v>#REF!</v>
      </c>
      <c r="AW160" s="287" t="e">
        <f t="shared" si="176"/>
        <v>#REF!</v>
      </c>
      <c r="AX160" s="287" t="e">
        <f t="shared" si="176"/>
        <v>#REF!</v>
      </c>
      <c r="AY160" s="287" t="e">
        <f t="shared" si="176"/>
        <v>#REF!</v>
      </c>
      <c r="AZ160" s="287" t="e">
        <f t="shared" si="176"/>
        <v>#REF!</v>
      </c>
      <c r="BA160" s="287" t="e">
        <f t="shared" si="176"/>
        <v>#REF!</v>
      </c>
      <c r="BB160" s="287" t="e">
        <f t="shared" si="176"/>
        <v>#REF!</v>
      </c>
      <c r="BC160" s="287" t="e">
        <f t="shared" si="176"/>
        <v>#REF!</v>
      </c>
      <c r="BD160" s="287" t="e">
        <f t="shared" si="176"/>
        <v>#REF!</v>
      </c>
      <c r="BE160" s="287" t="e">
        <f t="shared" si="176"/>
        <v>#REF!</v>
      </c>
      <c r="BF160" s="287" t="e">
        <f t="shared" si="176"/>
        <v>#REF!</v>
      </c>
      <c r="BG160" s="287" t="e">
        <f t="shared" si="176"/>
        <v>#REF!</v>
      </c>
      <c r="BH160" s="287" t="e">
        <f t="shared" si="176"/>
        <v>#REF!</v>
      </c>
      <c r="BI160" s="287" t="e">
        <f t="shared" si="176"/>
        <v>#REF!</v>
      </c>
      <c r="BJ160" s="287" t="e">
        <f t="shared" si="176"/>
        <v>#REF!</v>
      </c>
      <c r="BK160" s="287" t="e">
        <f t="shared" si="176"/>
        <v>#REF!</v>
      </c>
      <c r="BL160" s="287" t="e">
        <f t="shared" si="176"/>
        <v>#REF!</v>
      </c>
      <c r="BM160" s="287" t="e">
        <f t="shared" si="176"/>
        <v>#REF!</v>
      </c>
      <c r="BN160" s="287" t="e">
        <f t="shared" si="176"/>
        <v>#REF!</v>
      </c>
      <c r="BO160" s="287" t="e">
        <f t="shared" si="176"/>
        <v>#REF!</v>
      </c>
    </row>
    <row r="161" spans="1:67" ht="20.25" customHeight="1">
      <c r="A161" s="443" t="s">
        <v>2953</v>
      </c>
      <c r="B161" s="444" t="e">
        <f>B158-B159-B160</f>
        <v>#REF!</v>
      </c>
      <c r="C161" s="200">
        <v>0</v>
      </c>
      <c r="D161" s="361" t="str">
        <f t="shared" si="167"/>
        <v>R16</v>
      </c>
      <c r="E161" s="74">
        <f t="shared" si="168"/>
        <v>0</v>
      </c>
      <c r="F161" s="337">
        <f>IF(C161=0,,VLOOKUP(E161,#REF!,5, FALSE()))</f>
        <v>0</v>
      </c>
      <c r="G161" s="473"/>
      <c r="H161" s="473"/>
      <c r="I161" s="461"/>
      <c r="J161" s="461"/>
      <c r="K161" s="474"/>
      <c r="L161" s="474"/>
      <c r="M161" s="461"/>
      <c r="N161" s="461"/>
      <c r="O161" s="474"/>
      <c r="P161" s="474"/>
      <c r="Q161" s="461"/>
      <c r="R161" s="461"/>
      <c r="S161" s="474"/>
      <c r="T161" s="474"/>
      <c r="U161" s="461"/>
      <c r="V161" s="461"/>
      <c r="W161" s="481"/>
      <c r="X161" s="382">
        <f>IF(C161=0,,VLOOKUP(E161,#REF!,2, FALSE()))</f>
        <v>0</v>
      </c>
      <c r="Y161" s="384">
        <f>IF(C161=0,,VLOOKUP(E161,#REF!,3, FALSE()))</f>
        <v>0</v>
      </c>
      <c r="Z161" s="385"/>
      <c r="AA161" s="74"/>
      <c r="AB161" s="386">
        <f>IF(C161=0,,VLOOKUP(E161,#REF!,6, FALSE()))</f>
        <v>0</v>
      </c>
      <c r="AC161" s="74"/>
      <c r="AD161" s="74"/>
      <c r="AE161" s="74"/>
      <c r="AF161" s="74"/>
      <c r="AG161" s="74"/>
      <c r="AH161" s="74"/>
      <c r="AI161" s="74"/>
      <c r="AJ161" s="389"/>
      <c r="AK161" s="287" t="e">
        <f t="shared" ref="AK161:BO161" si="177">(MID(#REF!, 7,2))</f>
        <v>#REF!</v>
      </c>
      <c r="AL161" s="287" t="e">
        <f t="shared" si="177"/>
        <v>#REF!</v>
      </c>
      <c r="AM161" s="287" t="e">
        <f t="shared" si="177"/>
        <v>#REF!</v>
      </c>
      <c r="AN161" s="287" t="e">
        <f t="shared" si="177"/>
        <v>#REF!</v>
      </c>
      <c r="AO161" s="287" t="e">
        <f t="shared" si="177"/>
        <v>#REF!</v>
      </c>
      <c r="AP161" s="287" t="e">
        <f t="shared" si="177"/>
        <v>#REF!</v>
      </c>
      <c r="AQ161" s="287" t="e">
        <f t="shared" si="177"/>
        <v>#REF!</v>
      </c>
      <c r="AR161" s="287" t="e">
        <f t="shared" si="177"/>
        <v>#REF!</v>
      </c>
      <c r="AS161" s="287" t="e">
        <f t="shared" si="177"/>
        <v>#REF!</v>
      </c>
      <c r="AT161" s="287" t="e">
        <f t="shared" si="177"/>
        <v>#REF!</v>
      </c>
      <c r="AU161" s="287" t="e">
        <f t="shared" si="177"/>
        <v>#REF!</v>
      </c>
      <c r="AV161" s="287" t="e">
        <f t="shared" si="177"/>
        <v>#REF!</v>
      </c>
      <c r="AW161" s="287" t="e">
        <f t="shared" si="177"/>
        <v>#REF!</v>
      </c>
      <c r="AX161" s="287" t="e">
        <f t="shared" si="177"/>
        <v>#REF!</v>
      </c>
      <c r="AY161" s="287" t="e">
        <f t="shared" si="177"/>
        <v>#REF!</v>
      </c>
      <c r="AZ161" s="287" t="e">
        <f t="shared" si="177"/>
        <v>#REF!</v>
      </c>
      <c r="BA161" s="287" t="e">
        <f t="shared" si="177"/>
        <v>#REF!</v>
      </c>
      <c r="BB161" s="287" t="e">
        <f t="shared" si="177"/>
        <v>#REF!</v>
      </c>
      <c r="BC161" s="287" t="e">
        <f t="shared" si="177"/>
        <v>#REF!</v>
      </c>
      <c r="BD161" s="287" t="e">
        <f t="shared" si="177"/>
        <v>#REF!</v>
      </c>
      <c r="BE161" s="287" t="e">
        <f t="shared" si="177"/>
        <v>#REF!</v>
      </c>
      <c r="BF161" s="287" t="e">
        <f t="shared" si="177"/>
        <v>#REF!</v>
      </c>
      <c r="BG161" s="287" t="e">
        <f t="shared" si="177"/>
        <v>#REF!</v>
      </c>
      <c r="BH161" s="287" t="e">
        <f t="shared" si="177"/>
        <v>#REF!</v>
      </c>
      <c r="BI161" s="287" t="e">
        <f t="shared" si="177"/>
        <v>#REF!</v>
      </c>
      <c r="BJ161" s="287" t="e">
        <f t="shared" si="177"/>
        <v>#REF!</v>
      </c>
      <c r="BK161" s="287" t="e">
        <f t="shared" si="177"/>
        <v>#REF!</v>
      </c>
      <c r="BL161" s="287" t="e">
        <f t="shared" si="177"/>
        <v>#REF!</v>
      </c>
      <c r="BM161" s="287" t="e">
        <f t="shared" si="177"/>
        <v>#REF!</v>
      </c>
      <c r="BN161" s="287" t="e">
        <f t="shared" si="177"/>
        <v>#REF!</v>
      </c>
      <c r="BO161" s="287" t="e">
        <f t="shared" si="177"/>
        <v>#REF!</v>
      </c>
    </row>
    <row r="162" spans="1:67" ht="3.75" customHeight="1">
      <c r="G162" s="446"/>
      <c r="H162" s="446"/>
      <c r="I162" s="285"/>
      <c r="J162" s="285"/>
      <c r="K162" s="346"/>
      <c r="L162" s="346"/>
      <c r="M162" s="285"/>
      <c r="N162" s="285"/>
      <c r="O162" s="346"/>
      <c r="P162" s="346"/>
      <c r="Q162" s="285"/>
      <c r="R162" s="285"/>
      <c r="S162" s="346"/>
      <c r="T162" s="346"/>
      <c r="U162" s="285"/>
      <c r="V162" s="285"/>
      <c r="Y162" s="447"/>
      <c r="AK162" s="346"/>
      <c r="AL162" s="346"/>
      <c r="AM162" s="346"/>
      <c r="AN162" s="346"/>
      <c r="AO162" s="346"/>
      <c r="AP162" s="346"/>
      <c r="AQ162" s="346"/>
      <c r="AR162" s="346"/>
      <c r="AS162" s="346"/>
      <c r="AT162" s="346"/>
      <c r="AU162" s="346"/>
      <c r="AV162" s="346"/>
      <c r="AW162" s="346"/>
      <c r="AX162" s="346"/>
      <c r="AY162" s="346"/>
      <c r="AZ162" s="346"/>
      <c r="BA162" s="346"/>
      <c r="BB162" s="346"/>
      <c r="BC162" s="346"/>
      <c r="BD162" s="346"/>
      <c r="BE162" s="346"/>
      <c r="BF162" s="346"/>
      <c r="BG162" s="346"/>
      <c r="BH162" s="346"/>
      <c r="BI162" s="346"/>
      <c r="BJ162" s="346"/>
      <c r="BK162" s="346"/>
      <c r="BL162" s="346"/>
      <c r="BM162" s="346"/>
      <c r="BN162" s="346"/>
      <c r="BO162" s="346"/>
    </row>
    <row r="163" spans="1:67" ht="20.25" customHeight="1">
      <c r="A163" s="200" t="s">
        <v>2459</v>
      </c>
      <c r="B163" s="217" t="s">
        <v>461</v>
      </c>
      <c r="C163" s="200">
        <v>0</v>
      </c>
      <c r="D163" s="361" t="str">
        <f t="shared" ref="D163:D171" si="178">$B$163</f>
        <v>R17</v>
      </c>
      <c r="E163" s="74">
        <f t="shared" ref="E163:E171" si="179">IF(C163=0,,CONCATENATE(D163,"/",C163))</f>
        <v>0</v>
      </c>
      <c r="F163" s="337">
        <f>IF(C163=0,,VLOOKUP(E163,#REF!,5, FALSE()))</f>
        <v>0</v>
      </c>
      <c r="G163" s="470"/>
      <c r="H163" s="470"/>
      <c r="I163" s="471"/>
      <c r="J163" s="471"/>
      <c r="K163" s="472"/>
      <c r="L163" s="472"/>
      <c r="M163" s="471"/>
      <c r="N163" s="471"/>
      <c r="O163" s="472"/>
      <c r="P163" s="472"/>
      <c r="Q163" s="471"/>
      <c r="R163" s="471"/>
      <c r="S163" s="472"/>
      <c r="T163" s="472"/>
      <c r="U163" s="471"/>
      <c r="V163" s="471"/>
      <c r="W163" s="563" t="str">
        <f>CONCATENATE(F163," + ",F164," + ",F165," + ",F166," + ",F167," + ",F168," + ",F169," + ",F170," + ",F171)</f>
        <v>0 + 0 + 0 + 0 + 0 + 0 + 0 + 0 + 0</v>
      </c>
      <c r="X163" s="382">
        <f>IF(C163=0,,VLOOKUP(E163,#REF!,2, FALSE()))</f>
        <v>0</v>
      </c>
      <c r="Y163" s="384">
        <f>IF(C163=0,,VLOOKUP(E163,#REF!,3, FALSE()))</f>
        <v>0</v>
      </c>
      <c r="Z163" s="385" t="e">
        <f>VLOOKUP(Y163,#REF!,6, FALSE())</f>
        <v>#REF!</v>
      </c>
      <c r="AA163" s="74">
        <f>$B165</f>
        <v>0</v>
      </c>
      <c r="AB163" s="386">
        <f>IF(C163=0,,VLOOKUP(E163,#REF!,6, FALSE()))</f>
        <v>0</v>
      </c>
      <c r="AC163" s="74"/>
      <c r="AD163" s="74">
        <f>$B166</f>
        <v>0</v>
      </c>
      <c r="AE163" s="74"/>
      <c r="AF163" s="450">
        <f>$B167</f>
        <v>0</v>
      </c>
      <c r="AG163" s="74"/>
      <c r="AH163" s="450">
        <f>$B169</f>
        <v>0</v>
      </c>
      <c r="AI163" s="450">
        <f ca="1">B169+B170</f>
        <v>0</v>
      </c>
      <c r="AJ163" s="389">
        <f ca="1">B170</f>
        <v>0</v>
      </c>
      <c r="AK163" s="287" t="e">
        <f t="shared" ref="AK163:BO163" si="180">(MID(#REF!, 7,2))</f>
        <v>#REF!</v>
      </c>
      <c r="AL163" s="287" t="e">
        <f t="shared" si="180"/>
        <v>#REF!</v>
      </c>
      <c r="AM163" s="287" t="e">
        <f t="shared" si="180"/>
        <v>#REF!</v>
      </c>
      <c r="AN163" s="287" t="e">
        <f t="shared" si="180"/>
        <v>#REF!</v>
      </c>
      <c r="AO163" s="287" t="e">
        <f t="shared" si="180"/>
        <v>#REF!</v>
      </c>
      <c r="AP163" s="287" t="e">
        <f t="shared" si="180"/>
        <v>#REF!</v>
      </c>
      <c r="AQ163" s="287" t="e">
        <f t="shared" si="180"/>
        <v>#REF!</v>
      </c>
      <c r="AR163" s="287" t="e">
        <f t="shared" si="180"/>
        <v>#REF!</v>
      </c>
      <c r="AS163" s="287" t="e">
        <f t="shared" si="180"/>
        <v>#REF!</v>
      </c>
      <c r="AT163" s="287" t="e">
        <f t="shared" si="180"/>
        <v>#REF!</v>
      </c>
      <c r="AU163" s="287" t="e">
        <f t="shared" si="180"/>
        <v>#REF!</v>
      </c>
      <c r="AV163" s="287" t="e">
        <f t="shared" si="180"/>
        <v>#REF!</v>
      </c>
      <c r="AW163" s="287" t="e">
        <f t="shared" si="180"/>
        <v>#REF!</v>
      </c>
      <c r="AX163" s="287" t="e">
        <f t="shared" si="180"/>
        <v>#REF!</v>
      </c>
      <c r="AY163" s="287" t="e">
        <f t="shared" si="180"/>
        <v>#REF!</v>
      </c>
      <c r="AZ163" s="287" t="e">
        <f t="shared" si="180"/>
        <v>#REF!</v>
      </c>
      <c r="BA163" s="287" t="e">
        <f t="shared" si="180"/>
        <v>#REF!</v>
      </c>
      <c r="BB163" s="287" t="e">
        <f t="shared" si="180"/>
        <v>#REF!</v>
      </c>
      <c r="BC163" s="287" t="e">
        <f t="shared" si="180"/>
        <v>#REF!</v>
      </c>
      <c r="BD163" s="287" t="e">
        <f t="shared" si="180"/>
        <v>#REF!</v>
      </c>
      <c r="BE163" s="287" t="e">
        <f t="shared" si="180"/>
        <v>#REF!</v>
      </c>
      <c r="BF163" s="287" t="e">
        <f t="shared" si="180"/>
        <v>#REF!</v>
      </c>
      <c r="BG163" s="287" t="e">
        <f t="shared" si="180"/>
        <v>#REF!</v>
      </c>
      <c r="BH163" s="287" t="e">
        <f t="shared" si="180"/>
        <v>#REF!</v>
      </c>
      <c r="BI163" s="287" t="e">
        <f t="shared" si="180"/>
        <v>#REF!</v>
      </c>
      <c r="BJ163" s="287" t="e">
        <f t="shared" si="180"/>
        <v>#REF!</v>
      </c>
      <c r="BK163" s="287" t="e">
        <f t="shared" si="180"/>
        <v>#REF!</v>
      </c>
      <c r="BL163" s="287" t="e">
        <f t="shared" si="180"/>
        <v>#REF!</v>
      </c>
      <c r="BM163" s="287" t="e">
        <f t="shared" si="180"/>
        <v>#REF!</v>
      </c>
      <c r="BN163" s="287" t="e">
        <f t="shared" si="180"/>
        <v>#REF!</v>
      </c>
      <c r="BO163" s="287" t="e">
        <f t="shared" si="180"/>
        <v>#REF!</v>
      </c>
    </row>
    <row r="164" spans="1:67" ht="20.25" customHeight="1">
      <c r="A164" s="562">
        <f>Y163</f>
        <v>0</v>
      </c>
      <c r="B164" s="499"/>
      <c r="C164" s="200">
        <v>0</v>
      </c>
      <c r="D164" s="361" t="str">
        <f t="shared" si="178"/>
        <v>R17</v>
      </c>
      <c r="E164" s="74">
        <f t="shared" si="179"/>
        <v>0</v>
      </c>
      <c r="F164" s="337">
        <f>IF(C164=0,,VLOOKUP(E164,#REF!,5, FALSE()))</f>
        <v>0</v>
      </c>
      <c r="G164" s="473"/>
      <c r="H164" s="473"/>
      <c r="I164" s="461"/>
      <c r="J164" s="461"/>
      <c r="K164" s="474"/>
      <c r="L164" s="474"/>
      <c r="M164" s="461"/>
      <c r="N164" s="461"/>
      <c r="O164" s="474"/>
      <c r="P164" s="474"/>
      <c r="Q164" s="461"/>
      <c r="R164" s="461"/>
      <c r="S164" s="474"/>
      <c r="T164" s="474"/>
      <c r="U164" s="461"/>
      <c r="V164" s="461"/>
      <c r="W164" s="480"/>
      <c r="X164" s="382">
        <f>IF(C164=0,,VLOOKUP(E164,#REF!,2, FALSE()))</f>
        <v>0</v>
      </c>
      <c r="Y164" s="384">
        <f>IF(C164=0,,VLOOKUP(E164,#REF!,3, FALSE()))</f>
        <v>0</v>
      </c>
      <c r="Z164" s="385"/>
      <c r="AA164" s="74">
        <f t="shared" ref="AA164:AA171" si="181">$B$165</f>
        <v>0</v>
      </c>
      <c r="AB164" s="386">
        <f>IF(C164=0,,VLOOKUP(E164,#REF!,6, FALSE()))</f>
        <v>0</v>
      </c>
      <c r="AC164" s="74"/>
      <c r="AD164" s="74"/>
      <c r="AE164" s="74"/>
      <c r="AF164" s="74"/>
      <c r="AG164" s="74"/>
      <c r="AH164" s="74"/>
      <c r="AI164" s="74"/>
      <c r="AJ164" s="389"/>
      <c r="AK164" s="287" t="e">
        <f t="shared" ref="AK164:BO164" si="182">(MID(#REF!, 7,2))</f>
        <v>#REF!</v>
      </c>
      <c r="AL164" s="287" t="e">
        <f t="shared" si="182"/>
        <v>#REF!</v>
      </c>
      <c r="AM164" s="287" t="e">
        <f t="shared" si="182"/>
        <v>#REF!</v>
      </c>
      <c r="AN164" s="287" t="e">
        <f t="shared" si="182"/>
        <v>#REF!</v>
      </c>
      <c r="AO164" s="287" t="e">
        <f t="shared" si="182"/>
        <v>#REF!</v>
      </c>
      <c r="AP164" s="287" t="e">
        <f t="shared" si="182"/>
        <v>#REF!</v>
      </c>
      <c r="AQ164" s="287" t="e">
        <f t="shared" si="182"/>
        <v>#REF!</v>
      </c>
      <c r="AR164" s="287" t="e">
        <f t="shared" si="182"/>
        <v>#REF!</v>
      </c>
      <c r="AS164" s="287" t="e">
        <f t="shared" si="182"/>
        <v>#REF!</v>
      </c>
      <c r="AT164" s="287" t="e">
        <f t="shared" si="182"/>
        <v>#REF!</v>
      </c>
      <c r="AU164" s="287" t="e">
        <f t="shared" si="182"/>
        <v>#REF!</v>
      </c>
      <c r="AV164" s="287" t="e">
        <f t="shared" si="182"/>
        <v>#REF!</v>
      </c>
      <c r="AW164" s="287" t="e">
        <f t="shared" si="182"/>
        <v>#REF!</v>
      </c>
      <c r="AX164" s="287" t="e">
        <f t="shared" si="182"/>
        <v>#REF!</v>
      </c>
      <c r="AY164" s="287" t="e">
        <f t="shared" si="182"/>
        <v>#REF!</v>
      </c>
      <c r="AZ164" s="287" t="e">
        <f t="shared" si="182"/>
        <v>#REF!</v>
      </c>
      <c r="BA164" s="287" t="e">
        <f t="shared" si="182"/>
        <v>#REF!</v>
      </c>
      <c r="BB164" s="287" t="e">
        <f t="shared" si="182"/>
        <v>#REF!</v>
      </c>
      <c r="BC164" s="287" t="e">
        <f t="shared" si="182"/>
        <v>#REF!</v>
      </c>
      <c r="BD164" s="287" t="e">
        <f t="shared" si="182"/>
        <v>#REF!</v>
      </c>
      <c r="BE164" s="287" t="e">
        <f t="shared" si="182"/>
        <v>#REF!</v>
      </c>
      <c r="BF164" s="287" t="e">
        <f t="shared" si="182"/>
        <v>#REF!</v>
      </c>
      <c r="BG164" s="287" t="e">
        <f t="shared" si="182"/>
        <v>#REF!</v>
      </c>
      <c r="BH164" s="287" t="e">
        <f t="shared" si="182"/>
        <v>#REF!</v>
      </c>
      <c r="BI164" s="287" t="e">
        <f t="shared" si="182"/>
        <v>#REF!</v>
      </c>
      <c r="BJ164" s="287" t="e">
        <f t="shared" si="182"/>
        <v>#REF!</v>
      </c>
      <c r="BK164" s="287" t="e">
        <f t="shared" si="182"/>
        <v>#REF!</v>
      </c>
      <c r="BL164" s="287" t="e">
        <f t="shared" si="182"/>
        <v>#REF!</v>
      </c>
      <c r="BM164" s="287" t="e">
        <f t="shared" si="182"/>
        <v>#REF!</v>
      </c>
      <c r="BN164" s="287" t="e">
        <f t="shared" si="182"/>
        <v>#REF!</v>
      </c>
      <c r="BO164" s="287" t="e">
        <f t="shared" si="182"/>
        <v>#REF!</v>
      </c>
    </row>
    <row r="165" spans="1:67" ht="20.25" customHeight="1">
      <c r="A165" s="402" t="s">
        <v>2896</v>
      </c>
      <c r="B165" s="19"/>
      <c r="C165" s="200">
        <v>0</v>
      </c>
      <c r="D165" s="361" t="str">
        <f t="shared" si="178"/>
        <v>R17</v>
      </c>
      <c r="E165" s="74">
        <f t="shared" si="179"/>
        <v>0</v>
      </c>
      <c r="F165" s="337">
        <f>IF(C165=0,,VLOOKUP(E165,#REF!,5, FALSE()))</f>
        <v>0</v>
      </c>
      <c r="G165" s="473"/>
      <c r="H165" s="473"/>
      <c r="I165" s="461"/>
      <c r="J165" s="461"/>
      <c r="K165" s="474"/>
      <c r="L165" s="474"/>
      <c r="M165" s="461"/>
      <c r="N165" s="461"/>
      <c r="O165" s="474"/>
      <c r="P165" s="474"/>
      <c r="Q165" s="461"/>
      <c r="R165" s="461"/>
      <c r="S165" s="474"/>
      <c r="T165" s="474"/>
      <c r="U165" s="461"/>
      <c r="V165" s="461"/>
      <c r="W165" s="480"/>
      <c r="X165" s="382">
        <f>IF(C165=0,,VLOOKUP(E165,#REF!,2, FALSE()))</f>
        <v>0</v>
      </c>
      <c r="Y165" s="384">
        <f>IF(C165=0,,VLOOKUP(E165,#REF!,3, FALSE()))</f>
        <v>0</v>
      </c>
      <c r="Z165" s="385"/>
      <c r="AA165" s="74">
        <f t="shared" si="181"/>
        <v>0</v>
      </c>
      <c r="AB165" s="386">
        <f>IF(C165=0,,VLOOKUP(E165,#REF!,6, FALSE()))</f>
        <v>0</v>
      </c>
      <c r="AC165" s="74"/>
      <c r="AD165" s="74"/>
      <c r="AE165" s="74"/>
      <c r="AF165" s="74"/>
      <c r="AG165" s="74"/>
      <c r="AH165" s="74"/>
      <c r="AI165" s="74"/>
      <c r="AJ165" s="389"/>
      <c r="AK165" s="287" t="e">
        <f t="shared" ref="AK165:BO165" si="183">(MID(#REF!, 7,2))</f>
        <v>#REF!</v>
      </c>
      <c r="AL165" s="287" t="e">
        <f t="shared" si="183"/>
        <v>#REF!</v>
      </c>
      <c r="AM165" s="287" t="e">
        <f t="shared" si="183"/>
        <v>#REF!</v>
      </c>
      <c r="AN165" s="287" t="e">
        <f t="shared" si="183"/>
        <v>#REF!</v>
      </c>
      <c r="AO165" s="287" t="e">
        <f t="shared" si="183"/>
        <v>#REF!</v>
      </c>
      <c r="AP165" s="287" t="e">
        <f t="shared" si="183"/>
        <v>#REF!</v>
      </c>
      <c r="AQ165" s="287" t="e">
        <f t="shared" si="183"/>
        <v>#REF!</v>
      </c>
      <c r="AR165" s="287" t="e">
        <f t="shared" si="183"/>
        <v>#REF!</v>
      </c>
      <c r="AS165" s="287" t="e">
        <f t="shared" si="183"/>
        <v>#REF!</v>
      </c>
      <c r="AT165" s="287" t="e">
        <f t="shared" si="183"/>
        <v>#REF!</v>
      </c>
      <c r="AU165" s="287" t="e">
        <f t="shared" si="183"/>
        <v>#REF!</v>
      </c>
      <c r="AV165" s="287" t="e">
        <f t="shared" si="183"/>
        <v>#REF!</v>
      </c>
      <c r="AW165" s="287" t="e">
        <f t="shared" si="183"/>
        <v>#REF!</v>
      </c>
      <c r="AX165" s="287" t="e">
        <f t="shared" si="183"/>
        <v>#REF!</v>
      </c>
      <c r="AY165" s="287" t="e">
        <f t="shared" si="183"/>
        <v>#REF!</v>
      </c>
      <c r="AZ165" s="287" t="e">
        <f t="shared" si="183"/>
        <v>#REF!</v>
      </c>
      <c r="BA165" s="287" t="e">
        <f t="shared" si="183"/>
        <v>#REF!</v>
      </c>
      <c r="BB165" s="287" t="e">
        <f t="shared" si="183"/>
        <v>#REF!</v>
      </c>
      <c r="BC165" s="287" t="e">
        <f t="shared" si="183"/>
        <v>#REF!</v>
      </c>
      <c r="BD165" s="287" t="e">
        <f t="shared" si="183"/>
        <v>#REF!</v>
      </c>
      <c r="BE165" s="287" t="e">
        <f t="shared" si="183"/>
        <v>#REF!</v>
      </c>
      <c r="BF165" s="287" t="e">
        <f t="shared" si="183"/>
        <v>#REF!</v>
      </c>
      <c r="BG165" s="287" t="e">
        <f t="shared" si="183"/>
        <v>#REF!</v>
      </c>
      <c r="BH165" s="287" t="e">
        <f t="shared" si="183"/>
        <v>#REF!</v>
      </c>
      <c r="BI165" s="287" t="e">
        <f t="shared" si="183"/>
        <v>#REF!</v>
      </c>
      <c r="BJ165" s="287" t="e">
        <f t="shared" si="183"/>
        <v>#REF!</v>
      </c>
      <c r="BK165" s="287" t="e">
        <f t="shared" si="183"/>
        <v>#REF!</v>
      </c>
      <c r="BL165" s="287" t="e">
        <f t="shared" si="183"/>
        <v>#REF!</v>
      </c>
      <c r="BM165" s="287" t="e">
        <f t="shared" si="183"/>
        <v>#REF!</v>
      </c>
      <c r="BN165" s="287" t="e">
        <f t="shared" si="183"/>
        <v>#REF!</v>
      </c>
      <c r="BO165" s="287" t="e">
        <f t="shared" si="183"/>
        <v>#REF!</v>
      </c>
    </row>
    <row r="166" spans="1:67" ht="20.25" customHeight="1">
      <c r="A166" s="409" t="s">
        <v>2921</v>
      </c>
      <c r="B166" s="410">
        <v>0</v>
      </c>
      <c r="C166" s="200">
        <v>0</v>
      </c>
      <c r="D166" s="361" t="str">
        <f t="shared" si="178"/>
        <v>R17</v>
      </c>
      <c r="E166" s="74">
        <f t="shared" si="179"/>
        <v>0</v>
      </c>
      <c r="F166" s="337">
        <f>IF(C166=0,,VLOOKUP(E166,#REF!,5, FALSE()))</f>
        <v>0</v>
      </c>
      <c r="G166" s="473"/>
      <c r="H166" s="473"/>
      <c r="I166" s="461"/>
      <c r="J166" s="461"/>
      <c r="K166" s="474"/>
      <c r="L166" s="474"/>
      <c r="M166" s="461"/>
      <c r="N166" s="461"/>
      <c r="O166" s="474"/>
      <c r="P166" s="474"/>
      <c r="Q166" s="461"/>
      <c r="R166" s="461"/>
      <c r="S166" s="474"/>
      <c r="T166" s="474"/>
      <c r="U166" s="461"/>
      <c r="V166" s="461"/>
      <c r="W166" s="480"/>
      <c r="X166" s="382">
        <f>IF(C166=0,,VLOOKUP(E166,#REF!,2, FALSE()))</f>
        <v>0</v>
      </c>
      <c r="Y166" s="384">
        <f>IF(C166=0,,VLOOKUP(E166,#REF!,3, FALSE()))</f>
        <v>0</v>
      </c>
      <c r="Z166" s="385"/>
      <c r="AA166" s="74">
        <f t="shared" si="181"/>
        <v>0</v>
      </c>
      <c r="AB166" s="386">
        <f>IF(C166=0,,VLOOKUP(E166,#REF!,6, FALSE()))</f>
        <v>0</v>
      </c>
      <c r="AC166" s="74"/>
      <c r="AD166" s="74"/>
      <c r="AE166" s="74"/>
      <c r="AF166" s="74"/>
      <c r="AG166" s="74"/>
      <c r="AH166" s="74"/>
      <c r="AI166" s="74"/>
      <c r="AJ166" s="422"/>
      <c r="AK166" s="287" t="e">
        <f t="shared" ref="AK166:BO166" si="184">(MID(#REF!, 7,2))</f>
        <v>#REF!</v>
      </c>
      <c r="AL166" s="287" t="e">
        <f t="shared" si="184"/>
        <v>#REF!</v>
      </c>
      <c r="AM166" s="287" t="e">
        <f t="shared" si="184"/>
        <v>#REF!</v>
      </c>
      <c r="AN166" s="287" t="e">
        <f t="shared" si="184"/>
        <v>#REF!</v>
      </c>
      <c r="AO166" s="287" t="e">
        <f t="shared" si="184"/>
        <v>#REF!</v>
      </c>
      <c r="AP166" s="287" t="e">
        <f t="shared" si="184"/>
        <v>#REF!</v>
      </c>
      <c r="AQ166" s="287" t="e">
        <f t="shared" si="184"/>
        <v>#REF!</v>
      </c>
      <c r="AR166" s="287" t="e">
        <f t="shared" si="184"/>
        <v>#REF!</v>
      </c>
      <c r="AS166" s="287" t="e">
        <f t="shared" si="184"/>
        <v>#REF!</v>
      </c>
      <c r="AT166" s="287" t="e">
        <f t="shared" si="184"/>
        <v>#REF!</v>
      </c>
      <c r="AU166" s="287" t="e">
        <f t="shared" si="184"/>
        <v>#REF!</v>
      </c>
      <c r="AV166" s="287" t="e">
        <f t="shared" si="184"/>
        <v>#REF!</v>
      </c>
      <c r="AW166" s="287" t="e">
        <f t="shared" si="184"/>
        <v>#REF!</v>
      </c>
      <c r="AX166" s="287" t="e">
        <f t="shared" si="184"/>
        <v>#REF!</v>
      </c>
      <c r="AY166" s="287" t="e">
        <f t="shared" si="184"/>
        <v>#REF!</v>
      </c>
      <c r="AZ166" s="287" t="e">
        <f t="shared" si="184"/>
        <v>#REF!</v>
      </c>
      <c r="BA166" s="287" t="e">
        <f t="shared" si="184"/>
        <v>#REF!</v>
      </c>
      <c r="BB166" s="287" t="e">
        <f t="shared" si="184"/>
        <v>#REF!</v>
      </c>
      <c r="BC166" s="287" t="e">
        <f t="shared" si="184"/>
        <v>#REF!</v>
      </c>
      <c r="BD166" s="287" t="e">
        <f t="shared" si="184"/>
        <v>#REF!</v>
      </c>
      <c r="BE166" s="287" t="e">
        <f t="shared" si="184"/>
        <v>#REF!</v>
      </c>
      <c r="BF166" s="287" t="e">
        <f t="shared" si="184"/>
        <v>#REF!</v>
      </c>
      <c r="BG166" s="287" t="e">
        <f t="shared" si="184"/>
        <v>#REF!</v>
      </c>
      <c r="BH166" s="287" t="e">
        <f t="shared" si="184"/>
        <v>#REF!</v>
      </c>
      <c r="BI166" s="287" t="e">
        <f t="shared" si="184"/>
        <v>#REF!</v>
      </c>
      <c r="BJ166" s="287" t="e">
        <f t="shared" si="184"/>
        <v>#REF!</v>
      </c>
      <c r="BK166" s="287" t="e">
        <f t="shared" si="184"/>
        <v>#REF!</v>
      </c>
      <c r="BL166" s="287" t="e">
        <f t="shared" si="184"/>
        <v>#REF!</v>
      </c>
      <c r="BM166" s="287" t="e">
        <f t="shared" si="184"/>
        <v>#REF!</v>
      </c>
      <c r="BN166" s="287" t="e">
        <f t="shared" si="184"/>
        <v>#REF!</v>
      </c>
      <c r="BO166" s="287" t="e">
        <f t="shared" si="184"/>
        <v>#REF!</v>
      </c>
    </row>
    <row r="167" spans="1:67" ht="20.25" customHeight="1">
      <c r="A167" s="424" t="s">
        <v>2936</v>
      </c>
      <c r="B167" s="425">
        <v>0</v>
      </c>
      <c r="C167" s="200">
        <v>0</v>
      </c>
      <c r="D167" s="361" t="str">
        <f t="shared" si="178"/>
        <v>R17</v>
      </c>
      <c r="E167" s="74">
        <f t="shared" si="179"/>
        <v>0</v>
      </c>
      <c r="F167" s="337">
        <f>IF(C167=0,,VLOOKUP(E167,#REF!,5, FALSE()))</f>
        <v>0</v>
      </c>
      <c r="G167" s="473"/>
      <c r="H167" s="473"/>
      <c r="I167" s="461"/>
      <c r="J167" s="461"/>
      <c r="K167" s="474"/>
      <c r="L167" s="474"/>
      <c r="M167" s="461"/>
      <c r="N167" s="461"/>
      <c r="O167" s="474"/>
      <c r="P167" s="474"/>
      <c r="Q167" s="461"/>
      <c r="R167" s="461"/>
      <c r="S167" s="474"/>
      <c r="T167" s="474"/>
      <c r="U167" s="461"/>
      <c r="V167" s="461"/>
      <c r="W167" s="480"/>
      <c r="X167" s="382">
        <f>IF(C167=0,,VLOOKUP(E167,#REF!,2, FALSE()))</f>
        <v>0</v>
      </c>
      <c r="Y167" s="384">
        <f>IF(C167=0,,VLOOKUP(E167,#REF!,3, FALSE()))</f>
        <v>0</v>
      </c>
      <c r="Z167" s="385"/>
      <c r="AA167" s="74">
        <f t="shared" si="181"/>
        <v>0</v>
      </c>
      <c r="AB167" s="386">
        <f>IF(C167=0,,VLOOKUP(E167,#REF!,6, FALSE()))</f>
        <v>0</v>
      </c>
      <c r="AC167" s="74"/>
      <c r="AD167" s="74"/>
      <c r="AE167" s="74"/>
      <c r="AF167" s="74"/>
      <c r="AG167" s="74"/>
      <c r="AH167" s="74"/>
      <c r="AI167" s="74"/>
      <c r="AJ167" s="389"/>
      <c r="AK167" s="287" t="e">
        <f t="shared" ref="AK167:BO167" si="185">(MID(#REF!, 7,2))</f>
        <v>#REF!</v>
      </c>
      <c r="AL167" s="287" t="e">
        <f t="shared" si="185"/>
        <v>#REF!</v>
      </c>
      <c r="AM167" s="287" t="e">
        <f t="shared" si="185"/>
        <v>#REF!</v>
      </c>
      <c r="AN167" s="287" t="e">
        <f t="shared" si="185"/>
        <v>#REF!</v>
      </c>
      <c r="AO167" s="287" t="e">
        <f t="shared" si="185"/>
        <v>#REF!</v>
      </c>
      <c r="AP167" s="287" t="e">
        <f t="shared" si="185"/>
        <v>#REF!</v>
      </c>
      <c r="AQ167" s="287" t="e">
        <f t="shared" si="185"/>
        <v>#REF!</v>
      </c>
      <c r="AR167" s="287" t="e">
        <f t="shared" si="185"/>
        <v>#REF!</v>
      </c>
      <c r="AS167" s="287" t="e">
        <f t="shared" si="185"/>
        <v>#REF!</v>
      </c>
      <c r="AT167" s="287" t="e">
        <f t="shared" si="185"/>
        <v>#REF!</v>
      </c>
      <c r="AU167" s="287" t="e">
        <f t="shared" si="185"/>
        <v>#REF!</v>
      </c>
      <c r="AV167" s="287" t="e">
        <f t="shared" si="185"/>
        <v>#REF!</v>
      </c>
      <c r="AW167" s="287" t="e">
        <f t="shared" si="185"/>
        <v>#REF!</v>
      </c>
      <c r="AX167" s="287" t="e">
        <f t="shared" si="185"/>
        <v>#REF!</v>
      </c>
      <c r="AY167" s="287" t="e">
        <f t="shared" si="185"/>
        <v>#REF!</v>
      </c>
      <c r="AZ167" s="287" t="e">
        <f t="shared" si="185"/>
        <v>#REF!</v>
      </c>
      <c r="BA167" s="287" t="e">
        <f t="shared" si="185"/>
        <v>#REF!</v>
      </c>
      <c r="BB167" s="287" t="e">
        <f t="shared" si="185"/>
        <v>#REF!</v>
      </c>
      <c r="BC167" s="287" t="e">
        <f t="shared" si="185"/>
        <v>#REF!</v>
      </c>
      <c r="BD167" s="287" t="e">
        <f t="shared" si="185"/>
        <v>#REF!</v>
      </c>
      <c r="BE167" s="287" t="e">
        <f t="shared" si="185"/>
        <v>#REF!</v>
      </c>
      <c r="BF167" s="287" t="e">
        <f t="shared" si="185"/>
        <v>#REF!</v>
      </c>
      <c r="BG167" s="287" t="e">
        <f t="shared" si="185"/>
        <v>#REF!</v>
      </c>
      <c r="BH167" s="287" t="e">
        <f t="shared" si="185"/>
        <v>#REF!</v>
      </c>
      <c r="BI167" s="287" t="e">
        <f t="shared" si="185"/>
        <v>#REF!</v>
      </c>
      <c r="BJ167" s="287" t="e">
        <f t="shared" si="185"/>
        <v>#REF!</v>
      </c>
      <c r="BK167" s="287" t="e">
        <f t="shared" si="185"/>
        <v>#REF!</v>
      </c>
      <c r="BL167" s="287" t="e">
        <f t="shared" si="185"/>
        <v>#REF!</v>
      </c>
      <c r="BM167" s="287" t="e">
        <f t="shared" si="185"/>
        <v>#REF!</v>
      </c>
      <c r="BN167" s="287" t="e">
        <f t="shared" si="185"/>
        <v>#REF!</v>
      </c>
      <c r="BO167" s="287" t="e">
        <f t="shared" si="185"/>
        <v>#REF!</v>
      </c>
    </row>
    <row r="168" spans="1:67" ht="20.25" customHeight="1">
      <c r="A168" s="424" t="e">
        <f>Z163</f>
        <v>#REF!</v>
      </c>
      <c r="B168" s="425">
        <v>0</v>
      </c>
      <c r="C168" s="200">
        <v>0</v>
      </c>
      <c r="D168" s="361" t="str">
        <f t="shared" si="178"/>
        <v>R17</v>
      </c>
      <c r="E168" s="74">
        <f t="shared" si="179"/>
        <v>0</v>
      </c>
      <c r="F168" s="337">
        <f>IF(C168=0,,VLOOKUP(E168,#REF!,5, FALSE()))</f>
        <v>0</v>
      </c>
      <c r="G168" s="473"/>
      <c r="H168" s="473"/>
      <c r="I168" s="461"/>
      <c r="J168" s="461"/>
      <c r="K168" s="474"/>
      <c r="L168" s="474"/>
      <c r="M168" s="461"/>
      <c r="N168" s="461"/>
      <c r="O168" s="474"/>
      <c r="P168" s="474"/>
      <c r="Q168" s="461"/>
      <c r="R168" s="461"/>
      <c r="S168" s="474"/>
      <c r="T168" s="474"/>
      <c r="U168" s="461"/>
      <c r="V168" s="461"/>
      <c r="W168" s="480"/>
      <c r="X168" s="382">
        <f>IF(C168=0,,VLOOKUP(E168,#REF!,2, FALSE()))</f>
        <v>0</v>
      </c>
      <c r="Y168" s="384">
        <f>IF(C168=0,,VLOOKUP(E168,#REF!,3, FALSE()))</f>
        <v>0</v>
      </c>
      <c r="Z168" s="385"/>
      <c r="AA168" s="74">
        <f t="shared" si="181"/>
        <v>0</v>
      </c>
      <c r="AB168" s="386">
        <f>IF(C168=0,,VLOOKUP(E168,#REF!,6, FALSE()))</f>
        <v>0</v>
      </c>
      <c r="AC168" s="74"/>
      <c r="AD168" s="74"/>
      <c r="AE168" s="74"/>
      <c r="AF168" s="74"/>
      <c r="AG168" s="74"/>
      <c r="AH168" s="74"/>
      <c r="AI168" s="74"/>
      <c r="AJ168" s="389"/>
      <c r="AK168" s="287" t="e">
        <f t="shared" ref="AK168:BO168" si="186">(MID(#REF!, 7,2))</f>
        <v>#REF!</v>
      </c>
      <c r="AL168" s="287" t="e">
        <f t="shared" si="186"/>
        <v>#REF!</v>
      </c>
      <c r="AM168" s="287" t="e">
        <f t="shared" si="186"/>
        <v>#REF!</v>
      </c>
      <c r="AN168" s="287" t="e">
        <f t="shared" si="186"/>
        <v>#REF!</v>
      </c>
      <c r="AO168" s="287" t="e">
        <f t="shared" si="186"/>
        <v>#REF!</v>
      </c>
      <c r="AP168" s="287" t="e">
        <f t="shared" si="186"/>
        <v>#REF!</v>
      </c>
      <c r="AQ168" s="287" t="e">
        <f t="shared" si="186"/>
        <v>#REF!</v>
      </c>
      <c r="AR168" s="287" t="e">
        <f t="shared" si="186"/>
        <v>#REF!</v>
      </c>
      <c r="AS168" s="287" t="e">
        <f t="shared" si="186"/>
        <v>#REF!</v>
      </c>
      <c r="AT168" s="287" t="e">
        <f t="shared" si="186"/>
        <v>#REF!</v>
      </c>
      <c r="AU168" s="287" t="e">
        <f t="shared" si="186"/>
        <v>#REF!</v>
      </c>
      <c r="AV168" s="287" t="e">
        <f t="shared" si="186"/>
        <v>#REF!</v>
      </c>
      <c r="AW168" s="287" t="e">
        <f t="shared" si="186"/>
        <v>#REF!</v>
      </c>
      <c r="AX168" s="287" t="e">
        <f t="shared" si="186"/>
        <v>#REF!</v>
      </c>
      <c r="AY168" s="287" t="e">
        <f t="shared" si="186"/>
        <v>#REF!</v>
      </c>
      <c r="AZ168" s="287" t="e">
        <f t="shared" si="186"/>
        <v>#REF!</v>
      </c>
      <c r="BA168" s="287" t="e">
        <f t="shared" si="186"/>
        <v>#REF!</v>
      </c>
      <c r="BB168" s="287" t="e">
        <f t="shared" si="186"/>
        <v>#REF!</v>
      </c>
      <c r="BC168" s="287" t="e">
        <f t="shared" si="186"/>
        <v>#REF!</v>
      </c>
      <c r="BD168" s="287" t="e">
        <f t="shared" si="186"/>
        <v>#REF!</v>
      </c>
      <c r="BE168" s="287" t="e">
        <f t="shared" si="186"/>
        <v>#REF!</v>
      </c>
      <c r="BF168" s="287" t="e">
        <f t="shared" si="186"/>
        <v>#REF!</v>
      </c>
      <c r="BG168" s="287" t="e">
        <f t="shared" si="186"/>
        <v>#REF!</v>
      </c>
      <c r="BH168" s="287" t="e">
        <f t="shared" si="186"/>
        <v>#REF!</v>
      </c>
      <c r="BI168" s="287" t="e">
        <f t="shared" si="186"/>
        <v>#REF!</v>
      </c>
      <c r="BJ168" s="287" t="e">
        <f t="shared" si="186"/>
        <v>#REF!</v>
      </c>
      <c r="BK168" s="287" t="e">
        <f t="shared" si="186"/>
        <v>#REF!</v>
      </c>
      <c r="BL168" s="287" t="e">
        <f t="shared" si="186"/>
        <v>#REF!</v>
      </c>
      <c r="BM168" s="287" t="e">
        <f t="shared" si="186"/>
        <v>#REF!</v>
      </c>
      <c r="BN168" s="287" t="e">
        <f t="shared" si="186"/>
        <v>#REF!</v>
      </c>
      <c r="BO168" s="287" t="e">
        <f t="shared" si="186"/>
        <v>#REF!</v>
      </c>
    </row>
    <row r="169" spans="1:67" ht="20.25" customHeight="1">
      <c r="A169" s="424" t="s">
        <v>2951</v>
      </c>
      <c r="B169" s="425">
        <f>SUM(AB163:AB171)</f>
        <v>0</v>
      </c>
      <c r="C169" s="200">
        <v>0</v>
      </c>
      <c r="D169" s="361" t="str">
        <f t="shared" si="178"/>
        <v>R17</v>
      </c>
      <c r="E169" s="74">
        <f t="shared" si="179"/>
        <v>0</v>
      </c>
      <c r="F169" s="337">
        <f>IF(C169=0,,VLOOKUP(E169,#REF!,5, FALSE()))</f>
        <v>0</v>
      </c>
      <c r="G169" s="473"/>
      <c r="H169" s="473"/>
      <c r="I169" s="461"/>
      <c r="J169" s="461"/>
      <c r="K169" s="474"/>
      <c r="L169" s="474"/>
      <c r="M169" s="461"/>
      <c r="N169" s="461"/>
      <c r="O169" s="474"/>
      <c r="P169" s="474"/>
      <c r="Q169" s="461"/>
      <c r="R169" s="461"/>
      <c r="S169" s="474"/>
      <c r="T169" s="474"/>
      <c r="U169" s="461"/>
      <c r="V169" s="461"/>
      <c r="W169" s="480"/>
      <c r="X169" s="382">
        <f>IF(C169=0,,VLOOKUP(E169,#REF!,2, FALSE()))</f>
        <v>0</v>
      </c>
      <c r="Y169" s="384">
        <f>IF(C169=0,,VLOOKUP(E169,#REF!,3, FALSE()))</f>
        <v>0</v>
      </c>
      <c r="Z169" s="385"/>
      <c r="AA169" s="74">
        <f t="shared" si="181"/>
        <v>0</v>
      </c>
      <c r="AB169" s="386">
        <f>IF(C169=0,,VLOOKUP(E169,#REF!,6, FALSE()))</f>
        <v>0</v>
      </c>
      <c r="AC169" s="74"/>
      <c r="AD169" s="74"/>
      <c r="AE169" s="74"/>
      <c r="AF169" s="74"/>
      <c r="AG169" s="74"/>
      <c r="AH169" s="74"/>
      <c r="AI169" s="74"/>
      <c r="AJ169" s="389"/>
      <c r="AK169" s="287" t="e">
        <f t="shared" ref="AK169:BO169" si="187">(MID(#REF!, 7,2))</f>
        <v>#REF!</v>
      </c>
      <c r="AL169" s="287" t="e">
        <f t="shared" si="187"/>
        <v>#REF!</v>
      </c>
      <c r="AM169" s="287" t="e">
        <f t="shared" si="187"/>
        <v>#REF!</v>
      </c>
      <c r="AN169" s="287" t="e">
        <f t="shared" si="187"/>
        <v>#REF!</v>
      </c>
      <c r="AO169" s="287" t="e">
        <f t="shared" si="187"/>
        <v>#REF!</v>
      </c>
      <c r="AP169" s="287" t="e">
        <f t="shared" si="187"/>
        <v>#REF!</v>
      </c>
      <c r="AQ169" s="287" t="e">
        <f t="shared" si="187"/>
        <v>#REF!</v>
      </c>
      <c r="AR169" s="287" t="e">
        <f t="shared" si="187"/>
        <v>#REF!</v>
      </c>
      <c r="AS169" s="287" t="e">
        <f t="shared" si="187"/>
        <v>#REF!</v>
      </c>
      <c r="AT169" s="287" t="e">
        <f t="shared" si="187"/>
        <v>#REF!</v>
      </c>
      <c r="AU169" s="287" t="e">
        <f t="shared" si="187"/>
        <v>#REF!</v>
      </c>
      <c r="AV169" s="287" t="e">
        <f t="shared" si="187"/>
        <v>#REF!</v>
      </c>
      <c r="AW169" s="287" t="e">
        <f t="shared" si="187"/>
        <v>#REF!</v>
      </c>
      <c r="AX169" s="287" t="e">
        <f t="shared" si="187"/>
        <v>#REF!</v>
      </c>
      <c r="AY169" s="287" t="e">
        <f t="shared" si="187"/>
        <v>#REF!</v>
      </c>
      <c r="AZ169" s="287" t="e">
        <f t="shared" si="187"/>
        <v>#REF!</v>
      </c>
      <c r="BA169" s="287" t="e">
        <f t="shared" si="187"/>
        <v>#REF!</v>
      </c>
      <c r="BB169" s="287" t="e">
        <f t="shared" si="187"/>
        <v>#REF!</v>
      </c>
      <c r="BC169" s="287" t="e">
        <f t="shared" si="187"/>
        <v>#REF!</v>
      </c>
      <c r="BD169" s="287" t="e">
        <f t="shared" si="187"/>
        <v>#REF!</v>
      </c>
      <c r="BE169" s="287" t="e">
        <f t="shared" si="187"/>
        <v>#REF!</v>
      </c>
      <c r="BF169" s="287" t="e">
        <f t="shared" si="187"/>
        <v>#REF!</v>
      </c>
      <c r="BG169" s="287" t="e">
        <f t="shared" si="187"/>
        <v>#REF!</v>
      </c>
      <c r="BH169" s="287" t="e">
        <f t="shared" si="187"/>
        <v>#REF!</v>
      </c>
      <c r="BI169" s="287" t="e">
        <f t="shared" si="187"/>
        <v>#REF!</v>
      </c>
      <c r="BJ169" s="287" t="e">
        <f t="shared" si="187"/>
        <v>#REF!</v>
      </c>
      <c r="BK169" s="287" t="e">
        <f t="shared" si="187"/>
        <v>#REF!</v>
      </c>
      <c r="BL169" s="287" t="e">
        <f t="shared" si="187"/>
        <v>#REF!</v>
      </c>
      <c r="BM169" s="287" t="e">
        <f t="shared" si="187"/>
        <v>#REF!</v>
      </c>
      <c r="BN169" s="287" t="e">
        <f t="shared" si="187"/>
        <v>#REF!</v>
      </c>
      <c r="BO169" s="287" t="e">
        <f t="shared" si="187"/>
        <v>#REF!</v>
      </c>
    </row>
    <row r="170" spans="1:67" ht="20.25" customHeight="1">
      <c r="A170" s="424" t="s">
        <v>2952</v>
      </c>
      <c r="B170" s="425">
        <f ca="1">SUM(AJ163:AJ171)</f>
        <v>0</v>
      </c>
      <c r="C170" s="200">
        <v>0</v>
      </c>
      <c r="D170" s="361" t="str">
        <f t="shared" si="178"/>
        <v>R17</v>
      </c>
      <c r="E170" s="74">
        <f t="shared" si="179"/>
        <v>0</v>
      </c>
      <c r="F170" s="337">
        <f>IF(C170=0,,VLOOKUP(E170,#REF!,5, FALSE()))</f>
        <v>0</v>
      </c>
      <c r="G170" s="473"/>
      <c r="H170" s="473"/>
      <c r="I170" s="461"/>
      <c r="J170" s="461"/>
      <c r="K170" s="474"/>
      <c r="L170" s="474"/>
      <c r="M170" s="461"/>
      <c r="N170" s="461"/>
      <c r="O170" s="474"/>
      <c r="P170" s="474"/>
      <c r="Q170" s="461"/>
      <c r="R170" s="461"/>
      <c r="S170" s="474"/>
      <c r="T170" s="474"/>
      <c r="U170" s="461"/>
      <c r="V170" s="461"/>
      <c r="W170" s="480"/>
      <c r="X170" s="382">
        <f>IF(C170=0,,VLOOKUP(E170,#REF!,2, FALSE()))</f>
        <v>0</v>
      </c>
      <c r="Y170" s="384">
        <f>IF(C170=0,,VLOOKUP(E170,#REF!,3, FALSE()))</f>
        <v>0</v>
      </c>
      <c r="Z170" s="385"/>
      <c r="AA170" s="74">
        <f t="shared" si="181"/>
        <v>0</v>
      </c>
      <c r="AB170" s="386">
        <f>IF(C170=0,,VLOOKUP(E170,#REF!,6, FALSE()))</f>
        <v>0</v>
      </c>
      <c r="AC170" s="74"/>
      <c r="AD170" s="74"/>
      <c r="AE170" s="74"/>
      <c r="AF170" s="74"/>
      <c r="AG170" s="74"/>
      <c r="AH170" s="74"/>
      <c r="AI170" s="74"/>
      <c r="AJ170" s="389"/>
      <c r="AK170" s="287" t="e">
        <f t="shared" ref="AK170:BO170" si="188">(MID(#REF!, 7,2))</f>
        <v>#REF!</v>
      </c>
      <c r="AL170" s="287" t="e">
        <f t="shared" si="188"/>
        <v>#REF!</v>
      </c>
      <c r="AM170" s="287" t="e">
        <f t="shared" si="188"/>
        <v>#REF!</v>
      </c>
      <c r="AN170" s="287" t="e">
        <f t="shared" si="188"/>
        <v>#REF!</v>
      </c>
      <c r="AO170" s="287" t="e">
        <f t="shared" si="188"/>
        <v>#REF!</v>
      </c>
      <c r="AP170" s="287" t="e">
        <f t="shared" si="188"/>
        <v>#REF!</v>
      </c>
      <c r="AQ170" s="287" t="e">
        <f t="shared" si="188"/>
        <v>#REF!</v>
      </c>
      <c r="AR170" s="287" t="e">
        <f t="shared" si="188"/>
        <v>#REF!</v>
      </c>
      <c r="AS170" s="287" t="e">
        <f t="shared" si="188"/>
        <v>#REF!</v>
      </c>
      <c r="AT170" s="287" t="e">
        <f t="shared" si="188"/>
        <v>#REF!</v>
      </c>
      <c r="AU170" s="287" t="e">
        <f t="shared" si="188"/>
        <v>#REF!</v>
      </c>
      <c r="AV170" s="287" t="e">
        <f t="shared" si="188"/>
        <v>#REF!</v>
      </c>
      <c r="AW170" s="287" t="e">
        <f t="shared" si="188"/>
        <v>#REF!</v>
      </c>
      <c r="AX170" s="287" t="e">
        <f t="shared" si="188"/>
        <v>#REF!</v>
      </c>
      <c r="AY170" s="287" t="e">
        <f t="shared" si="188"/>
        <v>#REF!</v>
      </c>
      <c r="AZ170" s="287" t="e">
        <f t="shared" si="188"/>
        <v>#REF!</v>
      </c>
      <c r="BA170" s="287" t="e">
        <f t="shared" si="188"/>
        <v>#REF!</v>
      </c>
      <c r="BB170" s="287" t="e">
        <f t="shared" si="188"/>
        <v>#REF!</v>
      </c>
      <c r="BC170" s="287" t="e">
        <f t="shared" si="188"/>
        <v>#REF!</v>
      </c>
      <c r="BD170" s="287" t="e">
        <f t="shared" si="188"/>
        <v>#REF!</v>
      </c>
      <c r="BE170" s="287" t="e">
        <f t="shared" si="188"/>
        <v>#REF!</v>
      </c>
      <c r="BF170" s="287" t="e">
        <f t="shared" si="188"/>
        <v>#REF!</v>
      </c>
      <c r="BG170" s="287" t="e">
        <f t="shared" si="188"/>
        <v>#REF!</v>
      </c>
      <c r="BH170" s="287" t="e">
        <f t="shared" si="188"/>
        <v>#REF!</v>
      </c>
      <c r="BI170" s="287" t="e">
        <f t="shared" si="188"/>
        <v>#REF!</v>
      </c>
      <c r="BJ170" s="287" t="e">
        <f t="shared" si="188"/>
        <v>#REF!</v>
      </c>
      <c r="BK170" s="287" t="e">
        <f t="shared" si="188"/>
        <v>#REF!</v>
      </c>
      <c r="BL170" s="287" t="e">
        <f t="shared" si="188"/>
        <v>#REF!</v>
      </c>
      <c r="BM170" s="287" t="e">
        <f t="shared" si="188"/>
        <v>#REF!</v>
      </c>
      <c r="BN170" s="287" t="e">
        <f t="shared" si="188"/>
        <v>#REF!</v>
      </c>
      <c r="BO170" s="287" t="e">
        <f t="shared" si="188"/>
        <v>#REF!</v>
      </c>
    </row>
    <row r="171" spans="1:67" ht="20.25" customHeight="1">
      <c r="A171" s="443" t="s">
        <v>2953</v>
      </c>
      <c r="B171" s="444">
        <f ca="1">B168-B169-B170</f>
        <v>0</v>
      </c>
      <c r="C171" s="200">
        <v>0</v>
      </c>
      <c r="D171" s="361" t="str">
        <f t="shared" si="178"/>
        <v>R17</v>
      </c>
      <c r="E171" s="74">
        <f t="shared" si="179"/>
        <v>0</v>
      </c>
      <c r="F171" s="337">
        <f>IF(C171=0,,VLOOKUP(E171,#REF!,8, FALSE()))</f>
        <v>0</v>
      </c>
      <c r="G171" s="473"/>
      <c r="H171" s="473"/>
      <c r="I171" s="461"/>
      <c r="J171" s="461"/>
      <c r="K171" s="474"/>
      <c r="L171" s="474"/>
      <c r="M171" s="461"/>
      <c r="N171" s="461"/>
      <c r="O171" s="474"/>
      <c r="P171" s="474"/>
      <c r="Q171" s="461"/>
      <c r="R171" s="461"/>
      <c r="S171" s="474"/>
      <c r="T171" s="474"/>
      <c r="U171" s="461"/>
      <c r="V171" s="461"/>
      <c r="W171" s="481"/>
      <c r="X171" s="382">
        <f>IF(C171=0,,VLOOKUP(E171,#REF!,2, FALSE()))</f>
        <v>0</v>
      </c>
      <c r="Y171" s="384">
        <f>IF(C171=0,,VLOOKUP(E171,#REF!,3, FALSE()))</f>
        <v>0</v>
      </c>
      <c r="Z171" s="385"/>
      <c r="AA171" s="74">
        <f t="shared" si="181"/>
        <v>0</v>
      </c>
      <c r="AB171" s="386">
        <f>IF(C171=0,,VLOOKUP(E171,#REF!,6, FALSE()))</f>
        <v>0</v>
      </c>
      <c r="AC171" s="74"/>
      <c r="AD171" s="74"/>
      <c r="AE171" s="74"/>
      <c r="AF171" s="74"/>
      <c r="AG171" s="74"/>
      <c r="AH171" s="74"/>
      <c r="AI171" s="74"/>
      <c r="AJ171" s="389"/>
      <c r="AK171" s="287" t="e">
        <f t="shared" ref="AK171:BO171" si="189">(MID(#REF!, 7,2))</f>
        <v>#REF!</v>
      </c>
      <c r="AL171" s="287" t="e">
        <f t="shared" si="189"/>
        <v>#REF!</v>
      </c>
      <c r="AM171" s="287" t="e">
        <f t="shared" si="189"/>
        <v>#REF!</v>
      </c>
      <c r="AN171" s="287" t="e">
        <f t="shared" si="189"/>
        <v>#REF!</v>
      </c>
      <c r="AO171" s="287" t="e">
        <f t="shared" si="189"/>
        <v>#REF!</v>
      </c>
      <c r="AP171" s="287" t="e">
        <f t="shared" si="189"/>
        <v>#REF!</v>
      </c>
      <c r="AQ171" s="287" t="e">
        <f t="shared" si="189"/>
        <v>#REF!</v>
      </c>
      <c r="AR171" s="287" t="e">
        <f t="shared" si="189"/>
        <v>#REF!</v>
      </c>
      <c r="AS171" s="287" t="e">
        <f t="shared" si="189"/>
        <v>#REF!</v>
      </c>
      <c r="AT171" s="287" t="e">
        <f t="shared" si="189"/>
        <v>#REF!</v>
      </c>
      <c r="AU171" s="287" t="e">
        <f t="shared" si="189"/>
        <v>#REF!</v>
      </c>
      <c r="AV171" s="287" t="e">
        <f t="shared" si="189"/>
        <v>#REF!</v>
      </c>
      <c r="AW171" s="287" t="e">
        <f t="shared" si="189"/>
        <v>#REF!</v>
      </c>
      <c r="AX171" s="287" t="e">
        <f t="shared" si="189"/>
        <v>#REF!</v>
      </c>
      <c r="AY171" s="287" t="e">
        <f t="shared" si="189"/>
        <v>#REF!</v>
      </c>
      <c r="AZ171" s="287" t="e">
        <f t="shared" si="189"/>
        <v>#REF!</v>
      </c>
      <c r="BA171" s="287" t="e">
        <f t="shared" si="189"/>
        <v>#REF!</v>
      </c>
      <c r="BB171" s="287" t="e">
        <f t="shared" si="189"/>
        <v>#REF!</v>
      </c>
      <c r="BC171" s="287" t="e">
        <f t="shared" si="189"/>
        <v>#REF!</v>
      </c>
      <c r="BD171" s="287" t="e">
        <f t="shared" si="189"/>
        <v>#REF!</v>
      </c>
      <c r="BE171" s="287" t="e">
        <f t="shared" si="189"/>
        <v>#REF!</v>
      </c>
      <c r="BF171" s="287" t="e">
        <f t="shared" si="189"/>
        <v>#REF!</v>
      </c>
      <c r="BG171" s="287" t="e">
        <f t="shared" si="189"/>
        <v>#REF!</v>
      </c>
      <c r="BH171" s="287" t="e">
        <f t="shared" si="189"/>
        <v>#REF!</v>
      </c>
      <c r="BI171" s="287" t="e">
        <f t="shared" si="189"/>
        <v>#REF!</v>
      </c>
      <c r="BJ171" s="287" t="e">
        <f t="shared" si="189"/>
        <v>#REF!</v>
      </c>
      <c r="BK171" s="287" t="e">
        <f t="shared" si="189"/>
        <v>#REF!</v>
      </c>
      <c r="BL171" s="287" t="e">
        <f t="shared" si="189"/>
        <v>#REF!</v>
      </c>
      <c r="BM171" s="287" t="e">
        <f t="shared" si="189"/>
        <v>#REF!</v>
      </c>
      <c r="BN171" s="287" t="e">
        <f t="shared" si="189"/>
        <v>#REF!</v>
      </c>
      <c r="BO171" s="287" t="e">
        <f t="shared" si="189"/>
        <v>#REF!</v>
      </c>
    </row>
    <row r="172" spans="1:67" ht="3.75" customHeight="1">
      <c r="G172" s="446"/>
      <c r="H172" s="446"/>
      <c r="I172" s="285"/>
      <c r="J172" s="285"/>
      <c r="K172" s="346"/>
      <c r="L172" s="346"/>
      <c r="M172" s="285"/>
      <c r="N172" s="285"/>
      <c r="O172" s="346"/>
      <c r="P172" s="346"/>
      <c r="Q172" s="285"/>
      <c r="R172" s="285"/>
      <c r="S172" s="346"/>
      <c r="T172" s="346"/>
      <c r="U172" s="285"/>
      <c r="V172" s="285"/>
      <c r="Y172" s="447"/>
      <c r="AK172" s="346"/>
      <c r="AL172" s="346"/>
      <c r="AM172" s="346"/>
      <c r="AN172" s="346"/>
      <c r="AO172" s="346"/>
      <c r="AP172" s="346"/>
      <c r="AQ172" s="346"/>
      <c r="AR172" s="346"/>
      <c r="AS172" s="346"/>
      <c r="AT172" s="346"/>
      <c r="AU172" s="346"/>
      <c r="AV172" s="346"/>
      <c r="AW172" s="346"/>
      <c r="AX172" s="346"/>
      <c r="AY172" s="346"/>
      <c r="AZ172" s="346"/>
      <c r="BA172" s="346"/>
      <c r="BB172" s="346"/>
      <c r="BC172" s="346"/>
      <c r="BD172" s="346"/>
      <c r="BE172" s="346"/>
      <c r="BF172" s="346"/>
      <c r="BG172" s="346"/>
      <c r="BH172" s="346"/>
      <c r="BI172" s="346"/>
      <c r="BJ172" s="346"/>
      <c r="BK172" s="346"/>
      <c r="BL172" s="346"/>
      <c r="BM172" s="346"/>
      <c r="BN172" s="346"/>
      <c r="BO172" s="346"/>
    </row>
    <row r="173" spans="1:67" ht="20.25" customHeight="1">
      <c r="A173" s="200" t="s">
        <v>2459</v>
      </c>
      <c r="B173" s="217" t="s">
        <v>482</v>
      </c>
      <c r="C173" s="200">
        <v>0</v>
      </c>
      <c r="D173" s="361" t="str">
        <f t="shared" ref="D173:D181" si="190">$B$173</f>
        <v>R18</v>
      </c>
      <c r="E173" s="74">
        <f t="shared" ref="E173:E181" si="191">IF(C173=0,,CONCATENATE(D173,"/",C173))</f>
        <v>0</v>
      </c>
      <c r="F173" s="337">
        <f>IF(C173=0,,VLOOKUP(E173,#REF!,5, FALSE()))</f>
        <v>0</v>
      </c>
      <c r="G173" s="470"/>
      <c r="H173" s="470"/>
      <c r="I173" s="471"/>
      <c r="J173" s="471"/>
      <c r="K173" s="472"/>
      <c r="L173" s="472"/>
      <c r="M173" s="471"/>
      <c r="N173" s="471"/>
      <c r="O173" s="472"/>
      <c r="P173" s="472"/>
      <c r="Q173" s="471"/>
      <c r="R173" s="471"/>
      <c r="S173" s="472"/>
      <c r="T173" s="472"/>
      <c r="U173" s="471"/>
      <c r="V173" s="471"/>
      <c r="W173" s="563" t="str">
        <f>CONCATENATE(F173," + ",F174," + ",F175," + ",F176," + ",F177," + ",F178," + ",F179," + ",F180," + ",F181)</f>
        <v>0 + 0 + 0 + 0 + 0 + 0 + 0 + 0 + 0</v>
      </c>
      <c r="X173" s="382">
        <f>IF(C173=0,,VLOOKUP(E173,#REF!,2, FALSE()))</f>
        <v>0</v>
      </c>
      <c r="Y173" s="384">
        <f>IF(C173=0,,VLOOKUP(E173,#REF!,3, FALSE()))</f>
        <v>0</v>
      </c>
      <c r="Z173" s="385" t="e">
        <f>VLOOKUP(Y173,#REF!,6, FALSE())</f>
        <v>#REF!</v>
      </c>
      <c r="AA173" s="74">
        <f>$B175</f>
        <v>0</v>
      </c>
      <c r="AB173" s="386">
        <f>IF(C173=0,,VLOOKUP(E173,#REF!,6, FALSE()))</f>
        <v>0</v>
      </c>
      <c r="AC173" s="74"/>
      <c r="AD173" s="74">
        <f>$B176</f>
        <v>0</v>
      </c>
      <c r="AE173" s="74"/>
      <c r="AF173" s="450">
        <f>$B177</f>
        <v>0</v>
      </c>
      <c r="AG173" s="74"/>
      <c r="AH173" s="450">
        <f>$B179</f>
        <v>0</v>
      </c>
      <c r="AI173" s="450">
        <f ca="1">B179+B180</f>
        <v>0</v>
      </c>
      <c r="AJ173" s="389">
        <f ca="1">B180</f>
        <v>0</v>
      </c>
      <c r="AK173" s="287" t="e">
        <f t="shared" ref="AK173:BO173" si="192">(MID(#REF!, 7,2))</f>
        <v>#REF!</v>
      </c>
      <c r="AL173" s="287" t="e">
        <f t="shared" si="192"/>
        <v>#REF!</v>
      </c>
      <c r="AM173" s="287" t="e">
        <f t="shared" si="192"/>
        <v>#REF!</v>
      </c>
      <c r="AN173" s="287" t="e">
        <f t="shared" si="192"/>
        <v>#REF!</v>
      </c>
      <c r="AO173" s="287" t="e">
        <f t="shared" si="192"/>
        <v>#REF!</v>
      </c>
      <c r="AP173" s="287" t="e">
        <f t="shared" si="192"/>
        <v>#REF!</v>
      </c>
      <c r="AQ173" s="287" t="e">
        <f t="shared" si="192"/>
        <v>#REF!</v>
      </c>
      <c r="AR173" s="287" t="e">
        <f t="shared" si="192"/>
        <v>#REF!</v>
      </c>
      <c r="AS173" s="287" t="e">
        <f t="shared" si="192"/>
        <v>#REF!</v>
      </c>
      <c r="AT173" s="287" t="e">
        <f t="shared" si="192"/>
        <v>#REF!</v>
      </c>
      <c r="AU173" s="287" t="e">
        <f t="shared" si="192"/>
        <v>#REF!</v>
      </c>
      <c r="AV173" s="287" t="e">
        <f t="shared" si="192"/>
        <v>#REF!</v>
      </c>
      <c r="AW173" s="287" t="e">
        <f t="shared" si="192"/>
        <v>#REF!</v>
      </c>
      <c r="AX173" s="287" t="e">
        <f t="shared" si="192"/>
        <v>#REF!</v>
      </c>
      <c r="AY173" s="287" t="e">
        <f t="shared" si="192"/>
        <v>#REF!</v>
      </c>
      <c r="AZ173" s="287" t="e">
        <f t="shared" si="192"/>
        <v>#REF!</v>
      </c>
      <c r="BA173" s="287" t="e">
        <f t="shared" si="192"/>
        <v>#REF!</v>
      </c>
      <c r="BB173" s="287" t="e">
        <f t="shared" si="192"/>
        <v>#REF!</v>
      </c>
      <c r="BC173" s="287" t="e">
        <f t="shared" si="192"/>
        <v>#REF!</v>
      </c>
      <c r="BD173" s="287" t="e">
        <f t="shared" si="192"/>
        <v>#REF!</v>
      </c>
      <c r="BE173" s="287" t="e">
        <f t="shared" si="192"/>
        <v>#REF!</v>
      </c>
      <c r="BF173" s="287" t="e">
        <f t="shared" si="192"/>
        <v>#REF!</v>
      </c>
      <c r="BG173" s="287" t="e">
        <f t="shared" si="192"/>
        <v>#REF!</v>
      </c>
      <c r="BH173" s="287" t="e">
        <f t="shared" si="192"/>
        <v>#REF!</v>
      </c>
      <c r="BI173" s="287" t="e">
        <f t="shared" si="192"/>
        <v>#REF!</v>
      </c>
      <c r="BJ173" s="287" t="e">
        <f t="shared" si="192"/>
        <v>#REF!</v>
      </c>
      <c r="BK173" s="287" t="e">
        <f t="shared" si="192"/>
        <v>#REF!</v>
      </c>
      <c r="BL173" s="287" t="e">
        <f t="shared" si="192"/>
        <v>#REF!</v>
      </c>
      <c r="BM173" s="287" t="e">
        <f t="shared" si="192"/>
        <v>#REF!</v>
      </c>
      <c r="BN173" s="287" t="e">
        <f t="shared" si="192"/>
        <v>#REF!</v>
      </c>
      <c r="BO173" s="287" t="e">
        <f t="shared" si="192"/>
        <v>#REF!</v>
      </c>
    </row>
    <row r="174" spans="1:67" ht="20.25" customHeight="1">
      <c r="A174" s="562">
        <f>Y173</f>
        <v>0</v>
      </c>
      <c r="B174" s="499"/>
      <c r="C174" s="200">
        <v>0</v>
      </c>
      <c r="D174" s="361" t="str">
        <f t="shared" si="190"/>
        <v>R18</v>
      </c>
      <c r="E174" s="74">
        <f t="shared" si="191"/>
        <v>0</v>
      </c>
      <c r="F174" s="337">
        <f>IF(C174=0,,VLOOKUP(E174,#REF!,5, FALSE()))</f>
        <v>0</v>
      </c>
      <c r="G174" s="473"/>
      <c r="H174" s="473"/>
      <c r="I174" s="461"/>
      <c r="J174" s="461"/>
      <c r="K174" s="474"/>
      <c r="L174" s="474"/>
      <c r="M174" s="461"/>
      <c r="N174" s="461"/>
      <c r="O174" s="474"/>
      <c r="P174" s="474"/>
      <c r="Q174" s="461"/>
      <c r="R174" s="461"/>
      <c r="S174" s="474"/>
      <c r="T174" s="474"/>
      <c r="U174" s="461"/>
      <c r="V174" s="461"/>
      <c r="W174" s="480"/>
      <c r="X174" s="382">
        <f>IF(C174=0,,VLOOKUP(E174,#REF!,2, FALSE()))</f>
        <v>0</v>
      </c>
      <c r="Y174" s="384">
        <f>IF(C174=0,,VLOOKUP(E174,#REF!,3, FALSE()))</f>
        <v>0</v>
      </c>
      <c r="Z174" s="385"/>
      <c r="AA174" s="74">
        <f t="shared" ref="AA174:AA181" si="193">$B$175</f>
        <v>0</v>
      </c>
      <c r="AB174" s="386">
        <f>IF(C174=0,,VLOOKUP(E174,#REF!,6, FALSE()))</f>
        <v>0</v>
      </c>
      <c r="AC174" s="74"/>
      <c r="AD174" s="74"/>
      <c r="AE174" s="74"/>
      <c r="AF174" s="74"/>
      <c r="AG174" s="74"/>
      <c r="AH174" s="74"/>
      <c r="AI174" s="74"/>
      <c r="AJ174" s="389"/>
      <c r="AK174" s="287" t="e">
        <f t="shared" ref="AK174:BO174" si="194">(MID(#REF!, 7,2))</f>
        <v>#REF!</v>
      </c>
      <c r="AL174" s="287" t="e">
        <f t="shared" si="194"/>
        <v>#REF!</v>
      </c>
      <c r="AM174" s="287" t="e">
        <f t="shared" si="194"/>
        <v>#REF!</v>
      </c>
      <c r="AN174" s="287" t="e">
        <f t="shared" si="194"/>
        <v>#REF!</v>
      </c>
      <c r="AO174" s="287" t="e">
        <f t="shared" si="194"/>
        <v>#REF!</v>
      </c>
      <c r="AP174" s="287" t="e">
        <f t="shared" si="194"/>
        <v>#REF!</v>
      </c>
      <c r="AQ174" s="287" t="e">
        <f t="shared" si="194"/>
        <v>#REF!</v>
      </c>
      <c r="AR174" s="287" t="e">
        <f t="shared" si="194"/>
        <v>#REF!</v>
      </c>
      <c r="AS174" s="287" t="e">
        <f t="shared" si="194"/>
        <v>#REF!</v>
      </c>
      <c r="AT174" s="287" t="e">
        <f t="shared" si="194"/>
        <v>#REF!</v>
      </c>
      <c r="AU174" s="287" t="e">
        <f t="shared" si="194"/>
        <v>#REF!</v>
      </c>
      <c r="AV174" s="287" t="e">
        <f t="shared" si="194"/>
        <v>#REF!</v>
      </c>
      <c r="AW174" s="287" t="e">
        <f t="shared" si="194"/>
        <v>#REF!</v>
      </c>
      <c r="AX174" s="287" t="e">
        <f t="shared" si="194"/>
        <v>#REF!</v>
      </c>
      <c r="AY174" s="287" t="e">
        <f t="shared" si="194"/>
        <v>#REF!</v>
      </c>
      <c r="AZ174" s="287" t="e">
        <f t="shared" si="194"/>
        <v>#REF!</v>
      </c>
      <c r="BA174" s="287" t="e">
        <f t="shared" si="194"/>
        <v>#REF!</v>
      </c>
      <c r="BB174" s="287" t="e">
        <f t="shared" si="194"/>
        <v>#REF!</v>
      </c>
      <c r="BC174" s="287" t="e">
        <f t="shared" si="194"/>
        <v>#REF!</v>
      </c>
      <c r="BD174" s="287" t="e">
        <f t="shared" si="194"/>
        <v>#REF!</v>
      </c>
      <c r="BE174" s="287" t="e">
        <f t="shared" si="194"/>
        <v>#REF!</v>
      </c>
      <c r="BF174" s="287" t="e">
        <f t="shared" si="194"/>
        <v>#REF!</v>
      </c>
      <c r="BG174" s="287" t="e">
        <f t="shared" si="194"/>
        <v>#REF!</v>
      </c>
      <c r="BH174" s="287" t="e">
        <f t="shared" si="194"/>
        <v>#REF!</v>
      </c>
      <c r="BI174" s="287" t="e">
        <f t="shared" si="194"/>
        <v>#REF!</v>
      </c>
      <c r="BJ174" s="287" t="e">
        <f t="shared" si="194"/>
        <v>#REF!</v>
      </c>
      <c r="BK174" s="287" t="e">
        <f t="shared" si="194"/>
        <v>#REF!</v>
      </c>
      <c r="BL174" s="287" t="e">
        <f t="shared" si="194"/>
        <v>#REF!</v>
      </c>
      <c r="BM174" s="287" t="e">
        <f t="shared" si="194"/>
        <v>#REF!</v>
      </c>
      <c r="BN174" s="287" t="e">
        <f t="shared" si="194"/>
        <v>#REF!</v>
      </c>
      <c r="BO174" s="287" t="e">
        <f t="shared" si="194"/>
        <v>#REF!</v>
      </c>
    </row>
    <row r="175" spans="1:67" ht="20.25" customHeight="1">
      <c r="A175" s="402" t="s">
        <v>2896</v>
      </c>
      <c r="B175" s="19"/>
      <c r="C175" s="200">
        <v>0</v>
      </c>
      <c r="D175" s="361" t="str">
        <f t="shared" si="190"/>
        <v>R18</v>
      </c>
      <c r="E175" s="74">
        <f t="shared" si="191"/>
        <v>0</v>
      </c>
      <c r="F175" s="337">
        <f>IF(C175=0,,VLOOKUP(E175,#REF!,5, FALSE()))</f>
        <v>0</v>
      </c>
      <c r="G175" s="473"/>
      <c r="H175" s="473"/>
      <c r="I175" s="461"/>
      <c r="J175" s="461"/>
      <c r="K175" s="474"/>
      <c r="L175" s="474"/>
      <c r="M175" s="461"/>
      <c r="N175" s="461"/>
      <c r="O175" s="474"/>
      <c r="P175" s="474"/>
      <c r="Q175" s="461"/>
      <c r="R175" s="461"/>
      <c r="S175" s="474"/>
      <c r="T175" s="474"/>
      <c r="U175" s="461"/>
      <c r="V175" s="461"/>
      <c r="W175" s="480"/>
      <c r="X175" s="382">
        <f>IF(C175=0,,VLOOKUP(E175,#REF!,2, FALSE()))</f>
        <v>0</v>
      </c>
      <c r="Y175" s="384">
        <f>IF(C175=0,,VLOOKUP(E175,#REF!,3, FALSE()))</f>
        <v>0</v>
      </c>
      <c r="Z175" s="385"/>
      <c r="AA175" s="74">
        <f t="shared" si="193"/>
        <v>0</v>
      </c>
      <c r="AB175" s="386">
        <f>IF(C175=0,,VLOOKUP(E175,#REF!,6, FALSE()))</f>
        <v>0</v>
      </c>
      <c r="AC175" s="74"/>
      <c r="AD175" s="74"/>
      <c r="AE175" s="74"/>
      <c r="AF175" s="74"/>
      <c r="AG175" s="74"/>
      <c r="AH175" s="74"/>
      <c r="AI175" s="74"/>
      <c r="AJ175" s="389"/>
      <c r="AK175" s="287" t="e">
        <f t="shared" ref="AK175:BO175" si="195">(MID(#REF!, 7,2))</f>
        <v>#REF!</v>
      </c>
      <c r="AL175" s="287" t="e">
        <f t="shared" si="195"/>
        <v>#REF!</v>
      </c>
      <c r="AM175" s="287" t="e">
        <f t="shared" si="195"/>
        <v>#REF!</v>
      </c>
      <c r="AN175" s="287" t="e">
        <f t="shared" si="195"/>
        <v>#REF!</v>
      </c>
      <c r="AO175" s="287" t="e">
        <f t="shared" si="195"/>
        <v>#REF!</v>
      </c>
      <c r="AP175" s="287" t="e">
        <f t="shared" si="195"/>
        <v>#REF!</v>
      </c>
      <c r="AQ175" s="287" t="e">
        <f t="shared" si="195"/>
        <v>#REF!</v>
      </c>
      <c r="AR175" s="287" t="e">
        <f t="shared" si="195"/>
        <v>#REF!</v>
      </c>
      <c r="AS175" s="287" t="e">
        <f t="shared" si="195"/>
        <v>#REF!</v>
      </c>
      <c r="AT175" s="287" t="e">
        <f t="shared" si="195"/>
        <v>#REF!</v>
      </c>
      <c r="AU175" s="287" t="e">
        <f t="shared" si="195"/>
        <v>#REF!</v>
      </c>
      <c r="AV175" s="287" t="e">
        <f t="shared" si="195"/>
        <v>#REF!</v>
      </c>
      <c r="AW175" s="287" t="e">
        <f t="shared" si="195"/>
        <v>#REF!</v>
      </c>
      <c r="AX175" s="287" t="e">
        <f t="shared" si="195"/>
        <v>#REF!</v>
      </c>
      <c r="AY175" s="287" t="e">
        <f t="shared" si="195"/>
        <v>#REF!</v>
      </c>
      <c r="AZ175" s="287" t="e">
        <f t="shared" si="195"/>
        <v>#REF!</v>
      </c>
      <c r="BA175" s="287" t="e">
        <f t="shared" si="195"/>
        <v>#REF!</v>
      </c>
      <c r="BB175" s="287" t="e">
        <f t="shared" si="195"/>
        <v>#REF!</v>
      </c>
      <c r="BC175" s="287" t="e">
        <f t="shared" si="195"/>
        <v>#REF!</v>
      </c>
      <c r="BD175" s="287" t="e">
        <f t="shared" si="195"/>
        <v>#REF!</v>
      </c>
      <c r="BE175" s="287" t="e">
        <f t="shared" si="195"/>
        <v>#REF!</v>
      </c>
      <c r="BF175" s="287" t="e">
        <f t="shared" si="195"/>
        <v>#REF!</v>
      </c>
      <c r="BG175" s="287" t="e">
        <f t="shared" si="195"/>
        <v>#REF!</v>
      </c>
      <c r="BH175" s="287" t="e">
        <f t="shared" si="195"/>
        <v>#REF!</v>
      </c>
      <c r="BI175" s="287" t="e">
        <f t="shared" si="195"/>
        <v>#REF!</v>
      </c>
      <c r="BJ175" s="287" t="e">
        <f t="shared" si="195"/>
        <v>#REF!</v>
      </c>
      <c r="BK175" s="287" t="e">
        <f t="shared" si="195"/>
        <v>#REF!</v>
      </c>
      <c r="BL175" s="287" t="e">
        <f t="shared" si="195"/>
        <v>#REF!</v>
      </c>
      <c r="BM175" s="287" t="e">
        <f t="shared" si="195"/>
        <v>#REF!</v>
      </c>
      <c r="BN175" s="287" t="e">
        <f t="shared" si="195"/>
        <v>#REF!</v>
      </c>
      <c r="BO175" s="287" t="e">
        <f t="shared" si="195"/>
        <v>#REF!</v>
      </c>
    </row>
    <row r="176" spans="1:67" ht="20.25" customHeight="1">
      <c r="A176" s="409" t="s">
        <v>2921</v>
      </c>
      <c r="B176" s="410">
        <v>0</v>
      </c>
      <c r="C176" s="200">
        <v>0</v>
      </c>
      <c r="D176" s="361" t="str">
        <f t="shared" si="190"/>
        <v>R18</v>
      </c>
      <c r="E176" s="74">
        <f t="shared" si="191"/>
        <v>0</v>
      </c>
      <c r="F176" s="337">
        <f>IF(C176=0,,VLOOKUP(E176,#REF!,5, FALSE()))</f>
        <v>0</v>
      </c>
      <c r="G176" s="473"/>
      <c r="H176" s="473"/>
      <c r="I176" s="461"/>
      <c r="J176" s="461"/>
      <c r="K176" s="474"/>
      <c r="L176" s="474"/>
      <c r="M176" s="461"/>
      <c r="N176" s="461"/>
      <c r="O176" s="474"/>
      <c r="P176" s="474"/>
      <c r="Q176" s="461"/>
      <c r="R176" s="461"/>
      <c r="S176" s="474"/>
      <c r="T176" s="474"/>
      <c r="U176" s="461"/>
      <c r="V176" s="461"/>
      <c r="W176" s="480"/>
      <c r="X176" s="382">
        <f>IF(C176=0,,VLOOKUP(E176,#REF!,2, FALSE()))</f>
        <v>0</v>
      </c>
      <c r="Y176" s="384">
        <f>IF(C176=0,,VLOOKUP(E176,#REF!,3, FALSE()))</f>
        <v>0</v>
      </c>
      <c r="Z176" s="385"/>
      <c r="AA176" s="74">
        <f t="shared" si="193"/>
        <v>0</v>
      </c>
      <c r="AB176" s="386">
        <f>IF(C176=0,,VLOOKUP(E176,#REF!,6, FALSE()))</f>
        <v>0</v>
      </c>
      <c r="AC176" s="74"/>
      <c r="AD176" s="74"/>
      <c r="AE176" s="74"/>
      <c r="AF176" s="74"/>
      <c r="AG176" s="74"/>
      <c r="AH176" s="74"/>
      <c r="AI176" s="74"/>
      <c r="AJ176" s="422"/>
      <c r="AK176" s="287" t="e">
        <f t="shared" ref="AK176:BO176" si="196">(MID(#REF!, 7,2))</f>
        <v>#REF!</v>
      </c>
      <c r="AL176" s="287" t="e">
        <f t="shared" si="196"/>
        <v>#REF!</v>
      </c>
      <c r="AM176" s="287" t="e">
        <f t="shared" si="196"/>
        <v>#REF!</v>
      </c>
      <c r="AN176" s="287" t="e">
        <f t="shared" si="196"/>
        <v>#REF!</v>
      </c>
      <c r="AO176" s="287" t="e">
        <f t="shared" si="196"/>
        <v>#REF!</v>
      </c>
      <c r="AP176" s="287" t="e">
        <f t="shared" si="196"/>
        <v>#REF!</v>
      </c>
      <c r="AQ176" s="287" t="e">
        <f t="shared" si="196"/>
        <v>#REF!</v>
      </c>
      <c r="AR176" s="287" t="e">
        <f t="shared" si="196"/>
        <v>#REF!</v>
      </c>
      <c r="AS176" s="287" t="e">
        <f t="shared" si="196"/>
        <v>#REF!</v>
      </c>
      <c r="AT176" s="287" t="e">
        <f t="shared" si="196"/>
        <v>#REF!</v>
      </c>
      <c r="AU176" s="287" t="e">
        <f t="shared" si="196"/>
        <v>#REF!</v>
      </c>
      <c r="AV176" s="287" t="e">
        <f t="shared" si="196"/>
        <v>#REF!</v>
      </c>
      <c r="AW176" s="287" t="e">
        <f t="shared" si="196"/>
        <v>#REF!</v>
      </c>
      <c r="AX176" s="287" t="e">
        <f t="shared" si="196"/>
        <v>#REF!</v>
      </c>
      <c r="AY176" s="287" t="e">
        <f t="shared" si="196"/>
        <v>#REF!</v>
      </c>
      <c r="AZ176" s="287" t="e">
        <f t="shared" si="196"/>
        <v>#REF!</v>
      </c>
      <c r="BA176" s="287" t="e">
        <f t="shared" si="196"/>
        <v>#REF!</v>
      </c>
      <c r="BB176" s="287" t="e">
        <f t="shared" si="196"/>
        <v>#REF!</v>
      </c>
      <c r="BC176" s="287" t="e">
        <f t="shared" si="196"/>
        <v>#REF!</v>
      </c>
      <c r="BD176" s="287" t="e">
        <f t="shared" si="196"/>
        <v>#REF!</v>
      </c>
      <c r="BE176" s="287" t="e">
        <f t="shared" si="196"/>
        <v>#REF!</v>
      </c>
      <c r="BF176" s="287" t="e">
        <f t="shared" si="196"/>
        <v>#REF!</v>
      </c>
      <c r="BG176" s="287" t="e">
        <f t="shared" si="196"/>
        <v>#REF!</v>
      </c>
      <c r="BH176" s="287" t="e">
        <f t="shared" si="196"/>
        <v>#REF!</v>
      </c>
      <c r="BI176" s="287" t="e">
        <f t="shared" si="196"/>
        <v>#REF!</v>
      </c>
      <c r="BJ176" s="287" t="e">
        <f t="shared" si="196"/>
        <v>#REF!</v>
      </c>
      <c r="BK176" s="287" t="e">
        <f t="shared" si="196"/>
        <v>#REF!</v>
      </c>
      <c r="BL176" s="287" t="e">
        <f t="shared" si="196"/>
        <v>#REF!</v>
      </c>
      <c r="BM176" s="287" t="e">
        <f t="shared" si="196"/>
        <v>#REF!</v>
      </c>
      <c r="BN176" s="287" t="e">
        <f t="shared" si="196"/>
        <v>#REF!</v>
      </c>
      <c r="BO176" s="287" t="e">
        <f t="shared" si="196"/>
        <v>#REF!</v>
      </c>
    </row>
    <row r="177" spans="1:67" ht="20.25" customHeight="1">
      <c r="A177" s="424" t="s">
        <v>2936</v>
      </c>
      <c r="B177" s="425">
        <v>0</v>
      </c>
      <c r="C177" s="200">
        <v>0</v>
      </c>
      <c r="D177" s="361" t="str">
        <f t="shared" si="190"/>
        <v>R18</v>
      </c>
      <c r="E177" s="74">
        <f t="shared" si="191"/>
        <v>0</v>
      </c>
      <c r="F177" s="337">
        <f>IF(C177=0,,VLOOKUP(E177,#REF!,5, FALSE()))</f>
        <v>0</v>
      </c>
      <c r="G177" s="473"/>
      <c r="H177" s="473"/>
      <c r="I177" s="461"/>
      <c r="J177" s="461"/>
      <c r="K177" s="474"/>
      <c r="L177" s="474"/>
      <c r="M177" s="461"/>
      <c r="N177" s="461"/>
      <c r="O177" s="474"/>
      <c r="P177" s="474"/>
      <c r="Q177" s="461"/>
      <c r="R177" s="461"/>
      <c r="S177" s="474"/>
      <c r="T177" s="474"/>
      <c r="U177" s="461"/>
      <c r="V177" s="461"/>
      <c r="W177" s="480"/>
      <c r="X177" s="382">
        <f>IF(C177=0,,VLOOKUP(E177,#REF!,2, FALSE()))</f>
        <v>0</v>
      </c>
      <c r="Y177" s="384">
        <f>IF(C177=0,,VLOOKUP(E177,#REF!,3, FALSE()))</f>
        <v>0</v>
      </c>
      <c r="Z177" s="385"/>
      <c r="AA177" s="74">
        <f t="shared" si="193"/>
        <v>0</v>
      </c>
      <c r="AB177" s="386">
        <f>IF(C177=0,,VLOOKUP(E177,#REF!,6, FALSE()))</f>
        <v>0</v>
      </c>
      <c r="AC177" s="74"/>
      <c r="AD177" s="74"/>
      <c r="AE177" s="74"/>
      <c r="AF177" s="74"/>
      <c r="AG177" s="74"/>
      <c r="AH177" s="74"/>
      <c r="AI177" s="74"/>
      <c r="AJ177" s="389"/>
      <c r="AK177" s="287" t="e">
        <f t="shared" ref="AK177:BO177" si="197">(MID(#REF!, 7,2))</f>
        <v>#REF!</v>
      </c>
      <c r="AL177" s="287" t="e">
        <f t="shared" si="197"/>
        <v>#REF!</v>
      </c>
      <c r="AM177" s="287" t="e">
        <f t="shared" si="197"/>
        <v>#REF!</v>
      </c>
      <c r="AN177" s="287" t="e">
        <f t="shared" si="197"/>
        <v>#REF!</v>
      </c>
      <c r="AO177" s="287" t="e">
        <f t="shared" si="197"/>
        <v>#REF!</v>
      </c>
      <c r="AP177" s="287" t="e">
        <f t="shared" si="197"/>
        <v>#REF!</v>
      </c>
      <c r="AQ177" s="287" t="e">
        <f t="shared" si="197"/>
        <v>#REF!</v>
      </c>
      <c r="AR177" s="287" t="e">
        <f t="shared" si="197"/>
        <v>#REF!</v>
      </c>
      <c r="AS177" s="287" t="e">
        <f t="shared" si="197"/>
        <v>#REF!</v>
      </c>
      <c r="AT177" s="287" t="e">
        <f t="shared" si="197"/>
        <v>#REF!</v>
      </c>
      <c r="AU177" s="287" t="e">
        <f t="shared" si="197"/>
        <v>#REF!</v>
      </c>
      <c r="AV177" s="287" t="e">
        <f t="shared" si="197"/>
        <v>#REF!</v>
      </c>
      <c r="AW177" s="287" t="e">
        <f t="shared" si="197"/>
        <v>#REF!</v>
      </c>
      <c r="AX177" s="287" t="e">
        <f t="shared" si="197"/>
        <v>#REF!</v>
      </c>
      <c r="AY177" s="287" t="e">
        <f t="shared" si="197"/>
        <v>#REF!</v>
      </c>
      <c r="AZ177" s="287" t="e">
        <f t="shared" si="197"/>
        <v>#REF!</v>
      </c>
      <c r="BA177" s="287" t="e">
        <f t="shared" si="197"/>
        <v>#REF!</v>
      </c>
      <c r="BB177" s="287" t="e">
        <f t="shared" si="197"/>
        <v>#REF!</v>
      </c>
      <c r="BC177" s="287" t="e">
        <f t="shared" si="197"/>
        <v>#REF!</v>
      </c>
      <c r="BD177" s="287" t="e">
        <f t="shared" si="197"/>
        <v>#REF!</v>
      </c>
      <c r="BE177" s="287" t="e">
        <f t="shared" si="197"/>
        <v>#REF!</v>
      </c>
      <c r="BF177" s="287" t="e">
        <f t="shared" si="197"/>
        <v>#REF!</v>
      </c>
      <c r="BG177" s="287" t="e">
        <f t="shared" si="197"/>
        <v>#REF!</v>
      </c>
      <c r="BH177" s="287" t="e">
        <f t="shared" si="197"/>
        <v>#REF!</v>
      </c>
      <c r="BI177" s="287" t="e">
        <f t="shared" si="197"/>
        <v>#REF!</v>
      </c>
      <c r="BJ177" s="287" t="e">
        <f t="shared" si="197"/>
        <v>#REF!</v>
      </c>
      <c r="BK177" s="287" t="e">
        <f t="shared" si="197"/>
        <v>#REF!</v>
      </c>
      <c r="BL177" s="287" t="e">
        <f t="shared" si="197"/>
        <v>#REF!</v>
      </c>
      <c r="BM177" s="287" t="e">
        <f t="shared" si="197"/>
        <v>#REF!</v>
      </c>
      <c r="BN177" s="287" t="e">
        <f t="shared" si="197"/>
        <v>#REF!</v>
      </c>
      <c r="BO177" s="287" t="e">
        <f t="shared" si="197"/>
        <v>#REF!</v>
      </c>
    </row>
    <row r="178" spans="1:67" ht="20.25" customHeight="1">
      <c r="A178" s="424" t="e">
        <f>Z173</f>
        <v>#REF!</v>
      </c>
      <c r="B178" s="425">
        <v>0</v>
      </c>
      <c r="C178" s="200">
        <v>0</v>
      </c>
      <c r="D178" s="361" t="str">
        <f t="shared" si="190"/>
        <v>R18</v>
      </c>
      <c r="E178" s="74">
        <f t="shared" si="191"/>
        <v>0</v>
      </c>
      <c r="F178" s="337">
        <f>IF(C178=0,,VLOOKUP(E178,#REF!,5, FALSE()))</f>
        <v>0</v>
      </c>
      <c r="G178" s="473"/>
      <c r="H178" s="473"/>
      <c r="I178" s="461"/>
      <c r="J178" s="461"/>
      <c r="K178" s="474"/>
      <c r="L178" s="474"/>
      <c r="M178" s="461"/>
      <c r="N178" s="461"/>
      <c r="O178" s="474"/>
      <c r="P178" s="474"/>
      <c r="Q178" s="461"/>
      <c r="R178" s="461"/>
      <c r="S178" s="474"/>
      <c r="T178" s="474"/>
      <c r="U178" s="461"/>
      <c r="V178" s="461"/>
      <c r="W178" s="480"/>
      <c r="X178" s="382">
        <f>IF(C178=0,,VLOOKUP(E178,#REF!,2, FALSE()))</f>
        <v>0</v>
      </c>
      <c r="Y178" s="384">
        <f>IF(C178=0,,VLOOKUP(E178,#REF!,3, FALSE()))</f>
        <v>0</v>
      </c>
      <c r="Z178" s="385"/>
      <c r="AA178" s="74">
        <f t="shared" si="193"/>
        <v>0</v>
      </c>
      <c r="AB178" s="386">
        <f>IF(C178=0,,VLOOKUP(E178,#REF!,6, FALSE()))</f>
        <v>0</v>
      </c>
      <c r="AC178" s="74"/>
      <c r="AD178" s="74"/>
      <c r="AE178" s="74"/>
      <c r="AF178" s="74"/>
      <c r="AG178" s="74"/>
      <c r="AH178" s="74"/>
      <c r="AI178" s="74"/>
      <c r="AJ178" s="389"/>
      <c r="AK178" s="287" t="e">
        <f t="shared" ref="AK178:BO178" si="198">(MID(#REF!, 7,2))</f>
        <v>#REF!</v>
      </c>
      <c r="AL178" s="287" t="e">
        <f t="shared" si="198"/>
        <v>#REF!</v>
      </c>
      <c r="AM178" s="287" t="e">
        <f t="shared" si="198"/>
        <v>#REF!</v>
      </c>
      <c r="AN178" s="287" t="e">
        <f t="shared" si="198"/>
        <v>#REF!</v>
      </c>
      <c r="AO178" s="287" t="e">
        <f t="shared" si="198"/>
        <v>#REF!</v>
      </c>
      <c r="AP178" s="287" t="e">
        <f t="shared" si="198"/>
        <v>#REF!</v>
      </c>
      <c r="AQ178" s="287" t="e">
        <f t="shared" si="198"/>
        <v>#REF!</v>
      </c>
      <c r="AR178" s="287" t="e">
        <f t="shared" si="198"/>
        <v>#REF!</v>
      </c>
      <c r="AS178" s="287" t="e">
        <f t="shared" si="198"/>
        <v>#REF!</v>
      </c>
      <c r="AT178" s="287" t="e">
        <f t="shared" si="198"/>
        <v>#REF!</v>
      </c>
      <c r="AU178" s="287" t="e">
        <f t="shared" si="198"/>
        <v>#REF!</v>
      </c>
      <c r="AV178" s="287" t="e">
        <f t="shared" si="198"/>
        <v>#REF!</v>
      </c>
      <c r="AW178" s="287" t="e">
        <f t="shared" si="198"/>
        <v>#REF!</v>
      </c>
      <c r="AX178" s="287" t="e">
        <f t="shared" si="198"/>
        <v>#REF!</v>
      </c>
      <c r="AY178" s="287" t="e">
        <f t="shared" si="198"/>
        <v>#REF!</v>
      </c>
      <c r="AZ178" s="287" t="e">
        <f t="shared" si="198"/>
        <v>#REF!</v>
      </c>
      <c r="BA178" s="287" t="e">
        <f t="shared" si="198"/>
        <v>#REF!</v>
      </c>
      <c r="BB178" s="287" t="e">
        <f t="shared" si="198"/>
        <v>#REF!</v>
      </c>
      <c r="BC178" s="287" t="e">
        <f t="shared" si="198"/>
        <v>#REF!</v>
      </c>
      <c r="BD178" s="287" t="e">
        <f t="shared" si="198"/>
        <v>#REF!</v>
      </c>
      <c r="BE178" s="287" t="e">
        <f t="shared" si="198"/>
        <v>#REF!</v>
      </c>
      <c r="BF178" s="287" t="e">
        <f t="shared" si="198"/>
        <v>#REF!</v>
      </c>
      <c r="BG178" s="287" t="e">
        <f t="shared" si="198"/>
        <v>#REF!</v>
      </c>
      <c r="BH178" s="287" t="e">
        <f t="shared" si="198"/>
        <v>#REF!</v>
      </c>
      <c r="BI178" s="287" t="e">
        <f t="shared" si="198"/>
        <v>#REF!</v>
      </c>
      <c r="BJ178" s="287" t="e">
        <f t="shared" si="198"/>
        <v>#REF!</v>
      </c>
      <c r="BK178" s="287" t="e">
        <f t="shared" si="198"/>
        <v>#REF!</v>
      </c>
      <c r="BL178" s="287" t="e">
        <f t="shared" si="198"/>
        <v>#REF!</v>
      </c>
      <c r="BM178" s="287" t="e">
        <f t="shared" si="198"/>
        <v>#REF!</v>
      </c>
      <c r="BN178" s="287" t="e">
        <f t="shared" si="198"/>
        <v>#REF!</v>
      </c>
      <c r="BO178" s="287" t="e">
        <f t="shared" si="198"/>
        <v>#REF!</v>
      </c>
    </row>
    <row r="179" spans="1:67" ht="20.25" customHeight="1">
      <c r="A179" s="424" t="s">
        <v>2951</v>
      </c>
      <c r="B179" s="425">
        <f>SUM(AB173:AB181)</f>
        <v>0</v>
      </c>
      <c r="C179" s="200">
        <v>0</v>
      </c>
      <c r="D179" s="361" t="str">
        <f t="shared" si="190"/>
        <v>R18</v>
      </c>
      <c r="E179" s="74">
        <f t="shared" si="191"/>
        <v>0</v>
      </c>
      <c r="F179" s="337">
        <f>IF(C179=0,,VLOOKUP(E179,#REF!,5, FALSE()))</f>
        <v>0</v>
      </c>
      <c r="G179" s="473"/>
      <c r="H179" s="473"/>
      <c r="I179" s="461"/>
      <c r="J179" s="461"/>
      <c r="K179" s="474"/>
      <c r="L179" s="474"/>
      <c r="M179" s="461"/>
      <c r="N179" s="461"/>
      <c r="O179" s="474"/>
      <c r="P179" s="474"/>
      <c r="Q179" s="461"/>
      <c r="R179" s="461"/>
      <c r="S179" s="474"/>
      <c r="T179" s="474"/>
      <c r="U179" s="461"/>
      <c r="V179" s="461"/>
      <c r="W179" s="480"/>
      <c r="X179" s="382">
        <f>IF(C179=0,,VLOOKUP(E179,#REF!,2, FALSE()))</f>
        <v>0</v>
      </c>
      <c r="Y179" s="384">
        <f>IF(C179=0,,VLOOKUP(E179,#REF!,3, FALSE()))</f>
        <v>0</v>
      </c>
      <c r="Z179" s="385"/>
      <c r="AA179" s="74">
        <f t="shared" si="193"/>
        <v>0</v>
      </c>
      <c r="AB179" s="386">
        <f>IF(C179=0,,VLOOKUP(E179,#REF!,6, FALSE()))</f>
        <v>0</v>
      </c>
      <c r="AC179" s="74"/>
      <c r="AD179" s="74"/>
      <c r="AE179" s="74"/>
      <c r="AF179" s="74"/>
      <c r="AG179" s="74"/>
      <c r="AH179" s="74"/>
      <c r="AI179" s="74"/>
      <c r="AJ179" s="389"/>
      <c r="AK179" s="287" t="e">
        <f t="shared" ref="AK179:BO179" si="199">(MID(#REF!, 7,2))</f>
        <v>#REF!</v>
      </c>
      <c r="AL179" s="287" t="e">
        <f t="shared" si="199"/>
        <v>#REF!</v>
      </c>
      <c r="AM179" s="287" t="e">
        <f t="shared" si="199"/>
        <v>#REF!</v>
      </c>
      <c r="AN179" s="287" t="e">
        <f t="shared" si="199"/>
        <v>#REF!</v>
      </c>
      <c r="AO179" s="287" t="e">
        <f t="shared" si="199"/>
        <v>#REF!</v>
      </c>
      <c r="AP179" s="287" t="e">
        <f t="shared" si="199"/>
        <v>#REF!</v>
      </c>
      <c r="AQ179" s="287" t="e">
        <f t="shared" si="199"/>
        <v>#REF!</v>
      </c>
      <c r="AR179" s="287" t="e">
        <f t="shared" si="199"/>
        <v>#REF!</v>
      </c>
      <c r="AS179" s="287" t="e">
        <f t="shared" si="199"/>
        <v>#REF!</v>
      </c>
      <c r="AT179" s="287" t="e">
        <f t="shared" si="199"/>
        <v>#REF!</v>
      </c>
      <c r="AU179" s="287" t="e">
        <f t="shared" si="199"/>
        <v>#REF!</v>
      </c>
      <c r="AV179" s="287" t="e">
        <f t="shared" si="199"/>
        <v>#REF!</v>
      </c>
      <c r="AW179" s="287" t="e">
        <f t="shared" si="199"/>
        <v>#REF!</v>
      </c>
      <c r="AX179" s="287" t="e">
        <f t="shared" si="199"/>
        <v>#REF!</v>
      </c>
      <c r="AY179" s="287" t="e">
        <f t="shared" si="199"/>
        <v>#REF!</v>
      </c>
      <c r="AZ179" s="287" t="e">
        <f t="shared" si="199"/>
        <v>#REF!</v>
      </c>
      <c r="BA179" s="287" t="e">
        <f t="shared" si="199"/>
        <v>#REF!</v>
      </c>
      <c r="BB179" s="287" t="e">
        <f t="shared" si="199"/>
        <v>#REF!</v>
      </c>
      <c r="BC179" s="287" t="e">
        <f t="shared" si="199"/>
        <v>#REF!</v>
      </c>
      <c r="BD179" s="287" t="e">
        <f t="shared" si="199"/>
        <v>#REF!</v>
      </c>
      <c r="BE179" s="287" t="e">
        <f t="shared" si="199"/>
        <v>#REF!</v>
      </c>
      <c r="BF179" s="287" t="e">
        <f t="shared" si="199"/>
        <v>#REF!</v>
      </c>
      <c r="BG179" s="287" t="e">
        <f t="shared" si="199"/>
        <v>#REF!</v>
      </c>
      <c r="BH179" s="287" t="e">
        <f t="shared" si="199"/>
        <v>#REF!</v>
      </c>
      <c r="BI179" s="287" t="e">
        <f t="shared" si="199"/>
        <v>#REF!</v>
      </c>
      <c r="BJ179" s="287" t="e">
        <f t="shared" si="199"/>
        <v>#REF!</v>
      </c>
      <c r="BK179" s="287" t="e">
        <f t="shared" si="199"/>
        <v>#REF!</v>
      </c>
      <c r="BL179" s="287" t="e">
        <f t="shared" si="199"/>
        <v>#REF!</v>
      </c>
      <c r="BM179" s="287" t="e">
        <f t="shared" si="199"/>
        <v>#REF!</v>
      </c>
      <c r="BN179" s="287" t="e">
        <f t="shared" si="199"/>
        <v>#REF!</v>
      </c>
      <c r="BO179" s="287" t="e">
        <f t="shared" si="199"/>
        <v>#REF!</v>
      </c>
    </row>
    <row r="180" spans="1:67" ht="20.25" customHeight="1">
      <c r="A180" s="424" t="s">
        <v>2952</v>
      </c>
      <c r="B180" s="425">
        <f ca="1">SUM(AJ173:AJ181)</f>
        <v>0</v>
      </c>
      <c r="C180" s="200">
        <v>0</v>
      </c>
      <c r="D180" s="361" t="str">
        <f t="shared" si="190"/>
        <v>R18</v>
      </c>
      <c r="E180" s="74">
        <f t="shared" si="191"/>
        <v>0</v>
      </c>
      <c r="F180" s="337">
        <f>IF(C180=0,,VLOOKUP(E180,#REF!,5, FALSE()))</f>
        <v>0</v>
      </c>
      <c r="G180" s="473"/>
      <c r="H180" s="473"/>
      <c r="I180" s="461"/>
      <c r="J180" s="461"/>
      <c r="K180" s="474"/>
      <c r="L180" s="474"/>
      <c r="M180" s="461"/>
      <c r="N180" s="461"/>
      <c r="O180" s="474"/>
      <c r="P180" s="474"/>
      <c r="Q180" s="461"/>
      <c r="R180" s="461"/>
      <c r="S180" s="474"/>
      <c r="T180" s="474"/>
      <c r="U180" s="461"/>
      <c r="V180" s="461"/>
      <c r="W180" s="480"/>
      <c r="X180" s="382">
        <f>IF(C180=0,,VLOOKUP(E180,#REF!,2, FALSE()))</f>
        <v>0</v>
      </c>
      <c r="Y180" s="384">
        <f>IF(C180=0,,VLOOKUP(E180,#REF!,3, FALSE()))</f>
        <v>0</v>
      </c>
      <c r="Z180" s="385"/>
      <c r="AA180" s="74">
        <f t="shared" si="193"/>
        <v>0</v>
      </c>
      <c r="AB180" s="386">
        <f>IF(C180=0,,VLOOKUP(E180,#REF!,6, FALSE()))</f>
        <v>0</v>
      </c>
      <c r="AC180" s="74"/>
      <c r="AD180" s="74"/>
      <c r="AE180" s="74"/>
      <c r="AF180" s="74"/>
      <c r="AG180" s="74"/>
      <c r="AH180" s="74"/>
      <c r="AI180" s="74"/>
      <c r="AJ180" s="389"/>
      <c r="AK180" s="287" t="e">
        <f t="shared" ref="AK180:BO180" si="200">(MID(#REF!, 7,2))</f>
        <v>#REF!</v>
      </c>
      <c r="AL180" s="287" t="e">
        <f t="shared" si="200"/>
        <v>#REF!</v>
      </c>
      <c r="AM180" s="287" t="e">
        <f t="shared" si="200"/>
        <v>#REF!</v>
      </c>
      <c r="AN180" s="287" t="e">
        <f t="shared" si="200"/>
        <v>#REF!</v>
      </c>
      <c r="AO180" s="287" t="e">
        <f t="shared" si="200"/>
        <v>#REF!</v>
      </c>
      <c r="AP180" s="287" t="e">
        <f t="shared" si="200"/>
        <v>#REF!</v>
      </c>
      <c r="AQ180" s="287" t="e">
        <f t="shared" si="200"/>
        <v>#REF!</v>
      </c>
      <c r="AR180" s="287" t="e">
        <f t="shared" si="200"/>
        <v>#REF!</v>
      </c>
      <c r="AS180" s="287" t="e">
        <f t="shared" si="200"/>
        <v>#REF!</v>
      </c>
      <c r="AT180" s="287" t="e">
        <f t="shared" si="200"/>
        <v>#REF!</v>
      </c>
      <c r="AU180" s="287" t="e">
        <f t="shared" si="200"/>
        <v>#REF!</v>
      </c>
      <c r="AV180" s="287" t="e">
        <f t="shared" si="200"/>
        <v>#REF!</v>
      </c>
      <c r="AW180" s="287" t="e">
        <f t="shared" si="200"/>
        <v>#REF!</v>
      </c>
      <c r="AX180" s="287" t="e">
        <f t="shared" si="200"/>
        <v>#REF!</v>
      </c>
      <c r="AY180" s="287" t="e">
        <f t="shared" si="200"/>
        <v>#REF!</v>
      </c>
      <c r="AZ180" s="287" t="e">
        <f t="shared" si="200"/>
        <v>#REF!</v>
      </c>
      <c r="BA180" s="287" t="e">
        <f t="shared" si="200"/>
        <v>#REF!</v>
      </c>
      <c r="BB180" s="287" t="e">
        <f t="shared" si="200"/>
        <v>#REF!</v>
      </c>
      <c r="BC180" s="287" t="e">
        <f t="shared" si="200"/>
        <v>#REF!</v>
      </c>
      <c r="BD180" s="287" t="e">
        <f t="shared" si="200"/>
        <v>#REF!</v>
      </c>
      <c r="BE180" s="287" t="e">
        <f t="shared" si="200"/>
        <v>#REF!</v>
      </c>
      <c r="BF180" s="287" t="e">
        <f t="shared" si="200"/>
        <v>#REF!</v>
      </c>
      <c r="BG180" s="287" t="e">
        <f t="shared" si="200"/>
        <v>#REF!</v>
      </c>
      <c r="BH180" s="287" t="e">
        <f t="shared" si="200"/>
        <v>#REF!</v>
      </c>
      <c r="BI180" s="287" t="e">
        <f t="shared" si="200"/>
        <v>#REF!</v>
      </c>
      <c r="BJ180" s="287" t="e">
        <f t="shared" si="200"/>
        <v>#REF!</v>
      </c>
      <c r="BK180" s="287" t="e">
        <f t="shared" si="200"/>
        <v>#REF!</v>
      </c>
      <c r="BL180" s="287" t="e">
        <f t="shared" si="200"/>
        <v>#REF!</v>
      </c>
      <c r="BM180" s="287" t="e">
        <f t="shared" si="200"/>
        <v>#REF!</v>
      </c>
      <c r="BN180" s="287" t="e">
        <f t="shared" si="200"/>
        <v>#REF!</v>
      </c>
      <c r="BO180" s="287" t="e">
        <f t="shared" si="200"/>
        <v>#REF!</v>
      </c>
    </row>
    <row r="181" spans="1:67" ht="20.25" customHeight="1">
      <c r="A181" s="443" t="s">
        <v>2953</v>
      </c>
      <c r="B181" s="444">
        <f ca="1">B178-B179-B180</f>
        <v>0</v>
      </c>
      <c r="C181" s="200">
        <v>0</v>
      </c>
      <c r="D181" s="361" t="str">
        <f t="shared" si="190"/>
        <v>R18</v>
      </c>
      <c r="E181" s="74">
        <f t="shared" si="191"/>
        <v>0</v>
      </c>
      <c r="F181" s="337">
        <f>IF(C181=0,,VLOOKUP(E181,#REF!,5, FALSE()))</f>
        <v>0</v>
      </c>
      <c r="G181" s="473"/>
      <c r="H181" s="473"/>
      <c r="I181" s="461"/>
      <c r="J181" s="461"/>
      <c r="K181" s="474"/>
      <c r="L181" s="474"/>
      <c r="M181" s="461"/>
      <c r="N181" s="461"/>
      <c r="O181" s="474"/>
      <c r="P181" s="474"/>
      <c r="Q181" s="461"/>
      <c r="R181" s="461"/>
      <c r="S181" s="474"/>
      <c r="T181" s="474"/>
      <c r="U181" s="461"/>
      <c r="V181" s="461"/>
      <c r="W181" s="481"/>
      <c r="X181" s="382">
        <f>IF(C181=0,,VLOOKUP(E181,#REF!,2, FALSE()))</f>
        <v>0</v>
      </c>
      <c r="Y181" s="384">
        <f>IF(C181=0,,VLOOKUP(E181,#REF!,3, FALSE()))</f>
        <v>0</v>
      </c>
      <c r="Z181" s="385"/>
      <c r="AA181" s="74">
        <f t="shared" si="193"/>
        <v>0</v>
      </c>
      <c r="AB181" s="386">
        <f>IF(C181=0,,VLOOKUP(E181,#REF!,6, FALSE()))</f>
        <v>0</v>
      </c>
      <c r="AC181" s="74"/>
      <c r="AD181" s="74"/>
      <c r="AE181" s="74"/>
      <c r="AF181" s="74"/>
      <c r="AG181" s="74"/>
      <c r="AH181" s="74"/>
      <c r="AI181" s="74"/>
      <c r="AJ181" s="389"/>
      <c r="AK181" s="287" t="e">
        <f t="shared" ref="AK181:BO181" si="201">(MID(#REF!, 7,2))</f>
        <v>#REF!</v>
      </c>
      <c r="AL181" s="287" t="e">
        <f t="shared" si="201"/>
        <v>#REF!</v>
      </c>
      <c r="AM181" s="287" t="e">
        <f t="shared" si="201"/>
        <v>#REF!</v>
      </c>
      <c r="AN181" s="287" t="e">
        <f t="shared" si="201"/>
        <v>#REF!</v>
      </c>
      <c r="AO181" s="287" t="e">
        <f t="shared" si="201"/>
        <v>#REF!</v>
      </c>
      <c r="AP181" s="287" t="e">
        <f t="shared" si="201"/>
        <v>#REF!</v>
      </c>
      <c r="AQ181" s="287" t="e">
        <f t="shared" si="201"/>
        <v>#REF!</v>
      </c>
      <c r="AR181" s="287" t="e">
        <f t="shared" si="201"/>
        <v>#REF!</v>
      </c>
      <c r="AS181" s="287" t="e">
        <f t="shared" si="201"/>
        <v>#REF!</v>
      </c>
      <c r="AT181" s="287" t="e">
        <f t="shared" si="201"/>
        <v>#REF!</v>
      </c>
      <c r="AU181" s="287" t="e">
        <f t="shared" si="201"/>
        <v>#REF!</v>
      </c>
      <c r="AV181" s="287" t="e">
        <f t="shared" si="201"/>
        <v>#REF!</v>
      </c>
      <c r="AW181" s="287" t="e">
        <f t="shared" si="201"/>
        <v>#REF!</v>
      </c>
      <c r="AX181" s="287" t="e">
        <f t="shared" si="201"/>
        <v>#REF!</v>
      </c>
      <c r="AY181" s="287" t="e">
        <f t="shared" si="201"/>
        <v>#REF!</v>
      </c>
      <c r="AZ181" s="287" t="e">
        <f t="shared" si="201"/>
        <v>#REF!</v>
      </c>
      <c r="BA181" s="287" t="e">
        <f t="shared" si="201"/>
        <v>#REF!</v>
      </c>
      <c r="BB181" s="287" t="e">
        <f t="shared" si="201"/>
        <v>#REF!</v>
      </c>
      <c r="BC181" s="287" t="e">
        <f t="shared" si="201"/>
        <v>#REF!</v>
      </c>
      <c r="BD181" s="287" t="e">
        <f t="shared" si="201"/>
        <v>#REF!</v>
      </c>
      <c r="BE181" s="287" t="e">
        <f t="shared" si="201"/>
        <v>#REF!</v>
      </c>
      <c r="BF181" s="287" t="e">
        <f t="shared" si="201"/>
        <v>#REF!</v>
      </c>
      <c r="BG181" s="287" t="e">
        <f t="shared" si="201"/>
        <v>#REF!</v>
      </c>
      <c r="BH181" s="287" t="e">
        <f t="shared" si="201"/>
        <v>#REF!</v>
      </c>
      <c r="BI181" s="287" t="e">
        <f t="shared" si="201"/>
        <v>#REF!</v>
      </c>
      <c r="BJ181" s="287" t="e">
        <f t="shared" si="201"/>
        <v>#REF!</v>
      </c>
      <c r="BK181" s="287" t="e">
        <f t="shared" si="201"/>
        <v>#REF!</v>
      </c>
      <c r="BL181" s="287" t="e">
        <f t="shared" si="201"/>
        <v>#REF!</v>
      </c>
      <c r="BM181" s="287" t="e">
        <f t="shared" si="201"/>
        <v>#REF!</v>
      </c>
      <c r="BN181" s="287" t="e">
        <f t="shared" si="201"/>
        <v>#REF!</v>
      </c>
      <c r="BO181" s="287" t="e">
        <f t="shared" si="201"/>
        <v>#REF!</v>
      </c>
    </row>
    <row r="182" spans="1:67" ht="3.75" customHeight="1">
      <c r="G182" s="446"/>
      <c r="H182" s="446"/>
      <c r="I182" s="285"/>
      <c r="J182" s="285"/>
      <c r="K182" s="346"/>
      <c r="L182" s="346"/>
      <c r="M182" s="285"/>
      <c r="N182" s="285"/>
      <c r="O182" s="346"/>
      <c r="P182" s="346"/>
      <c r="Q182" s="285"/>
      <c r="R182" s="285"/>
      <c r="S182" s="346"/>
      <c r="T182" s="346"/>
      <c r="U182" s="285"/>
      <c r="V182" s="285"/>
      <c r="Y182" s="447"/>
      <c r="AK182" s="346"/>
      <c r="AL182" s="346"/>
      <c r="AM182" s="346"/>
      <c r="AN182" s="346"/>
      <c r="AO182" s="346"/>
      <c r="AP182" s="346"/>
      <c r="AQ182" s="346"/>
      <c r="AR182" s="346"/>
      <c r="AS182" s="346"/>
      <c r="AT182" s="346"/>
      <c r="AU182" s="346"/>
      <c r="AV182" s="346"/>
      <c r="AW182" s="346"/>
      <c r="AX182" s="346"/>
      <c r="AY182" s="346"/>
      <c r="AZ182" s="346"/>
      <c r="BA182" s="346"/>
      <c r="BB182" s="346"/>
      <c r="BC182" s="346"/>
      <c r="BD182" s="346"/>
      <c r="BE182" s="346"/>
      <c r="BF182" s="346"/>
      <c r="BG182" s="346"/>
      <c r="BH182" s="346"/>
      <c r="BI182" s="346"/>
      <c r="BJ182" s="346"/>
      <c r="BK182" s="346"/>
      <c r="BL182" s="346"/>
      <c r="BM182" s="346"/>
      <c r="BN182" s="346"/>
      <c r="BO182" s="346"/>
    </row>
    <row r="183" spans="1:67" ht="20.25" customHeight="1">
      <c r="A183" s="200" t="s">
        <v>2459</v>
      </c>
      <c r="B183" s="217" t="s">
        <v>491</v>
      </c>
      <c r="C183" s="200">
        <v>0</v>
      </c>
      <c r="D183" s="361" t="str">
        <f t="shared" ref="D183:D191" si="202">$B$183</f>
        <v>R19</v>
      </c>
      <c r="E183" s="74">
        <f t="shared" ref="E183:E191" si="203">IF(C183=0,,CONCATENATE(D183,"/",C183))</f>
        <v>0</v>
      </c>
      <c r="F183" s="337">
        <f>IF(C183=0,,VLOOKUP(E183,#REF!,5, FALSE()))</f>
        <v>0</v>
      </c>
      <c r="G183" s="470"/>
      <c r="H183" s="470"/>
      <c r="I183" s="471"/>
      <c r="J183" s="471"/>
      <c r="K183" s="472"/>
      <c r="L183" s="472"/>
      <c r="M183" s="471"/>
      <c r="N183" s="471"/>
      <c r="O183" s="472"/>
      <c r="P183" s="472"/>
      <c r="Q183" s="471"/>
      <c r="R183" s="471"/>
      <c r="S183" s="472"/>
      <c r="T183" s="472"/>
      <c r="U183" s="471"/>
      <c r="V183" s="471"/>
      <c r="W183" s="563" t="str">
        <f>CONCATENATE(F183," + ",F184," + ",F185," + ",F186," + ",F187," + ",F188," + ",F189," + ",F190," + ",F191)</f>
        <v>0 + 0 + 0 + 0 + 0 + 0 + 0 + 0 + 0</v>
      </c>
      <c r="X183" s="382">
        <f>IF(C183=0,,VLOOKUP(E183,#REF!,2, FALSE()))</f>
        <v>0</v>
      </c>
      <c r="Y183" s="384">
        <f>IF(C183=0,,VLOOKUP(E183,#REF!,3, FALSE()))</f>
        <v>0</v>
      </c>
      <c r="Z183" s="385" t="e">
        <f>VLOOKUP(Y183,#REF!,6, FALSE())</f>
        <v>#REF!</v>
      </c>
      <c r="AA183" s="74">
        <f>$B185</f>
        <v>0</v>
      </c>
      <c r="AB183" s="386">
        <f>IF(C183=0,,VLOOKUP(E183,#REF!,6, FALSE()))</f>
        <v>0</v>
      </c>
      <c r="AC183" s="74"/>
      <c r="AD183" s="74">
        <f>$B186</f>
        <v>0</v>
      </c>
      <c r="AE183" s="74"/>
      <c r="AF183" s="450">
        <f>$B187</f>
        <v>0</v>
      </c>
      <c r="AG183" s="74"/>
      <c r="AH183" s="450">
        <f>$B189</f>
        <v>0</v>
      </c>
      <c r="AI183" s="450">
        <f ca="1">B189+B190</f>
        <v>0</v>
      </c>
      <c r="AJ183" s="389">
        <f ca="1">B190</f>
        <v>0</v>
      </c>
      <c r="AK183" s="287" t="e">
        <f t="shared" ref="AK183:BO183" si="204">(MID(#REF!, 7,2))</f>
        <v>#REF!</v>
      </c>
      <c r="AL183" s="287" t="e">
        <f t="shared" si="204"/>
        <v>#REF!</v>
      </c>
      <c r="AM183" s="287" t="e">
        <f t="shared" si="204"/>
        <v>#REF!</v>
      </c>
      <c r="AN183" s="287" t="e">
        <f t="shared" si="204"/>
        <v>#REF!</v>
      </c>
      <c r="AO183" s="287" t="e">
        <f t="shared" si="204"/>
        <v>#REF!</v>
      </c>
      <c r="AP183" s="287" t="e">
        <f t="shared" si="204"/>
        <v>#REF!</v>
      </c>
      <c r="AQ183" s="287" t="e">
        <f t="shared" si="204"/>
        <v>#REF!</v>
      </c>
      <c r="AR183" s="287" t="e">
        <f t="shared" si="204"/>
        <v>#REF!</v>
      </c>
      <c r="AS183" s="287" t="e">
        <f t="shared" si="204"/>
        <v>#REF!</v>
      </c>
      <c r="AT183" s="287" t="e">
        <f t="shared" si="204"/>
        <v>#REF!</v>
      </c>
      <c r="AU183" s="287" t="e">
        <f t="shared" si="204"/>
        <v>#REF!</v>
      </c>
      <c r="AV183" s="287" t="e">
        <f t="shared" si="204"/>
        <v>#REF!</v>
      </c>
      <c r="AW183" s="287" t="e">
        <f t="shared" si="204"/>
        <v>#REF!</v>
      </c>
      <c r="AX183" s="287" t="e">
        <f t="shared" si="204"/>
        <v>#REF!</v>
      </c>
      <c r="AY183" s="287" t="e">
        <f t="shared" si="204"/>
        <v>#REF!</v>
      </c>
      <c r="AZ183" s="287" t="e">
        <f t="shared" si="204"/>
        <v>#REF!</v>
      </c>
      <c r="BA183" s="287" t="e">
        <f t="shared" si="204"/>
        <v>#REF!</v>
      </c>
      <c r="BB183" s="287" t="e">
        <f t="shared" si="204"/>
        <v>#REF!</v>
      </c>
      <c r="BC183" s="287" t="e">
        <f t="shared" si="204"/>
        <v>#REF!</v>
      </c>
      <c r="BD183" s="287" t="e">
        <f t="shared" si="204"/>
        <v>#REF!</v>
      </c>
      <c r="BE183" s="287" t="e">
        <f t="shared" si="204"/>
        <v>#REF!</v>
      </c>
      <c r="BF183" s="287" t="e">
        <f t="shared" si="204"/>
        <v>#REF!</v>
      </c>
      <c r="BG183" s="287" t="e">
        <f t="shared" si="204"/>
        <v>#REF!</v>
      </c>
      <c r="BH183" s="287" t="e">
        <f t="shared" si="204"/>
        <v>#REF!</v>
      </c>
      <c r="BI183" s="287" t="e">
        <f t="shared" si="204"/>
        <v>#REF!</v>
      </c>
      <c r="BJ183" s="287" t="e">
        <f t="shared" si="204"/>
        <v>#REF!</v>
      </c>
      <c r="BK183" s="287" t="e">
        <f t="shared" si="204"/>
        <v>#REF!</v>
      </c>
      <c r="BL183" s="287" t="e">
        <f t="shared" si="204"/>
        <v>#REF!</v>
      </c>
      <c r="BM183" s="287" t="e">
        <f t="shared" si="204"/>
        <v>#REF!</v>
      </c>
      <c r="BN183" s="287" t="e">
        <f t="shared" si="204"/>
        <v>#REF!</v>
      </c>
      <c r="BO183" s="287" t="e">
        <f t="shared" si="204"/>
        <v>#REF!</v>
      </c>
    </row>
    <row r="184" spans="1:67" ht="20.25" customHeight="1">
      <c r="A184" s="562">
        <f>Y183</f>
        <v>0</v>
      </c>
      <c r="B184" s="499"/>
      <c r="C184" s="200">
        <v>0</v>
      </c>
      <c r="D184" s="361" t="str">
        <f t="shared" si="202"/>
        <v>R19</v>
      </c>
      <c r="E184" s="74">
        <f t="shared" si="203"/>
        <v>0</v>
      </c>
      <c r="F184" s="337">
        <f>IF(C184=0,,VLOOKUP(E184,#REF!,5, FALSE()))</f>
        <v>0</v>
      </c>
      <c r="G184" s="473"/>
      <c r="H184" s="473"/>
      <c r="I184" s="461"/>
      <c r="J184" s="461"/>
      <c r="K184" s="474"/>
      <c r="L184" s="474"/>
      <c r="M184" s="461"/>
      <c r="N184" s="461"/>
      <c r="O184" s="474"/>
      <c r="P184" s="474"/>
      <c r="Q184" s="461"/>
      <c r="R184" s="461"/>
      <c r="S184" s="474"/>
      <c r="T184" s="474"/>
      <c r="U184" s="461"/>
      <c r="V184" s="461"/>
      <c r="W184" s="480"/>
      <c r="X184" s="382">
        <f>IF(C184=0,,VLOOKUP(E184,#REF!,2, FALSE()))</f>
        <v>0</v>
      </c>
      <c r="Y184" s="384">
        <f>IF(C184=0,,VLOOKUP(E184,#REF!,3, FALSE()))</f>
        <v>0</v>
      </c>
      <c r="Z184" s="385"/>
      <c r="AA184" s="74">
        <f t="shared" ref="AA184:AA191" si="205">$B$185</f>
        <v>0</v>
      </c>
      <c r="AB184" s="386" t="s">
        <v>1036</v>
      </c>
      <c r="AC184" s="74"/>
      <c r="AD184" s="74"/>
      <c r="AE184" s="74"/>
      <c r="AF184" s="74"/>
      <c r="AG184" s="74"/>
      <c r="AH184" s="74"/>
      <c r="AI184" s="74"/>
      <c r="AJ184" s="389"/>
      <c r="AK184" s="287" t="e">
        <f t="shared" ref="AK184:BO184" si="206">(MID(#REF!, 7,2))</f>
        <v>#REF!</v>
      </c>
      <c r="AL184" s="287" t="e">
        <f t="shared" si="206"/>
        <v>#REF!</v>
      </c>
      <c r="AM184" s="287" t="e">
        <f t="shared" si="206"/>
        <v>#REF!</v>
      </c>
      <c r="AN184" s="287" t="e">
        <f t="shared" si="206"/>
        <v>#REF!</v>
      </c>
      <c r="AO184" s="287" t="e">
        <f t="shared" si="206"/>
        <v>#REF!</v>
      </c>
      <c r="AP184" s="287" t="e">
        <f t="shared" si="206"/>
        <v>#REF!</v>
      </c>
      <c r="AQ184" s="287" t="e">
        <f t="shared" si="206"/>
        <v>#REF!</v>
      </c>
      <c r="AR184" s="287" t="e">
        <f t="shared" si="206"/>
        <v>#REF!</v>
      </c>
      <c r="AS184" s="287" t="e">
        <f t="shared" si="206"/>
        <v>#REF!</v>
      </c>
      <c r="AT184" s="287" t="e">
        <f t="shared" si="206"/>
        <v>#REF!</v>
      </c>
      <c r="AU184" s="287" t="e">
        <f t="shared" si="206"/>
        <v>#REF!</v>
      </c>
      <c r="AV184" s="287" t="e">
        <f t="shared" si="206"/>
        <v>#REF!</v>
      </c>
      <c r="AW184" s="287" t="e">
        <f t="shared" si="206"/>
        <v>#REF!</v>
      </c>
      <c r="AX184" s="287" t="e">
        <f t="shared" si="206"/>
        <v>#REF!</v>
      </c>
      <c r="AY184" s="287" t="e">
        <f t="shared" si="206"/>
        <v>#REF!</v>
      </c>
      <c r="AZ184" s="287" t="e">
        <f t="shared" si="206"/>
        <v>#REF!</v>
      </c>
      <c r="BA184" s="287" t="e">
        <f t="shared" si="206"/>
        <v>#REF!</v>
      </c>
      <c r="BB184" s="287" t="e">
        <f t="shared" si="206"/>
        <v>#REF!</v>
      </c>
      <c r="BC184" s="287" t="e">
        <f t="shared" si="206"/>
        <v>#REF!</v>
      </c>
      <c r="BD184" s="287" t="e">
        <f t="shared" si="206"/>
        <v>#REF!</v>
      </c>
      <c r="BE184" s="287" t="e">
        <f t="shared" si="206"/>
        <v>#REF!</v>
      </c>
      <c r="BF184" s="287" t="e">
        <f t="shared" si="206"/>
        <v>#REF!</v>
      </c>
      <c r="BG184" s="287" t="e">
        <f t="shared" si="206"/>
        <v>#REF!</v>
      </c>
      <c r="BH184" s="287" t="e">
        <f t="shared" si="206"/>
        <v>#REF!</v>
      </c>
      <c r="BI184" s="287" t="e">
        <f t="shared" si="206"/>
        <v>#REF!</v>
      </c>
      <c r="BJ184" s="287" t="e">
        <f t="shared" si="206"/>
        <v>#REF!</v>
      </c>
      <c r="BK184" s="287" t="e">
        <f t="shared" si="206"/>
        <v>#REF!</v>
      </c>
      <c r="BL184" s="287" t="e">
        <f t="shared" si="206"/>
        <v>#REF!</v>
      </c>
      <c r="BM184" s="287" t="e">
        <f t="shared" si="206"/>
        <v>#REF!</v>
      </c>
      <c r="BN184" s="287" t="e">
        <f t="shared" si="206"/>
        <v>#REF!</v>
      </c>
      <c r="BO184" s="287" t="e">
        <f t="shared" si="206"/>
        <v>#REF!</v>
      </c>
    </row>
    <row r="185" spans="1:67" ht="20.25" customHeight="1">
      <c r="A185" s="402" t="s">
        <v>2896</v>
      </c>
      <c r="B185" s="19"/>
      <c r="C185" s="200">
        <v>0</v>
      </c>
      <c r="D185" s="361" t="str">
        <f t="shared" si="202"/>
        <v>R19</v>
      </c>
      <c r="E185" s="74">
        <f t="shared" si="203"/>
        <v>0</v>
      </c>
      <c r="F185" s="337">
        <f>IF(C185=0,,VLOOKUP(E185,#REF!,5, FALSE()))</f>
        <v>0</v>
      </c>
      <c r="G185" s="473"/>
      <c r="H185" s="473"/>
      <c r="I185" s="461"/>
      <c r="J185" s="461"/>
      <c r="K185" s="474"/>
      <c r="L185" s="474"/>
      <c r="M185" s="461"/>
      <c r="N185" s="461"/>
      <c r="O185" s="474"/>
      <c r="P185" s="474"/>
      <c r="Q185" s="461"/>
      <c r="R185" s="461"/>
      <c r="S185" s="474"/>
      <c r="T185" s="474"/>
      <c r="U185" s="461"/>
      <c r="V185" s="461"/>
      <c r="W185" s="480"/>
      <c r="X185" s="382">
        <f>IF(C185=0,,VLOOKUP(E185,#REF!,2, FALSE()))</f>
        <v>0</v>
      </c>
      <c r="Y185" s="384">
        <f>IF(C185=0,,VLOOKUP(E185,#REF!,3, FALSE()))</f>
        <v>0</v>
      </c>
      <c r="Z185" s="385"/>
      <c r="AA185" s="74">
        <f t="shared" si="205"/>
        <v>0</v>
      </c>
      <c r="AB185" s="386" t="s">
        <v>1036</v>
      </c>
      <c r="AC185" s="74"/>
      <c r="AD185" s="74"/>
      <c r="AE185" s="74"/>
      <c r="AF185" s="74"/>
      <c r="AG185" s="74"/>
      <c r="AH185" s="74"/>
      <c r="AI185" s="74"/>
      <c r="AJ185" s="389"/>
      <c r="AK185" s="287" t="e">
        <f t="shared" ref="AK185:BO185" si="207">(MID(#REF!, 7,2))</f>
        <v>#REF!</v>
      </c>
      <c r="AL185" s="287" t="e">
        <f t="shared" si="207"/>
        <v>#REF!</v>
      </c>
      <c r="AM185" s="287" t="e">
        <f t="shared" si="207"/>
        <v>#REF!</v>
      </c>
      <c r="AN185" s="287" t="e">
        <f t="shared" si="207"/>
        <v>#REF!</v>
      </c>
      <c r="AO185" s="287" t="e">
        <f t="shared" si="207"/>
        <v>#REF!</v>
      </c>
      <c r="AP185" s="287" t="e">
        <f t="shared" si="207"/>
        <v>#REF!</v>
      </c>
      <c r="AQ185" s="287" t="e">
        <f t="shared" si="207"/>
        <v>#REF!</v>
      </c>
      <c r="AR185" s="287" t="e">
        <f t="shared" si="207"/>
        <v>#REF!</v>
      </c>
      <c r="AS185" s="287" t="e">
        <f t="shared" si="207"/>
        <v>#REF!</v>
      </c>
      <c r="AT185" s="287" t="e">
        <f t="shared" si="207"/>
        <v>#REF!</v>
      </c>
      <c r="AU185" s="287" t="e">
        <f t="shared" si="207"/>
        <v>#REF!</v>
      </c>
      <c r="AV185" s="287" t="e">
        <f t="shared" si="207"/>
        <v>#REF!</v>
      </c>
      <c r="AW185" s="287" t="e">
        <f t="shared" si="207"/>
        <v>#REF!</v>
      </c>
      <c r="AX185" s="287" t="e">
        <f t="shared" si="207"/>
        <v>#REF!</v>
      </c>
      <c r="AY185" s="287" t="e">
        <f t="shared" si="207"/>
        <v>#REF!</v>
      </c>
      <c r="AZ185" s="287" t="e">
        <f t="shared" si="207"/>
        <v>#REF!</v>
      </c>
      <c r="BA185" s="287" t="e">
        <f t="shared" si="207"/>
        <v>#REF!</v>
      </c>
      <c r="BB185" s="287" t="e">
        <f t="shared" si="207"/>
        <v>#REF!</v>
      </c>
      <c r="BC185" s="287" t="e">
        <f t="shared" si="207"/>
        <v>#REF!</v>
      </c>
      <c r="BD185" s="287" t="e">
        <f t="shared" si="207"/>
        <v>#REF!</v>
      </c>
      <c r="BE185" s="287" t="e">
        <f t="shared" si="207"/>
        <v>#REF!</v>
      </c>
      <c r="BF185" s="287" t="e">
        <f t="shared" si="207"/>
        <v>#REF!</v>
      </c>
      <c r="BG185" s="287" t="e">
        <f t="shared" si="207"/>
        <v>#REF!</v>
      </c>
      <c r="BH185" s="287" t="e">
        <f t="shared" si="207"/>
        <v>#REF!</v>
      </c>
      <c r="BI185" s="287" t="e">
        <f t="shared" si="207"/>
        <v>#REF!</v>
      </c>
      <c r="BJ185" s="287" t="e">
        <f t="shared" si="207"/>
        <v>#REF!</v>
      </c>
      <c r="BK185" s="287" t="e">
        <f t="shared" si="207"/>
        <v>#REF!</v>
      </c>
      <c r="BL185" s="287" t="e">
        <f t="shared" si="207"/>
        <v>#REF!</v>
      </c>
      <c r="BM185" s="287" t="e">
        <f t="shared" si="207"/>
        <v>#REF!</v>
      </c>
      <c r="BN185" s="287" t="e">
        <f t="shared" si="207"/>
        <v>#REF!</v>
      </c>
      <c r="BO185" s="287" t="e">
        <f t="shared" si="207"/>
        <v>#REF!</v>
      </c>
    </row>
    <row r="186" spans="1:67" ht="20.25" customHeight="1">
      <c r="A186" s="409" t="s">
        <v>2921</v>
      </c>
      <c r="B186" s="410">
        <v>0</v>
      </c>
      <c r="C186" s="200">
        <v>0</v>
      </c>
      <c r="D186" s="361" t="str">
        <f t="shared" si="202"/>
        <v>R19</v>
      </c>
      <c r="E186" s="74">
        <f t="shared" si="203"/>
        <v>0</v>
      </c>
      <c r="F186" s="337">
        <f>IF(C186=0,,VLOOKUP(E186,#REF!,5, FALSE()))</f>
        <v>0</v>
      </c>
      <c r="G186" s="473"/>
      <c r="H186" s="473"/>
      <c r="I186" s="461"/>
      <c r="J186" s="461"/>
      <c r="K186" s="474"/>
      <c r="L186" s="474"/>
      <c r="M186" s="461"/>
      <c r="N186" s="461"/>
      <c r="O186" s="474"/>
      <c r="P186" s="474"/>
      <c r="Q186" s="461"/>
      <c r="R186" s="461"/>
      <c r="S186" s="474"/>
      <c r="T186" s="474"/>
      <c r="U186" s="461"/>
      <c r="V186" s="461"/>
      <c r="W186" s="480"/>
      <c r="X186" s="382">
        <f>IF(C186=0,,VLOOKUP(E186,#REF!,2, FALSE()))</f>
        <v>0</v>
      </c>
      <c r="Y186" s="384">
        <f>IF(C186=0,,VLOOKUP(E186,#REF!,3, FALSE()))</f>
        <v>0</v>
      </c>
      <c r="Z186" s="385"/>
      <c r="AA186" s="74">
        <f t="shared" si="205"/>
        <v>0</v>
      </c>
      <c r="AB186" s="386" t="s">
        <v>1036</v>
      </c>
      <c r="AC186" s="74"/>
      <c r="AD186" s="74"/>
      <c r="AE186" s="74"/>
      <c r="AF186" s="74"/>
      <c r="AG186" s="74"/>
      <c r="AH186" s="74"/>
      <c r="AI186" s="74"/>
      <c r="AJ186" s="422"/>
      <c r="AK186" s="287" t="e">
        <f t="shared" ref="AK186:BO186" si="208">(MID(#REF!, 7,2))</f>
        <v>#REF!</v>
      </c>
      <c r="AL186" s="287" t="e">
        <f t="shared" si="208"/>
        <v>#REF!</v>
      </c>
      <c r="AM186" s="287" t="e">
        <f t="shared" si="208"/>
        <v>#REF!</v>
      </c>
      <c r="AN186" s="287" t="e">
        <f t="shared" si="208"/>
        <v>#REF!</v>
      </c>
      <c r="AO186" s="287" t="e">
        <f t="shared" si="208"/>
        <v>#REF!</v>
      </c>
      <c r="AP186" s="287" t="e">
        <f t="shared" si="208"/>
        <v>#REF!</v>
      </c>
      <c r="AQ186" s="287" t="e">
        <f t="shared" si="208"/>
        <v>#REF!</v>
      </c>
      <c r="AR186" s="287" t="e">
        <f t="shared" si="208"/>
        <v>#REF!</v>
      </c>
      <c r="AS186" s="287" t="e">
        <f t="shared" si="208"/>
        <v>#REF!</v>
      </c>
      <c r="AT186" s="287" t="e">
        <f t="shared" si="208"/>
        <v>#REF!</v>
      </c>
      <c r="AU186" s="287" t="e">
        <f t="shared" si="208"/>
        <v>#REF!</v>
      </c>
      <c r="AV186" s="287" t="e">
        <f t="shared" si="208"/>
        <v>#REF!</v>
      </c>
      <c r="AW186" s="287" t="e">
        <f t="shared" si="208"/>
        <v>#REF!</v>
      </c>
      <c r="AX186" s="287" t="e">
        <f t="shared" si="208"/>
        <v>#REF!</v>
      </c>
      <c r="AY186" s="287" t="e">
        <f t="shared" si="208"/>
        <v>#REF!</v>
      </c>
      <c r="AZ186" s="287" t="e">
        <f t="shared" si="208"/>
        <v>#REF!</v>
      </c>
      <c r="BA186" s="287" t="e">
        <f t="shared" si="208"/>
        <v>#REF!</v>
      </c>
      <c r="BB186" s="287" t="e">
        <f t="shared" si="208"/>
        <v>#REF!</v>
      </c>
      <c r="BC186" s="287" t="e">
        <f t="shared" si="208"/>
        <v>#REF!</v>
      </c>
      <c r="BD186" s="287" t="e">
        <f t="shared" si="208"/>
        <v>#REF!</v>
      </c>
      <c r="BE186" s="287" t="e">
        <f t="shared" si="208"/>
        <v>#REF!</v>
      </c>
      <c r="BF186" s="287" t="e">
        <f t="shared" si="208"/>
        <v>#REF!</v>
      </c>
      <c r="BG186" s="287" t="e">
        <f t="shared" si="208"/>
        <v>#REF!</v>
      </c>
      <c r="BH186" s="287" t="e">
        <f t="shared" si="208"/>
        <v>#REF!</v>
      </c>
      <c r="BI186" s="287" t="e">
        <f t="shared" si="208"/>
        <v>#REF!</v>
      </c>
      <c r="BJ186" s="287" t="e">
        <f t="shared" si="208"/>
        <v>#REF!</v>
      </c>
      <c r="BK186" s="287" t="e">
        <f t="shared" si="208"/>
        <v>#REF!</v>
      </c>
      <c r="BL186" s="287" t="e">
        <f t="shared" si="208"/>
        <v>#REF!</v>
      </c>
      <c r="BM186" s="287" t="e">
        <f t="shared" si="208"/>
        <v>#REF!</v>
      </c>
      <c r="BN186" s="287" t="e">
        <f t="shared" si="208"/>
        <v>#REF!</v>
      </c>
      <c r="BO186" s="287" t="e">
        <f t="shared" si="208"/>
        <v>#REF!</v>
      </c>
    </row>
    <row r="187" spans="1:67" ht="20.25" customHeight="1">
      <c r="A187" s="424" t="s">
        <v>2936</v>
      </c>
      <c r="B187" s="425">
        <v>0</v>
      </c>
      <c r="C187" s="200">
        <v>0</v>
      </c>
      <c r="D187" s="361" t="str">
        <f t="shared" si="202"/>
        <v>R19</v>
      </c>
      <c r="E187" s="74">
        <f t="shared" si="203"/>
        <v>0</v>
      </c>
      <c r="F187" s="337">
        <f>IF(C187=0,,VLOOKUP(E187,#REF!,5, FALSE()))</f>
        <v>0</v>
      </c>
      <c r="G187" s="473"/>
      <c r="H187" s="473"/>
      <c r="I187" s="461"/>
      <c r="J187" s="461"/>
      <c r="K187" s="474"/>
      <c r="L187" s="474"/>
      <c r="M187" s="461"/>
      <c r="N187" s="461"/>
      <c r="O187" s="474"/>
      <c r="P187" s="474"/>
      <c r="Q187" s="461"/>
      <c r="R187" s="461"/>
      <c r="S187" s="474"/>
      <c r="T187" s="474"/>
      <c r="U187" s="461"/>
      <c r="V187" s="461"/>
      <c r="W187" s="480"/>
      <c r="X187" s="382">
        <f>IF(C187=0,,VLOOKUP(E187,#REF!,2, FALSE()))</f>
        <v>0</v>
      </c>
      <c r="Y187" s="384">
        <f>IF(C187=0,,VLOOKUP(E187,#REF!,3, FALSE()))</f>
        <v>0</v>
      </c>
      <c r="Z187" s="385"/>
      <c r="AA187" s="74">
        <f t="shared" si="205"/>
        <v>0</v>
      </c>
      <c r="AB187" s="386" t="s">
        <v>1036</v>
      </c>
      <c r="AC187" s="74"/>
      <c r="AD187" s="74"/>
      <c r="AE187" s="74"/>
      <c r="AF187" s="74"/>
      <c r="AG187" s="74"/>
      <c r="AH187" s="74"/>
      <c r="AI187" s="74"/>
      <c r="AJ187" s="389"/>
      <c r="AK187" s="287" t="e">
        <f t="shared" ref="AK187:BO187" si="209">(MID(#REF!, 7,2))</f>
        <v>#REF!</v>
      </c>
      <c r="AL187" s="287" t="e">
        <f t="shared" si="209"/>
        <v>#REF!</v>
      </c>
      <c r="AM187" s="287" t="e">
        <f t="shared" si="209"/>
        <v>#REF!</v>
      </c>
      <c r="AN187" s="287" t="e">
        <f t="shared" si="209"/>
        <v>#REF!</v>
      </c>
      <c r="AO187" s="287" t="e">
        <f t="shared" si="209"/>
        <v>#REF!</v>
      </c>
      <c r="AP187" s="287" t="e">
        <f t="shared" si="209"/>
        <v>#REF!</v>
      </c>
      <c r="AQ187" s="287" t="e">
        <f t="shared" si="209"/>
        <v>#REF!</v>
      </c>
      <c r="AR187" s="287" t="e">
        <f t="shared" si="209"/>
        <v>#REF!</v>
      </c>
      <c r="AS187" s="287" t="e">
        <f t="shared" si="209"/>
        <v>#REF!</v>
      </c>
      <c r="AT187" s="287" t="e">
        <f t="shared" si="209"/>
        <v>#REF!</v>
      </c>
      <c r="AU187" s="287" t="e">
        <f t="shared" si="209"/>
        <v>#REF!</v>
      </c>
      <c r="AV187" s="287" t="e">
        <f t="shared" si="209"/>
        <v>#REF!</v>
      </c>
      <c r="AW187" s="287" t="e">
        <f t="shared" si="209"/>
        <v>#REF!</v>
      </c>
      <c r="AX187" s="287" t="e">
        <f t="shared" si="209"/>
        <v>#REF!</v>
      </c>
      <c r="AY187" s="287" t="e">
        <f t="shared" si="209"/>
        <v>#REF!</v>
      </c>
      <c r="AZ187" s="287" t="e">
        <f t="shared" si="209"/>
        <v>#REF!</v>
      </c>
      <c r="BA187" s="287" t="e">
        <f t="shared" si="209"/>
        <v>#REF!</v>
      </c>
      <c r="BB187" s="287" t="e">
        <f t="shared" si="209"/>
        <v>#REF!</v>
      </c>
      <c r="BC187" s="287" t="e">
        <f t="shared" si="209"/>
        <v>#REF!</v>
      </c>
      <c r="BD187" s="287" t="e">
        <f t="shared" si="209"/>
        <v>#REF!</v>
      </c>
      <c r="BE187" s="287" t="e">
        <f t="shared" si="209"/>
        <v>#REF!</v>
      </c>
      <c r="BF187" s="287" t="e">
        <f t="shared" si="209"/>
        <v>#REF!</v>
      </c>
      <c r="BG187" s="287" t="e">
        <f t="shared" si="209"/>
        <v>#REF!</v>
      </c>
      <c r="BH187" s="287" t="e">
        <f t="shared" si="209"/>
        <v>#REF!</v>
      </c>
      <c r="BI187" s="287" t="e">
        <f t="shared" si="209"/>
        <v>#REF!</v>
      </c>
      <c r="BJ187" s="287" t="e">
        <f t="shared" si="209"/>
        <v>#REF!</v>
      </c>
      <c r="BK187" s="287" t="e">
        <f t="shared" si="209"/>
        <v>#REF!</v>
      </c>
      <c r="BL187" s="287" t="e">
        <f t="shared" si="209"/>
        <v>#REF!</v>
      </c>
      <c r="BM187" s="287" t="e">
        <f t="shared" si="209"/>
        <v>#REF!</v>
      </c>
      <c r="BN187" s="287" t="e">
        <f t="shared" si="209"/>
        <v>#REF!</v>
      </c>
      <c r="BO187" s="287" t="e">
        <f t="shared" si="209"/>
        <v>#REF!</v>
      </c>
    </row>
    <row r="188" spans="1:67" ht="20.25" customHeight="1">
      <c r="A188" s="424" t="e">
        <f>Z183</f>
        <v>#REF!</v>
      </c>
      <c r="B188" s="425">
        <v>0</v>
      </c>
      <c r="C188" s="200">
        <v>0</v>
      </c>
      <c r="D188" s="361" t="str">
        <f t="shared" si="202"/>
        <v>R19</v>
      </c>
      <c r="E188" s="74">
        <f t="shared" si="203"/>
        <v>0</v>
      </c>
      <c r="F188" s="337">
        <f>IF(C188=0,,VLOOKUP(E188,#REF!,5, FALSE()))</f>
        <v>0</v>
      </c>
      <c r="G188" s="473"/>
      <c r="H188" s="473"/>
      <c r="I188" s="461"/>
      <c r="J188" s="461"/>
      <c r="K188" s="474"/>
      <c r="L188" s="474"/>
      <c r="M188" s="461"/>
      <c r="N188" s="461"/>
      <c r="O188" s="474"/>
      <c r="P188" s="474"/>
      <c r="Q188" s="461"/>
      <c r="R188" s="461"/>
      <c r="S188" s="474"/>
      <c r="T188" s="474"/>
      <c r="U188" s="461"/>
      <c r="V188" s="461"/>
      <c r="W188" s="480"/>
      <c r="X188" s="382">
        <f>IF(C188=0,,VLOOKUP(E188,#REF!,2, FALSE()))</f>
        <v>0</v>
      </c>
      <c r="Y188" s="384">
        <f>IF(C188=0,,VLOOKUP(E188,#REF!,3, FALSE()))</f>
        <v>0</v>
      </c>
      <c r="Z188" s="385"/>
      <c r="AA188" s="74">
        <f t="shared" si="205"/>
        <v>0</v>
      </c>
      <c r="AB188" s="386" t="s">
        <v>1036</v>
      </c>
      <c r="AC188" s="74"/>
      <c r="AD188" s="74"/>
      <c r="AE188" s="74"/>
      <c r="AF188" s="74"/>
      <c r="AG188" s="74"/>
      <c r="AH188" s="74"/>
      <c r="AI188" s="74"/>
      <c r="AJ188" s="389"/>
      <c r="AK188" s="287" t="e">
        <f t="shared" ref="AK188:BO188" si="210">(MID(#REF!, 7,2))</f>
        <v>#REF!</v>
      </c>
      <c r="AL188" s="287" t="e">
        <f t="shared" si="210"/>
        <v>#REF!</v>
      </c>
      <c r="AM188" s="287" t="e">
        <f t="shared" si="210"/>
        <v>#REF!</v>
      </c>
      <c r="AN188" s="287" t="e">
        <f t="shared" si="210"/>
        <v>#REF!</v>
      </c>
      <c r="AO188" s="287" t="e">
        <f t="shared" si="210"/>
        <v>#REF!</v>
      </c>
      <c r="AP188" s="287" t="e">
        <f t="shared" si="210"/>
        <v>#REF!</v>
      </c>
      <c r="AQ188" s="287" t="e">
        <f t="shared" si="210"/>
        <v>#REF!</v>
      </c>
      <c r="AR188" s="287" t="e">
        <f t="shared" si="210"/>
        <v>#REF!</v>
      </c>
      <c r="AS188" s="287" t="e">
        <f t="shared" si="210"/>
        <v>#REF!</v>
      </c>
      <c r="AT188" s="287" t="e">
        <f t="shared" si="210"/>
        <v>#REF!</v>
      </c>
      <c r="AU188" s="287" t="e">
        <f t="shared" si="210"/>
        <v>#REF!</v>
      </c>
      <c r="AV188" s="287" t="e">
        <f t="shared" si="210"/>
        <v>#REF!</v>
      </c>
      <c r="AW188" s="287" t="e">
        <f t="shared" si="210"/>
        <v>#REF!</v>
      </c>
      <c r="AX188" s="287" t="e">
        <f t="shared" si="210"/>
        <v>#REF!</v>
      </c>
      <c r="AY188" s="287" t="e">
        <f t="shared" si="210"/>
        <v>#REF!</v>
      </c>
      <c r="AZ188" s="287" t="e">
        <f t="shared" si="210"/>
        <v>#REF!</v>
      </c>
      <c r="BA188" s="287" t="e">
        <f t="shared" si="210"/>
        <v>#REF!</v>
      </c>
      <c r="BB188" s="287" t="e">
        <f t="shared" si="210"/>
        <v>#REF!</v>
      </c>
      <c r="BC188" s="287" t="e">
        <f t="shared" si="210"/>
        <v>#REF!</v>
      </c>
      <c r="BD188" s="287" t="e">
        <f t="shared" si="210"/>
        <v>#REF!</v>
      </c>
      <c r="BE188" s="287" t="e">
        <f t="shared" si="210"/>
        <v>#REF!</v>
      </c>
      <c r="BF188" s="287" t="e">
        <f t="shared" si="210"/>
        <v>#REF!</v>
      </c>
      <c r="BG188" s="287" t="e">
        <f t="shared" si="210"/>
        <v>#REF!</v>
      </c>
      <c r="BH188" s="287" t="e">
        <f t="shared" si="210"/>
        <v>#REF!</v>
      </c>
      <c r="BI188" s="287" t="e">
        <f t="shared" si="210"/>
        <v>#REF!</v>
      </c>
      <c r="BJ188" s="287" t="e">
        <f t="shared" si="210"/>
        <v>#REF!</v>
      </c>
      <c r="BK188" s="287" t="e">
        <f t="shared" si="210"/>
        <v>#REF!</v>
      </c>
      <c r="BL188" s="287" t="e">
        <f t="shared" si="210"/>
        <v>#REF!</v>
      </c>
      <c r="BM188" s="287" t="e">
        <f t="shared" si="210"/>
        <v>#REF!</v>
      </c>
      <c r="BN188" s="287" t="e">
        <f t="shared" si="210"/>
        <v>#REF!</v>
      </c>
      <c r="BO188" s="287" t="e">
        <f t="shared" si="210"/>
        <v>#REF!</v>
      </c>
    </row>
    <row r="189" spans="1:67" ht="20.25" customHeight="1">
      <c r="A189" s="424" t="s">
        <v>2951</v>
      </c>
      <c r="B189" s="425">
        <f>SUM(AB183:AB191)</f>
        <v>0</v>
      </c>
      <c r="C189" s="200">
        <v>0</v>
      </c>
      <c r="D189" s="361" t="str">
        <f t="shared" si="202"/>
        <v>R19</v>
      </c>
      <c r="E189" s="74">
        <f t="shared" si="203"/>
        <v>0</v>
      </c>
      <c r="F189" s="337">
        <f>IF(C189=0,,VLOOKUP(E189,#REF!,5, FALSE()))</f>
        <v>0</v>
      </c>
      <c r="G189" s="473"/>
      <c r="H189" s="473"/>
      <c r="I189" s="461"/>
      <c r="J189" s="461"/>
      <c r="K189" s="474"/>
      <c r="L189" s="474"/>
      <c r="M189" s="461"/>
      <c r="N189" s="461"/>
      <c r="O189" s="474"/>
      <c r="P189" s="474"/>
      <c r="Q189" s="461"/>
      <c r="R189" s="461"/>
      <c r="S189" s="474"/>
      <c r="T189" s="474"/>
      <c r="U189" s="461"/>
      <c r="V189" s="461"/>
      <c r="W189" s="480"/>
      <c r="X189" s="382">
        <f>IF(C189=0,,VLOOKUP(E189,#REF!,2, FALSE()))</f>
        <v>0</v>
      </c>
      <c r="Y189" s="384">
        <f>IF(C189=0,,VLOOKUP(E189,#REF!,3, FALSE()))</f>
        <v>0</v>
      </c>
      <c r="Z189" s="385"/>
      <c r="AA189" s="74">
        <f t="shared" si="205"/>
        <v>0</v>
      </c>
      <c r="AB189" s="386" t="s">
        <v>1036</v>
      </c>
      <c r="AC189" s="74"/>
      <c r="AD189" s="74"/>
      <c r="AE189" s="74"/>
      <c r="AF189" s="74"/>
      <c r="AG189" s="74"/>
      <c r="AH189" s="74"/>
      <c r="AI189" s="74"/>
      <c r="AJ189" s="389"/>
      <c r="AK189" s="287" t="e">
        <f t="shared" ref="AK189:BO189" si="211">(MID(#REF!, 7,2))</f>
        <v>#REF!</v>
      </c>
      <c r="AL189" s="287" t="e">
        <f t="shared" si="211"/>
        <v>#REF!</v>
      </c>
      <c r="AM189" s="287" t="e">
        <f t="shared" si="211"/>
        <v>#REF!</v>
      </c>
      <c r="AN189" s="287" t="e">
        <f t="shared" si="211"/>
        <v>#REF!</v>
      </c>
      <c r="AO189" s="287" t="e">
        <f t="shared" si="211"/>
        <v>#REF!</v>
      </c>
      <c r="AP189" s="287" t="e">
        <f t="shared" si="211"/>
        <v>#REF!</v>
      </c>
      <c r="AQ189" s="287" t="e">
        <f t="shared" si="211"/>
        <v>#REF!</v>
      </c>
      <c r="AR189" s="287" t="e">
        <f t="shared" si="211"/>
        <v>#REF!</v>
      </c>
      <c r="AS189" s="287" t="e">
        <f t="shared" si="211"/>
        <v>#REF!</v>
      </c>
      <c r="AT189" s="287" t="e">
        <f t="shared" si="211"/>
        <v>#REF!</v>
      </c>
      <c r="AU189" s="287" t="e">
        <f t="shared" si="211"/>
        <v>#REF!</v>
      </c>
      <c r="AV189" s="287" t="e">
        <f t="shared" si="211"/>
        <v>#REF!</v>
      </c>
      <c r="AW189" s="287" t="e">
        <f t="shared" si="211"/>
        <v>#REF!</v>
      </c>
      <c r="AX189" s="287" t="e">
        <f t="shared" si="211"/>
        <v>#REF!</v>
      </c>
      <c r="AY189" s="287" t="e">
        <f t="shared" si="211"/>
        <v>#REF!</v>
      </c>
      <c r="AZ189" s="287" t="e">
        <f t="shared" si="211"/>
        <v>#REF!</v>
      </c>
      <c r="BA189" s="287" t="e">
        <f t="shared" si="211"/>
        <v>#REF!</v>
      </c>
      <c r="BB189" s="287" t="e">
        <f t="shared" si="211"/>
        <v>#REF!</v>
      </c>
      <c r="BC189" s="287" t="e">
        <f t="shared" si="211"/>
        <v>#REF!</v>
      </c>
      <c r="BD189" s="287" t="e">
        <f t="shared" si="211"/>
        <v>#REF!</v>
      </c>
      <c r="BE189" s="287" t="e">
        <f t="shared" si="211"/>
        <v>#REF!</v>
      </c>
      <c r="BF189" s="287" t="e">
        <f t="shared" si="211"/>
        <v>#REF!</v>
      </c>
      <c r="BG189" s="287" t="e">
        <f t="shared" si="211"/>
        <v>#REF!</v>
      </c>
      <c r="BH189" s="287" t="e">
        <f t="shared" si="211"/>
        <v>#REF!</v>
      </c>
      <c r="BI189" s="287" t="e">
        <f t="shared" si="211"/>
        <v>#REF!</v>
      </c>
      <c r="BJ189" s="287" t="e">
        <f t="shared" si="211"/>
        <v>#REF!</v>
      </c>
      <c r="BK189" s="287" t="e">
        <f t="shared" si="211"/>
        <v>#REF!</v>
      </c>
      <c r="BL189" s="287" t="e">
        <f t="shared" si="211"/>
        <v>#REF!</v>
      </c>
      <c r="BM189" s="287" t="e">
        <f t="shared" si="211"/>
        <v>#REF!</v>
      </c>
      <c r="BN189" s="287" t="e">
        <f t="shared" si="211"/>
        <v>#REF!</v>
      </c>
      <c r="BO189" s="287" t="e">
        <f t="shared" si="211"/>
        <v>#REF!</v>
      </c>
    </row>
    <row r="190" spans="1:67" ht="20.25" customHeight="1">
      <c r="A190" s="424" t="s">
        <v>2952</v>
      </c>
      <c r="B190" s="425">
        <f ca="1">SUM(AJ183:AJ191)</f>
        <v>0</v>
      </c>
      <c r="C190" s="200">
        <v>0</v>
      </c>
      <c r="D190" s="361" t="str">
        <f t="shared" si="202"/>
        <v>R19</v>
      </c>
      <c r="E190" s="74">
        <f t="shared" si="203"/>
        <v>0</v>
      </c>
      <c r="F190" s="337">
        <f>IF(C190=0,,VLOOKUP(E190,#REF!,5, FALSE()))</f>
        <v>0</v>
      </c>
      <c r="G190" s="473"/>
      <c r="H190" s="473"/>
      <c r="I190" s="461"/>
      <c r="J190" s="461"/>
      <c r="K190" s="474"/>
      <c r="L190" s="474"/>
      <c r="M190" s="461"/>
      <c r="N190" s="461"/>
      <c r="O190" s="474"/>
      <c r="P190" s="474"/>
      <c r="Q190" s="461"/>
      <c r="R190" s="461"/>
      <c r="S190" s="474"/>
      <c r="T190" s="474"/>
      <c r="U190" s="461"/>
      <c r="V190" s="461"/>
      <c r="W190" s="480"/>
      <c r="X190" s="382">
        <f>IF(C190=0,,VLOOKUP(E190,#REF!,2, FALSE()))</f>
        <v>0</v>
      </c>
      <c r="Y190" s="384">
        <f>IF(C190=0,,VLOOKUP(E190,#REF!,3, FALSE()))</f>
        <v>0</v>
      </c>
      <c r="Z190" s="385"/>
      <c r="AA190" s="74">
        <f t="shared" si="205"/>
        <v>0</v>
      </c>
      <c r="AB190" s="386" t="s">
        <v>1036</v>
      </c>
      <c r="AC190" s="74"/>
      <c r="AD190" s="74"/>
      <c r="AE190" s="74"/>
      <c r="AF190" s="74"/>
      <c r="AG190" s="74"/>
      <c r="AH190" s="74"/>
      <c r="AI190" s="74"/>
      <c r="AJ190" s="389"/>
      <c r="AK190" s="287" t="e">
        <f t="shared" ref="AK190:BO190" si="212">(MID(#REF!, 7,2))</f>
        <v>#REF!</v>
      </c>
      <c r="AL190" s="287" t="e">
        <f t="shared" si="212"/>
        <v>#REF!</v>
      </c>
      <c r="AM190" s="287" t="e">
        <f t="shared" si="212"/>
        <v>#REF!</v>
      </c>
      <c r="AN190" s="287" t="e">
        <f t="shared" si="212"/>
        <v>#REF!</v>
      </c>
      <c r="AO190" s="287" t="e">
        <f t="shared" si="212"/>
        <v>#REF!</v>
      </c>
      <c r="AP190" s="287" t="e">
        <f t="shared" si="212"/>
        <v>#REF!</v>
      </c>
      <c r="AQ190" s="287" t="e">
        <f t="shared" si="212"/>
        <v>#REF!</v>
      </c>
      <c r="AR190" s="287" t="e">
        <f t="shared" si="212"/>
        <v>#REF!</v>
      </c>
      <c r="AS190" s="287" t="e">
        <f t="shared" si="212"/>
        <v>#REF!</v>
      </c>
      <c r="AT190" s="287" t="e">
        <f t="shared" si="212"/>
        <v>#REF!</v>
      </c>
      <c r="AU190" s="287" t="e">
        <f t="shared" si="212"/>
        <v>#REF!</v>
      </c>
      <c r="AV190" s="287" t="e">
        <f t="shared" si="212"/>
        <v>#REF!</v>
      </c>
      <c r="AW190" s="287" t="e">
        <f t="shared" si="212"/>
        <v>#REF!</v>
      </c>
      <c r="AX190" s="287" t="e">
        <f t="shared" si="212"/>
        <v>#REF!</v>
      </c>
      <c r="AY190" s="287" t="e">
        <f t="shared" si="212"/>
        <v>#REF!</v>
      </c>
      <c r="AZ190" s="287" t="e">
        <f t="shared" si="212"/>
        <v>#REF!</v>
      </c>
      <c r="BA190" s="287" t="e">
        <f t="shared" si="212"/>
        <v>#REF!</v>
      </c>
      <c r="BB190" s="287" t="e">
        <f t="shared" si="212"/>
        <v>#REF!</v>
      </c>
      <c r="BC190" s="287" t="e">
        <f t="shared" si="212"/>
        <v>#REF!</v>
      </c>
      <c r="BD190" s="287" t="e">
        <f t="shared" si="212"/>
        <v>#REF!</v>
      </c>
      <c r="BE190" s="287" t="e">
        <f t="shared" si="212"/>
        <v>#REF!</v>
      </c>
      <c r="BF190" s="287" t="e">
        <f t="shared" si="212"/>
        <v>#REF!</v>
      </c>
      <c r="BG190" s="287" t="e">
        <f t="shared" si="212"/>
        <v>#REF!</v>
      </c>
      <c r="BH190" s="287" t="e">
        <f t="shared" si="212"/>
        <v>#REF!</v>
      </c>
      <c r="BI190" s="287" t="e">
        <f t="shared" si="212"/>
        <v>#REF!</v>
      </c>
      <c r="BJ190" s="287" t="e">
        <f t="shared" si="212"/>
        <v>#REF!</v>
      </c>
      <c r="BK190" s="287" t="e">
        <f t="shared" si="212"/>
        <v>#REF!</v>
      </c>
      <c r="BL190" s="287" t="e">
        <f t="shared" si="212"/>
        <v>#REF!</v>
      </c>
      <c r="BM190" s="287" t="e">
        <f t="shared" si="212"/>
        <v>#REF!</v>
      </c>
      <c r="BN190" s="287" t="e">
        <f t="shared" si="212"/>
        <v>#REF!</v>
      </c>
      <c r="BO190" s="287" t="e">
        <f t="shared" si="212"/>
        <v>#REF!</v>
      </c>
    </row>
    <row r="191" spans="1:67" ht="20.25" customHeight="1">
      <c r="A191" s="443" t="s">
        <v>2953</v>
      </c>
      <c r="B191" s="444">
        <f ca="1">B188-B189-B190</f>
        <v>0</v>
      </c>
      <c r="C191" s="200">
        <v>0</v>
      </c>
      <c r="D191" s="361" t="str">
        <f t="shared" si="202"/>
        <v>R19</v>
      </c>
      <c r="E191" s="74">
        <f t="shared" si="203"/>
        <v>0</v>
      </c>
      <c r="F191" s="337">
        <f>IF(C191=0,,VLOOKUP(E191,#REF!,5, FALSE()))</f>
        <v>0</v>
      </c>
      <c r="G191" s="473"/>
      <c r="H191" s="473"/>
      <c r="I191" s="461"/>
      <c r="J191" s="461"/>
      <c r="K191" s="474"/>
      <c r="L191" s="474"/>
      <c r="M191" s="461"/>
      <c r="N191" s="461"/>
      <c r="O191" s="474"/>
      <c r="P191" s="474"/>
      <c r="Q191" s="461"/>
      <c r="R191" s="461"/>
      <c r="S191" s="474"/>
      <c r="T191" s="474"/>
      <c r="U191" s="461"/>
      <c r="V191" s="461"/>
      <c r="W191" s="481"/>
      <c r="X191" s="382">
        <f>IF(C191=0,,VLOOKUP(E191,#REF!,2, FALSE()))</f>
        <v>0</v>
      </c>
      <c r="Y191" s="384">
        <f>IF(C191=0,,VLOOKUP(E191,#REF!,3, FALSE()))</f>
        <v>0</v>
      </c>
      <c r="Z191" s="385"/>
      <c r="AA191" s="74">
        <f t="shared" si="205"/>
        <v>0</v>
      </c>
      <c r="AB191" s="386" t="s">
        <v>1036</v>
      </c>
      <c r="AC191" s="74"/>
      <c r="AD191" s="74"/>
      <c r="AE191" s="74"/>
      <c r="AF191" s="74"/>
      <c r="AG191" s="74"/>
      <c r="AH191" s="74"/>
      <c r="AI191" s="74"/>
      <c r="AJ191" s="389"/>
      <c r="AK191" s="287" t="e">
        <f t="shared" ref="AK191:BO191" si="213">(MID(#REF!, 7,2))</f>
        <v>#REF!</v>
      </c>
      <c r="AL191" s="287" t="e">
        <f t="shared" si="213"/>
        <v>#REF!</v>
      </c>
      <c r="AM191" s="287" t="e">
        <f t="shared" si="213"/>
        <v>#REF!</v>
      </c>
      <c r="AN191" s="287" t="e">
        <f t="shared" si="213"/>
        <v>#REF!</v>
      </c>
      <c r="AO191" s="287" t="e">
        <f t="shared" si="213"/>
        <v>#REF!</v>
      </c>
      <c r="AP191" s="287" t="e">
        <f t="shared" si="213"/>
        <v>#REF!</v>
      </c>
      <c r="AQ191" s="287" t="e">
        <f t="shared" si="213"/>
        <v>#REF!</v>
      </c>
      <c r="AR191" s="287" t="e">
        <f t="shared" si="213"/>
        <v>#REF!</v>
      </c>
      <c r="AS191" s="287" t="e">
        <f t="shared" si="213"/>
        <v>#REF!</v>
      </c>
      <c r="AT191" s="287" t="e">
        <f t="shared" si="213"/>
        <v>#REF!</v>
      </c>
      <c r="AU191" s="287" t="e">
        <f t="shared" si="213"/>
        <v>#REF!</v>
      </c>
      <c r="AV191" s="287" t="e">
        <f t="shared" si="213"/>
        <v>#REF!</v>
      </c>
      <c r="AW191" s="287" t="e">
        <f t="shared" si="213"/>
        <v>#REF!</v>
      </c>
      <c r="AX191" s="287" t="e">
        <f t="shared" si="213"/>
        <v>#REF!</v>
      </c>
      <c r="AY191" s="287" t="e">
        <f t="shared" si="213"/>
        <v>#REF!</v>
      </c>
      <c r="AZ191" s="287" t="e">
        <f t="shared" si="213"/>
        <v>#REF!</v>
      </c>
      <c r="BA191" s="287" t="e">
        <f t="shared" si="213"/>
        <v>#REF!</v>
      </c>
      <c r="BB191" s="287" t="e">
        <f t="shared" si="213"/>
        <v>#REF!</v>
      </c>
      <c r="BC191" s="287" t="e">
        <f t="shared" si="213"/>
        <v>#REF!</v>
      </c>
      <c r="BD191" s="287" t="e">
        <f t="shared" si="213"/>
        <v>#REF!</v>
      </c>
      <c r="BE191" s="287" t="e">
        <f t="shared" si="213"/>
        <v>#REF!</v>
      </c>
      <c r="BF191" s="287" t="e">
        <f t="shared" si="213"/>
        <v>#REF!</v>
      </c>
      <c r="BG191" s="287" t="e">
        <f t="shared" si="213"/>
        <v>#REF!</v>
      </c>
      <c r="BH191" s="287" t="e">
        <f t="shared" si="213"/>
        <v>#REF!</v>
      </c>
      <c r="BI191" s="287" t="e">
        <f t="shared" si="213"/>
        <v>#REF!</v>
      </c>
      <c r="BJ191" s="287" t="e">
        <f t="shared" si="213"/>
        <v>#REF!</v>
      </c>
      <c r="BK191" s="287" t="e">
        <f t="shared" si="213"/>
        <v>#REF!</v>
      </c>
      <c r="BL191" s="287" t="e">
        <f t="shared" si="213"/>
        <v>#REF!</v>
      </c>
      <c r="BM191" s="287" t="e">
        <f t="shared" si="213"/>
        <v>#REF!</v>
      </c>
      <c r="BN191" s="287" t="e">
        <f t="shared" si="213"/>
        <v>#REF!</v>
      </c>
      <c r="BO191" s="287" t="e">
        <f t="shared" si="213"/>
        <v>#REF!</v>
      </c>
    </row>
    <row r="192" spans="1:67" ht="3.75" customHeight="1">
      <c r="G192" s="446"/>
      <c r="H192" s="446"/>
      <c r="I192" s="285"/>
      <c r="J192" s="285"/>
      <c r="K192" s="346"/>
      <c r="L192" s="346"/>
      <c r="M192" s="285"/>
      <c r="N192" s="285"/>
      <c r="O192" s="346"/>
      <c r="P192" s="346"/>
      <c r="Q192" s="285"/>
      <c r="R192" s="285"/>
      <c r="S192" s="346"/>
      <c r="T192" s="346"/>
      <c r="U192" s="285"/>
      <c r="V192" s="285"/>
      <c r="Y192" s="447"/>
      <c r="AK192" s="346"/>
      <c r="AL192" s="346"/>
      <c r="AM192" s="346"/>
      <c r="AN192" s="346"/>
      <c r="AO192" s="346"/>
      <c r="AP192" s="346"/>
      <c r="AQ192" s="346"/>
      <c r="AR192" s="346"/>
      <c r="AS192" s="346"/>
      <c r="AT192" s="346"/>
      <c r="AU192" s="346"/>
      <c r="AV192" s="346"/>
      <c r="AW192" s="346"/>
      <c r="AX192" s="346"/>
      <c r="AY192" s="346"/>
      <c r="AZ192" s="346"/>
      <c r="BA192" s="346"/>
      <c r="BB192" s="346"/>
      <c r="BC192" s="346"/>
      <c r="BD192" s="346"/>
      <c r="BE192" s="346"/>
      <c r="BF192" s="346"/>
      <c r="BG192" s="346"/>
      <c r="BH192" s="346"/>
      <c r="BI192" s="346"/>
      <c r="BJ192" s="346"/>
      <c r="BK192" s="346"/>
      <c r="BL192" s="346"/>
      <c r="BM192" s="346"/>
      <c r="BN192" s="346"/>
      <c r="BO192" s="346"/>
    </row>
    <row r="193" spans="1:67" ht="20.25" customHeight="1">
      <c r="A193" s="200" t="s">
        <v>2459</v>
      </c>
      <c r="B193" s="217" t="s">
        <v>493</v>
      </c>
      <c r="C193" s="200">
        <v>0</v>
      </c>
      <c r="D193" s="361" t="str">
        <f t="shared" ref="D193:D201" si="214">$B$193</f>
        <v>R20</v>
      </c>
      <c r="E193" s="74">
        <f t="shared" ref="E193:E201" si="215">IF(C193=0,,CONCATENATE(D193,"/",C193))</f>
        <v>0</v>
      </c>
      <c r="F193" s="337">
        <f>IF(C193=0,,VLOOKUP(E193,#REF!,5, FALSE()))</f>
        <v>0</v>
      </c>
      <c r="G193" s="470"/>
      <c r="H193" s="470"/>
      <c r="I193" s="471"/>
      <c r="J193" s="471"/>
      <c r="K193" s="472"/>
      <c r="L193" s="472"/>
      <c r="M193" s="471"/>
      <c r="N193" s="471"/>
      <c r="O193" s="472"/>
      <c r="P193" s="472"/>
      <c r="Q193" s="471"/>
      <c r="R193" s="471"/>
      <c r="S193" s="472"/>
      <c r="T193" s="472"/>
      <c r="U193" s="471"/>
      <c r="V193" s="471"/>
      <c r="W193" s="563" t="str">
        <f>CONCATENATE(F193," + ",F194," + ",F195," + ",F196," + ",F197," + ",F198," + ",F199," + ",F200," + ",F201)</f>
        <v>0 + 0 + 0 + 0 + 0 + 0 + 0 + 0 + 0</v>
      </c>
      <c r="X193" s="382">
        <f>IF(C193=0,,VLOOKUP(E193,#REF!,2, FALSE()))</f>
        <v>0</v>
      </c>
      <c r="Y193" s="384">
        <f>IF(C193=0,,VLOOKUP(E193,#REF!,3, FALSE()))</f>
        <v>0</v>
      </c>
      <c r="Z193" s="385" t="e">
        <f>VLOOKUP(Y193,#REF!,6, FALSE())</f>
        <v>#REF!</v>
      </c>
      <c r="AA193" s="74">
        <f>$B195</f>
        <v>0</v>
      </c>
      <c r="AB193" s="386">
        <f>IF(C193=0,,VLOOKUP(E193,#REF!,6, FALSE()))</f>
        <v>0</v>
      </c>
      <c r="AC193" s="74"/>
      <c r="AD193" s="74">
        <f>$B196</f>
        <v>0</v>
      </c>
      <c r="AE193" s="74"/>
      <c r="AF193" s="450">
        <f>$B197</f>
        <v>0</v>
      </c>
      <c r="AG193" s="74"/>
      <c r="AH193" s="450">
        <f>$B199</f>
        <v>0</v>
      </c>
      <c r="AI193" s="450">
        <f ca="1">B199+B200</f>
        <v>0</v>
      </c>
      <c r="AJ193" s="389">
        <f ca="1">B200</f>
        <v>0</v>
      </c>
      <c r="AK193" s="287" t="e">
        <f t="shared" ref="AK193:BO193" si="216">(MID(#REF!, 7,2))</f>
        <v>#REF!</v>
      </c>
      <c r="AL193" s="287" t="e">
        <f t="shared" si="216"/>
        <v>#REF!</v>
      </c>
      <c r="AM193" s="287" t="e">
        <f t="shared" si="216"/>
        <v>#REF!</v>
      </c>
      <c r="AN193" s="287" t="e">
        <f t="shared" si="216"/>
        <v>#REF!</v>
      </c>
      <c r="AO193" s="287" t="e">
        <f t="shared" si="216"/>
        <v>#REF!</v>
      </c>
      <c r="AP193" s="287" t="e">
        <f t="shared" si="216"/>
        <v>#REF!</v>
      </c>
      <c r="AQ193" s="287" t="e">
        <f t="shared" si="216"/>
        <v>#REF!</v>
      </c>
      <c r="AR193" s="287" t="e">
        <f t="shared" si="216"/>
        <v>#REF!</v>
      </c>
      <c r="AS193" s="287" t="e">
        <f t="shared" si="216"/>
        <v>#REF!</v>
      </c>
      <c r="AT193" s="287" t="e">
        <f t="shared" si="216"/>
        <v>#REF!</v>
      </c>
      <c r="AU193" s="287" t="e">
        <f t="shared" si="216"/>
        <v>#REF!</v>
      </c>
      <c r="AV193" s="287" t="e">
        <f t="shared" si="216"/>
        <v>#REF!</v>
      </c>
      <c r="AW193" s="287" t="e">
        <f t="shared" si="216"/>
        <v>#REF!</v>
      </c>
      <c r="AX193" s="287" t="e">
        <f t="shared" si="216"/>
        <v>#REF!</v>
      </c>
      <c r="AY193" s="287" t="e">
        <f t="shared" si="216"/>
        <v>#REF!</v>
      </c>
      <c r="AZ193" s="287" t="e">
        <f t="shared" si="216"/>
        <v>#REF!</v>
      </c>
      <c r="BA193" s="287" t="e">
        <f t="shared" si="216"/>
        <v>#REF!</v>
      </c>
      <c r="BB193" s="287" t="e">
        <f t="shared" si="216"/>
        <v>#REF!</v>
      </c>
      <c r="BC193" s="287" t="e">
        <f t="shared" si="216"/>
        <v>#REF!</v>
      </c>
      <c r="BD193" s="287" t="e">
        <f t="shared" si="216"/>
        <v>#REF!</v>
      </c>
      <c r="BE193" s="287" t="e">
        <f t="shared" si="216"/>
        <v>#REF!</v>
      </c>
      <c r="BF193" s="287" t="e">
        <f t="shared" si="216"/>
        <v>#REF!</v>
      </c>
      <c r="BG193" s="287" t="e">
        <f t="shared" si="216"/>
        <v>#REF!</v>
      </c>
      <c r="BH193" s="287" t="e">
        <f t="shared" si="216"/>
        <v>#REF!</v>
      </c>
      <c r="BI193" s="287" t="e">
        <f t="shared" si="216"/>
        <v>#REF!</v>
      </c>
      <c r="BJ193" s="287" t="e">
        <f t="shared" si="216"/>
        <v>#REF!</v>
      </c>
      <c r="BK193" s="287" t="e">
        <f t="shared" si="216"/>
        <v>#REF!</v>
      </c>
      <c r="BL193" s="287" t="e">
        <f t="shared" si="216"/>
        <v>#REF!</v>
      </c>
      <c r="BM193" s="287" t="e">
        <f t="shared" si="216"/>
        <v>#REF!</v>
      </c>
      <c r="BN193" s="287" t="e">
        <f t="shared" si="216"/>
        <v>#REF!</v>
      </c>
      <c r="BO193" s="287" t="e">
        <f t="shared" si="216"/>
        <v>#REF!</v>
      </c>
    </row>
    <row r="194" spans="1:67" ht="20.25" customHeight="1">
      <c r="A194" s="562">
        <f>Y193</f>
        <v>0</v>
      </c>
      <c r="B194" s="499"/>
      <c r="C194" s="200">
        <v>0</v>
      </c>
      <c r="D194" s="361" t="str">
        <f t="shared" si="214"/>
        <v>R20</v>
      </c>
      <c r="E194" s="74">
        <f t="shared" si="215"/>
        <v>0</v>
      </c>
      <c r="F194" s="337">
        <f>IF(C194=0,,VLOOKUP(E194,#REF!,5, FALSE()))</f>
        <v>0</v>
      </c>
      <c r="G194" s="473"/>
      <c r="H194" s="473"/>
      <c r="I194" s="461"/>
      <c r="J194" s="461"/>
      <c r="K194" s="474"/>
      <c r="L194" s="474"/>
      <c r="M194" s="461"/>
      <c r="N194" s="461"/>
      <c r="O194" s="474"/>
      <c r="P194" s="474"/>
      <c r="Q194" s="461"/>
      <c r="R194" s="461"/>
      <c r="S194" s="474"/>
      <c r="T194" s="474"/>
      <c r="U194" s="461"/>
      <c r="V194" s="461"/>
      <c r="W194" s="480"/>
      <c r="X194" s="382">
        <f>IF(C194=0,,VLOOKUP(E194,#REF!,2, FALSE()))</f>
        <v>0</v>
      </c>
      <c r="Y194" s="384">
        <f>IF(C194=0,,VLOOKUP(E194,#REF!,3, FALSE()))</f>
        <v>0</v>
      </c>
      <c r="Z194" s="385"/>
      <c r="AA194" s="74"/>
      <c r="AB194" s="386" t="s">
        <v>1036</v>
      </c>
      <c r="AC194" s="74"/>
      <c r="AD194" s="74"/>
      <c r="AE194" s="74"/>
      <c r="AF194" s="74"/>
      <c r="AG194" s="74"/>
      <c r="AH194" s="74"/>
      <c r="AI194" s="74"/>
      <c r="AJ194" s="389"/>
      <c r="AK194" s="287" t="e">
        <f t="shared" ref="AK194:BO194" si="217">(MID(#REF!, 7,2))</f>
        <v>#REF!</v>
      </c>
      <c r="AL194" s="287" t="e">
        <f t="shared" si="217"/>
        <v>#REF!</v>
      </c>
      <c r="AM194" s="287" t="e">
        <f t="shared" si="217"/>
        <v>#REF!</v>
      </c>
      <c r="AN194" s="287" t="e">
        <f t="shared" si="217"/>
        <v>#REF!</v>
      </c>
      <c r="AO194" s="287" t="e">
        <f t="shared" si="217"/>
        <v>#REF!</v>
      </c>
      <c r="AP194" s="287" t="e">
        <f t="shared" si="217"/>
        <v>#REF!</v>
      </c>
      <c r="AQ194" s="287" t="e">
        <f t="shared" si="217"/>
        <v>#REF!</v>
      </c>
      <c r="AR194" s="287" t="e">
        <f t="shared" si="217"/>
        <v>#REF!</v>
      </c>
      <c r="AS194" s="287" t="e">
        <f t="shared" si="217"/>
        <v>#REF!</v>
      </c>
      <c r="AT194" s="287" t="e">
        <f t="shared" si="217"/>
        <v>#REF!</v>
      </c>
      <c r="AU194" s="287" t="e">
        <f t="shared" si="217"/>
        <v>#REF!</v>
      </c>
      <c r="AV194" s="287" t="e">
        <f t="shared" si="217"/>
        <v>#REF!</v>
      </c>
      <c r="AW194" s="287" t="e">
        <f t="shared" si="217"/>
        <v>#REF!</v>
      </c>
      <c r="AX194" s="287" t="e">
        <f t="shared" si="217"/>
        <v>#REF!</v>
      </c>
      <c r="AY194" s="287" t="e">
        <f t="shared" si="217"/>
        <v>#REF!</v>
      </c>
      <c r="AZ194" s="287" t="e">
        <f t="shared" si="217"/>
        <v>#REF!</v>
      </c>
      <c r="BA194" s="287" t="e">
        <f t="shared" si="217"/>
        <v>#REF!</v>
      </c>
      <c r="BB194" s="287" t="e">
        <f t="shared" si="217"/>
        <v>#REF!</v>
      </c>
      <c r="BC194" s="287" t="e">
        <f t="shared" si="217"/>
        <v>#REF!</v>
      </c>
      <c r="BD194" s="287" t="e">
        <f t="shared" si="217"/>
        <v>#REF!</v>
      </c>
      <c r="BE194" s="287" t="e">
        <f t="shared" si="217"/>
        <v>#REF!</v>
      </c>
      <c r="BF194" s="287" t="e">
        <f t="shared" si="217"/>
        <v>#REF!</v>
      </c>
      <c r="BG194" s="287" t="e">
        <f t="shared" si="217"/>
        <v>#REF!</v>
      </c>
      <c r="BH194" s="287" t="e">
        <f t="shared" si="217"/>
        <v>#REF!</v>
      </c>
      <c r="BI194" s="287" t="e">
        <f t="shared" si="217"/>
        <v>#REF!</v>
      </c>
      <c r="BJ194" s="287" t="e">
        <f t="shared" si="217"/>
        <v>#REF!</v>
      </c>
      <c r="BK194" s="287" t="e">
        <f t="shared" si="217"/>
        <v>#REF!</v>
      </c>
      <c r="BL194" s="287" t="e">
        <f t="shared" si="217"/>
        <v>#REF!</v>
      </c>
      <c r="BM194" s="287" t="e">
        <f t="shared" si="217"/>
        <v>#REF!</v>
      </c>
      <c r="BN194" s="287" t="e">
        <f t="shared" si="217"/>
        <v>#REF!</v>
      </c>
      <c r="BO194" s="287" t="e">
        <f t="shared" si="217"/>
        <v>#REF!</v>
      </c>
    </row>
    <row r="195" spans="1:67" ht="20.25" customHeight="1">
      <c r="A195" s="402" t="s">
        <v>2896</v>
      </c>
      <c r="B195" s="19"/>
      <c r="C195" s="200">
        <v>0</v>
      </c>
      <c r="D195" s="361" t="str">
        <f t="shared" si="214"/>
        <v>R20</v>
      </c>
      <c r="E195" s="74">
        <f t="shared" si="215"/>
        <v>0</v>
      </c>
      <c r="F195" s="337">
        <f>IF(C195=0,,VLOOKUP(E195,#REF!,5, FALSE()))</f>
        <v>0</v>
      </c>
      <c r="G195" s="473"/>
      <c r="H195" s="473"/>
      <c r="I195" s="461"/>
      <c r="J195" s="461"/>
      <c r="K195" s="474"/>
      <c r="L195" s="474"/>
      <c r="M195" s="461"/>
      <c r="N195" s="461"/>
      <c r="O195" s="474"/>
      <c r="P195" s="474"/>
      <c r="Q195" s="461"/>
      <c r="R195" s="461"/>
      <c r="S195" s="474"/>
      <c r="T195" s="474"/>
      <c r="U195" s="461"/>
      <c r="V195" s="461"/>
      <c r="W195" s="480"/>
      <c r="X195" s="382">
        <f>IF(C195=0,,VLOOKUP(E195,#REF!,2, FALSE()))</f>
        <v>0</v>
      </c>
      <c r="Y195" s="384">
        <f>IF(C195=0,,VLOOKUP(E195,#REF!,3, FALSE()))</f>
        <v>0</v>
      </c>
      <c r="Z195" s="385"/>
      <c r="AA195" s="74"/>
      <c r="AB195" s="386" t="s">
        <v>1036</v>
      </c>
      <c r="AC195" s="74"/>
      <c r="AD195" s="74"/>
      <c r="AE195" s="74"/>
      <c r="AF195" s="74"/>
      <c r="AG195" s="74"/>
      <c r="AH195" s="74"/>
      <c r="AI195" s="74"/>
      <c r="AJ195" s="389"/>
      <c r="AK195" s="287" t="e">
        <f t="shared" ref="AK195:BO195" si="218">(MID(#REF!, 7,2))</f>
        <v>#REF!</v>
      </c>
      <c r="AL195" s="287" t="e">
        <f t="shared" si="218"/>
        <v>#REF!</v>
      </c>
      <c r="AM195" s="287" t="e">
        <f t="shared" si="218"/>
        <v>#REF!</v>
      </c>
      <c r="AN195" s="287" t="e">
        <f t="shared" si="218"/>
        <v>#REF!</v>
      </c>
      <c r="AO195" s="287" t="e">
        <f t="shared" si="218"/>
        <v>#REF!</v>
      </c>
      <c r="AP195" s="287" t="e">
        <f t="shared" si="218"/>
        <v>#REF!</v>
      </c>
      <c r="AQ195" s="287" t="e">
        <f t="shared" si="218"/>
        <v>#REF!</v>
      </c>
      <c r="AR195" s="287" t="e">
        <f t="shared" si="218"/>
        <v>#REF!</v>
      </c>
      <c r="AS195" s="287" t="e">
        <f t="shared" si="218"/>
        <v>#REF!</v>
      </c>
      <c r="AT195" s="287" t="e">
        <f t="shared" si="218"/>
        <v>#REF!</v>
      </c>
      <c r="AU195" s="287" t="e">
        <f t="shared" si="218"/>
        <v>#REF!</v>
      </c>
      <c r="AV195" s="287" t="e">
        <f t="shared" si="218"/>
        <v>#REF!</v>
      </c>
      <c r="AW195" s="287" t="e">
        <f t="shared" si="218"/>
        <v>#REF!</v>
      </c>
      <c r="AX195" s="287" t="e">
        <f t="shared" si="218"/>
        <v>#REF!</v>
      </c>
      <c r="AY195" s="287" t="e">
        <f t="shared" si="218"/>
        <v>#REF!</v>
      </c>
      <c r="AZ195" s="287" t="e">
        <f t="shared" si="218"/>
        <v>#REF!</v>
      </c>
      <c r="BA195" s="287" t="e">
        <f t="shared" si="218"/>
        <v>#REF!</v>
      </c>
      <c r="BB195" s="287" t="e">
        <f t="shared" si="218"/>
        <v>#REF!</v>
      </c>
      <c r="BC195" s="287" t="e">
        <f t="shared" si="218"/>
        <v>#REF!</v>
      </c>
      <c r="BD195" s="287" t="e">
        <f t="shared" si="218"/>
        <v>#REF!</v>
      </c>
      <c r="BE195" s="287" t="e">
        <f t="shared" si="218"/>
        <v>#REF!</v>
      </c>
      <c r="BF195" s="287" t="e">
        <f t="shared" si="218"/>
        <v>#REF!</v>
      </c>
      <c r="BG195" s="287" t="e">
        <f t="shared" si="218"/>
        <v>#REF!</v>
      </c>
      <c r="BH195" s="287" t="e">
        <f t="shared" si="218"/>
        <v>#REF!</v>
      </c>
      <c r="BI195" s="287" t="e">
        <f t="shared" si="218"/>
        <v>#REF!</v>
      </c>
      <c r="BJ195" s="287" t="e">
        <f t="shared" si="218"/>
        <v>#REF!</v>
      </c>
      <c r="BK195" s="287" t="e">
        <f t="shared" si="218"/>
        <v>#REF!</v>
      </c>
      <c r="BL195" s="287" t="e">
        <f t="shared" si="218"/>
        <v>#REF!</v>
      </c>
      <c r="BM195" s="287" t="e">
        <f t="shared" si="218"/>
        <v>#REF!</v>
      </c>
      <c r="BN195" s="287" t="e">
        <f t="shared" si="218"/>
        <v>#REF!</v>
      </c>
      <c r="BO195" s="287" t="e">
        <f t="shared" si="218"/>
        <v>#REF!</v>
      </c>
    </row>
    <row r="196" spans="1:67" ht="20.25" customHeight="1">
      <c r="A196" s="409" t="s">
        <v>2921</v>
      </c>
      <c r="B196" s="410">
        <v>0</v>
      </c>
      <c r="C196" s="200">
        <v>0</v>
      </c>
      <c r="D196" s="361" t="str">
        <f t="shared" si="214"/>
        <v>R20</v>
      </c>
      <c r="E196" s="74">
        <f t="shared" si="215"/>
        <v>0</v>
      </c>
      <c r="F196" s="337">
        <f>IF(C196=0,,VLOOKUP(E196,#REF!,5, FALSE()))</f>
        <v>0</v>
      </c>
      <c r="G196" s="473"/>
      <c r="H196" s="473"/>
      <c r="I196" s="461"/>
      <c r="J196" s="461"/>
      <c r="K196" s="474"/>
      <c r="L196" s="474"/>
      <c r="M196" s="461"/>
      <c r="N196" s="461"/>
      <c r="O196" s="474"/>
      <c r="P196" s="474"/>
      <c r="Q196" s="461"/>
      <c r="R196" s="461"/>
      <c r="S196" s="474"/>
      <c r="T196" s="474"/>
      <c r="U196" s="461"/>
      <c r="V196" s="461"/>
      <c r="W196" s="480"/>
      <c r="X196" s="382">
        <f>IF(C196=0,,VLOOKUP(E196,#REF!,2, FALSE()))</f>
        <v>0</v>
      </c>
      <c r="Y196" s="384">
        <f>IF(C196=0,,VLOOKUP(E196,#REF!,3, FALSE()))</f>
        <v>0</v>
      </c>
      <c r="Z196" s="385"/>
      <c r="AA196" s="74"/>
      <c r="AB196" s="386" t="s">
        <v>1036</v>
      </c>
      <c r="AC196" s="74"/>
      <c r="AD196" s="74"/>
      <c r="AE196" s="74"/>
      <c r="AF196" s="74"/>
      <c r="AG196" s="74"/>
      <c r="AH196" s="74"/>
      <c r="AI196" s="74"/>
      <c r="AJ196" s="422"/>
      <c r="AK196" s="287" t="e">
        <f t="shared" ref="AK196:BO196" si="219">(MID(#REF!, 7,2))</f>
        <v>#REF!</v>
      </c>
      <c r="AL196" s="287" t="e">
        <f t="shared" si="219"/>
        <v>#REF!</v>
      </c>
      <c r="AM196" s="287" t="e">
        <f t="shared" si="219"/>
        <v>#REF!</v>
      </c>
      <c r="AN196" s="287" t="e">
        <f t="shared" si="219"/>
        <v>#REF!</v>
      </c>
      <c r="AO196" s="287" t="e">
        <f t="shared" si="219"/>
        <v>#REF!</v>
      </c>
      <c r="AP196" s="287" t="e">
        <f t="shared" si="219"/>
        <v>#REF!</v>
      </c>
      <c r="AQ196" s="287" t="e">
        <f t="shared" si="219"/>
        <v>#REF!</v>
      </c>
      <c r="AR196" s="287" t="e">
        <f t="shared" si="219"/>
        <v>#REF!</v>
      </c>
      <c r="AS196" s="287" t="e">
        <f t="shared" si="219"/>
        <v>#REF!</v>
      </c>
      <c r="AT196" s="287" t="e">
        <f t="shared" si="219"/>
        <v>#REF!</v>
      </c>
      <c r="AU196" s="287" t="e">
        <f t="shared" si="219"/>
        <v>#REF!</v>
      </c>
      <c r="AV196" s="287" t="e">
        <f t="shared" si="219"/>
        <v>#REF!</v>
      </c>
      <c r="AW196" s="287" t="e">
        <f t="shared" si="219"/>
        <v>#REF!</v>
      </c>
      <c r="AX196" s="287" t="e">
        <f t="shared" si="219"/>
        <v>#REF!</v>
      </c>
      <c r="AY196" s="287" t="e">
        <f t="shared" si="219"/>
        <v>#REF!</v>
      </c>
      <c r="AZ196" s="287" t="e">
        <f t="shared" si="219"/>
        <v>#REF!</v>
      </c>
      <c r="BA196" s="287" t="e">
        <f t="shared" si="219"/>
        <v>#REF!</v>
      </c>
      <c r="BB196" s="287" t="e">
        <f t="shared" si="219"/>
        <v>#REF!</v>
      </c>
      <c r="BC196" s="287" t="e">
        <f t="shared" si="219"/>
        <v>#REF!</v>
      </c>
      <c r="BD196" s="287" t="e">
        <f t="shared" si="219"/>
        <v>#REF!</v>
      </c>
      <c r="BE196" s="287" t="e">
        <f t="shared" si="219"/>
        <v>#REF!</v>
      </c>
      <c r="BF196" s="287" t="e">
        <f t="shared" si="219"/>
        <v>#REF!</v>
      </c>
      <c r="BG196" s="287" t="e">
        <f t="shared" si="219"/>
        <v>#REF!</v>
      </c>
      <c r="BH196" s="287" t="e">
        <f t="shared" si="219"/>
        <v>#REF!</v>
      </c>
      <c r="BI196" s="287" t="e">
        <f t="shared" si="219"/>
        <v>#REF!</v>
      </c>
      <c r="BJ196" s="287" t="e">
        <f t="shared" si="219"/>
        <v>#REF!</v>
      </c>
      <c r="BK196" s="287" t="e">
        <f t="shared" si="219"/>
        <v>#REF!</v>
      </c>
      <c r="BL196" s="287" t="e">
        <f t="shared" si="219"/>
        <v>#REF!</v>
      </c>
      <c r="BM196" s="287" t="e">
        <f t="shared" si="219"/>
        <v>#REF!</v>
      </c>
      <c r="BN196" s="287" t="e">
        <f t="shared" si="219"/>
        <v>#REF!</v>
      </c>
      <c r="BO196" s="287" t="e">
        <f t="shared" si="219"/>
        <v>#REF!</v>
      </c>
    </row>
    <row r="197" spans="1:67" ht="20.25" customHeight="1">
      <c r="A197" s="424" t="s">
        <v>2936</v>
      </c>
      <c r="B197" s="425">
        <f>AB193</f>
        <v>0</v>
      </c>
      <c r="C197" s="200">
        <v>0</v>
      </c>
      <c r="D197" s="361" t="str">
        <f t="shared" si="214"/>
        <v>R20</v>
      </c>
      <c r="E197" s="74">
        <f t="shared" si="215"/>
        <v>0</v>
      </c>
      <c r="F197" s="337">
        <f>IF(C197=0,,VLOOKUP(E197,#REF!,5, FALSE()))</f>
        <v>0</v>
      </c>
      <c r="G197" s="473"/>
      <c r="H197" s="473"/>
      <c r="I197" s="461"/>
      <c r="J197" s="461"/>
      <c r="K197" s="474"/>
      <c r="L197" s="474"/>
      <c r="M197" s="461"/>
      <c r="N197" s="461"/>
      <c r="O197" s="474"/>
      <c r="P197" s="474"/>
      <c r="Q197" s="461"/>
      <c r="R197" s="461"/>
      <c r="S197" s="474"/>
      <c r="T197" s="474"/>
      <c r="U197" s="461"/>
      <c r="V197" s="461"/>
      <c r="W197" s="480"/>
      <c r="X197" s="382">
        <f>IF(C197=0,,VLOOKUP(E197,#REF!,2, FALSE()))</f>
        <v>0</v>
      </c>
      <c r="Y197" s="384">
        <f>IF(C197=0,,VLOOKUP(E197,#REF!,3, FALSE()))</f>
        <v>0</v>
      </c>
      <c r="Z197" s="385"/>
      <c r="AA197" s="74"/>
      <c r="AB197" s="386" t="s">
        <v>1036</v>
      </c>
      <c r="AC197" s="74"/>
      <c r="AD197" s="74"/>
      <c r="AE197" s="74"/>
      <c r="AF197" s="74"/>
      <c r="AG197" s="74"/>
      <c r="AH197" s="74"/>
      <c r="AI197" s="74"/>
      <c r="AJ197" s="389"/>
      <c r="AK197" s="287" t="e">
        <f t="shared" ref="AK197:BO197" si="220">(MID(#REF!, 7,2))</f>
        <v>#REF!</v>
      </c>
      <c r="AL197" s="287" t="e">
        <f t="shared" si="220"/>
        <v>#REF!</v>
      </c>
      <c r="AM197" s="287" t="e">
        <f t="shared" si="220"/>
        <v>#REF!</v>
      </c>
      <c r="AN197" s="287" t="e">
        <f t="shared" si="220"/>
        <v>#REF!</v>
      </c>
      <c r="AO197" s="287" t="e">
        <f t="shared" si="220"/>
        <v>#REF!</v>
      </c>
      <c r="AP197" s="287" t="e">
        <f t="shared" si="220"/>
        <v>#REF!</v>
      </c>
      <c r="AQ197" s="287" t="e">
        <f t="shared" si="220"/>
        <v>#REF!</v>
      </c>
      <c r="AR197" s="287" t="e">
        <f t="shared" si="220"/>
        <v>#REF!</v>
      </c>
      <c r="AS197" s="287" t="e">
        <f t="shared" si="220"/>
        <v>#REF!</v>
      </c>
      <c r="AT197" s="287" t="e">
        <f t="shared" si="220"/>
        <v>#REF!</v>
      </c>
      <c r="AU197" s="287" t="e">
        <f t="shared" si="220"/>
        <v>#REF!</v>
      </c>
      <c r="AV197" s="287" t="e">
        <f t="shared" si="220"/>
        <v>#REF!</v>
      </c>
      <c r="AW197" s="287" t="e">
        <f t="shared" si="220"/>
        <v>#REF!</v>
      </c>
      <c r="AX197" s="287" t="e">
        <f t="shared" si="220"/>
        <v>#REF!</v>
      </c>
      <c r="AY197" s="287" t="e">
        <f t="shared" si="220"/>
        <v>#REF!</v>
      </c>
      <c r="AZ197" s="287" t="e">
        <f t="shared" si="220"/>
        <v>#REF!</v>
      </c>
      <c r="BA197" s="287" t="e">
        <f t="shared" si="220"/>
        <v>#REF!</v>
      </c>
      <c r="BB197" s="287" t="e">
        <f t="shared" si="220"/>
        <v>#REF!</v>
      </c>
      <c r="BC197" s="287" t="e">
        <f t="shared" si="220"/>
        <v>#REF!</v>
      </c>
      <c r="BD197" s="287" t="e">
        <f t="shared" si="220"/>
        <v>#REF!</v>
      </c>
      <c r="BE197" s="287" t="e">
        <f t="shared" si="220"/>
        <v>#REF!</v>
      </c>
      <c r="BF197" s="287" t="e">
        <f t="shared" si="220"/>
        <v>#REF!</v>
      </c>
      <c r="BG197" s="287" t="e">
        <f t="shared" si="220"/>
        <v>#REF!</v>
      </c>
      <c r="BH197" s="287" t="e">
        <f t="shared" si="220"/>
        <v>#REF!</v>
      </c>
      <c r="BI197" s="287" t="e">
        <f t="shared" si="220"/>
        <v>#REF!</v>
      </c>
      <c r="BJ197" s="287" t="e">
        <f t="shared" si="220"/>
        <v>#REF!</v>
      </c>
      <c r="BK197" s="287" t="e">
        <f t="shared" si="220"/>
        <v>#REF!</v>
      </c>
      <c r="BL197" s="287" t="e">
        <f t="shared" si="220"/>
        <v>#REF!</v>
      </c>
      <c r="BM197" s="287" t="e">
        <f t="shared" si="220"/>
        <v>#REF!</v>
      </c>
      <c r="BN197" s="287" t="e">
        <f t="shared" si="220"/>
        <v>#REF!</v>
      </c>
      <c r="BO197" s="287" t="e">
        <f t="shared" si="220"/>
        <v>#REF!</v>
      </c>
    </row>
    <row r="198" spans="1:67" ht="20.25" customHeight="1">
      <c r="A198" s="424" t="e">
        <f>Z193</f>
        <v>#REF!</v>
      </c>
      <c r="B198" s="425"/>
      <c r="C198" s="200">
        <v>0</v>
      </c>
      <c r="D198" s="361" t="str">
        <f t="shared" si="214"/>
        <v>R20</v>
      </c>
      <c r="E198" s="74">
        <f t="shared" si="215"/>
        <v>0</v>
      </c>
      <c r="F198" s="337">
        <f>IF(C198=0,,VLOOKUP(E198,#REF!,5, FALSE()))</f>
        <v>0</v>
      </c>
      <c r="G198" s="473"/>
      <c r="H198" s="473"/>
      <c r="I198" s="461"/>
      <c r="J198" s="461"/>
      <c r="K198" s="474"/>
      <c r="L198" s="474"/>
      <c r="M198" s="461"/>
      <c r="N198" s="461"/>
      <c r="O198" s="474"/>
      <c r="P198" s="474"/>
      <c r="Q198" s="461"/>
      <c r="R198" s="461"/>
      <c r="S198" s="474"/>
      <c r="T198" s="474"/>
      <c r="U198" s="461"/>
      <c r="V198" s="461"/>
      <c r="W198" s="480"/>
      <c r="X198" s="382">
        <f>IF(C198=0,,VLOOKUP(E198,#REF!,2, FALSE()))</f>
        <v>0</v>
      </c>
      <c r="Y198" s="384">
        <f>IF(C198=0,,VLOOKUP(E198,#REF!,3, FALSE()))</f>
        <v>0</v>
      </c>
      <c r="Z198" s="385"/>
      <c r="AA198" s="74"/>
      <c r="AB198" s="386" t="s">
        <v>1036</v>
      </c>
      <c r="AC198" s="74"/>
      <c r="AD198" s="74"/>
      <c r="AE198" s="74"/>
      <c r="AF198" s="74"/>
      <c r="AG198" s="74"/>
      <c r="AH198" s="74"/>
      <c r="AI198" s="74"/>
      <c r="AJ198" s="389"/>
      <c r="AK198" s="287" t="e">
        <f t="shared" ref="AK198:BO198" si="221">(MID(#REF!, 7,2))</f>
        <v>#REF!</v>
      </c>
      <c r="AL198" s="287" t="e">
        <f t="shared" si="221"/>
        <v>#REF!</v>
      </c>
      <c r="AM198" s="287" t="e">
        <f t="shared" si="221"/>
        <v>#REF!</v>
      </c>
      <c r="AN198" s="287" t="e">
        <f t="shared" si="221"/>
        <v>#REF!</v>
      </c>
      <c r="AO198" s="287" t="e">
        <f t="shared" si="221"/>
        <v>#REF!</v>
      </c>
      <c r="AP198" s="287" t="e">
        <f t="shared" si="221"/>
        <v>#REF!</v>
      </c>
      <c r="AQ198" s="287" t="e">
        <f t="shared" si="221"/>
        <v>#REF!</v>
      </c>
      <c r="AR198" s="287" t="e">
        <f t="shared" si="221"/>
        <v>#REF!</v>
      </c>
      <c r="AS198" s="287" t="e">
        <f t="shared" si="221"/>
        <v>#REF!</v>
      </c>
      <c r="AT198" s="287" t="e">
        <f t="shared" si="221"/>
        <v>#REF!</v>
      </c>
      <c r="AU198" s="287" t="e">
        <f t="shared" si="221"/>
        <v>#REF!</v>
      </c>
      <c r="AV198" s="287" t="e">
        <f t="shared" si="221"/>
        <v>#REF!</v>
      </c>
      <c r="AW198" s="287" t="e">
        <f t="shared" si="221"/>
        <v>#REF!</v>
      </c>
      <c r="AX198" s="287" t="e">
        <f t="shared" si="221"/>
        <v>#REF!</v>
      </c>
      <c r="AY198" s="287" t="e">
        <f t="shared" si="221"/>
        <v>#REF!</v>
      </c>
      <c r="AZ198" s="287" t="e">
        <f t="shared" si="221"/>
        <v>#REF!</v>
      </c>
      <c r="BA198" s="287" t="e">
        <f t="shared" si="221"/>
        <v>#REF!</v>
      </c>
      <c r="BB198" s="287" t="e">
        <f t="shared" si="221"/>
        <v>#REF!</v>
      </c>
      <c r="BC198" s="287" t="e">
        <f t="shared" si="221"/>
        <v>#REF!</v>
      </c>
      <c r="BD198" s="287" t="e">
        <f t="shared" si="221"/>
        <v>#REF!</v>
      </c>
      <c r="BE198" s="287" t="e">
        <f t="shared" si="221"/>
        <v>#REF!</v>
      </c>
      <c r="BF198" s="287" t="e">
        <f t="shared" si="221"/>
        <v>#REF!</v>
      </c>
      <c r="BG198" s="287" t="e">
        <f t="shared" si="221"/>
        <v>#REF!</v>
      </c>
      <c r="BH198" s="287" t="e">
        <f t="shared" si="221"/>
        <v>#REF!</v>
      </c>
      <c r="BI198" s="287" t="e">
        <f t="shared" si="221"/>
        <v>#REF!</v>
      </c>
      <c r="BJ198" s="287" t="e">
        <f t="shared" si="221"/>
        <v>#REF!</v>
      </c>
      <c r="BK198" s="287" t="e">
        <f t="shared" si="221"/>
        <v>#REF!</v>
      </c>
      <c r="BL198" s="287" t="e">
        <f t="shared" si="221"/>
        <v>#REF!</v>
      </c>
      <c r="BM198" s="287" t="e">
        <f t="shared" si="221"/>
        <v>#REF!</v>
      </c>
      <c r="BN198" s="287" t="e">
        <f t="shared" si="221"/>
        <v>#REF!</v>
      </c>
      <c r="BO198" s="287" t="e">
        <f t="shared" si="221"/>
        <v>#REF!</v>
      </c>
    </row>
    <row r="199" spans="1:67" ht="20.25" customHeight="1">
      <c r="A199" s="424" t="s">
        <v>2951</v>
      </c>
      <c r="B199" s="425">
        <f>SUM(AB193:AB201)</f>
        <v>0</v>
      </c>
      <c r="C199" s="200">
        <v>0</v>
      </c>
      <c r="D199" s="361" t="str">
        <f t="shared" si="214"/>
        <v>R20</v>
      </c>
      <c r="E199" s="74">
        <f t="shared" si="215"/>
        <v>0</v>
      </c>
      <c r="F199" s="337">
        <f>IF(C199=0,,VLOOKUP(E199,#REF!,5, FALSE()))</f>
        <v>0</v>
      </c>
      <c r="G199" s="473"/>
      <c r="H199" s="473"/>
      <c r="I199" s="461"/>
      <c r="J199" s="461"/>
      <c r="K199" s="474"/>
      <c r="L199" s="474"/>
      <c r="M199" s="461"/>
      <c r="N199" s="461"/>
      <c r="O199" s="474"/>
      <c r="P199" s="474"/>
      <c r="Q199" s="461"/>
      <c r="R199" s="461"/>
      <c r="S199" s="474"/>
      <c r="T199" s="474"/>
      <c r="U199" s="461"/>
      <c r="V199" s="461"/>
      <c r="W199" s="480"/>
      <c r="X199" s="382">
        <f>IF(C199=0,,VLOOKUP(E199,#REF!,2, FALSE()))</f>
        <v>0</v>
      </c>
      <c r="Y199" s="384">
        <f>IF(C199=0,,VLOOKUP(E199,#REF!,3, FALSE()))</f>
        <v>0</v>
      </c>
      <c r="Z199" s="385"/>
      <c r="AA199" s="74"/>
      <c r="AB199" s="386" t="s">
        <v>1036</v>
      </c>
      <c r="AC199" s="74"/>
      <c r="AD199" s="74"/>
      <c r="AE199" s="74"/>
      <c r="AF199" s="74"/>
      <c r="AG199" s="74"/>
      <c r="AH199" s="74"/>
      <c r="AI199" s="74"/>
      <c r="AJ199" s="389"/>
      <c r="AK199" s="287" t="e">
        <f t="shared" ref="AK199:BO199" si="222">(MID(#REF!, 7,2))</f>
        <v>#REF!</v>
      </c>
      <c r="AL199" s="287" t="e">
        <f t="shared" si="222"/>
        <v>#REF!</v>
      </c>
      <c r="AM199" s="287" t="e">
        <f t="shared" si="222"/>
        <v>#REF!</v>
      </c>
      <c r="AN199" s="287" t="e">
        <f t="shared" si="222"/>
        <v>#REF!</v>
      </c>
      <c r="AO199" s="287" t="e">
        <f t="shared" si="222"/>
        <v>#REF!</v>
      </c>
      <c r="AP199" s="287" t="e">
        <f t="shared" si="222"/>
        <v>#REF!</v>
      </c>
      <c r="AQ199" s="287" t="e">
        <f t="shared" si="222"/>
        <v>#REF!</v>
      </c>
      <c r="AR199" s="287" t="e">
        <f t="shared" si="222"/>
        <v>#REF!</v>
      </c>
      <c r="AS199" s="287" t="e">
        <f t="shared" si="222"/>
        <v>#REF!</v>
      </c>
      <c r="AT199" s="287" t="e">
        <f t="shared" si="222"/>
        <v>#REF!</v>
      </c>
      <c r="AU199" s="287" t="e">
        <f t="shared" si="222"/>
        <v>#REF!</v>
      </c>
      <c r="AV199" s="287" t="e">
        <f t="shared" si="222"/>
        <v>#REF!</v>
      </c>
      <c r="AW199" s="287" t="e">
        <f t="shared" si="222"/>
        <v>#REF!</v>
      </c>
      <c r="AX199" s="287" t="e">
        <f t="shared" si="222"/>
        <v>#REF!</v>
      </c>
      <c r="AY199" s="287" t="e">
        <f t="shared" si="222"/>
        <v>#REF!</v>
      </c>
      <c r="AZ199" s="287" t="e">
        <f t="shared" si="222"/>
        <v>#REF!</v>
      </c>
      <c r="BA199" s="287" t="e">
        <f t="shared" si="222"/>
        <v>#REF!</v>
      </c>
      <c r="BB199" s="287" t="e">
        <f t="shared" si="222"/>
        <v>#REF!</v>
      </c>
      <c r="BC199" s="287" t="e">
        <f t="shared" si="222"/>
        <v>#REF!</v>
      </c>
      <c r="BD199" s="287" t="e">
        <f t="shared" si="222"/>
        <v>#REF!</v>
      </c>
      <c r="BE199" s="287" t="e">
        <f t="shared" si="222"/>
        <v>#REF!</v>
      </c>
      <c r="BF199" s="287" t="e">
        <f t="shared" si="222"/>
        <v>#REF!</v>
      </c>
      <c r="BG199" s="287" t="e">
        <f t="shared" si="222"/>
        <v>#REF!</v>
      </c>
      <c r="BH199" s="287" t="e">
        <f t="shared" si="222"/>
        <v>#REF!</v>
      </c>
      <c r="BI199" s="287" t="e">
        <f t="shared" si="222"/>
        <v>#REF!</v>
      </c>
      <c r="BJ199" s="287" t="e">
        <f t="shared" si="222"/>
        <v>#REF!</v>
      </c>
      <c r="BK199" s="287" t="e">
        <f t="shared" si="222"/>
        <v>#REF!</v>
      </c>
      <c r="BL199" s="287" t="e">
        <f t="shared" si="222"/>
        <v>#REF!</v>
      </c>
      <c r="BM199" s="287" t="e">
        <f t="shared" si="222"/>
        <v>#REF!</v>
      </c>
      <c r="BN199" s="287" t="e">
        <f t="shared" si="222"/>
        <v>#REF!</v>
      </c>
      <c r="BO199" s="287" t="e">
        <f t="shared" si="222"/>
        <v>#REF!</v>
      </c>
    </row>
    <row r="200" spans="1:67" ht="20.25" customHeight="1">
      <c r="A200" s="424" t="s">
        <v>2952</v>
      </c>
      <c r="B200" s="425">
        <f ca="1">SUM(AJ193:AJ201)</f>
        <v>0</v>
      </c>
      <c r="C200" s="200">
        <v>0</v>
      </c>
      <c r="D200" s="361" t="str">
        <f t="shared" si="214"/>
        <v>R20</v>
      </c>
      <c r="E200" s="74">
        <f t="shared" si="215"/>
        <v>0</v>
      </c>
      <c r="F200" s="337">
        <f>IF(C200=0,,VLOOKUP(E200,#REF!,5, FALSE()))</f>
        <v>0</v>
      </c>
      <c r="G200" s="473"/>
      <c r="H200" s="473"/>
      <c r="I200" s="461"/>
      <c r="J200" s="461"/>
      <c r="K200" s="474"/>
      <c r="L200" s="474"/>
      <c r="M200" s="461"/>
      <c r="N200" s="461"/>
      <c r="O200" s="474"/>
      <c r="P200" s="474"/>
      <c r="Q200" s="461"/>
      <c r="R200" s="461"/>
      <c r="S200" s="474"/>
      <c r="T200" s="474"/>
      <c r="U200" s="461"/>
      <c r="V200" s="461"/>
      <c r="W200" s="480"/>
      <c r="X200" s="382">
        <f>IF(C200=0,,VLOOKUP(E200,#REF!,2, FALSE()))</f>
        <v>0</v>
      </c>
      <c r="Y200" s="384">
        <f>IF(C200=0,,VLOOKUP(E200,#REF!,3, FALSE()))</f>
        <v>0</v>
      </c>
      <c r="Z200" s="385"/>
      <c r="AA200" s="74"/>
      <c r="AB200" s="386" t="s">
        <v>1036</v>
      </c>
      <c r="AC200" s="74"/>
      <c r="AD200" s="74"/>
      <c r="AE200" s="74"/>
      <c r="AF200" s="74"/>
      <c r="AG200" s="74"/>
      <c r="AH200" s="74"/>
      <c r="AI200" s="74"/>
      <c r="AJ200" s="389"/>
      <c r="AK200" s="287" t="e">
        <f t="shared" ref="AK200:BO200" si="223">(MID(#REF!, 7,2))</f>
        <v>#REF!</v>
      </c>
      <c r="AL200" s="287" t="e">
        <f t="shared" si="223"/>
        <v>#REF!</v>
      </c>
      <c r="AM200" s="287" t="e">
        <f t="shared" si="223"/>
        <v>#REF!</v>
      </c>
      <c r="AN200" s="287" t="e">
        <f t="shared" si="223"/>
        <v>#REF!</v>
      </c>
      <c r="AO200" s="287" t="e">
        <f t="shared" si="223"/>
        <v>#REF!</v>
      </c>
      <c r="AP200" s="287" t="e">
        <f t="shared" si="223"/>
        <v>#REF!</v>
      </c>
      <c r="AQ200" s="287" t="e">
        <f t="shared" si="223"/>
        <v>#REF!</v>
      </c>
      <c r="AR200" s="287" t="e">
        <f t="shared" si="223"/>
        <v>#REF!</v>
      </c>
      <c r="AS200" s="287" t="e">
        <f t="shared" si="223"/>
        <v>#REF!</v>
      </c>
      <c r="AT200" s="287" t="e">
        <f t="shared" si="223"/>
        <v>#REF!</v>
      </c>
      <c r="AU200" s="287" t="e">
        <f t="shared" si="223"/>
        <v>#REF!</v>
      </c>
      <c r="AV200" s="287" t="e">
        <f t="shared" si="223"/>
        <v>#REF!</v>
      </c>
      <c r="AW200" s="287" t="e">
        <f t="shared" si="223"/>
        <v>#REF!</v>
      </c>
      <c r="AX200" s="287" t="e">
        <f t="shared" si="223"/>
        <v>#REF!</v>
      </c>
      <c r="AY200" s="287" t="e">
        <f t="shared" si="223"/>
        <v>#REF!</v>
      </c>
      <c r="AZ200" s="287" t="e">
        <f t="shared" si="223"/>
        <v>#REF!</v>
      </c>
      <c r="BA200" s="287" t="e">
        <f t="shared" si="223"/>
        <v>#REF!</v>
      </c>
      <c r="BB200" s="287" t="e">
        <f t="shared" si="223"/>
        <v>#REF!</v>
      </c>
      <c r="BC200" s="287" t="e">
        <f t="shared" si="223"/>
        <v>#REF!</v>
      </c>
      <c r="BD200" s="287" t="e">
        <f t="shared" si="223"/>
        <v>#REF!</v>
      </c>
      <c r="BE200" s="287" t="e">
        <f t="shared" si="223"/>
        <v>#REF!</v>
      </c>
      <c r="BF200" s="287" t="e">
        <f t="shared" si="223"/>
        <v>#REF!</v>
      </c>
      <c r="BG200" s="287" t="e">
        <f t="shared" si="223"/>
        <v>#REF!</v>
      </c>
      <c r="BH200" s="287" t="e">
        <f t="shared" si="223"/>
        <v>#REF!</v>
      </c>
      <c r="BI200" s="287" t="e">
        <f t="shared" si="223"/>
        <v>#REF!</v>
      </c>
      <c r="BJ200" s="287" t="e">
        <f t="shared" si="223"/>
        <v>#REF!</v>
      </c>
      <c r="BK200" s="287" t="e">
        <f t="shared" si="223"/>
        <v>#REF!</v>
      </c>
      <c r="BL200" s="287" t="e">
        <f t="shared" si="223"/>
        <v>#REF!</v>
      </c>
      <c r="BM200" s="287" t="e">
        <f t="shared" si="223"/>
        <v>#REF!</v>
      </c>
      <c r="BN200" s="287" t="e">
        <f t="shared" si="223"/>
        <v>#REF!</v>
      </c>
      <c r="BO200" s="287" t="e">
        <f t="shared" si="223"/>
        <v>#REF!</v>
      </c>
    </row>
    <row r="201" spans="1:67" ht="20.25" customHeight="1">
      <c r="A201" s="443" t="s">
        <v>2953</v>
      </c>
      <c r="B201" s="444">
        <f ca="1">B198-B199-B200</f>
        <v>0</v>
      </c>
      <c r="C201" s="200">
        <v>0</v>
      </c>
      <c r="D201" s="361" t="str">
        <f t="shared" si="214"/>
        <v>R20</v>
      </c>
      <c r="E201" s="74">
        <f t="shared" si="215"/>
        <v>0</v>
      </c>
      <c r="F201" s="337">
        <f>IF(C201=0,,VLOOKUP(E201,#REF!,5, FALSE()))</f>
        <v>0</v>
      </c>
      <c r="G201" s="473"/>
      <c r="H201" s="473"/>
      <c r="I201" s="461"/>
      <c r="J201" s="461"/>
      <c r="K201" s="474"/>
      <c r="L201" s="474"/>
      <c r="M201" s="461"/>
      <c r="N201" s="461"/>
      <c r="O201" s="474"/>
      <c r="P201" s="474"/>
      <c r="Q201" s="461"/>
      <c r="R201" s="461"/>
      <c r="S201" s="474"/>
      <c r="T201" s="474"/>
      <c r="U201" s="461"/>
      <c r="V201" s="461"/>
      <c r="W201" s="481"/>
      <c r="X201" s="382">
        <f>IF(C201=0,,VLOOKUP(E201,#REF!,2, FALSE()))</f>
        <v>0</v>
      </c>
      <c r="Y201" s="384">
        <f>IF(C201=0,,VLOOKUP(E201,#REF!,3, FALSE()))</f>
        <v>0</v>
      </c>
      <c r="Z201" s="385"/>
      <c r="AA201" s="74"/>
      <c r="AB201" s="386" t="s">
        <v>1036</v>
      </c>
      <c r="AC201" s="74"/>
      <c r="AD201" s="74"/>
      <c r="AE201" s="74"/>
      <c r="AF201" s="74"/>
      <c r="AG201" s="74"/>
      <c r="AH201" s="74"/>
      <c r="AI201" s="74"/>
      <c r="AJ201" s="389"/>
      <c r="AK201" s="287" t="e">
        <f t="shared" ref="AK201:BO201" si="224">(MID(#REF!, 7,2))</f>
        <v>#REF!</v>
      </c>
      <c r="AL201" s="287" t="e">
        <f t="shared" si="224"/>
        <v>#REF!</v>
      </c>
      <c r="AM201" s="287" t="e">
        <f t="shared" si="224"/>
        <v>#REF!</v>
      </c>
      <c r="AN201" s="287" t="e">
        <f t="shared" si="224"/>
        <v>#REF!</v>
      </c>
      <c r="AO201" s="287" t="e">
        <f t="shared" si="224"/>
        <v>#REF!</v>
      </c>
      <c r="AP201" s="287" t="e">
        <f t="shared" si="224"/>
        <v>#REF!</v>
      </c>
      <c r="AQ201" s="287" t="e">
        <f t="shared" si="224"/>
        <v>#REF!</v>
      </c>
      <c r="AR201" s="287" t="e">
        <f t="shared" si="224"/>
        <v>#REF!</v>
      </c>
      <c r="AS201" s="287" t="e">
        <f t="shared" si="224"/>
        <v>#REF!</v>
      </c>
      <c r="AT201" s="287" t="e">
        <f t="shared" si="224"/>
        <v>#REF!</v>
      </c>
      <c r="AU201" s="287" t="e">
        <f t="shared" si="224"/>
        <v>#REF!</v>
      </c>
      <c r="AV201" s="287" t="e">
        <f t="shared" si="224"/>
        <v>#REF!</v>
      </c>
      <c r="AW201" s="287" t="e">
        <f t="shared" si="224"/>
        <v>#REF!</v>
      </c>
      <c r="AX201" s="287" t="e">
        <f t="shared" si="224"/>
        <v>#REF!</v>
      </c>
      <c r="AY201" s="287" t="e">
        <f t="shared" si="224"/>
        <v>#REF!</v>
      </c>
      <c r="AZ201" s="287" t="e">
        <f t="shared" si="224"/>
        <v>#REF!</v>
      </c>
      <c r="BA201" s="287" t="e">
        <f t="shared" si="224"/>
        <v>#REF!</v>
      </c>
      <c r="BB201" s="287" t="e">
        <f t="shared" si="224"/>
        <v>#REF!</v>
      </c>
      <c r="BC201" s="287" t="e">
        <f t="shared" si="224"/>
        <v>#REF!</v>
      </c>
      <c r="BD201" s="287" t="e">
        <f t="shared" si="224"/>
        <v>#REF!</v>
      </c>
      <c r="BE201" s="287" t="e">
        <f t="shared" si="224"/>
        <v>#REF!</v>
      </c>
      <c r="BF201" s="287" t="e">
        <f t="shared" si="224"/>
        <v>#REF!</v>
      </c>
      <c r="BG201" s="287" t="e">
        <f t="shared" si="224"/>
        <v>#REF!</v>
      </c>
      <c r="BH201" s="287" t="e">
        <f t="shared" si="224"/>
        <v>#REF!</v>
      </c>
      <c r="BI201" s="287" t="e">
        <f t="shared" si="224"/>
        <v>#REF!</v>
      </c>
      <c r="BJ201" s="287" t="e">
        <f t="shared" si="224"/>
        <v>#REF!</v>
      </c>
      <c r="BK201" s="287" t="e">
        <f t="shared" si="224"/>
        <v>#REF!</v>
      </c>
      <c r="BL201" s="287" t="e">
        <f t="shared" si="224"/>
        <v>#REF!</v>
      </c>
      <c r="BM201" s="287" t="e">
        <f t="shared" si="224"/>
        <v>#REF!</v>
      </c>
      <c r="BN201" s="287" t="e">
        <f t="shared" si="224"/>
        <v>#REF!</v>
      </c>
      <c r="BO201" s="287" t="e">
        <f t="shared" si="224"/>
        <v>#REF!</v>
      </c>
    </row>
    <row r="202" spans="1:67" ht="3.75" customHeight="1">
      <c r="G202" s="446"/>
      <c r="H202" s="446"/>
      <c r="I202" s="285"/>
      <c r="J202" s="285"/>
      <c r="K202" s="346"/>
      <c r="L202" s="346"/>
      <c r="M202" s="285"/>
      <c r="N202" s="285"/>
      <c r="O202" s="346"/>
      <c r="P202" s="346"/>
      <c r="Q202" s="285"/>
      <c r="R202" s="285"/>
      <c r="S202" s="346"/>
      <c r="T202" s="346"/>
      <c r="U202" s="285"/>
      <c r="V202" s="285"/>
      <c r="Y202" s="447"/>
      <c r="AK202" s="346"/>
      <c r="AL202" s="346"/>
      <c r="AM202" s="346"/>
      <c r="AN202" s="346"/>
      <c r="AO202" s="346"/>
      <c r="AP202" s="346"/>
      <c r="AQ202" s="346"/>
      <c r="AR202" s="346"/>
      <c r="AS202" s="346"/>
      <c r="AT202" s="346"/>
      <c r="AU202" s="346"/>
      <c r="AV202" s="346"/>
      <c r="AW202" s="346"/>
      <c r="AX202" s="346"/>
      <c r="AY202" s="346"/>
      <c r="AZ202" s="346"/>
      <c r="BA202" s="346"/>
      <c r="BB202" s="346"/>
      <c r="BC202" s="346"/>
      <c r="BD202" s="346"/>
      <c r="BE202" s="346"/>
      <c r="BF202" s="346"/>
      <c r="BG202" s="346"/>
      <c r="BH202" s="346"/>
      <c r="BI202" s="346"/>
      <c r="BJ202" s="346"/>
      <c r="BK202" s="346"/>
      <c r="BL202" s="346"/>
      <c r="BM202" s="346"/>
      <c r="BN202" s="346"/>
      <c r="BO202" s="346"/>
    </row>
    <row r="203" spans="1:67" ht="15.75" customHeight="1">
      <c r="G203" s="475"/>
      <c r="H203" s="475"/>
      <c r="Y203" s="79"/>
    </row>
    <row r="204" spans="1:67" ht="15.75" customHeight="1">
      <c r="G204" s="475"/>
      <c r="H204" s="475"/>
      <c r="Y204" s="79"/>
    </row>
    <row r="205" spans="1:67" ht="15.75" customHeight="1">
      <c r="G205" s="475"/>
      <c r="H205" s="475"/>
      <c r="Y205" s="79"/>
    </row>
    <row r="206" spans="1:67" ht="15.75" customHeight="1">
      <c r="G206" s="475"/>
      <c r="H206" s="475"/>
      <c r="Y206" s="79"/>
    </row>
    <row r="207" spans="1:67" ht="15.75" customHeight="1">
      <c r="G207" s="475"/>
      <c r="H207" s="475"/>
      <c r="Y207" s="79"/>
    </row>
    <row r="208" spans="1:67" ht="15.75" customHeight="1">
      <c r="G208" s="475"/>
      <c r="H208" s="475"/>
      <c r="Y208" s="79"/>
    </row>
    <row r="209" spans="7:25" ht="15.75" customHeight="1">
      <c r="G209" s="475"/>
      <c r="H209" s="475"/>
      <c r="Y209" s="79"/>
    </row>
    <row r="210" spans="7:25" ht="15.75" customHeight="1">
      <c r="G210" s="475"/>
      <c r="H210" s="475"/>
      <c r="Y210" s="79"/>
    </row>
    <row r="211" spans="7:25" ht="15.75" customHeight="1">
      <c r="G211" s="475"/>
      <c r="H211" s="475"/>
      <c r="Y211" s="79"/>
    </row>
    <row r="212" spans="7:25" ht="15.75" customHeight="1">
      <c r="G212" s="475"/>
      <c r="H212" s="475"/>
      <c r="Y212" s="79"/>
    </row>
    <row r="213" spans="7:25" ht="15.75" customHeight="1">
      <c r="G213" s="475"/>
      <c r="H213" s="475"/>
      <c r="Y213" s="79"/>
    </row>
    <row r="214" spans="7:25" ht="15.75" customHeight="1">
      <c r="G214" s="475"/>
      <c r="H214" s="475"/>
      <c r="Y214" s="79"/>
    </row>
    <row r="215" spans="7:25" ht="15.75" customHeight="1">
      <c r="G215" s="475"/>
      <c r="H215" s="475"/>
      <c r="Y215" s="79"/>
    </row>
    <row r="216" spans="7:25" ht="15.75" customHeight="1">
      <c r="G216" s="475"/>
      <c r="H216" s="475"/>
      <c r="Y216" s="79"/>
    </row>
    <row r="217" spans="7:25" ht="15.75" customHeight="1">
      <c r="G217" s="475"/>
      <c r="H217" s="475"/>
      <c r="Y217" s="79"/>
    </row>
    <row r="218" spans="7:25" ht="15.75" customHeight="1">
      <c r="G218" s="475"/>
      <c r="H218" s="475"/>
      <c r="Y218" s="79"/>
    </row>
    <row r="219" spans="7:25" ht="15.75" customHeight="1">
      <c r="G219" s="475"/>
      <c r="H219" s="475"/>
      <c r="Y219" s="79"/>
    </row>
    <row r="220" spans="7:25" ht="15.75" customHeight="1">
      <c r="G220" s="475"/>
      <c r="H220" s="475"/>
      <c r="Y220" s="79"/>
    </row>
    <row r="221" spans="7:25" ht="15.75" customHeight="1">
      <c r="G221" s="475"/>
      <c r="H221" s="475"/>
      <c r="Y221" s="79"/>
    </row>
    <row r="222" spans="7:25" ht="15.75" customHeight="1">
      <c r="G222" s="475"/>
      <c r="H222" s="475"/>
      <c r="Y222" s="79"/>
    </row>
    <row r="223" spans="7:25" ht="15.75" customHeight="1">
      <c r="G223" s="475"/>
      <c r="H223" s="475"/>
      <c r="Y223" s="79"/>
    </row>
    <row r="224" spans="7:25" ht="15.75" customHeight="1">
      <c r="G224" s="475"/>
      <c r="H224" s="475"/>
      <c r="Y224" s="79"/>
    </row>
    <row r="225" spans="7:25" ht="15.75" customHeight="1">
      <c r="G225" s="475"/>
      <c r="H225" s="475"/>
      <c r="Y225" s="79"/>
    </row>
    <row r="226" spans="7:25" ht="15.75" customHeight="1">
      <c r="G226" s="475"/>
      <c r="H226" s="475"/>
      <c r="Y226" s="79"/>
    </row>
    <row r="227" spans="7:25" ht="15.75" customHeight="1">
      <c r="G227" s="475"/>
      <c r="H227" s="475"/>
      <c r="Y227" s="79"/>
    </row>
    <row r="228" spans="7:25" ht="15.75" customHeight="1">
      <c r="G228" s="475"/>
      <c r="H228" s="475"/>
      <c r="Y228" s="79"/>
    </row>
    <row r="229" spans="7:25" ht="15.75" customHeight="1">
      <c r="G229" s="475"/>
      <c r="H229" s="475"/>
      <c r="Y229" s="79"/>
    </row>
    <row r="230" spans="7:25" ht="15.75" customHeight="1">
      <c r="G230" s="475"/>
      <c r="H230" s="475"/>
      <c r="Y230" s="79"/>
    </row>
    <row r="231" spans="7:25" ht="15.75" customHeight="1">
      <c r="G231" s="475"/>
      <c r="H231" s="475"/>
      <c r="Y231" s="79"/>
    </row>
    <row r="232" spans="7:25" ht="15.75" customHeight="1">
      <c r="G232" s="475"/>
      <c r="H232" s="475"/>
      <c r="Y232" s="79"/>
    </row>
    <row r="233" spans="7:25" ht="15.75" customHeight="1">
      <c r="G233" s="475"/>
      <c r="H233" s="475"/>
      <c r="Y233" s="79"/>
    </row>
    <row r="234" spans="7:25" ht="15.75" customHeight="1">
      <c r="G234" s="475"/>
      <c r="H234" s="475"/>
      <c r="Y234" s="79"/>
    </row>
    <row r="235" spans="7:25" ht="15.75" customHeight="1">
      <c r="G235" s="475"/>
      <c r="H235" s="475"/>
      <c r="Y235" s="79"/>
    </row>
    <row r="236" spans="7:25" ht="15.75" customHeight="1">
      <c r="G236" s="475"/>
      <c r="H236" s="475"/>
      <c r="Y236" s="79"/>
    </row>
    <row r="237" spans="7:25" ht="15.75" customHeight="1">
      <c r="G237" s="475"/>
      <c r="H237" s="475"/>
      <c r="Y237" s="79"/>
    </row>
    <row r="238" spans="7:25" ht="15.75" customHeight="1">
      <c r="G238" s="475"/>
      <c r="H238" s="475"/>
      <c r="Y238" s="79"/>
    </row>
    <row r="239" spans="7:25" ht="15.75" customHeight="1">
      <c r="G239" s="475"/>
      <c r="H239" s="475"/>
      <c r="Y239" s="79"/>
    </row>
    <row r="240" spans="7:25" ht="15.75" customHeight="1">
      <c r="G240" s="475"/>
      <c r="H240" s="475"/>
      <c r="Y240" s="79"/>
    </row>
    <row r="241" spans="7:25" ht="15.75" customHeight="1">
      <c r="G241" s="475"/>
      <c r="H241" s="475"/>
      <c r="Y241" s="79"/>
    </row>
    <row r="242" spans="7:25" ht="15.75" customHeight="1">
      <c r="G242" s="475"/>
      <c r="H242" s="475"/>
      <c r="Y242" s="79"/>
    </row>
    <row r="243" spans="7:25" ht="15.75" customHeight="1">
      <c r="G243" s="475"/>
      <c r="H243" s="475"/>
      <c r="Y243" s="79"/>
    </row>
    <row r="244" spans="7:25" ht="15.75" customHeight="1">
      <c r="G244" s="475"/>
      <c r="H244" s="475"/>
      <c r="Y244" s="79"/>
    </row>
    <row r="245" spans="7:25" ht="15.75" customHeight="1">
      <c r="G245" s="475"/>
      <c r="H245" s="475"/>
      <c r="Y245" s="79"/>
    </row>
    <row r="246" spans="7:25" ht="15.75" customHeight="1">
      <c r="G246" s="475"/>
      <c r="H246" s="475"/>
      <c r="Y246" s="79"/>
    </row>
    <row r="247" spans="7:25" ht="15.75" customHeight="1">
      <c r="G247" s="475"/>
      <c r="H247" s="475"/>
      <c r="Y247" s="79"/>
    </row>
    <row r="248" spans="7:25" ht="15.75" customHeight="1">
      <c r="G248" s="475"/>
      <c r="H248" s="475"/>
      <c r="Y248" s="79"/>
    </row>
    <row r="249" spans="7:25" ht="15.75" customHeight="1">
      <c r="G249" s="475"/>
      <c r="H249" s="475"/>
      <c r="Y249" s="79"/>
    </row>
    <row r="250" spans="7:25" ht="15.75" customHeight="1">
      <c r="G250" s="475"/>
      <c r="H250" s="475"/>
      <c r="Y250" s="79"/>
    </row>
    <row r="251" spans="7:25" ht="15.75" customHeight="1">
      <c r="G251" s="475"/>
      <c r="H251" s="475"/>
      <c r="Y251" s="79"/>
    </row>
    <row r="252" spans="7:25" ht="15.75" customHeight="1">
      <c r="G252" s="475"/>
      <c r="H252" s="475"/>
      <c r="Y252" s="79"/>
    </row>
    <row r="253" spans="7:25" ht="15.75" customHeight="1">
      <c r="G253" s="475"/>
      <c r="H253" s="475"/>
      <c r="Y253" s="79"/>
    </row>
    <row r="254" spans="7:25" ht="15.75" customHeight="1">
      <c r="G254" s="475"/>
      <c r="H254" s="475"/>
      <c r="Y254" s="79"/>
    </row>
    <row r="255" spans="7:25" ht="15.75" customHeight="1">
      <c r="G255" s="475"/>
      <c r="H255" s="475"/>
      <c r="Y255" s="79"/>
    </row>
    <row r="256" spans="7:25" ht="15.75" customHeight="1">
      <c r="G256" s="475"/>
      <c r="H256" s="475"/>
      <c r="Y256" s="79"/>
    </row>
    <row r="257" spans="7:25" ht="15.75" customHeight="1">
      <c r="G257" s="475"/>
      <c r="H257" s="475"/>
      <c r="Y257" s="79"/>
    </row>
    <row r="258" spans="7:25" ht="15.75" customHeight="1">
      <c r="G258" s="475"/>
      <c r="H258" s="475"/>
      <c r="Y258" s="79"/>
    </row>
    <row r="259" spans="7:25" ht="15.75" customHeight="1">
      <c r="G259" s="475"/>
      <c r="H259" s="475"/>
      <c r="Y259" s="79"/>
    </row>
    <row r="260" spans="7:25" ht="15.75" customHeight="1">
      <c r="G260" s="475"/>
      <c r="H260" s="475"/>
      <c r="Y260" s="79"/>
    </row>
    <row r="261" spans="7:25" ht="15.75" customHeight="1">
      <c r="G261" s="475"/>
      <c r="H261" s="475"/>
      <c r="Y261" s="79"/>
    </row>
    <row r="262" spans="7:25" ht="15.75" customHeight="1">
      <c r="G262" s="475"/>
      <c r="H262" s="475"/>
      <c r="Y262" s="79"/>
    </row>
    <row r="263" spans="7:25" ht="15.75" customHeight="1">
      <c r="G263" s="475"/>
      <c r="H263" s="475"/>
      <c r="Y263" s="79"/>
    </row>
    <row r="264" spans="7:25" ht="15.75" customHeight="1">
      <c r="G264" s="475"/>
      <c r="H264" s="475"/>
      <c r="Y264" s="79"/>
    </row>
    <row r="265" spans="7:25" ht="15.75" customHeight="1">
      <c r="G265" s="475"/>
      <c r="H265" s="475"/>
      <c r="Y265" s="79"/>
    </row>
    <row r="266" spans="7:25" ht="15.75" customHeight="1">
      <c r="G266" s="475"/>
      <c r="H266" s="475"/>
      <c r="Y266" s="79"/>
    </row>
    <row r="267" spans="7:25" ht="15.75" customHeight="1">
      <c r="G267" s="475"/>
      <c r="H267" s="475"/>
      <c r="Y267" s="79"/>
    </row>
    <row r="268" spans="7:25" ht="15.75" customHeight="1">
      <c r="G268" s="475"/>
      <c r="H268" s="475"/>
      <c r="Y268" s="79"/>
    </row>
    <row r="269" spans="7:25" ht="15.75" customHeight="1">
      <c r="G269" s="475"/>
      <c r="H269" s="475"/>
      <c r="Y269" s="79"/>
    </row>
    <row r="270" spans="7:25" ht="15.75" customHeight="1">
      <c r="G270" s="475"/>
      <c r="H270" s="475"/>
      <c r="Y270" s="79"/>
    </row>
    <row r="271" spans="7:25" ht="15.75" customHeight="1">
      <c r="G271" s="475"/>
      <c r="H271" s="475"/>
      <c r="Y271" s="79"/>
    </row>
    <row r="272" spans="7:25" ht="15.75" customHeight="1">
      <c r="G272" s="475"/>
      <c r="H272" s="475"/>
      <c r="Y272" s="79"/>
    </row>
    <row r="273" spans="7:25" ht="15.75" customHeight="1">
      <c r="G273" s="475"/>
      <c r="H273" s="475"/>
      <c r="Y273" s="79"/>
    </row>
    <row r="274" spans="7:25" ht="15.75" customHeight="1">
      <c r="G274" s="475"/>
      <c r="H274" s="475"/>
      <c r="Y274" s="79"/>
    </row>
    <row r="275" spans="7:25" ht="15.75" customHeight="1">
      <c r="G275" s="475"/>
      <c r="H275" s="475"/>
      <c r="Y275" s="79"/>
    </row>
    <row r="276" spans="7:25" ht="15.75" customHeight="1">
      <c r="G276" s="475"/>
      <c r="H276" s="475"/>
      <c r="Y276" s="79"/>
    </row>
    <row r="277" spans="7:25" ht="15.75" customHeight="1">
      <c r="G277" s="475"/>
      <c r="H277" s="475"/>
      <c r="Y277" s="79"/>
    </row>
    <row r="278" spans="7:25" ht="15.75" customHeight="1">
      <c r="G278" s="475"/>
      <c r="H278" s="475"/>
      <c r="Y278" s="79"/>
    </row>
    <row r="279" spans="7:25" ht="15.75" customHeight="1">
      <c r="G279" s="475"/>
      <c r="H279" s="475"/>
      <c r="Y279" s="79"/>
    </row>
    <row r="280" spans="7:25" ht="15.75" customHeight="1">
      <c r="G280" s="475"/>
      <c r="H280" s="475"/>
      <c r="Y280" s="79"/>
    </row>
    <row r="281" spans="7:25" ht="15.75" customHeight="1">
      <c r="G281" s="475"/>
      <c r="H281" s="475"/>
      <c r="Y281" s="79"/>
    </row>
    <row r="282" spans="7:25" ht="15.75" customHeight="1">
      <c r="G282" s="475"/>
      <c r="H282" s="475"/>
      <c r="Y282" s="79"/>
    </row>
    <row r="283" spans="7:25" ht="15.75" customHeight="1">
      <c r="G283" s="475"/>
      <c r="H283" s="475"/>
      <c r="Y283" s="79"/>
    </row>
    <row r="284" spans="7:25" ht="15.75" customHeight="1">
      <c r="G284" s="475"/>
      <c r="H284" s="475"/>
      <c r="Y284" s="79"/>
    </row>
    <row r="285" spans="7:25" ht="15.75" customHeight="1">
      <c r="G285" s="475"/>
      <c r="H285" s="475"/>
      <c r="Y285" s="79"/>
    </row>
    <row r="286" spans="7:25" ht="15.75" customHeight="1">
      <c r="G286" s="475"/>
      <c r="H286" s="475"/>
      <c r="Y286" s="79"/>
    </row>
    <row r="287" spans="7:25" ht="15.75" customHeight="1">
      <c r="G287" s="475"/>
      <c r="H287" s="475"/>
      <c r="Y287" s="79"/>
    </row>
    <row r="288" spans="7:25" ht="15.75" customHeight="1">
      <c r="G288" s="475"/>
      <c r="H288" s="475"/>
      <c r="Y288" s="79"/>
    </row>
    <row r="289" spans="7:25" ht="15.75" customHeight="1">
      <c r="G289" s="475"/>
      <c r="H289" s="475"/>
      <c r="Y289" s="79"/>
    </row>
    <row r="290" spans="7:25" ht="15.75" customHeight="1">
      <c r="G290" s="475"/>
      <c r="H290" s="475"/>
      <c r="Y290" s="79"/>
    </row>
    <row r="291" spans="7:25" ht="15.75" customHeight="1">
      <c r="G291" s="475"/>
      <c r="H291" s="475"/>
      <c r="Y291" s="79"/>
    </row>
    <row r="292" spans="7:25" ht="15.75" customHeight="1">
      <c r="G292" s="475"/>
      <c r="H292" s="475"/>
      <c r="Y292" s="79"/>
    </row>
    <row r="293" spans="7:25" ht="15.75" customHeight="1">
      <c r="G293" s="475"/>
      <c r="H293" s="475"/>
      <c r="Y293" s="79"/>
    </row>
    <row r="294" spans="7:25" ht="15.75" customHeight="1">
      <c r="G294" s="475"/>
      <c r="H294" s="475"/>
      <c r="Y294" s="79"/>
    </row>
    <row r="295" spans="7:25" ht="15.75" customHeight="1">
      <c r="G295" s="475"/>
      <c r="H295" s="475"/>
      <c r="Y295" s="79"/>
    </row>
    <row r="296" spans="7:25" ht="15.75" customHeight="1">
      <c r="G296" s="475"/>
      <c r="H296" s="475"/>
      <c r="Y296" s="79"/>
    </row>
    <row r="297" spans="7:25" ht="15.75" customHeight="1">
      <c r="G297" s="475"/>
      <c r="H297" s="475"/>
      <c r="Y297" s="79"/>
    </row>
    <row r="298" spans="7:25" ht="15.75" customHeight="1">
      <c r="G298" s="475"/>
      <c r="H298" s="475"/>
      <c r="Y298" s="79"/>
    </row>
    <row r="299" spans="7:25" ht="15.75" customHeight="1">
      <c r="G299" s="475"/>
      <c r="H299" s="475"/>
      <c r="Y299" s="79"/>
    </row>
    <row r="300" spans="7:25" ht="15.75" customHeight="1">
      <c r="G300" s="475"/>
      <c r="H300" s="475"/>
      <c r="Y300" s="79"/>
    </row>
    <row r="301" spans="7:25" ht="15.75" customHeight="1">
      <c r="G301" s="475"/>
      <c r="H301" s="475"/>
      <c r="Y301" s="79"/>
    </row>
    <row r="302" spans="7:25" ht="15.75" customHeight="1">
      <c r="G302" s="475"/>
      <c r="H302" s="475"/>
      <c r="Y302" s="79"/>
    </row>
    <row r="303" spans="7:25" ht="15.75" customHeight="1">
      <c r="G303" s="475"/>
      <c r="H303" s="475"/>
      <c r="Y303" s="79"/>
    </row>
    <row r="304" spans="7:25" ht="15.75" customHeight="1">
      <c r="G304" s="475"/>
      <c r="H304" s="475"/>
      <c r="Y304" s="79"/>
    </row>
    <row r="305" spans="7:25" ht="15.75" customHeight="1">
      <c r="G305" s="475"/>
      <c r="H305" s="475"/>
      <c r="Y305" s="79"/>
    </row>
    <row r="306" spans="7:25" ht="15.75" customHeight="1">
      <c r="G306" s="475"/>
      <c r="H306" s="475"/>
      <c r="Y306" s="79"/>
    </row>
    <row r="307" spans="7:25" ht="15.75" customHeight="1">
      <c r="G307" s="475"/>
      <c r="H307" s="475"/>
      <c r="Y307" s="79"/>
    </row>
    <row r="308" spans="7:25" ht="15.75" customHeight="1">
      <c r="G308" s="475"/>
      <c r="H308" s="475"/>
      <c r="Y308" s="79"/>
    </row>
    <row r="309" spans="7:25" ht="15.75" customHeight="1">
      <c r="G309" s="475"/>
      <c r="H309" s="475"/>
      <c r="Y309" s="79"/>
    </row>
    <row r="310" spans="7:25" ht="15.75" customHeight="1">
      <c r="G310" s="475"/>
      <c r="H310" s="475"/>
      <c r="Y310" s="79"/>
    </row>
    <row r="311" spans="7:25" ht="15.75" customHeight="1">
      <c r="G311" s="475"/>
      <c r="H311" s="475"/>
      <c r="Y311" s="79"/>
    </row>
    <row r="312" spans="7:25" ht="15.75" customHeight="1">
      <c r="G312" s="475"/>
      <c r="H312" s="475"/>
      <c r="Y312" s="79"/>
    </row>
    <row r="313" spans="7:25" ht="15.75" customHeight="1">
      <c r="G313" s="475"/>
      <c r="H313" s="475"/>
      <c r="Y313" s="79"/>
    </row>
    <row r="314" spans="7:25" ht="15.75" customHeight="1">
      <c r="G314" s="475"/>
      <c r="H314" s="475"/>
      <c r="Y314" s="79"/>
    </row>
    <row r="315" spans="7:25" ht="15.75" customHeight="1">
      <c r="G315" s="475"/>
      <c r="H315" s="475"/>
      <c r="Y315" s="79"/>
    </row>
    <row r="316" spans="7:25" ht="15.75" customHeight="1">
      <c r="G316" s="475"/>
      <c r="H316" s="475"/>
      <c r="Y316" s="79"/>
    </row>
    <row r="317" spans="7:25" ht="15.75" customHeight="1">
      <c r="G317" s="475"/>
      <c r="H317" s="475"/>
      <c r="Y317" s="79"/>
    </row>
    <row r="318" spans="7:25" ht="15.75" customHeight="1">
      <c r="G318" s="475"/>
      <c r="H318" s="475"/>
      <c r="Y318" s="79"/>
    </row>
    <row r="319" spans="7:25" ht="15.75" customHeight="1">
      <c r="G319" s="475"/>
      <c r="H319" s="475"/>
      <c r="Y319" s="79"/>
    </row>
    <row r="320" spans="7:25" ht="15.75" customHeight="1">
      <c r="G320" s="475"/>
      <c r="H320" s="475"/>
      <c r="Y320" s="79"/>
    </row>
    <row r="321" spans="7:25" ht="15.75" customHeight="1">
      <c r="G321" s="475"/>
      <c r="H321" s="475"/>
      <c r="Y321" s="79"/>
    </row>
    <row r="322" spans="7:25" ht="15.75" customHeight="1">
      <c r="G322" s="475"/>
      <c r="H322" s="475"/>
      <c r="Y322" s="79"/>
    </row>
    <row r="323" spans="7:25" ht="15.75" customHeight="1">
      <c r="G323" s="475"/>
      <c r="H323" s="475"/>
      <c r="Y323" s="79"/>
    </row>
    <row r="324" spans="7:25" ht="15.75" customHeight="1">
      <c r="G324" s="475"/>
      <c r="H324" s="475"/>
      <c r="Y324" s="79"/>
    </row>
    <row r="325" spans="7:25" ht="15.75" customHeight="1">
      <c r="G325" s="475"/>
      <c r="H325" s="475"/>
      <c r="Y325" s="79"/>
    </row>
    <row r="326" spans="7:25" ht="15.75" customHeight="1">
      <c r="G326" s="475"/>
      <c r="H326" s="475"/>
      <c r="Y326" s="79"/>
    </row>
    <row r="327" spans="7:25" ht="15.75" customHeight="1">
      <c r="G327" s="475"/>
      <c r="H327" s="475"/>
      <c r="Y327" s="79"/>
    </row>
    <row r="328" spans="7:25" ht="15.75" customHeight="1">
      <c r="G328" s="475"/>
      <c r="H328" s="475"/>
      <c r="Y328" s="79"/>
    </row>
    <row r="329" spans="7:25" ht="15.75" customHeight="1">
      <c r="G329" s="475"/>
      <c r="H329" s="475"/>
      <c r="Y329" s="79"/>
    </row>
    <row r="330" spans="7:25" ht="15.75" customHeight="1">
      <c r="G330" s="475"/>
      <c r="H330" s="475"/>
      <c r="Y330" s="79"/>
    </row>
    <row r="331" spans="7:25" ht="15.75" customHeight="1">
      <c r="G331" s="475"/>
      <c r="H331" s="475"/>
      <c r="Y331" s="79"/>
    </row>
    <row r="332" spans="7:25" ht="15.75" customHeight="1">
      <c r="G332" s="475"/>
      <c r="H332" s="475"/>
      <c r="Y332" s="79"/>
    </row>
    <row r="333" spans="7:25" ht="15.75" customHeight="1">
      <c r="G333" s="475"/>
      <c r="H333" s="475"/>
      <c r="Y333" s="79"/>
    </row>
    <row r="334" spans="7:25" ht="15.75" customHeight="1">
      <c r="G334" s="475"/>
      <c r="H334" s="475"/>
      <c r="Y334" s="79"/>
    </row>
    <row r="335" spans="7:25" ht="15.75" customHeight="1">
      <c r="G335" s="475"/>
      <c r="H335" s="475"/>
      <c r="Y335" s="79"/>
    </row>
    <row r="336" spans="7:25" ht="15.75" customHeight="1">
      <c r="G336" s="475"/>
      <c r="H336" s="475"/>
      <c r="Y336" s="79"/>
    </row>
    <row r="337" spans="7:25" ht="15.75" customHeight="1">
      <c r="G337" s="475"/>
      <c r="H337" s="475"/>
      <c r="Y337" s="79"/>
    </row>
    <row r="338" spans="7:25" ht="15.75" customHeight="1">
      <c r="G338" s="475"/>
      <c r="H338" s="475"/>
      <c r="Y338" s="79"/>
    </row>
    <row r="339" spans="7:25" ht="15.75" customHeight="1">
      <c r="G339" s="475"/>
      <c r="H339" s="475"/>
      <c r="Y339" s="79"/>
    </row>
    <row r="340" spans="7:25" ht="15.75" customHeight="1">
      <c r="G340" s="475"/>
      <c r="H340" s="475"/>
      <c r="Y340" s="79"/>
    </row>
    <row r="341" spans="7:25" ht="15.75" customHeight="1">
      <c r="G341" s="475"/>
      <c r="H341" s="475"/>
      <c r="Y341" s="79"/>
    </row>
    <row r="342" spans="7:25" ht="15.75" customHeight="1">
      <c r="G342" s="475"/>
      <c r="H342" s="475"/>
      <c r="Y342" s="79"/>
    </row>
    <row r="343" spans="7:25" ht="15.75" customHeight="1">
      <c r="G343" s="475"/>
      <c r="H343" s="475"/>
      <c r="Y343" s="79"/>
    </row>
    <row r="344" spans="7:25" ht="15.75" customHeight="1">
      <c r="G344" s="475"/>
      <c r="H344" s="475"/>
      <c r="Y344" s="79"/>
    </row>
    <row r="345" spans="7:25" ht="15.75" customHeight="1">
      <c r="G345" s="475"/>
      <c r="H345" s="475"/>
      <c r="Y345" s="79"/>
    </row>
    <row r="346" spans="7:25" ht="15.75" customHeight="1">
      <c r="G346" s="475"/>
      <c r="H346" s="475"/>
      <c r="Y346" s="79"/>
    </row>
    <row r="347" spans="7:25" ht="15.75" customHeight="1">
      <c r="G347" s="475"/>
      <c r="H347" s="475"/>
      <c r="Y347" s="79"/>
    </row>
    <row r="348" spans="7:25" ht="15.75" customHeight="1">
      <c r="G348" s="475"/>
      <c r="H348" s="475"/>
      <c r="Y348" s="79"/>
    </row>
    <row r="349" spans="7:25" ht="15.75" customHeight="1">
      <c r="G349" s="475"/>
      <c r="H349" s="475"/>
      <c r="Y349" s="79"/>
    </row>
    <row r="350" spans="7:25" ht="15.75" customHeight="1">
      <c r="G350" s="475"/>
      <c r="H350" s="475"/>
      <c r="Y350" s="79"/>
    </row>
    <row r="351" spans="7:25" ht="15.75" customHeight="1">
      <c r="G351" s="475"/>
      <c r="H351" s="475"/>
      <c r="Y351" s="79"/>
    </row>
    <row r="352" spans="7:25" ht="15.75" customHeight="1">
      <c r="G352" s="475"/>
      <c r="H352" s="475"/>
      <c r="Y352" s="79"/>
    </row>
    <row r="353" spans="7:25" ht="15.75" customHeight="1">
      <c r="G353" s="475"/>
      <c r="H353" s="475"/>
      <c r="Y353" s="79"/>
    </row>
    <row r="354" spans="7:25" ht="15.75" customHeight="1">
      <c r="G354" s="475"/>
      <c r="H354" s="475"/>
      <c r="Y354" s="79"/>
    </row>
    <row r="355" spans="7:25" ht="15.75" customHeight="1">
      <c r="G355" s="475"/>
      <c r="H355" s="475"/>
      <c r="Y355" s="79"/>
    </row>
    <row r="356" spans="7:25" ht="15.75" customHeight="1">
      <c r="G356" s="475"/>
      <c r="H356" s="475"/>
      <c r="Y356" s="79"/>
    </row>
    <row r="357" spans="7:25" ht="15.75" customHeight="1">
      <c r="G357" s="475"/>
      <c r="H357" s="475"/>
      <c r="Y357" s="79"/>
    </row>
    <row r="358" spans="7:25" ht="15.75" customHeight="1">
      <c r="G358" s="475"/>
      <c r="H358" s="475"/>
      <c r="Y358" s="79"/>
    </row>
    <row r="359" spans="7:25" ht="15.75" customHeight="1">
      <c r="G359" s="475"/>
      <c r="H359" s="475"/>
      <c r="Y359" s="79"/>
    </row>
    <row r="360" spans="7:25" ht="15.75" customHeight="1">
      <c r="G360" s="475"/>
      <c r="H360" s="475"/>
      <c r="Y360" s="79"/>
    </row>
    <row r="361" spans="7:25" ht="15.75" customHeight="1">
      <c r="G361" s="475"/>
      <c r="H361" s="475"/>
      <c r="Y361" s="79"/>
    </row>
    <row r="362" spans="7:25" ht="15.75" customHeight="1">
      <c r="G362" s="475"/>
      <c r="H362" s="475"/>
      <c r="Y362" s="79"/>
    </row>
    <row r="363" spans="7:25" ht="15.75" customHeight="1">
      <c r="G363" s="475"/>
      <c r="H363" s="475"/>
      <c r="Y363" s="79"/>
    </row>
    <row r="364" spans="7:25" ht="15.75" customHeight="1">
      <c r="G364" s="475"/>
      <c r="H364" s="475"/>
      <c r="Y364" s="79"/>
    </row>
    <row r="365" spans="7:25" ht="15.75" customHeight="1">
      <c r="G365" s="475"/>
      <c r="H365" s="475"/>
      <c r="Y365" s="79"/>
    </row>
    <row r="366" spans="7:25" ht="15.75" customHeight="1">
      <c r="G366" s="475"/>
      <c r="H366" s="475"/>
      <c r="Y366" s="79"/>
    </row>
    <row r="367" spans="7:25" ht="15.75" customHeight="1">
      <c r="G367" s="475"/>
      <c r="H367" s="475"/>
      <c r="Y367" s="79"/>
    </row>
    <row r="368" spans="7:25" ht="15.75" customHeight="1">
      <c r="G368" s="475"/>
      <c r="H368" s="475"/>
      <c r="Y368" s="79"/>
    </row>
    <row r="369" spans="7:25" ht="15.75" customHeight="1">
      <c r="G369" s="475"/>
      <c r="H369" s="475"/>
      <c r="Y369" s="79"/>
    </row>
    <row r="370" spans="7:25" ht="15.75" customHeight="1">
      <c r="G370" s="475"/>
      <c r="H370" s="475"/>
      <c r="Y370" s="79"/>
    </row>
    <row r="371" spans="7:25" ht="15.75" customHeight="1">
      <c r="G371" s="475"/>
      <c r="H371" s="475"/>
      <c r="Y371" s="79"/>
    </row>
    <row r="372" spans="7:25" ht="15.75" customHeight="1">
      <c r="G372" s="475"/>
      <c r="H372" s="475"/>
      <c r="Y372" s="79"/>
    </row>
    <row r="373" spans="7:25" ht="15.75" customHeight="1">
      <c r="G373" s="475"/>
      <c r="H373" s="475"/>
      <c r="Y373" s="79"/>
    </row>
    <row r="374" spans="7:25" ht="15.75" customHeight="1">
      <c r="G374" s="475"/>
      <c r="H374" s="475"/>
      <c r="Y374" s="79"/>
    </row>
    <row r="375" spans="7:25" ht="15.75" customHeight="1">
      <c r="G375" s="475"/>
      <c r="H375" s="475"/>
      <c r="Y375" s="79"/>
    </row>
    <row r="376" spans="7:25" ht="15.75" customHeight="1">
      <c r="G376" s="475"/>
      <c r="H376" s="475"/>
      <c r="Y376" s="79"/>
    </row>
    <row r="377" spans="7:25" ht="15.75" customHeight="1">
      <c r="G377" s="475"/>
      <c r="H377" s="475"/>
      <c r="Y377" s="79"/>
    </row>
    <row r="378" spans="7:25" ht="15.75" customHeight="1">
      <c r="G378" s="475"/>
      <c r="H378" s="475"/>
      <c r="Y378" s="79"/>
    </row>
    <row r="379" spans="7:25" ht="15.75" customHeight="1">
      <c r="G379" s="475"/>
      <c r="H379" s="475"/>
      <c r="Y379" s="79"/>
    </row>
    <row r="380" spans="7:25" ht="15.75" customHeight="1">
      <c r="G380" s="475"/>
      <c r="H380" s="475"/>
      <c r="Y380" s="79"/>
    </row>
    <row r="381" spans="7:25" ht="15.75" customHeight="1">
      <c r="G381" s="475"/>
      <c r="H381" s="475"/>
      <c r="Y381" s="79"/>
    </row>
    <row r="382" spans="7:25" ht="15.75" customHeight="1">
      <c r="G382" s="475"/>
      <c r="H382" s="475"/>
      <c r="Y382" s="79"/>
    </row>
    <row r="383" spans="7:25" ht="15.75" customHeight="1">
      <c r="G383" s="475"/>
      <c r="H383" s="475"/>
      <c r="Y383" s="79"/>
    </row>
    <row r="384" spans="7:25" ht="15.75" customHeight="1">
      <c r="G384" s="475"/>
      <c r="H384" s="475"/>
      <c r="Y384" s="79"/>
    </row>
    <row r="385" spans="7:25" ht="15.75" customHeight="1">
      <c r="G385" s="475"/>
      <c r="H385" s="475"/>
      <c r="Y385" s="79"/>
    </row>
    <row r="386" spans="7:25" ht="15.75" customHeight="1">
      <c r="G386" s="475"/>
      <c r="H386" s="475"/>
      <c r="Y386" s="79"/>
    </row>
    <row r="387" spans="7:25" ht="15.75" customHeight="1">
      <c r="G387" s="475"/>
      <c r="H387" s="475"/>
      <c r="Y387" s="79"/>
    </row>
    <row r="388" spans="7:25" ht="15.75" customHeight="1">
      <c r="G388" s="475"/>
      <c r="H388" s="475"/>
      <c r="Y388" s="79"/>
    </row>
    <row r="389" spans="7:25" ht="15.75" customHeight="1">
      <c r="G389" s="475"/>
      <c r="H389" s="475"/>
      <c r="Y389" s="79"/>
    </row>
    <row r="390" spans="7:25" ht="15.75" customHeight="1">
      <c r="G390" s="475"/>
      <c r="H390" s="475"/>
      <c r="Y390" s="79"/>
    </row>
    <row r="391" spans="7:25" ht="15.75" customHeight="1">
      <c r="G391" s="475"/>
      <c r="H391" s="475"/>
      <c r="Y391" s="79"/>
    </row>
    <row r="392" spans="7:25" ht="15.75" customHeight="1">
      <c r="G392" s="475"/>
      <c r="H392" s="475"/>
      <c r="Y392" s="79"/>
    </row>
    <row r="393" spans="7:25" ht="15.75" customHeight="1">
      <c r="G393" s="475"/>
      <c r="H393" s="475"/>
      <c r="Y393" s="79"/>
    </row>
    <row r="394" spans="7:25" ht="15.75" customHeight="1">
      <c r="G394" s="475"/>
      <c r="H394" s="475"/>
      <c r="Y394" s="79"/>
    </row>
    <row r="395" spans="7:25" ht="15.75" customHeight="1">
      <c r="G395" s="475"/>
      <c r="H395" s="475"/>
      <c r="Y395" s="79"/>
    </row>
    <row r="396" spans="7:25" ht="15.75" customHeight="1">
      <c r="G396" s="475"/>
      <c r="H396" s="475"/>
      <c r="Y396" s="79"/>
    </row>
    <row r="397" spans="7:25" ht="15.75" customHeight="1">
      <c r="G397" s="475"/>
      <c r="H397" s="475"/>
      <c r="Y397" s="79"/>
    </row>
    <row r="398" spans="7:25" ht="15.75" customHeight="1">
      <c r="G398" s="475"/>
      <c r="H398" s="475"/>
      <c r="Y398" s="79"/>
    </row>
    <row r="399" spans="7:25" ht="15.75" customHeight="1">
      <c r="G399" s="475"/>
      <c r="H399" s="475"/>
      <c r="Y399" s="79"/>
    </row>
    <row r="400" spans="7:25" ht="15.75" customHeight="1">
      <c r="G400" s="475"/>
      <c r="H400" s="475"/>
      <c r="Y400" s="79"/>
    </row>
    <row r="401" spans="7:25" ht="15.75" customHeight="1">
      <c r="G401" s="475"/>
      <c r="H401" s="475"/>
      <c r="Y401" s="79"/>
    </row>
    <row r="402" spans="7:25" ht="15.75" customHeight="1">
      <c r="G402" s="475"/>
      <c r="H402" s="475"/>
      <c r="Y402" s="79"/>
    </row>
    <row r="403" spans="7:25" ht="15.75" customHeight="1">
      <c r="G403" s="475"/>
      <c r="H403" s="475"/>
      <c r="Y403" s="79"/>
    </row>
    <row r="404" spans="7:25" ht="15.75" customHeight="1">
      <c r="G404" s="475"/>
      <c r="H404" s="475"/>
      <c r="Y404" s="79"/>
    </row>
    <row r="405" spans="7:25" ht="15.75" customHeight="1">
      <c r="G405" s="475"/>
      <c r="H405" s="475"/>
      <c r="Y405" s="79"/>
    </row>
    <row r="406" spans="7:25" ht="15.75" customHeight="1">
      <c r="G406" s="475"/>
      <c r="H406" s="475"/>
      <c r="Y406" s="79"/>
    </row>
    <row r="407" spans="7:25" ht="15.75" customHeight="1">
      <c r="G407" s="475"/>
      <c r="H407" s="475"/>
      <c r="Y407" s="79"/>
    </row>
    <row r="408" spans="7:25" ht="15.75" customHeight="1">
      <c r="G408" s="475"/>
      <c r="H408" s="475"/>
      <c r="Y408" s="79"/>
    </row>
    <row r="409" spans="7:25" ht="15.75" customHeight="1">
      <c r="G409" s="475"/>
      <c r="H409" s="475"/>
      <c r="Y409" s="79"/>
    </row>
    <row r="410" spans="7:25" ht="15.75" customHeight="1">
      <c r="G410" s="475"/>
      <c r="H410" s="475"/>
      <c r="Y410" s="79"/>
    </row>
    <row r="411" spans="7:25" ht="15.75" customHeight="1">
      <c r="G411" s="475"/>
      <c r="H411" s="475"/>
      <c r="Y411" s="79"/>
    </row>
    <row r="412" spans="7:25" ht="15.75" customHeight="1">
      <c r="G412" s="475"/>
      <c r="H412" s="475"/>
      <c r="Y412" s="79"/>
    </row>
    <row r="413" spans="7:25" ht="15.75" customHeight="1">
      <c r="G413" s="475"/>
      <c r="H413" s="475"/>
      <c r="Y413" s="79"/>
    </row>
    <row r="414" spans="7:25" ht="15.75" customHeight="1">
      <c r="G414" s="475"/>
      <c r="H414" s="475"/>
      <c r="Y414" s="79"/>
    </row>
    <row r="415" spans="7:25" ht="15.75" customHeight="1">
      <c r="G415" s="475"/>
      <c r="H415" s="475"/>
      <c r="Y415" s="79"/>
    </row>
    <row r="416" spans="7:25" ht="15.75" customHeight="1">
      <c r="G416" s="475"/>
      <c r="H416" s="475"/>
      <c r="Y416" s="79"/>
    </row>
    <row r="417" spans="7:25" ht="15.75" customHeight="1">
      <c r="G417" s="475"/>
      <c r="H417" s="475"/>
      <c r="Y417" s="79"/>
    </row>
    <row r="418" spans="7:25" ht="15.75" customHeight="1">
      <c r="G418" s="475"/>
      <c r="H418" s="475"/>
      <c r="Y418" s="79"/>
    </row>
    <row r="419" spans="7:25" ht="15.75" customHeight="1">
      <c r="G419" s="475"/>
      <c r="H419" s="475"/>
      <c r="Y419" s="79"/>
    </row>
    <row r="420" spans="7:25" ht="15.75" customHeight="1">
      <c r="G420" s="475"/>
      <c r="H420" s="475"/>
      <c r="Y420" s="79"/>
    </row>
    <row r="421" spans="7:25" ht="15.75" customHeight="1">
      <c r="G421" s="475"/>
      <c r="H421" s="475"/>
      <c r="Y421" s="79"/>
    </row>
    <row r="422" spans="7:25" ht="15.75" customHeight="1">
      <c r="G422" s="475"/>
      <c r="H422" s="475"/>
      <c r="Y422" s="79"/>
    </row>
    <row r="423" spans="7:25" ht="15.75" customHeight="1">
      <c r="G423" s="475"/>
      <c r="H423" s="475"/>
      <c r="Y423" s="79"/>
    </row>
    <row r="424" spans="7:25" ht="15.75" customHeight="1">
      <c r="G424" s="475"/>
      <c r="H424" s="475"/>
      <c r="Y424" s="79"/>
    </row>
    <row r="425" spans="7:25" ht="15.75" customHeight="1">
      <c r="G425" s="475"/>
      <c r="H425" s="475"/>
      <c r="Y425" s="79"/>
    </row>
    <row r="426" spans="7:25" ht="15.75" customHeight="1">
      <c r="G426" s="475"/>
      <c r="H426" s="475"/>
      <c r="Y426" s="79"/>
    </row>
    <row r="427" spans="7:25" ht="15.75" customHeight="1">
      <c r="G427" s="475"/>
      <c r="H427" s="475"/>
      <c r="Y427" s="79"/>
    </row>
    <row r="428" spans="7:25" ht="15.75" customHeight="1">
      <c r="G428" s="475"/>
      <c r="H428" s="475"/>
      <c r="Y428" s="79"/>
    </row>
    <row r="429" spans="7:25" ht="15.75" customHeight="1">
      <c r="G429" s="475"/>
      <c r="H429" s="475"/>
      <c r="Y429" s="79"/>
    </row>
    <row r="430" spans="7:25" ht="15.75" customHeight="1">
      <c r="G430" s="475"/>
      <c r="H430" s="475"/>
      <c r="Y430" s="79"/>
    </row>
    <row r="431" spans="7:25" ht="15.75" customHeight="1">
      <c r="G431" s="475"/>
      <c r="H431" s="475"/>
      <c r="Y431" s="79"/>
    </row>
    <row r="432" spans="7:25" ht="15.75" customHeight="1">
      <c r="G432" s="475"/>
      <c r="H432" s="475"/>
      <c r="Y432" s="79"/>
    </row>
    <row r="433" spans="7:25" ht="15.75" customHeight="1">
      <c r="G433" s="475"/>
      <c r="H433" s="475"/>
      <c r="Y433" s="79"/>
    </row>
    <row r="434" spans="7:25" ht="15.75" customHeight="1">
      <c r="G434" s="475"/>
      <c r="H434" s="475"/>
      <c r="Y434" s="79"/>
    </row>
    <row r="435" spans="7:25" ht="15.75" customHeight="1">
      <c r="G435" s="475"/>
      <c r="H435" s="475"/>
      <c r="Y435" s="79"/>
    </row>
    <row r="436" spans="7:25" ht="15.75" customHeight="1">
      <c r="G436" s="475"/>
      <c r="H436" s="475"/>
      <c r="Y436" s="79"/>
    </row>
    <row r="437" spans="7:25" ht="15.75" customHeight="1">
      <c r="G437" s="475"/>
      <c r="H437" s="475"/>
      <c r="Y437" s="79"/>
    </row>
    <row r="438" spans="7:25" ht="15.75" customHeight="1">
      <c r="G438" s="475"/>
      <c r="H438" s="475"/>
      <c r="Y438" s="79"/>
    </row>
    <row r="439" spans="7:25" ht="15.75" customHeight="1">
      <c r="G439" s="475"/>
      <c r="H439" s="475"/>
      <c r="Y439" s="79"/>
    </row>
    <row r="440" spans="7:25" ht="15.75" customHeight="1">
      <c r="G440" s="475"/>
      <c r="H440" s="475"/>
      <c r="Y440" s="79"/>
    </row>
    <row r="441" spans="7:25" ht="15.75" customHeight="1">
      <c r="G441" s="475"/>
      <c r="H441" s="475"/>
      <c r="Y441" s="79"/>
    </row>
    <row r="442" spans="7:25" ht="15.75" customHeight="1">
      <c r="G442" s="475"/>
      <c r="H442" s="475"/>
      <c r="Y442" s="79"/>
    </row>
    <row r="443" spans="7:25" ht="15.75" customHeight="1">
      <c r="G443" s="475"/>
      <c r="H443" s="475"/>
      <c r="Y443" s="79"/>
    </row>
    <row r="444" spans="7:25" ht="15.75" customHeight="1">
      <c r="G444" s="475"/>
      <c r="H444" s="475"/>
      <c r="Y444" s="79"/>
    </row>
    <row r="445" spans="7:25" ht="15.75" customHeight="1">
      <c r="G445" s="475"/>
      <c r="H445" s="475"/>
      <c r="Y445" s="79"/>
    </row>
    <row r="446" spans="7:25" ht="15.75" customHeight="1">
      <c r="G446" s="475"/>
      <c r="H446" s="475"/>
      <c r="Y446" s="79"/>
    </row>
    <row r="447" spans="7:25" ht="15.75" customHeight="1">
      <c r="G447" s="475"/>
      <c r="H447" s="475"/>
      <c r="Y447" s="79"/>
    </row>
    <row r="448" spans="7:25" ht="15.75" customHeight="1">
      <c r="G448" s="475"/>
      <c r="H448" s="475"/>
      <c r="Y448" s="79"/>
    </row>
    <row r="449" spans="7:25" ht="15.75" customHeight="1">
      <c r="G449" s="475"/>
      <c r="H449" s="475"/>
      <c r="Y449" s="79"/>
    </row>
    <row r="450" spans="7:25" ht="15.75" customHeight="1">
      <c r="G450" s="475"/>
      <c r="H450" s="475"/>
      <c r="Y450" s="79"/>
    </row>
    <row r="451" spans="7:25" ht="15.75" customHeight="1">
      <c r="G451" s="475"/>
      <c r="H451" s="475"/>
      <c r="Y451" s="79"/>
    </row>
    <row r="452" spans="7:25" ht="15.75" customHeight="1">
      <c r="G452" s="475"/>
      <c r="H452" s="475"/>
      <c r="Y452" s="79"/>
    </row>
    <row r="453" spans="7:25" ht="15.75" customHeight="1">
      <c r="G453" s="475"/>
      <c r="H453" s="475"/>
      <c r="Y453" s="79"/>
    </row>
    <row r="454" spans="7:25" ht="15.75" customHeight="1">
      <c r="G454" s="475"/>
      <c r="H454" s="475"/>
      <c r="Y454" s="79"/>
    </row>
    <row r="455" spans="7:25" ht="15.75" customHeight="1">
      <c r="G455" s="475"/>
      <c r="H455" s="475"/>
      <c r="Y455" s="79"/>
    </row>
    <row r="456" spans="7:25" ht="15.75" customHeight="1">
      <c r="G456" s="475"/>
      <c r="H456" s="475"/>
      <c r="Y456" s="79"/>
    </row>
    <row r="457" spans="7:25" ht="15.75" customHeight="1">
      <c r="G457" s="475"/>
      <c r="H457" s="475"/>
      <c r="Y457" s="79"/>
    </row>
    <row r="458" spans="7:25" ht="15.75" customHeight="1">
      <c r="G458" s="475"/>
      <c r="H458" s="475"/>
      <c r="Y458" s="79"/>
    </row>
    <row r="459" spans="7:25" ht="15.75" customHeight="1">
      <c r="G459" s="475"/>
      <c r="H459" s="475"/>
      <c r="Y459" s="79"/>
    </row>
    <row r="460" spans="7:25" ht="15.75" customHeight="1">
      <c r="G460" s="475"/>
      <c r="H460" s="475"/>
      <c r="Y460" s="79"/>
    </row>
    <row r="461" spans="7:25" ht="15.75" customHeight="1">
      <c r="G461" s="475"/>
      <c r="H461" s="475"/>
      <c r="Y461" s="79"/>
    </row>
    <row r="462" spans="7:25" ht="15.75" customHeight="1">
      <c r="G462" s="475"/>
      <c r="H462" s="475"/>
      <c r="Y462" s="79"/>
    </row>
    <row r="463" spans="7:25" ht="15.75" customHeight="1">
      <c r="G463" s="475"/>
      <c r="H463" s="475"/>
      <c r="Y463" s="79"/>
    </row>
    <row r="464" spans="7:25" ht="15.75" customHeight="1">
      <c r="G464" s="475"/>
      <c r="H464" s="475"/>
      <c r="Y464" s="79"/>
    </row>
    <row r="465" spans="7:25" ht="15.75" customHeight="1">
      <c r="G465" s="475"/>
      <c r="H465" s="475"/>
      <c r="Y465" s="79"/>
    </row>
    <row r="466" spans="7:25" ht="15.75" customHeight="1">
      <c r="G466" s="475"/>
      <c r="H466" s="475"/>
      <c r="Y466" s="79"/>
    </row>
    <row r="467" spans="7:25" ht="15.75" customHeight="1">
      <c r="G467" s="475"/>
      <c r="H467" s="475"/>
      <c r="Y467" s="79"/>
    </row>
    <row r="468" spans="7:25" ht="15.75" customHeight="1">
      <c r="G468" s="475"/>
      <c r="H468" s="475"/>
      <c r="Y468" s="79"/>
    </row>
    <row r="469" spans="7:25" ht="15.75" customHeight="1">
      <c r="G469" s="475"/>
      <c r="H469" s="475"/>
      <c r="Y469" s="79"/>
    </row>
    <row r="470" spans="7:25" ht="15.75" customHeight="1">
      <c r="G470" s="475"/>
      <c r="H470" s="475"/>
      <c r="Y470" s="79"/>
    </row>
    <row r="471" spans="7:25" ht="15.75" customHeight="1">
      <c r="G471" s="475"/>
      <c r="H471" s="475"/>
      <c r="Y471" s="79"/>
    </row>
    <row r="472" spans="7:25" ht="15.75" customHeight="1">
      <c r="G472" s="475"/>
      <c r="H472" s="475"/>
      <c r="Y472" s="79"/>
    </row>
    <row r="473" spans="7:25" ht="15.75" customHeight="1">
      <c r="G473" s="475"/>
      <c r="H473" s="475"/>
      <c r="Y473" s="79"/>
    </row>
    <row r="474" spans="7:25" ht="15.75" customHeight="1">
      <c r="G474" s="475"/>
      <c r="H474" s="475"/>
      <c r="Y474" s="79"/>
    </row>
    <row r="475" spans="7:25" ht="15.75" customHeight="1">
      <c r="G475" s="475"/>
      <c r="H475" s="475"/>
      <c r="Y475" s="79"/>
    </row>
    <row r="476" spans="7:25" ht="15.75" customHeight="1">
      <c r="G476" s="475"/>
      <c r="H476" s="475"/>
      <c r="Y476" s="79"/>
    </row>
    <row r="477" spans="7:25" ht="15.75" customHeight="1">
      <c r="G477" s="475"/>
      <c r="H477" s="475"/>
      <c r="Y477" s="79"/>
    </row>
    <row r="478" spans="7:25" ht="15.75" customHeight="1">
      <c r="G478" s="475"/>
      <c r="H478" s="475"/>
      <c r="Y478" s="79"/>
    </row>
    <row r="479" spans="7:25" ht="15.75" customHeight="1">
      <c r="G479" s="475"/>
      <c r="H479" s="475"/>
      <c r="Y479" s="79"/>
    </row>
    <row r="480" spans="7:25" ht="15.75" customHeight="1">
      <c r="G480" s="475"/>
      <c r="H480" s="475"/>
      <c r="Y480" s="79"/>
    </row>
    <row r="481" spans="7:25" ht="15.75" customHeight="1">
      <c r="G481" s="475"/>
      <c r="H481" s="475"/>
      <c r="Y481" s="79"/>
    </row>
    <row r="482" spans="7:25" ht="15.75" customHeight="1">
      <c r="G482" s="475"/>
      <c r="H482" s="475"/>
      <c r="Y482" s="79"/>
    </row>
    <row r="483" spans="7:25" ht="15.75" customHeight="1">
      <c r="G483" s="475"/>
      <c r="H483" s="475"/>
      <c r="Y483" s="79"/>
    </row>
    <row r="484" spans="7:25" ht="15.75" customHeight="1">
      <c r="G484" s="475"/>
      <c r="H484" s="475"/>
      <c r="Y484" s="79"/>
    </row>
    <row r="485" spans="7:25" ht="15.75" customHeight="1">
      <c r="G485" s="475"/>
      <c r="H485" s="475"/>
      <c r="Y485" s="79"/>
    </row>
    <row r="486" spans="7:25" ht="15.75" customHeight="1">
      <c r="G486" s="475"/>
      <c r="H486" s="475"/>
      <c r="Y486" s="79"/>
    </row>
    <row r="487" spans="7:25" ht="15.75" customHeight="1">
      <c r="G487" s="475"/>
      <c r="H487" s="475"/>
      <c r="Y487" s="79"/>
    </row>
    <row r="488" spans="7:25" ht="15.75" customHeight="1">
      <c r="G488" s="475"/>
      <c r="H488" s="475"/>
      <c r="Y488" s="79"/>
    </row>
    <row r="489" spans="7:25" ht="15.75" customHeight="1">
      <c r="G489" s="475"/>
      <c r="H489" s="475"/>
      <c r="Y489" s="79"/>
    </row>
    <row r="490" spans="7:25" ht="15.75" customHeight="1">
      <c r="G490" s="475"/>
      <c r="H490" s="475"/>
      <c r="Y490" s="79"/>
    </row>
    <row r="491" spans="7:25" ht="15.75" customHeight="1">
      <c r="G491" s="475"/>
      <c r="H491" s="475"/>
      <c r="Y491" s="79"/>
    </row>
    <row r="492" spans="7:25" ht="15.75" customHeight="1">
      <c r="G492" s="475"/>
      <c r="H492" s="475"/>
      <c r="Y492" s="79"/>
    </row>
    <row r="493" spans="7:25" ht="15.75" customHeight="1">
      <c r="G493" s="475"/>
      <c r="H493" s="475"/>
      <c r="Y493" s="79"/>
    </row>
    <row r="494" spans="7:25" ht="15.75" customHeight="1">
      <c r="G494" s="475"/>
      <c r="H494" s="475"/>
      <c r="Y494" s="79"/>
    </row>
    <row r="495" spans="7:25" ht="15.75" customHeight="1">
      <c r="G495" s="475"/>
      <c r="H495" s="475"/>
      <c r="Y495" s="79"/>
    </row>
    <row r="496" spans="7:25" ht="15.75" customHeight="1">
      <c r="G496" s="475"/>
      <c r="H496" s="475"/>
      <c r="Y496" s="79"/>
    </row>
    <row r="497" spans="7:25" ht="15.75" customHeight="1">
      <c r="G497" s="475"/>
      <c r="H497" s="475"/>
      <c r="Y497" s="79"/>
    </row>
    <row r="498" spans="7:25" ht="15.75" customHeight="1">
      <c r="G498" s="475"/>
      <c r="H498" s="475"/>
      <c r="Y498" s="79"/>
    </row>
    <row r="499" spans="7:25" ht="15.75" customHeight="1">
      <c r="G499" s="475"/>
      <c r="H499" s="475"/>
      <c r="Y499" s="79"/>
    </row>
    <row r="500" spans="7:25" ht="15.75" customHeight="1">
      <c r="G500" s="475"/>
      <c r="H500" s="475"/>
      <c r="Y500" s="79"/>
    </row>
    <row r="501" spans="7:25" ht="15.75" customHeight="1">
      <c r="G501" s="475"/>
      <c r="H501" s="475"/>
      <c r="Y501" s="79"/>
    </row>
    <row r="502" spans="7:25" ht="15.75" customHeight="1">
      <c r="G502" s="475"/>
      <c r="H502" s="475"/>
      <c r="Y502" s="79"/>
    </row>
    <row r="503" spans="7:25" ht="15.75" customHeight="1">
      <c r="G503" s="475"/>
      <c r="H503" s="475"/>
      <c r="Y503" s="79"/>
    </row>
    <row r="504" spans="7:25" ht="15.75" customHeight="1">
      <c r="G504" s="475"/>
      <c r="H504" s="475"/>
      <c r="Y504" s="79"/>
    </row>
    <row r="505" spans="7:25" ht="15.75" customHeight="1">
      <c r="G505" s="475"/>
      <c r="H505" s="475"/>
      <c r="Y505" s="79"/>
    </row>
    <row r="506" spans="7:25" ht="15.75" customHeight="1">
      <c r="G506" s="475"/>
      <c r="H506" s="475"/>
      <c r="Y506" s="79"/>
    </row>
    <row r="507" spans="7:25" ht="15.75" customHeight="1">
      <c r="G507" s="475"/>
      <c r="H507" s="475"/>
      <c r="Y507" s="79"/>
    </row>
    <row r="508" spans="7:25" ht="15.75" customHeight="1">
      <c r="G508" s="475"/>
      <c r="H508" s="475"/>
      <c r="Y508" s="79"/>
    </row>
    <row r="509" spans="7:25" ht="15.75" customHeight="1">
      <c r="G509" s="475"/>
      <c r="H509" s="475"/>
      <c r="Y509" s="79"/>
    </row>
    <row r="510" spans="7:25" ht="15.75" customHeight="1">
      <c r="G510" s="475"/>
      <c r="H510" s="475"/>
      <c r="Y510" s="79"/>
    </row>
    <row r="511" spans="7:25" ht="15.75" customHeight="1">
      <c r="G511" s="475"/>
      <c r="H511" s="475"/>
      <c r="Y511" s="79"/>
    </row>
    <row r="512" spans="7:25" ht="15.75" customHeight="1">
      <c r="G512" s="475"/>
      <c r="H512" s="475"/>
      <c r="Y512" s="79"/>
    </row>
    <row r="513" spans="7:25" ht="15.75" customHeight="1">
      <c r="G513" s="475"/>
      <c r="H513" s="475"/>
      <c r="Y513" s="79"/>
    </row>
    <row r="514" spans="7:25" ht="15.75" customHeight="1">
      <c r="G514" s="475"/>
      <c r="H514" s="475"/>
      <c r="Y514" s="79"/>
    </row>
    <row r="515" spans="7:25" ht="15.75" customHeight="1">
      <c r="G515" s="475"/>
      <c r="H515" s="475"/>
      <c r="Y515" s="79"/>
    </row>
    <row r="516" spans="7:25" ht="15.75" customHeight="1">
      <c r="G516" s="475"/>
      <c r="H516" s="475"/>
      <c r="Y516" s="79"/>
    </row>
    <row r="517" spans="7:25" ht="15.75" customHeight="1">
      <c r="G517" s="475"/>
      <c r="H517" s="475"/>
      <c r="Y517" s="79"/>
    </row>
    <row r="518" spans="7:25" ht="15.75" customHeight="1">
      <c r="G518" s="475"/>
      <c r="H518" s="475"/>
      <c r="Y518" s="79"/>
    </row>
    <row r="519" spans="7:25" ht="15.75" customHeight="1">
      <c r="G519" s="475"/>
      <c r="H519" s="475"/>
      <c r="Y519" s="79"/>
    </row>
  </sheetData>
  <mergeCells count="40">
    <mergeCell ref="A144:B144"/>
    <mergeCell ref="A154:B154"/>
    <mergeCell ref="A164:B164"/>
    <mergeCell ref="A174:B174"/>
    <mergeCell ref="A104:B104"/>
    <mergeCell ref="W173:W181"/>
    <mergeCell ref="W183:W191"/>
    <mergeCell ref="W193:W201"/>
    <mergeCell ref="W103:W111"/>
    <mergeCell ref="W113:W121"/>
    <mergeCell ref="W123:W131"/>
    <mergeCell ref="W133:W141"/>
    <mergeCell ref="W143:W151"/>
    <mergeCell ref="W153:W161"/>
    <mergeCell ref="W163:W171"/>
    <mergeCell ref="A184:B184"/>
    <mergeCell ref="A194:B194"/>
    <mergeCell ref="A114:B114"/>
    <mergeCell ref="A124:B124"/>
    <mergeCell ref="A134:B134"/>
    <mergeCell ref="W73:W81"/>
    <mergeCell ref="W83:W91"/>
    <mergeCell ref="W93:W101"/>
    <mergeCell ref="A44:B44"/>
    <mergeCell ref="A54:B54"/>
    <mergeCell ref="A64:B64"/>
    <mergeCell ref="A74:B74"/>
    <mergeCell ref="A84:B84"/>
    <mergeCell ref="A94:B94"/>
    <mergeCell ref="A34:B34"/>
    <mergeCell ref="W33:W41"/>
    <mergeCell ref="W43:W51"/>
    <mergeCell ref="W53:W61"/>
    <mergeCell ref="W63:W71"/>
    <mergeCell ref="C1:F1"/>
    <mergeCell ref="A4:B4"/>
    <mergeCell ref="W13:W21"/>
    <mergeCell ref="A14:B14"/>
    <mergeCell ref="W23:W31"/>
    <mergeCell ref="A24:B24"/>
  </mergeCells>
  <dataValidations count="2">
    <dataValidation type="list" allowBlank="1" showErrorMessage="1" sqref="B3 B13" xr:uid="{00000000-0002-0000-1900-000000000000}">
      <formula1>"R.01,R.02,R.03,R.04,R.05,R.06,R.07,R.08,R.09,R.10,R.11,R.12,R.13,R.14,R.15,R.16,R.17,R.18,R.19,R.20,R.21"</formula1>
    </dataValidation>
    <dataValidation type="list" allowBlank="1" showErrorMessage="1" sqref="B5 B15 B25 B35 B45 B55 B65 B75 B85 B95 B105 B115 B125 B135 B145 B155 B165 B175 B185 B195" xr:uid="{00000000-0002-0000-1900-000001000000}">
      <formula1>"Cesta Gd,Cesta PQ,N/A,Vale Refeição"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E84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8" max="8" width="14.140625" customWidth="1"/>
    <col min="11" max="11" width="13.7109375" customWidth="1"/>
  </cols>
  <sheetData>
    <row r="1" spans="1:31" ht="7.5" customHeight="1">
      <c r="A1" s="353"/>
      <c r="B1" s="353"/>
      <c r="C1" s="353"/>
      <c r="D1" s="353"/>
      <c r="E1" s="353"/>
      <c r="F1" s="353"/>
      <c r="G1" s="353"/>
      <c r="H1" s="354"/>
      <c r="I1" s="353"/>
      <c r="J1" s="353"/>
      <c r="K1" s="353"/>
      <c r="L1" s="353"/>
      <c r="M1" s="353"/>
      <c r="N1" s="353"/>
      <c r="O1" s="354"/>
      <c r="P1" s="353"/>
      <c r="Q1" s="353"/>
      <c r="R1" s="353"/>
      <c r="S1" s="353"/>
      <c r="T1" s="353"/>
      <c r="U1" s="353"/>
      <c r="V1" s="353"/>
      <c r="W1" s="353"/>
      <c r="X1" s="353"/>
      <c r="Y1" s="353"/>
      <c r="Z1" s="353"/>
      <c r="AA1" s="353"/>
      <c r="AB1" s="353"/>
      <c r="AC1" s="353"/>
      <c r="AD1" s="353"/>
      <c r="AE1" s="353"/>
    </row>
    <row r="2" spans="1:31">
      <c r="A2" s="353"/>
      <c r="B2" s="356">
        <f>B3</f>
        <v>45645</v>
      </c>
      <c r="C2" s="356">
        <f t="shared" ref="C2:AC2" si="0">B2+1</f>
        <v>45646</v>
      </c>
      <c r="D2" s="356">
        <f t="shared" si="0"/>
        <v>45647</v>
      </c>
      <c r="E2" s="356">
        <f t="shared" si="0"/>
        <v>45648</v>
      </c>
      <c r="F2" s="356">
        <f t="shared" si="0"/>
        <v>45649</v>
      </c>
      <c r="G2" s="356">
        <f t="shared" si="0"/>
        <v>45650</v>
      </c>
      <c r="H2" s="357">
        <f t="shared" si="0"/>
        <v>45651</v>
      </c>
      <c r="I2" s="356">
        <f t="shared" si="0"/>
        <v>45652</v>
      </c>
      <c r="J2" s="356">
        <f t="shared" si="0"/>
        <v>45653</v>
      </c>
      <c r="K2" s="356">
        <f t="shared" si="0"/>
        <v>45654</v>
      </c>
      <c r="L2" s="356">
        <f t="shared" si="0"/>
        <v>45655</v>
      </c>
      <c r="M2" s="356">
        <f t="shared" si="0"/>
        <v>45656</v>
      </c>
      <c r="N2" s="356">
        <f t="shared" si="0"/>
        <v>45657</v>
      </c>
      <c r="O2" s="357">
        <f t="shared" si="0"/>
        <v>45658</v>
      </c>
      <c r="P2" s="356">
        <f t="shared" si="0"/>
        <v>45659</v>
      </c>
      <c r="Q2" s="356">
        <f t="shared" si="0"/>
        <v>45660</v>
      </c>
      <c r="R2" s="356">
        <f t="shared" si="0"/>
        <v>45661</v>
      </c>
      <c r="S2" s="356">
        <f t="shared" si="0"/>
        <v>45662</v>
      </c>
      <c r="T2" s="356">
        <f t="shared" si="0"/>
        <v>45663</v>
      </c>
      <c r="U2" s="356">
        <f t="shared" si="0"/>
        <v>45664</v>
      </c>
      <c r="V2" s="356">
        <f t="shared" si="0"/>
        <v>45665</v>
      </c>
      <c r="W2" s="356">
        <f t="shared" si="0"/>
        <v>45666</v>
      </c>
      <c r="X2" s="356">
        <f t="shared" si="0"/>
        <v>45667</v>
      </c>
      <c r="Y2" s="356">
        <f t="shared" si="0"/>
        <v>45668</v>
      </c>
      <c r="Z2" s="356">
        <f t="shared" si="0"/>
        <v>45669</v>
      </c>
      <c r="AA2" s="356">
        <f t="shared" si="0"/>
        <v>45670</v>
      </c>
      <c r="AB2" s="356">
        <f t="shared" si="0"/>
        <v>45671</v>
      </c>
      <c r="AC2" s="356">
        <f t="shared" si="0"/>
        <v>45672</v>
      </c>
      <c r="AD2" s="353"/>
      <c r="AE2" s="353"/>
    </row>
    <row r="3" spans="1:31">
      <c r="A3" s="353"/>
      <c r="B3" s="358">
        <v>45645</v>
      </c>
      <c r="C3" s="359">
        <f t="shared" ref="C3:W3" si="1">B3+1</f>
        <v>45646</v>
      </c>
      <c r="D3" s="359">
        <f t="shared" si="1"/>
        <v>45647</v>
      </c>
      <c r="E3" s="359">
        <f t="shared" si="1"/>
        <v>45648</v>
      </c>
      <c r="F3" s="359">
        <f t="shared" si="1"/>
        <v>45649</v>
      </c>
      <c r="G3" s="359">
        <f t="shared" si="1"/>
        <v>45650</v>
      </c>
      <c r="H3" s="360">
        <f t="shared" si="1"/>
        <v>45651</v>
      </c>
      <c r="I3" s="359">
        <f t="shared" si="1"/>
        <v>45652</v>
      </c>
      <c r="J3" s="359">
        <f t="shared" si="1"/>
        <v>45653</v>
      </c>
      <c r="K3" s="359">
        <f t="shared" si="1"/>
        <v>45654</v>
      </c>
      <c r="L3" s="359">
        <f t="shared" si="1"/>
        <v>45655</v>
      </c>
      <c r="M3" s="359">
        <f t="shared" si="1"/>
        <v>45656</v>
      </c>
      <c r="N3" s="359">
        <f t="shared" si="1"/>
        <v>45657</v>
      </c>
      <c r="O3" s="360">
        <f t="shared" si="1"/>
        <v>45658</v>
      </c>
      <c r="P3" s="359">
        <f t="shared" si="1"/>
        <v>45659</v>
      </c>
      <c r="Q3" s="359">
        <f t="shared" si="1"/>
        <v>45660</v>
      </c>
      <c r="R3" s="359">
        <f t="shared" si="1"/>
        <v>45661</v>
      </c>
      <c r="S3" s="359">
        <f t="shared" si="1"/>
        <v>45662</v>
      </c>
      <c r="T3" s="359">
        <f t="shared" si="1"/>
        <v>45663</v>
      </c>
      <c r="U3" s="359">
        <f t="shared" si="1"/>
        <v>45664</v>
      </c>
      <c r="V3" s="359">
        <f t="shared" si="1"/>
        <v>45665</v>
      </c>
      <c r="W3" s="359">
        <f t="shared" si="1"/>
        <v>45666</v>
      </c>
      <c r="X3" s="359">
        <v>45301</v>
      </c>
      <c r="Y3" s="359">
        <v>45302</v>
      </c>
      <c r="Z3" s="359">
        <v>45303</v>
      </c>
      <c r="AA3" s="359">
        <v>45304</v>
      </c>
      <c r="AB3" s="359">
        <v>45305</v>
      </c>
      <c r="AC3" s="359">
        <v>45306</v>
      </c>
      <c r="AD3" s="353"/>
      <c r="AE3" s="353"/>
    </row>
    <row r="4" spans="1:31" ht="7.5" customHeight="1">
      <c r="A4" s="353"/>
      <c r="B4" s="353"/>
      <c r="C4" s="353"/>
      <c r="D4" s="353"/>
      <c r="E4" s="353"/>
      <c r="F4" s="353"/>
      <c r="G4" s="353"/>
      <c r="H4" s="354"/>
      <c r="I4" s="353"/>
      <c r="J4" s="353"/>
      <c r="K4" s="353"/>
      <c r="L4" s="353"/>
      <c r="M4" s="353"/>
      <c r="N4" s="353"/>
      <c r="O4" s="354"/>
      <c r="P4" s="353"/>
      <c r="Q4" s="353"/>
      <c r="R4" s="353"/>
      <c r="S4" s="353"/>
      <c r="T4" s="353"/>
      <c r="U4" s="353"/>
      <c r="V4" s="353"/>
      <c r="W4" s="353"/>
      <c r="X4" s="353"/>
      <c r="Y4" s="353"/>
      <c r="Z4" s="353"/>
      <c r="AA4" s="353"/>
      <c r="AB4" s="353"/>
      <c r="AC4" s="353"/>
      <c r="AD4" s="353"/>
      <c r="AE4" s="353"/>
    </row>
    <row r="5" spans="1:31">
      <c r="A5" s="565" t="s">
        <v>2826</v>
      </c>
      <c r="B5" s="363" t="s">
        <v>2827</v>
      </c>
      <c r="C5" s="363" t="s">
        <v>2827</v>
      </c>
      <c r="D5" s="363" t="s">
        <v>2827</v>
      </c>
      <c r="E5" s="363" t="s">
        <v>2436</v>
      </c>
      <c r="F5" s="363" t="s">
        <v>2789</v>
      </c>
      <c r="G5" s="364" t="s">
        <v>2827</v>
      </c>
      <c r="H5" s="365"/>
      <c r="I5" s="363" t="s">
        <v>2827</v>
      </c>
      <c r="J5" s="363" t="s">
        <v>2827</v>
      </c>
      <c r="K5" s="363" t="s">
        <v>2827</v>
      </c>
      <c r="L5" s="363" t="s">
        <v>2436</v>
      </c>
      <c r="M5" s="363" t="s">
        <v>2789</v>
      </c>
      <c r="N5" s="364" t="s">
        <v>2827</v>
      </c>
      <c r="O5" s="365"/>
      <c r="P5" s="363" t="s">
        <v>2827</v>
      </c>
      <c r="Q5" s="363" t="s">
        <v>2827</v>
      </c>
      <c r="R5" s="363" t="s">
        <v>2827</v>
      </c>
      <c r="S5" s="363" t="s">
        <v>2436</v>
      </c>
      <c r="T5" s="363" t="s">
        <v>2789</v>
      </c>
      <c r="U5" s="364" t="s">
        <v>2827</v>
      </c>
      <c r="V5" s="364" t="s">
        <v>2827</v>
      </c>
      <c r="W5" s="363" t="s">
        <v>2827</v>
      </c>
      <c r="X5" s="363" t="s">
        <v>2827</v>
      </c>
      <c r="Y5" s="363" t="s">
        <v>2827</v>
      </c>
      <c r="Z5" s="363" t="s">
        <v>2436</v>
      </c>
      <c r="AA5" s="363" t="s">
        <v>2789</v>
      </c>
      <c r="AB5" s="364" t="s">
        <v>2827</v>
      </c>
      <c r="AC5" s="364" t="s">
        <v>2827</v>
      </c>
      <c r="AD5" s="353"/>
      <c r="AE5" s="353"/>
    </row>
    <row r="6" spans="1:31">
      <c r="A6" s="480"/>
      <c r="B6" s="366" t="s">
        <v>2828</v>
      </c>
      <c r="C6" s="366" t="s">
        <v>2828</v>
      </c>
      <c r="D6" s="366" t="s">
        <v>2828</v>
      </c>
      <c r="E6" s="366" t="s">
        <v>2436</v>
      </c>
      <c r="F6" s="366" t="s">
        <v>2789</v>
      </c>
      <c r="G6" s="367" t="s">
        <v>2828</v>
      </c>
      <c r="H6" s="368"/>
      <c r="I6" s="366" t="s">
        <v>2828</v>
      </c>
      <c r="J6" s="369" t="s">
        <v>2828</v>
      </c>
      <c r="K6" s="366" t="s">
        <v>2828</v>
      </c>
      <c r="L6" s="366" t="s">
        <v>2436</v>
      </c>
      <c r="M6" s="366" t="s">
        <v>2789</v>
      </c>
      <c r="N6" s="367" t="s">
        <v>2828</v>
      </c>
      <c r="O6" s="368"/>
      <c r="P6" s="366" t="s">
        <v>2828</v>
      </c>
      <c r="Q6" s="366" t="s">
        <v>2828</v>
      </c>
      <c r="R6" s="366" t="s">
        <v>2828</v>
      </c>
      <c r="S6" s="366" t="s">
        <v>2436</v>
      </c>
      <c r="T6" s="366" t="s">
        <v>2789</v>
      </c>
      <c r="U6" s="367" t="s">
        <v>2828</v>
      </c>
      <c r="V6" s="367" t="s">
        <v>2828</v>
      </c>
      <c r="W6" s="366" t="s">
        <v>2828</v>
      </c>
      <c r="X6" s="366" t="s">
        <v>2828</v>
      </c>
      <c r="Y6" s="366" t="s">
        <v>2828</v>
      </c>
      <c r="Z6" s="366" t="s">
        <v>2436</v>
      </c>
      <c r="AA6" s="366" t="s">
        <v>2789</v>
      </c>
      <c r="AB6" s="367" t="s">
        <v>2828</v>
      </c>
      <c r="AC6" s="367" t="s">
        <v>2828</v>
      </c>
      <c r="AD6" s="353"/>
      <c r="AE6" s="353"/>
    </row>
    <row r="7" spans="1:31">
      <c r="A7" s="480"/>
      <c r="B7" s="370" t="s">
        <v>2829</v>
      </c>
      <c r="C7" s="370" t="s">
        <v>2829</v>
      </c>
      <c r="D7" s="370" t="s">
        <v>2829</v>
      </c>
      <c r="E7" s="370" t="s">
        <v>2436</v>
      </c>
      <c r="F7" s="363" t="s">
        <v>2789</v>
      </c>
      <c r="G7" s="372" t="s">
        <v>2829</v>
      </c>
      <c r="H7" s="368"/>
      <c r="I7" s="370" t="s">
        <v>2829</v>
      </c>
      <c r="J7" s="370" t="s">
        <v>2829</v>
      </c>
      <c r="K7" s="370" t="s">
        <v>2829</v>
      </c>
      <c r="L7" s="370" t="s">
        <v>2436</v>
      </c>
      <c r="M7" s="363" t="s">
        <v>2789</v>
      </c>
      <c r="N7" s="372" t="s">
        <v>2829</v>
      </c>
      <c r="O7" s="368"/>
      <c r="P7" s="370" t="s">
        <v>2829</v>
      </c>
      <c r="Q7" s="370" t="s">
        <v>2829</v>
      </c>
      <c r="R7" s="370" t="s">
        <v>2829</v>
      </c>
      <c r="S7" s="370" t="s">
        <v>2436</v>
      </c>
      <c r="T7" s="363" t="s">
        <v>2789</v>
      </c>
      <c r="U7" s="372" t="s">
        <v>2829</v>
      </c>
      <c r="V7" s="372" t="s">
        <v>2829</v>
      </c>
      <c r="W7" s="370" t="s">
        <v>2829</v>
      </c>
      <c r="X7" s="370" t="s">
        <v>2829</v>
      </c>
      <c r="Y7" s="370" t="s">
        <v>2829</v>
      </c>
      <c r="Z7" s="370" t="s">
        <v>2436</v>
      </c>
      <c r="AA7" s="370" t="s">
        <v>2830</v>
      </c>
      <c r="AB7" s="372" t="s">
        <v>2829</v>
      </c>
      <c r="AC7" s="372" t="s">
        <v>2829</v>
      </c>
      <c r="AD7" s="353"/>
      <c r="AE7" s="353"/>
    </row>
    <row r="8" spans="1:31">
      <c r="A8" s="480"/>
      <c r="B8" s="366" t="s">
        <v>2831</v>
      </c>
      <c r="C8" s="366" t="s">
        <v>2831</v>
      </c>
      <c r="D8" s="366" t="s">
        <v>2831</v>
      </c>
      <c r="E8" s="366" t="s">
        <v>2436</v>
      </c>
      <c r="F8" s="366" t="s">
        <v>2831</v>
      </c>
      <c r="G8" s="374" t="s">
        <v>2831</v>
      </c>
      <c r="H8" s="375" t="s">
        <v>2831</v>
      </c>
      <c r="I8" s="366" t="s">
        <v>2831</v>
      </c>
      <c r="J8" s="376" t="s">
        <v>2831</v>
      </c>
      <c r="K8" s="366" t="s">
        <v>2436</v>
      </c>
      <c r="L8" s="366" t="s">
        <v>2831</v>
      </c>
      <c r="M8" s="366" t="s">
        <v>2831</v>
      </c>
      <c r="N8" s="366" t="s">
        <v>2831</v>
      </c>
      <c r="O8" s="375" t="s">
        <v>2436</v>
      </c>
      <c r="P8" s="366" t="s">
        <v>2831</v>
      </c>
      <c r="Q8" s="366" t="s">
        <v>2831</v>
      </c>
      <c r="R8" s="366" t="s">
        <v>2831</v>
      </c>
      <c r="S8" s="366" t="s">
        <v>2436</v>
      </c>
      <c r="T8" s="366" t="s">
        <v>2831</v>
      </c>
      <c r="U8" s="366" t="s">
        <v>2831</v>
      </c>
      <c r="V8" s="366" t="s">
        <v>2831</v>
      </c>
      <c r="W8" s="366" t="s">
        <v>2831</v>
      </c>
      <c r="X8" s="366" t="s">
        <v>2832</v>
      </c>
      <c r="Y8" s="366" t="s">
        <v>2832</v>
      </c>
      <c r="Z8" s="366" t="s">
        <v>2831</v>
      </c>
      <c r="AA8" s="366" t="s">
        <v>2832</v>
      </c>
      <c r="AB8" s="366" t="s">
        <v>2832</v>
      </c>
      <c r="AC8" s="366" t="s">
        <v>2832</v>
      </c>
      <c r="AD8" s="353"/>
      <c r="AE8" s="353"/>
    </row>
    <row r="9" spans="1:31">
      <c r="A9" s="480"/>
      <c r="B9" s="370" t="s">
        <v>2833</v>
      </c>
      <c r="C9" s="370" t="s">
        <v>2833</v>
      </c>
      <c r="D9" s="370" t="s">
        <v>2833</v>
      </c>
      <c r="E9" s="370" t="s">
        <v>2436</v>
      </c>
      <c r="F9" s="370" t="s">
        <v>2833</v>
      </c>
      <c r="G9" s="377" t="s">
        <v>2833</v>
      </c>
      <c r="H9" s="375" t="s">
        <v>2833</v>
      </c>
      <c r="I9" s="370" t="s">
        <v>2833</v>
      </c>
      <c r="J9" s="370" t="s">
        <v>2833</v>
      </c>
      <c r="K9" s="370" t="s">
        <v>2436</v>
      </c>
      <c r="L9" s="370" t="s">
        <v>2833</v>
      </c>
      <c r="M9" s="370" t="s">
        <v>2833</v>
      </c>
      <c r="N9" s="374" t="s">
        <v>2833</v>
      </c>
      <c r="O9" s="375" t="s">
        <v>2436</v>
      </c>
      <c r="P9" s="370" t="s">
        <v>2833</v>
      </c>
      <c r="Q9" s="370" t="s">
        <v>2833</v>
      </c>
      <c r="R9" s="370" t="s">
        <v>2833</v>
      </c>
      <c r="S9" s="370" t="s">
        <v>2436</v>
      </c>
      <c r="T9" s="370" t="s">
        <v>2833</v>
      </c>
      <c r="U9" s="370" t="s">
        <v>2833</v>
      </c>
      <c r="V9" s="370" t="s">
        <v>2833</v>
      </c>
      <c r="W9" s="376" t="s">
        <v>2833</v>
      </c>
      <c r="X9" s="370" t="s">
        <v>2834</v>
      </c>
      <c r="Y9" s="370" t="s">
        <v>2834</v>
      </c>
      <c r="Z9" s="370" t="s">
        <v>2833</v>
      </c>
      <c r="AA9" s="370" t="s">
        <v>2834</v>
      </c>
      <c r="AB9" s="370" t="s">
        <v>2834</v>
      </c>
      <c r="AC9" s="370" t="s">
        <v>2834</v>
      </c>
      <c r="AD9" s="353"/>
      <c r="AE9" s="353"/>
    </row>
    <row r="10" spans="1:31">
      <c r="A10" s="480"/>
      <c r="B10" s="370" t="s">
        <v>2834</v>
      </c>
      <c r="C10" s="370" t="s">
        <v>2834</v>
      </c>
      <c r="D10" s="370" t="s">
        <v>2436</v>
      </c>
      <c r="E10" s="370" t="s">
        <v>2834</v>
      </c>
      <c r="F10" s="370" t="s">
        <v>2834</v>
      </c>
      <c r="G10" s="370" t="s">
        <v>2834</v>
      </c>
      <c r="H10" s="375" t="s">
        <v>2436</v>
      </c>
      <c r="I10" s="370" t="s">
        <v>2834</v>
      </c>
      <c r="J10" s="370" t="s">
        <v>2834</v>
      </c>
      <c r="K10" s="370" t="s">
        <v>2834</v>
      </c>
      <c r="L10" s="370" t="s">
        <v>2436</v>
      </c>
      <c r="M10" s="370" t="s">
        <v>2834</v>
      </c>
      <c r="N10" s="374" t="s">
        <v>2834</v>
      </c>
      <c r="O10" s="375" t="s">
        <v>2834</v>
      </c>
      <c r="P10" s="370" t="s">
        <v>2834</v>
      </c>
      <c r="Q10" s="376" t="s">
        <v>2834</v>
      </c>
      <c r="R10" s="370" t="s">
        <v>2436</v>
      </c>
      <c r="S10" s="370" t="s">
        <v>2834</v>
      </c>
      <c r="T10" s="370" t="s">
        <v>2834</v>
      </c>
      <c r="U10" s="370" t="s">
        <v>2834</v>
      </c>
      <c r="V10" s="370" t="s">
        <v>2834</v>
      </c>
      <c r="W10" s="370" t="s">
        <v>2834</v>
      </c>
      <c r="X10" s="370" t="s">
        <v>2833</v>
      </c>
      <c r="Y10" s="370" t="s">
        <v>2436</v>
      </c>
      <c r="Z10" s="370" t="s">
        <v>2436</v>
      </c>
      <c r="AA10" s="370" t="s">
        <v>2833</v>
      </c>
      <c r="AB10" s="370" t="s">
        <v>2833</v>
      </c>
      <c r="AC10" s="370" t="s">
        <v>2833</v>
      </c>
      <c r="AD10" s="353"/>
      <c r="AE10" s="353"/>
    </row>
    <row r="11" spans="1:31">
      <c r="A11" s="480"/>
      <c r="B11" s="366" t="s">
        <v>2835</v>
      </c>
      <c r="C11" s="366" t="s">
        <v>2835</v>
      </c>
      <c r="D11" s="366" t="s">
        <v>2436</v>
      </c>
      <c r="E11" s="366" t="s">
        <v>2832</v>
      </c>
      <c r="F11" s="366" t="s">
        <v>2832</v>
      </c>
      <c r="G11" s="374" t="s">
        <v>2832</v>
      </c>
      <c r="H11" s="375" t="s">
        <v>2436</v>
      </c>
      <c r="I11" s="366" t="s">
        <v>2832</v>
      </c>
      <c r="J11" s="366" t="s">
        <v>2832</v>
      </c>
      <c r="K11" s="379" t="s">
        <v>2832</v>
      </c>
      <c r="L11" s="366" t="s">
        <v>2436</v>
      </c>
      <c r="M11" s="379" t="s">
        <v>2832</v>
      </c>
      <c r="N11" s="379" t="s">
        <v>2832</v>
      </c>
      <c r="O11" s="375" t="s">
        <v>2832</v>
      </c>
      <c r="P11" s="366" t="s">
        <v>2832</v>
      </c>
      <c r="Q11" s="366" t="s">
        <v>2832</v>
      </c>
      <c r="R11" s="366" t="s">
        <v>2436</v>
      </c>
      <c r="S11" s="366" t="s">
        <v>2832</v>
      </c>
      <c r="T11" s="366" t="s">
        <v>2832</v>
      </c>
      <c r="U11" s="376" t="s">
        <v>2832</v>
      </c>
      <c r="V11" s="366" t="s">
        <v>2832</v>
      </c>
      <c r="W11" s="366" t="s">
        <v>2832</v>
      </c>
      <c r="X11" s="366" t="s">
        <v>2831</v>
      </c>
      <c r="Y11" s="366" t="s">
        <v>2436</v>
      </c>
      <c r="Z11" s="366" t="s">
        <v>2436</v>
      </c>
      <c r="AA11" s="366" t="s">
        <v>2831</v>
      </c>
      <c r="AB11" s="366" t="s">
        <v>2831</v>
      </c>
      <c r="AC11" s="366" t="s">
        <v>2831</v>
      </c>
      <c r="AD11" s="353"/>
      <c r="AE11" s="353"/>
    </row>
    <row r="12" spans="1:31">
      <c r="A12" s="353"/>
      <c r="B12" s="353"/>
      <c r="C12" s="353"/>
      <c r="D12" s="353"/>
      <c r="E12" s="353"/>
      <c r="F12" s="353"/>
      <c r="G12" s="353"/>
      <c r="H12" s="354"/>
      <c r="I12" s="353"/>
      <c r="J12" s="353"/>
      <c r="K12" s="353"/>
      <c r="L12" s="353"/>
      <c r="M12" s="353"/>
      <c r="N12" s="353"/>
      <c r="O12" s="354"/>
      <c r="P12" s="353"/>
      <c r="Q12" s="353"/>
      <c r="R12" s="353"/>
      <c r="S12" s="353"/>
      <c r="T12" s="353"/>
      <c r="U12" s="353"/>
      <c r="V12" s="353"/>
      <c r="W12" s="353"/>
      <c r="X12" s="353"/>
      <c r="Y12" s="353"/>
      <c r="Z12" s="353"/>
      <c r="AA12" s="353"/>
      <c r="AB12" s="353"/>
      <c r="AC12" s="353"/>
      <c r="AD12" s="353"/>
      <c r="AE12" s="353"/>
    </row>
    <row r="13" spans="1:31">
      <c r="A13" s="565" t="s">
        <v>2836</v>
      </c>
      <c r="B13" s="381" t="s">
        <v>2837</v>
      </c>
      <c r="C13" s="381" t="s">
        <v>2838</v>
      </c>
      <c r="D13" s="381" t="s">
        <v>2837</v>
      </c>
      <c r="E13" s="381" t="s">
        <v>2838</v>
      </c>
      <c r="F13" s="381" t="s">
        <v>2837</v>
      </c>
      <c r="G13" s="381" t="s">
        <v>2838</v>
      </c>
      <c r="H13" s="383" t="s">
        <v>2837</v>
      </c>
      <c r="I13" s="381" t="s">
        <v>2838</v>
      </c>
      <c r="J13" s="381" t="s">
        <v>2837</v>
      </c>
      <c r="K13" s="381" t="s">
        <v>2838</v>
      </c>
      <c r="L13" s="381" t="s">
        <v>2837</v>
      </c>
      <c r="M13" s="381" t="s">
        <v>2838</v>
      </c>
      <c r="N13" s="381" t="s">
        <v>2837</v>
      </c>
      <c r="O13" s="383" t="s">
        <v>2838</v>
      </c>
      <c r="P13" s="381" t="s">
        <v>2837</v>
      </c>
      <c r="Q13" s="381" t="s">
        <v>2838</v>
      </c>
      <c r="R13" s="381" t="s">
        <v>2837</v>
      </c>
      <c r="S13" s="381" t="s">
        <v>2838</v>
      </c>
      <c r="T13" s="381" t="s">
        <v>2837</v>
      </c>
      <c r="U13" s="381" t="s">
        <v>2838</v>
      </c>
      <c r="V13" s="381" t="s">
        <v>2837</v>
      </c>
      <c r="W13" s="381" t="s">
        <v>2838</v>
      </c>
      <c r="X13" s="381" t="s">
        <v>2837</v>
      </c>
      <c r="Y13" s="381" t="s">
        <v>2839</v>
      </c>
      <c r="Z13" s="381" t="s">
        <v>2837</v>
      </c>
      <c r="AA13" s="381" t="s">
        <v>2840</v>
      </c>
      <c r="AB13" s="381" t="s">
        <v>2837</v>
      </c>
      <c r="AC13" s="381" t="s">
        <v>2839</v>
      </c>
      <c r="AD13" s="353"/>
      <c r="AE13" s="353"/>
    </row>
    <row r="14" spans="1:31">
      <c r="A14" s="480"/>
      <c r="B14" s="370" t="s">
        <v>2841</v>
      </c>
      <c r="C14" s="370" t="s">
        <v>2842</v>
      </c>
      <c r="D14" s="370" t="s">
        <v>2841</v>
      </c>
      <c r="E14" s="370" t="s">
        <v>2842</v>
      </c>
      <c r="F14" s="370" t="s">
        <v>2841</v>
      </c>
      <c r="G14" s="370" t="s">
        <v>2842</v>
      </c>
      <c r="H14" s="375" t="s">
        <v>2841</v>
      </c>
      <c r="I14" s="370" t="s">
        <v>2842</v>
      </c>
      <c r="J14" s="370" t="s">
        <v>2841</v>
      </c>
      <c r="K14" s="370" t="s">
        <v>2842</v>
      </c>
      <c r="L14" s="370" t="s">
        <v>2841</v>
      </c>
      <c r="M14" s="370" t="s">
        <v>2842</v>
      </c>
      <c r="N14" s="370" t="s">
        <v>2841</v>
      </c>
      <c r="O14" s="375" t="s">
        <v>2842</v>
      </c>
      <c r="P14" s="370" t="s">
        <v>2841</v>
      </c>
      <c r="Q14" s="370" t="s">
        <v>2842</v>
      </c>
      <c r="R14" s="370" t="s">
        <v>2841</v>
      </c>
      <c r="S14" s="370" t="s">
        <v>2842</v>
      </c>
      <c r="T14" s="370" t="s">
        <v>2841</v>
      </c>
      <c r="U14" s="370" t="s">
        <v>2842</v>
      </c>
      <c r="V14" s="370" t="s">
        <v>2841</v>
      </c>
      <c r="W14" s="370" t="s">
        <v>2842</v>
      </c>
      <c r="X14" s="370" t="s">
        <v>2838</v>
      </c>
      <c r="Y14" s="370" t="s">
        <v>2842</v>
      </c>
      <c r="Z14" s="370" t="s">
        <v>2838</v>
      </c>
      <c r="AA14" s="370" t="s">
        <v>2842</v>
      </c>
      <c r="AB14" s="370" t="s">
        <v>2838</v>
      </c>
      <c r="AC14" s="370" t="s">
        <v>2842</v>
      </c>
      <c r="AD14" s="353"/>
      <c r="AE14" s="353"/>
    </row>
    <row r="15" spans="1:31">
      <c r="A15" s="480"/>
      <c r="B15" s="366" t="s">
        <v>2843</v>
      </c>
      <c r="C15" s="366" t="s">
        <v>2843</v>
      </c>
      <c r="D15" s="366" t="s">
        <v>2843</v>
      </c>
      <c r="E15" s="366" t="s">
        <v>2436</v>
      </c>
      <c r="F15" s="366" t="s">
        <v>2843</v>
      </c>
      <c r="G15" s="366" t="s">
        <v>2843</v>
      </c>
      <c r="H15" s="375" t="s">
        <v>2436</v>
      </c>
      <c r="I15" s="366" t="s">
        <v>2843</v>
      </c>
      <c r="J15" s="366" t="s">
        <v>2843</v>
      </c>
      <c r="K15" s="366" t="s">
        <v>2843</v>
      </c>
      <c r="L15" s="366" t="s">
        <v>2436</v>
      </c>
      <c r="M15" s="366" t="s">
        <v>2843</v>
      </c>
      <c r="N15" s="366" t="s">
        <v>2843</v>
      </c>
      <c r="O15" s="375" t="s">
        <v>2436</v>
      </c>
      <c r="P15" s="366" t="s">
        <v>2843</v>
      </c>
      <c r="Q15" s="366" t="s">
        <v>2843</v>
      </c>
      <c r="R15" s="366" t="s">
        <v>2843</v>
      </c>
      <c r="S15" s="366" t="s">
        <v>2844</v>
      </c>
      <c r="T15" s="366" t="s">
        <v>2843</v>
      </c>
      <c r="U15" s="366" t="s">
        <v>2843</v>
      </c>
      <c r="V15" s="366" t="s">
        <v>2843</v>
      </c>
      <c r="W15" s="366" t="s">
        <v>2843</v>
      </c>
      <c r="X15" s="370"/>
      <c r="Y15" s="370"/>
      <c r="Z15" s="370"/>
      <c r="AA15" s="370"/>
      <c r="AB15" s="370"/>
      <c r="AC15" s="370"/>
      <c r="AD15" s="353"/>
      <c r="AE15" s="353"/>
    </row>
    <row r="16" spans="1:31">
      <c r="A16" s="480"/>
      <c r="B16" s="370" t="s">
        <v>2845</v>
      </c>
      <c r="C16" s="370" t="s">
        <v>2845</v>
      </c>
      <c r="D16" s="370" t="s">
        <v>2845</v>
      </c>
      <c r="E16" s="370" t="s">
        <v>2436</v>
      </c>
      <c r="F16" s="370" t="s">
        <v>2845</v>
      </c>
      <c r="G16" s="370" t="s">
        <v>2845</v>
      </c>
      <c r="H16" s="375" t="s">
        <v>2436</v>
      </c>
      <c r="I16" s="370" t="s">
        <v>2845</v>
      </c>
      <c r="J16" s="370" t="s">
        <v>2845</v>
      </c>
      <c r="K16" s="370" t="s">
        <v>2845</v>
      </c>
      <c r="L16" s="370" t="s">
        <v>2436</v>
      </c>
      <c r="M16" s="370" t="s">
        <v>2845</v>
      </c>
      <c r="N16" s="370" t="s">
        <v>2845</v>
      </c>
      <c r="O16" s="375" t="s">
        <v>2436</v>
      </c>
      <c r="P16" s="370" t="s">
        <v>2845</v>
      </c>
      <c r="Q16" s="370" t="s">
        <v>2845</v>
      </c>
      <c r="R16" s="370" t="s">
        <v>2845</v>
      </c>
      <c r="S16" s="370" t="s">
        <v>2844</v>
      </c>
      <c r="T16" s="370" t="s">
        <v>2845</v>
      </c>
      <c r="U16" s="370" t="s">
        <v>2845</v>
      </c>
      <c r="V16" s="370" t="s">
        <v>2845</v>
      </c>
      <c r="W16" s="370" t="s">
        <v>2845</v>
      </c>
      <c r="X16" s="370" t="s">
        <v>2845</v>
      </c>
      <c r="Y16" s="370" t="s">
        <v>2845</v>
      </c>
      <c r="Z16" s="370" t="s">
        <v>2844</v>
      </c>
      <c r="AA16" s="370" t="s">
        <v>2845</v>
      </c>
      <c r="AB16" s="370" t="s">
        <v>2845</v>
      </c>
      <c r="AC16" s="370" t="s">
        <v>2845</v>
      </c>
      <c r="AD16" s="353"/>
      <c r="AE16" s="353"/>
    </row>
    <row r="17" spans="1:31">
      <c r="A17" s="481"/>
      <c r="B17" s="366" t="s">
        <v>2846</v>
      </c>
      <c r="C17" s="366" t="s">
        <v>2846</v>
      </c>
      <c r="D17" s="366" t="s">
        <v>2846</v>
      </c>
      <c r="E17" s="366" t="s">
        <v>2436</v>
      </c>
      <c r="F17" s="366" t="s">
        <v>2846</v>
      </c>
      <c r="G17" s="366" t="s">
        <v>2846</v>
      </c>
      <c r="H17" s="375" t="s">
        <v>2436</v>
      </c>
      <c r="I17" s="366" t="s">
        <v>2846</v>
      </c>
      <c r="J17" s="366" t="s">
        <v>2846</v>
      </c>
      <c r="K17" s="366" t="s">
        <v>2846</v>
      </c>
      <c r="L17" s="366" t="s">
        <v>2436</v>
      </c>
      <c r="M17" s="366" t="s">
        <v>2846</v>
      </c>
      <c r="N17" s="366" t="s">
        <v>2846</v>
      </c>
      <c r="O17" s="375" t="s">
        <v>2436</v>
      </c>
      <c r="P17" s="366" t="s">
        <v>2846</v>
      </c>
      <c r="Q17" s="366" t="s">
        <v>2846</v>
      </c>
      <c r="R17" s="366" t="s">
        <v>2846</v>
      </c>
      <c r="S17" s="366" t="s">
        <v>2436</v>
      </c>
      <c r="T17" s="366" t="s">
        <v>2846</v>
      </c>
      <c r="U17" s="366" t="s">
        <v>2846</v>
      </c>
      <c r="V17" s="366" t="s">
        <v>2846</v>
      </c>
      <c r="W17" s="366" t="s">
        <v>2846</v>
      </c>
      <c r="X17" s="366" t="s">
        <v>2846</v>
      </c>
      <c r="Y17" s="366" t="s">
        <v>2846</v>
      </c>
      <c r="Z17" s="366" t="s">
        <v>2436</v>
      </c>
      <c r="AA17" s="366" t="s">
        <v>2846</v>
      </c>
      <c r="AB17" s="366" t="s">
        <v>2846</v>
      </c>
      <c r="AC17" s="366" t="s">
        <v>2846</v>
      </c>
      <c r="AD17" s="353"/>
      <c r="AE17" s="353"/>
    </row>
    <row r="18" spans="1:31">
      <c r="A18" s="353"/>
      <c r="B18" s="353"/>
      <c r="C18" s="353"/>
      <c r="D18" s="353"/>
      <c r="E18" s="353"/>
      <c r="F18" s="353"/>
      <c r="G18" s="353"/>
      <c r="H18" s="354"/>
      <c r="I18" s="353"/>
      <c r="J18" s="353"/>
      <c r="K18" s="353"/>
      <c r="L18" s="353"/>
      <c r="M18" s="353"/>
      <c r="N18" s="353"/>
      <c r="O18" s="354"/>
      <c r="P18" s="353"/>
      <c r="Q18" s="353"/>
      <c r="R18" s="353"/>
      <c r="S18" s="353"/>
      <c r="T18" s="353"/>
      <c r="U18" s="353"/>
      <c r="V18" s="353"/>
      <c r="W18" s="353"/>
      <c r="X18" s="353"/>
      <c r="Y18" s="353"/>
      <c r="Z18" s="353"/>
      <c r="AA18" s="353"/>
      <c r="AB18" s="353"/>
      <c r="AC18" s="353"/>
      <c r="AD18" s="353"/>
      <c r="AE18" s="353"/>
    </row>
    <row r="19" spans="1:31">
      <c r="A19" s="565" t="s">
        <v>2847</v>
      </c>
      <c r="B19" s="363" t="s">
        <v>2848</v>
      </c>
      <c r="C19" s="363" t="s">
        <v>2848</v>
      </c>
      <c r="D19" s="363" t="s">
        <v>2848</v>
      </c>
      <c r="E19" s="363" t="s">
        <v>2436</v>
      </c>
      <c r="F19" s="363" t="s">
        <v>2848</v>
      </c>
      <c r="G19" s="363" t="s">
        <v>2848</v>
      </c>
      <c r="H19" s="383" t="s">
        <v>2436</v>
      </c>
      <c r="I19" s="363" t="s">
        <v>2848</v>
      </c>
      <c r="J19" s="363" t="s">
        <v>2848</v>
      </c>
      <c r="K19" s="363" t="s">
        <v>2436</v>
      </c>
      <c r="L19" s="363" t="s">
        <v>2848</v>
      </c>
      <c r="M19" s="363" t="s">
        <v>2848</v>
      </c>
      <c r="N19" s="363" t="s">
        <v>2848</v>
      </c>
      <c r="O19" s="383" t="s">
        <v>2436</v>
      </c>
      <c r="P19" s="363" t="s">
        <v>2848</v>
      </c>
      <c r="Q19" s="363" t="s">
        <v>2848</v>
      </c>
      <c r="R19" s="363" t="s">
        <v>2848</v>
      </c>
      <c r="S19" s="363" t="s">
        <v>2436</v>
      </c>
      <c r="T19" s="363" t="s">
        <v>2848</v>
      </c>
      <c r="U19" s="363" t="s">
        <v>2848</v>
      </c>
      <c r="V19" s="363" t="s">
        <v>2848</v>
      </c>
      <c r="W19" s="363" t="s">
        <v>2848</v>
      </c>
      <c r="X19" s="363" t="s">
        <v>2848</v>
      </c>
      <c r="Y19" s="363" t="s">
        <v>2436</v>
      </c>
      <c r="Z19" s="363" t="s">
        <v>2848</v>
      </c>
      <c r="AA19" s="363" t="s">
        <v>2848</v>
      </c>
      <c r="AB19" s="363" t="s">
        <v>2848</v>
      </c>
      <c r="AC19" s="363" t="s">
        <v>2848</v>
      </c>
      <c r="AD19" s="353"/>
      <c r="AE19" s="353"/>
    </row>
    <row r="20" spans="1:31">
      <c r="A20" s="480"/>
      <c r="B20" s="366" t="s">
        <v>1836</v>
      </c>
      <c r="C20" s="366" t="s">
        <v>1836</v>
      </c>
      <c r="D20" s="366" t="s">
        <v>1836</v>
      </c>
      <c r="E20" s="366" t="s">
        <v>2436</v>
      </c>
      <c r="F20" s="366" t="s">
        <v>1836</v>
      </c>
      <c r="G20" s="366" t="s">
        <v>1836</v>
      </c>
      <c r="H20" s="375" t="s">
        <v>1836</v>
      </c>
      <c r="I20" s="366" t="s">
        <v>1836</v>
      </c>
      <c r="J20" s="366" t="s">
        <v>1836</v>
      </c>
      <c r="K20" s="366" t="s">
        <v>2436</v>
      </c>
      <c r="L20" s="366" t="s">
        <v>1836</v>
      </c>
      <c r="M20" s="366" t="s">
        <v>1836</v>
      </c>
      <c r="N20" s="374" t="s">
        <v>1836</v>
      </c>
      <c r="O20" s="375" t="s">
        <v>2436</v>
      </c>
      <c r="P20" s="366" t="s">
        <v>1836</v>
      </c>
      <c r="Q20" s="366" t="s">
        <v>1836</v>
      </c>
      <c r="R20" s="366" t="s">
        <v>1836</v>
      </c>
      <c r="S20" s="366"/>
      <c r="T20" s="366" t="s">
        <v>1836</v>
      </c>
      <c r="U20" s="366" t="s">
        <v>1836</v>
      </c>
      <c r="V20" s="366" t="s">
        <v>1836</v>
      </c>
      <c r="W20" s="366" t="s">
        <v>1836</v>
      </c>
      <c r="X20" s="366" t="s">
        <v>1836</v>
      </c>
      <c r="Y20" s="366"/>
      <c r="Z20" s="366" t="s">
        <v>1836</v>
      </c>
      <c r="AA20" s="366" t="s">
        <v>1836</v>
      </c>
      <c r="AB20" s="366" t="s">
        <v>1836</v>
      </c>
      <c r="AC20" s="366" t="s">
        <v>1836</v>
      </c>
      <c r="AD20" s="353"/>
      <c r="AE20" s="353"/>
    </row>
    <row r="21" spans="1:31">
      <c r="A21" s="480"/>
      <c r="B21" s="370" t="s">
        <v>2849</v>
      </c>
      <c r="C21" s="370" t="s">
        <v>2849</v>
      </c>
      <c r="D21" s="370" t="s">
        <v>2436</v>
      </c>
      <c r="E21" s="370" t="s">
        <v>2849</v>
      </c>
      <c r="F21" s="370" t="s">
        <v>2849</v>
      </c>
      <c r="G21" s="374" t="s">
        <v>2849</v>
      </c>
      <c r="H21" s="375" t="s">
        <v>2436</v>
      </c>
      <c r="I21" s="370" t="s">
        <v>2849</v>
      </c>
      <c r="J21" s="370" t="s">
        <v>2849</v>
      </c>
      <c r="K21" s="370" t="s">
        <v>2849</v>
      </c>
      <c r="L21" s="370" t="s">
        <v>2436</v>
      </c>
      <c r="M21" s="370" t="s">
        <v>2849</v>
      </c>
      <c r="N21" s="370" t="s">
        <v>2849</v>
      </c>
      <c r="O21" s="375" t="s">
        <v>2436</v>
      </c>
      <c r="P21" s="370" t="s">
        <v>2849</v>
      </c>
      <c r="Q21" s="370" t="s">
        <v>2849</v>
      </c>
      <c r="R21" s="370" t="s">
        <v>2436</v>
      </c>
      <c r="S21" s="370" t="s">
        <v>2849</v>
      </c>
      <c r="T21" s="370" t="s">
        <v>2849</v>
      </c>
      <c r="U21" s="370" t="s">
        <v>2849</v>
      </c>
      <c r="V21" s="370" t="s">
        <v>2849</v>
      </c>
      <c r="W21" s="370" t="s">
        <v>2849</v>
      </c>
      <c r="X21" s="370" t="s">
        <v>2849</v>
      </c>
      <c r="Y21" s="370" t="s">
        <v>2849</v>
      </c>
      <c r="Z21" s="370" t="s">
        <v>2436</v>
      </c>
      <c r="AA21" s="370" t="s">
        <v>2849</v>
      </c>
      <c r="AB21" s="370" t="s">
        <v>2849</v>
      </c>
      <c r="AC21" s="370" t="s">
        <v>2849</v>
      </c>
      <c r="AD21" s="353"/>
      <c r="AE21" s="353"/>
    </row>
    <row r="22" spans="1:31">
      <c r="A22" s="481"/>
      <c r="B22" s="366" t="s">
        <v>2850</v>
      </c>
      <c r="C22" s="366" t="s">
        <v>2850</v>
      </c>
      <c r="D22" s="366" t="s">
        <v>2436</v>
      </c>
      <c r="E22" s="366" t="s">
        <v>2850</v>
      </c>
      <c r="F22" s="366" t="s">
        <v>2850</v>
      </c>
      <c r="G22" s="366" t="s">
        <v>2850</v>
      </c>
      <c r="H22" s="375" t="s">
        <v>2436</v>
      </c>
      <c r="I22" s="366" t="s">
        <v>2850</v>
      </c>
      <c r="J22" s="366" t="s">
        <v>2850</v>
      </c>
      <c r="K22" s="366" t="s">
        <v>2850</v>
      </c>
      <c r="L22" s="366" t="s">
        <v>2436</v>
      </c>
      <c r="M22" s="374" t="s">
        <v>2850</v>
      </c>
      <c r="N22" s="366" t="s">
        <v>2850</v>
      </c>
      <c r="O22" s="375" t="s">
        <v>2850</v>
      </c>
      <c r="P22" s="366" t="s">
        <v>2850</v>
      </c>
      <c r="Q22" s="366" t="s">
        <v>2850</v>
      </c>
      <c r="R22" s="366" t="s">
        <v>2436</v>
      </c>
      <c r="S22" s="366" t="s">
        <v>2850</v>
      </c>
      <c r="T22" s="366" t="s">
        <v>2850</v>
      </c>
      <c r="U22" s="366" t="s">
        <v>2850</v>
      </c>
      <c r="V22" s="366" t="s">
        <v>2850</v>
      </c>
      <c r="W22" s="366" t="s">
        <v>2850</v>
      </c>
      <c r="X22" s="366" t="s">
        <v>2850</v>
      </c>
      <c r="Y22" s="366" t="s">
        <v>2850</v>
      </c>
      <c r="Z22" s="366" t="s">
        <v>2436</v>
      </c>
      <c r="AA22" s="366" t="s">
        <v>2850</v>
      </c>
      <c r="AB22" s="366" t="s">
        <v>2850</v>
      </c>
      <c r="AC22" s="366" t="s">
        <v>2850</v>
      </c>
      <c r="AD22" s="353"/>
      <c r="AE22" s="353"/>
    </row>
    <row r="23" spans="1:31">
      <c r="A23" s="353"/>
      <c r="B23" s="353"/>
      <c r="C23" s="353"/>
      <c r="D23" s="353"/>
      <c r="E23" s="353"/>
      <c r="F23" s="353"/>
      <c r="G23" s="353"/>
      <c r="H23" s="354"/>
      <c r="I23" s="353"/>
      <c r="J23" s="353"/>
      <c r="K23" s="353"/>
      <c r="L23" s="353"/>
      <c r="M23" s="353"/>
      <c r="N23" s="353"/>
      <c r="O23" s="354"/>
      <c r="P23" s="353"/>
      <c r="Q23" s="353"/>
      <c r="R23" s="353"/>
      <c r="S23" s="353"/>
      <c r="T23" s="353"/>
      <c r="U23" s="353"/>
      <c r="V23" s="353"/>
      <c r="W23" s="353"/>
      <c r="X23" s="353"/>
      <c r="Y23" s="353"/>
      <c r="Z23" s="353"/>
      <c r="AA23" s="353"/>
      <c r="AB23" s="353"/>
      <c r="AC23" s="353"/>
      <c r="AD23" s="353"/>
      <c r="AE23" s="353"/>
    </row>
    <row r="24" spans="1:31">
      <c r="A24" s="390" t="s">
        <v>2851</v>
      </c>
      <c r="B24" s="363" t="s">
        <v>2852</v>
      </c>
      <c r="C24" s="363" t="s">
        <v>2853</v>
      </c>
      <c r="D24" s="363" t="s">
        <v>2852</v>
      </c>
      <c r="E24" s="363" t="s">
        <v>2852</v>
      </c>
      <c r="F24" s="363" t="s">
        <v>2854</v>
      </c>
      <c r="G24" s="363" t="s">
        <v>2855</v>
      </c>
      <c r="H24" s="383" t="s">
        <v>2844</v>
      </c>
      <c r="I24" s="363" t="s">
        <v>2852</v>
      </c>
      <c r="J24" s="391" t="s">
        <v>2855</v>
      </c>
      <c r="K24" s="363" t="s">
        <v>2852</v>
      </c>
      <c r="L24" s="363" t="s">
        <v>2852</v>
      </c>
      <c r="M24" s="363" t="s">
        <v>2856</v>
      </c>
      <c r="N24" s="363" t="s">
        <v>2852</v>
      </c>
      <c r="O24" s="383" t="s">
        <v>2844</v>
      </c>
      <c r="P24" s="363" t="s">
        <v>2857</v>
      </c>
      <c r="Q24" s="363" t="s">
        <v>2857</v>
      </c>
      <c r="R24" s="363" t="s">
        <v>2857</v>
      </c>
      <c r="S24" s="363" t="s">
        <v>2852</v>
      </c>
      <c r="T24" s="363" t="s">
        <v>2857</v>
      </c>
      <c r="U24" s="363" t="s">
        <v>2857</v>
      </c>
      <c r="V24" s="363" t="s">
        <v>2857</v>
      </c>
      <c r="W24" s="363" t="s">
        <v>2857</v>
      </c>
      <c r="X24" s="363" t="s">
        <v>2857</v>
      </c>
      <c r="Y24" s="363" t="s">
        <v>2857</v>
      </c>
      <c r="Z24" s="363"/>
      <c r="AA24" s="363" t="s">
        <v>2857</v>
      </c>
      <c r="AB24" s="363" t="s">
        <v>2857</v>
      </c>
      <c r="AC24" s="363" t="s">
        <v>2857</v>
      </c>
      <c r="AD24" s="353"/>
      <c r="AE24" s="353"/>
    </row>
    <row r="25" spans="1:31" ht="18" customHeight="1">
      <c r="A25" s="392"/>
      <c r="B25" s="393"/>
      <c r="C25" s="393"/>
      <c r="D25" s="393"/>
      <c r="E25" s="393"/>
      <c r="F25" s="393"/>
      <c r="G25" s="393"/>
      <c r="H25" s="394"/>
      <c r="I25" s="393"/>
      <c r="J25" s="393"/>
      <c r="K25" s="393"/>
      <c r="L25" s="393"/>
      <c r="M25" s="393"/>
      <c r="N25" s="393"/>
      <c r="O25" s="395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  <c r="AA25" s="393"/>
      <c r="AB25" s="393"/>
      <c r="AC25" s="393"/>
      <c r="AD25" s="353"/>
      <c r="AE25" s="353"/>
    </row>
    <row r="26" spans="1:31">
      <c r="A26" s="565" t="s">
        <v>2858</v>
      </c>
      <c r="B26" s="363" t="s">
        <v>2859</v>
      </c>
      <c r="C26" s="363" t="s">
        <v>2859</v>
      </c>
      <c r="D26" s="363" t="s">
        <v>2436</v>
      </c>
      <c r="E26" s="363" t="s">
        <v>2859</v>
      </c>
      <c r="F26" s="363" t="s">
        <v>2859</v>
      </c>
      <c r="G26" s="363" t="s">
        <v>2859</v>
      </c>
      <c r="H26" s="396" t="s">
        <v>2859</v>
      </c>
      <c r="I26" s="363" t="s">
        <v>2859</v>
      </c>
      <c r="J26" s="363" t="s">
        <v>2859</v>
      </c>
      <c r="K26" s="363" t="s">
        <v>2859</v>
      </c>
      <c r="L26" s="363" t="s">
        <v>2436</v>
      </c>
      <c r="M26" s="363" t="s">
        <v>2859</v>
      </c>
      <c r="N26" s="363" t="s">
        <v>2859</v>
      </c>
      <c r="O26" s="383" t="s">
        <v>2436</v>
      </c>
      <c r="P26" s="363" t="s">
        <v>2859</v>
      </c>
      <c r="Q26" s="363" t="s">
        <v>2859</v>
      </c>
      <c r="R26" s="363" t="s">
        <v>2436</v>
      </c>
      <c r="S26" s="363" t="s">
        <v>2859</v>
      </c>
      <c r="T26" s="363" t="s">
        <v>2859</v>
      </c>
      <c r="U26" s="363" t="s">
        <v>2859</v>
      </c>
      <c r="V26" s="363" t="s">
        <v>2859</v>
      </c>
      <c r="W26" s="363" t="s">
        <v>2859</v>
      </c>
      <c r="X26" s="363" t="s">
        <v>2859</v>
      </c>
      <c r="Y26" s="363" t="s">
        <v>2859</v>
      </c>
      <c r="Z26" s="363" t="s">
        <v>2436</v>
      </c>
      <c r="AA26" s="363" t="s">
        <v>2859</v>
      </c>
      <c r="AB26" s="363" t="s">
        <v>2859</v>
      </c>
      <c r="AC26" s="363" t="s">
        <v>2859</v>
      </c>
      <c r="AD26" s="353"/>
      <c r="AE26" s="353"/>
    </row>
    <row r="27" spans="1:31">
      <c r="A27" s="481"/>
      <c r="B27" s="366"/>
      <c r="C27" s="366"/>
      <c r="D27" s="366" t="s">
        <v>2860</v>
      </c>
      <c r="E27" s="366" t="s">
        <v>2436</v>
      </c>
      <c r="F27" s="366" t="s">
        <v>2436</v>
      </c>
      <c r="G27" s="366" t="s">
        <v>2436</v>
      </c>
      <c r="H27" s="375" t="s">
        <v>2436</v>
      </c>
      <c r="I27" s="366" t="s">
        <v>2436</v>
      </c>
      <c r="J27" s="366" t="s">
        <v>2436</v>
      </c>
      <c r="K27" s="366" t="s">
        <v>2436</v>
      </c>
      <c r="L27" s="366" t="s">
        <v>2860</v>
      </c>
      <c r="M27" s="366" t="s">
        <v>2436</v>
      </c>
      <c r="N27" s="366" t="s">
        <v>2436</v>
      </c>
      <c r="O27" s="397" t="s">
        <v>2860</v>
      </c>
      <c r="P27" s="366" t="s">
        <v>2436</v>
      </c>
      <c r="Q27" s="366" t="s">
        <v>2436</v>
      </c>
      <c r="R27" s="366" t="s">
        <v>2860</v>
      </c>
      <c r="S27" s="366" t="s">
        <v>2436</v>
      </c>
      <c r="T27" s="366" t="s">
        <v>2436</v>
      </c>
      <c r="U27" s="366" t="s">
        <v>2436</v>
      </c>
      <c r="V27" s="366" t="s">
        <v>2436</v>
      </c>
      <c r="W27" s="366" t="s">
        <v>2436</v>
      </c>
      <c r="X27" s="366" t="s">
        <v>2436</v>
      </c>
      <c r="Y27" s="366" t="s">
        <v>2436</v>
      </c>
      <c r="Z27" s="366" t="s">
        <v>2860</v>
      </c>
      <c r="AA27" s="366" t="s">
        <v>2436</v>
      </c>
      <c r="AB27" s="366" t="s">
        <v>2436</v>
      </c>
      <c r="AC27" s="366" t="s">
        <v>2436</v>
      </c>
      <c r="AD27" s="353"/>
      <c r="AE27" s="353"/>
    </row>
    <row r="28" spans="1:31">
      <c r="A28" s="392"/>
      <c r="B28" s="353"/>
      <c r="C28" s="353"/>
      <c r="D28" s="353"/>
      <c r="E28" s="353"/>
      <c r="F28" s="353"/>
      <c r="G28" s="353"/>
      <c r="H28" s="354"/>
      <c r="I28" s="353"/>
      <c r="J28" s="353"/>
      <c r="K28" s="353"/>
      <c r="L28" s="353"/>
      <c r="M28" s="353"/>
      <c r="N28" s="353"/>
      <c r="O28" s="354"/>
      <c r="P28" s="353"/>
      <c r="Q28" s="353"/>
      <c r="R28" s="353"/>
      <c r="S28" s="353"/>
      <c r="T28" s="353"/>
      <c r="U28" s="353"/>
      <c r="V28" s="353"/>
      <c r="W28" s="353"/>
      <c r="X28" s="353"/>
      <c r="Y28" s="353"/>
      <c r="Z28" s="353"/>
      <c r="AA28" s="353"/>
      <c r="AB28" s="353"/>
      <c r="AC28" s="353"/>
      <c r="AD28" s="353"/>
      <c r="AE28" s="353"/>
    </row>
    <row r="29" spans="1:31">
      <c r="A29" s="362" t="s">
        <v>2861</v>
      </c>
      <c r="B29" s="363" t="s">
        <v>2862</v>
      </c>
      <c r="C29" s="363" t="s">
        <v>2862</v>
      </c>
      <c r="D29" s="363" t="s">
        <v>2862</v>
      </c>
      <c r="E29" s="363"/>
      <c r="F29" s="363" t="s">
        <v>2862</v>
      </c>
      <c r="G29" s="363" t="s">
        <v>2862</v>
      </c>
      <c r="H29" s="398"/>
      <c r="I29" s="363" t="s">
        <v>2863</v>
      </c>
      <c r="J29" s="363"/>
      <c r="K29" s="363"/>
      <c r="L29" s="363" t="s">
        <v>2862</v>
      </c>
      <c r="M29" s="363" t="s">
        <v>2862</v>
      </c>
      <c r="N29" s="363" t="s">
        <v>2862</v>
      </c>
      <c r="O29" s="383" t="s">
        <v>2862</v>
      </c>
      <c r="P29" s="363" t="s">
        <v>2862</v>
      </c>
      <c r="Q29" s="363" t="s">
        <v>2862</v>
      </c>
      <c r="R29" s="363" t="s">
        <v>2862</v>
      </c>
      <c r="S29" s="363"/>
      <c r="T29" s="363" t="s">
        <v>2862</v>
      </c>
      <c r="U29" s="363" t="s">
        <v>2862</v>
      </c>
      <c r="V29" s="363" t="s">
        <v>2862</v>
      </c>
      <c r="W29" s="363" t="s">
        <v>2862</v>
      </c>
      <c r="X29" s="363" t="s">
        <v>2862</v>
      </c>
      <c r="Y29" s="363"/>
      <c r="Z29" s="363" t="s">
        <v>2862</v>
      </c>
      <c r="AA29" s="363" t="s">
        <v>2862</v>
      </c>
      <c r="AB29" s="363" t="s">
        <v>2862</v>
      </c>
      <c r="AC29" s="363" t="s">
        <v>2862</v>
      </c>
      <c r="AD29" s="353" t="s">
        <v>2864</v>
      </c>
      <c r="AE29" s="353"/>
    </row>
    <row r="30" spans="1:31">
      <c r="A30" s="399" t="s">
        <v>2865</v>
      </c>
      <c r="B30" s="366" t="s">
        <v>2866</v>
      </c>
      <c r="C30" s="366" t="s">
        <v>2866</v>
      </c>
      <c r="D30" s="366"/>
      <c r="E30" s="366" t="s">
        <v>2866</v>
      </c>
      <c r="F30" s="366" t="s">
        <v>2866</v>
      </c>
      <c r="G30" s="366" t="s">
        <v>2866</v>
      </c>
      <c r="H30" s="379" t="s">
        <v>2867</v>
      </c>
      <c r="I30" s="366" t="s">
        <v>2868</v>
      </c>
      <c r="J30" s="366" t="s">
        <v>2868</v>
      </c>
      <c r="K30" s="366" t="s">
        <v>2868</v>
      </c>
      <c r="L30" s="366" t="s">
        <v>2869</v>
      </c>
      <c r="M30" s="366" t="s">
        <v>2868</v>
      </c>
      <c r="N30" s="366" t="s">
        <v>2870</v>
      </c>
      <c r="O30" s="375" t="s">
        <v>2849</v>
      </c>
      <c r="P30" s="366" t="s">
        <v>2868</v>
      </c>
      <c r="Q30" s="366" t="s">
        <v>2868</v>
      </c>
      <c r="R30" s="366"/>
      <c r="S30" s="366" t="s">
        <v>2868</v>
      </c>
      <c r="T30" s="366" t="s">
        <v>2868</v>
      </c>
      <c r="U30" s="366" t="s">
        <v>2868</v>
      </c>
      <c r="V30" s="366" t="s">
        <v>2868</v>
      </c>
      <c r="W30" s="366" t="s">
        <v>2868</v>
      </c>
      <c r="X30" s="366" t="s">
        <v>2868</v>
      </c>
      <c r="Y30" s="366" t="s">
        <v>2868</v>
      </c>
      <c r="Z30" s="366"/>
      <c r="AA30" s="366" t="s">
        <v>2868</v>
      </c>
      <c r="AB30" s="366" t="s">
        <v>2868</v>
      </c>
      <c r="AC30" s="366" t="s">
        <v>2868</v>
      </c>
      <c r="AD30" s="353" t="s">
        <v>2868</v>
      </c>
      <c r="AE30" s="353"/>
    </row>
    <row r="31" spans="1:31">
      <c r="A31" s="399" t="s">
        <v>2871</v>
      </c>
      <c r="B31" s="370" t="s">
        <v>2872</v>
      </c>
      <c r="C31" s="370" t="s">
        <v>2872</v>
      </c>
      <c r="D31" s="370"/>
      <c r="E31" s="370" t="s">
        <v>2872</v>
      </c>
      <c r="F31" s="370" t="s">
        <v>2872</v>
      </c>
      <c r="G31" s="370" t="s">
        <v>2872</v>
      </c>
      <c r="H31" s="397" t="s">
        <v>2873</v>
      </c>
      <c r="I31" s="370" t="s">
        <v>2866</v>
      </c>
      <c r="J31" s="370" t="s">
        <v>2866</v>
      </c>
      <c r="K31" s="370"/>
      <c r="L31" s="370" t="s">
        <v>2866</v>
      </c>
      <c r="M31" s="370" t="s">
        <v>2866</v>
      </c>
      <c r="N31" s="370" t="s">
        <v>2866</v>
      </c>
      <c r="O31" s="375"/>
      <c r="P31" s="370" t="s">
        <v>2866</v>
      </c>
      <c r="Q31" s="370" t="s">
        <v>2866</v>
      </c>
      <c r="R31" s="370" t="s">
        <v>2866</v>
      </c>
      <c r="S31" s="370"/>
      <c r="T31" s="370" t="s">
        <v>2866</v>
      </c>
      <c r="U31" s="370" t="s">
        <v>2866</v>
      </c>
      <c r="V31" s="370" t="s">
        <v>2866</v>
      </c>
      <c r="W31" s="370" t="s">
        <v>2866</v>
      </c>
      <c r="X31" s="370" t="s">
        <v>2866</v>
      </c>
      <c r="Y31" s="370" t="s">
        <v>2874</v>
      </c>
      <c r="Z31" s="370" t="s">
        <v>2866</v>
      </c>
      <c r="AA31" s="370" t="s">
        <v>2866</v>
      </c>
      <c r="AB31" s="370" t="s">
        <v>2866</v>
      </c>
      <c r="AC31" s="370" t="s">
        <v>2866</v>
      </c>
      <c r="AD31" s="353" t="s">
        <v>2866</v>
      </c>
      <c r="AE31" s="353"/>
    </row>
    <row r="32" spans="1:31">
      <c r="A32" s="399" t="s">
        <v>2875</v>
      </c>
      <c r="B32" s="366" t="s">
        <v>2835</v>
      </c>
      <c r="C32" s="366" t="s">
        <v>2835</v>
      </c>
      <c r="D32" s="366"/>
      <c r="E32" s="366" t="s">
        <v>2835</v>
      </c>
      <c r="F32" s="366" t="s">
        <v>2835</v>
      </c>
      <c r="G32" s="366" t="s">
        <v>2835</v>
      </c>
      <c r="H32" s="397" t="s">
        <v>2876</v>
      </c>
      <c r="I32" s="366" t="s">
        <v>2872</v>
      </c>
      <c r="J32" s="366" t="s">
        <v>2872</v>
      </c>
      <c r="K32" s="366"/>
      <c r="L32" s="366" t="s">
        <v>2872</v>
      </c>
      <c r="M32" s="366" t="s">
        <v>2872</v>
      </c>
      <c r="N32" s="401" t="s">
        <v>2872</v>
      </c>
      <c r="O32" s="375" t="s">
        <v>2835</v>
      </c>
      <c r="P32" s="366" t="s">
        <v>2872</v>
      </c>
      <c r="Q32" s="366" t="s">
        <v>2872</v>
      </c>
      <c r="R32" s="366" t="s">
        <v>2872</v>
      </c>
      <c r="S32" s="366" t="s">
        <v>2835</v>
      </c>
      <c r="T32" s="366" t="s">
        <v>2872</v>
      </c>
      <c r="U32" s="366" t="s">
        <v>2872</v>
      </c>
      <c r="V32" s="366" t="s">
        <v>2872</v>
      </c>
      <c r="W32" s="366" t="s">
        <v>2872</v>
      </c>
      <c r="X32" s="366" t="s">
        <v>2872</v>
      </c>
      <c r="Y32" s="366" t="s">
        <v>2877</v>
      </c>
      <c r="Z32" s="366" t="s">
        <v>2872</v>
      </c>
      <c r="AA32" s="366" t="s">
        <v>2872</v>
      </c>
      <c r="AB32" s="366" t="s">
        <v>2872</v>
      </c>
      <c r="AC32" s="366" t="s">
        <v>2872</v>
      </c>
      <c r="AD32" s="353" t="s">
        <v>2872</v>
      </c>
      <c r="AE32" s="353"/>
    </row>
    <row r="33" spans="1:31">
      <c r="A33" s="399" t="s">
        <v>2878</v>
      </c>
      <c r="B33" s="370" t="s">
        <v>2879</v>
      </c>
      <c r="C33" s="370" t="s">
        <v>2879</v>
      </c>
      <c r="D33" s="370" t="s">
        <v>2880</v>
      </c>
      <c r="E33" s="370" t="s">
        <v>2881</v>
      </c>
      <c r="F33" s="370"/>
      <c r="G33" s="370" t="s">
        <v>2882</v>
      </c>
      <c r="H33" s="397" t="s">
        <v>2883</v>
      </c>
      <c r="I33" s="370" t="s">
        <v>2835</v>
      </c>
      <c r="J33" s="370" t="s">
        <v>2835</v>
      </c>
      <c r="K33" s="370" t="s">
        <v>2835</v>
      </c>
      <c r="L33" s="370"/>
      <c r="M33" s="370" t="s">
        <v>2835</v>
      </c>
      <c r="N33" s="370" t="s">
        <v>2835</v>
      </c>
      <c r="O33" s="375"/>
      <c r="P33" s="370" t="s">
        <v>2835</v>
      </c>
      <c r="Q33" s="370" t="s">
        <v>2835</v>
      </c>
      <c r="R33" s="370" t="s">
        <v>2869</v>
      </c>
      <c r="S33" s="71"/>
      <c r="T33" s="370" t="s">
        <v>2835</v>
      </c>
      <c r="U33" s="370" t="s">
        <v>2835</v>
      </c>
      <c r="V33" s="370" t="s">
        <v>2835</v>
      </c>
      <c r="W33" s="370" t="s">
        <v>2835</v>
      </c>
      <c r="X33" s="370" t="s">
        <v>2835</v>
      </c>
      <c r="Y33" s="366" t="s">
        <v>2835</v>
      </c>
      <c r="Z33" s="370" t="s">
        <v>2869</v>
      </c>
      <c r="AA33" s="370" t="s">
        <v>2835</v>
      </c>
      <c r="AB33" s="370" t="s">
        <v>2835</v>
      </c>
      <c r="AC33" s="370" t="s">
        <v>2835</v>
      </c>
      <c r="AD33" s="353" t="s">
        <v>2835</v>
      </c>
      <c r="AE33" s="353"/>
    </row>
    <row r="34" spans="1:31">
      <c r="A34" s="399" t="s">
        <v>2884</v>
      </c>
      <c r="B34" s="366" t="s">
        <v>2868</v>
      </c>
      <c r="C34" s="366" t="s">
        <v>2868</v>
      </c>
      <c r="D34" s="397" t="s">
        <v>2873</v>
      </c>
      <c r="E34" s="366" t="s">
        <v>2868</v>
      </c>
      <c r="F34" s="366" t="s">
        <v>2868</v>
      </c>
      <c r="G34" s="366" t="s">
        <v>2868</v>
      </c>
      <c r="H34" s="397" t="s">
        <v>2868</v>
      </c>
      <c r="I34" s="366" t="s">
        <v>2885</v>
      </c>
      <c r="J34" s="366" t="s">
        <v>2885</v>
      </c>
      <c r="K34" s="366" t="s">
        <v>2886</v>
      </c>
      <c r="L34" s="366"/>
      <c r="M34" s="366" t="s">
        <v>2885</v>
      </c>
      <c r="N34" s="366" t="s">
        <v>2885</v>
      </c>
      <c r="O34" s="375"/>
      <c r="P34" s="366" t="s">
        <v>2887</v>
      </c>
      <c r="Q34" s="366" t="s">
        <v>2888</v>
      </c>
      <c r="R34" s="366" t="s">
        <v>2889</v>
      </c>
      <c r="S34" s="366" t="s">
        <v>2880</v>
      </c>
      <c r="T34" s="366" t="s">
        <v>2843</v>
      </c>
      <c r="U34" s="366" t="s">
        <v>2843</v>
      </c>
      <c r="V34" s="366" t="s">
        <v>2843</v>
      </c>
      <c r="W34" s="366" t="s">
        <v>2843</v>
      </c>
      <c r="X34" s="366" t="s">
        <v>2843</v>
      </c>
      <c r="Y34" s="366"/>
      <c r="Z34" s="366" t="s">
        <v>2890</v>
      </c>
      <c r="AA34" s="366" t="s">
        <v>2843</v>
      </c>
      <c r="AB34" s="366" t="s">
        <v>2843</v>
      </c>
      <c r="AC34" s="366" t="s">
        <v>2843</v>
      </c>
      <c r="AD34" s="353" t="s">
        <v>2843</v>
      </c>
      <c r="AE34" s="353" t="s">
        <v>2891</v>
      </c>
    </row>
    <row r="35" spans="1:31">
      <c r="A35" s="399" t="s">
        <v>2892</v>
      </c>
      <c r="B35" s="397" t="s">
        <v>2883</v>
      </c>
      <c r="C35" s="397" t="s">
        <v>2873</v>
      </c>
      <c r="D35" s="397" t="s">
        <v>2869</v>
      </c>
      <c r="E35" s="370"/>
      <c r="F35" s="370"/>
      <c r="G35" s="370" t="s">
        <v>2876</v>
      </c>
      <c r="H35" s="379" t="s">
        <v>2893</v>
      </c>
      <c r="I35" s="370" t="s">
        <v>2882</v>
      </c>
      <c r="J35" s="370" t="s">
        <v>2882</v>
      </c>
      <c r="K35" s="370"/>
      <c r="L35" s="370" t="s">
        <v>2894</v>
      </c>
      <c r="M35" s="370" t="s">
        <v>2895</v>
      </c>
      <c r="N35" s="370" t="s">
        <v>2895</v>
      </c>
      <c r="O35" s="397" t="s">
        <v>2890</v>
      </c>
      <c r="P35" s="370" t="s">
        <v>2883</v>
      </c>
      <c r="Q35" s="370" t="s">
        <v>2883</v>
      </c>
      <c r="R35" s="370"/>
      <c r="S35" s="370" t="s">
        <v>2883</v>
      </c>
      <c r="T35" s="370" t="s">
        <v>2869</v>
      </c>
      <c r="U35" s="370" t="s">
        <v>2869</v>
      </c>
      <c r="V35" s="370" t="s">
        <v>2869</v>
      </c>
      <c r="W35" s="370" t="s">
        <v>2869</v>
      </c>
      <c r="X35" s="370" t="s">
        <v>2869</v>
      </c>
      <c r="Y35" s="370"/>
      <c r="Z35" s="370" t="s">
        <v>2870</v>
      </c>
      <c r="AA35" s="370" t="s">
        <v>2869</v>
      </c>
      <c r="AB35" s="370" t="s">
        <v>2869</v>
      </c>
      <c r="AC35" s="370" t="s">
        <v>2869</v>
      </c>
      <c r="AD35" s="353" t="s">
        <v>2897</v>
      </c>
      <c r="AE35" s="353"/>
    </row>
    <row r="36" spans="1:31">
      <c r="A36" s="399" t="s">
        <v>2898</v>
      </c>
      <c r="B36" s="397" t="s">
        <v>2899</v>
      </c>
      <c r="C36" s="366" t="s">
        <v>2864</v>
      </c>
      <c r="D36" s="366" t="s">
        <v>2870</v>
      </c>
      <c r="E36" s="397" t="s">
        <v>2883</v>
      </c>
      <c r="F36" s="397" t="s">
        <v>2873</v>
      </c>
      <c r="G36" s="397" t="s">
        <v>2900</v>
      </c>
      <c r="H36" s="379" t="s">
        <v>2869</v>
      </c>
      <c r="I36" s="366" t="s">
        <v>2901</v>
      </c>
      <c r="J36" s="366" t="s">
        <v>2902</v>
      </c>
      <c r="K36" s="366" t="s">
        <v>2873</v>
      </c>
      <c r="L36" s="366"/>
      <c r="M36" s="366" t="s">
        <v>2901</v>
      </c>
      <c r="N36" s="366" t="s">
        <v>2901</v>
      </c>
      <c r="O36" s="375"/>
      <c r="P36" s="366" t="s">
        <v>2900</v>
      </c>
      <c r="Q36" s="366" t="s">
        <v>2900</v>
      </c>
      <c r="R36" s="366"/>
      <c r="S36" s="366" t="s">
        <v>2903</v>
      </c>
      <c r="T36" s="366" t="s">
        <v>2900</v>
      </c>
      <c r="U36" s="366" t="s">
        <v>2900</v>
      </c>
      <c r="V36" s="366" t="s">
        <v>2900</v>
      </c>
      <c r="W36" s="366" t="s">
        <v>2900</v>
      </c>
      <c r="X36" s="366" t="s">
        <v>2900</v>
      </c>
      <c r="Y36" s="366" t="s">
        <v>2903</v>
      </c>
      <c r="Z36" s="366"/>
      <c r="AA36" s="366" t="s">
        <v>2900</v>
      </c>
      <c r="AB36" s="366" t="s">
        <v>2900</v>
      </c>
      <c r="AC36" s="366" t="s">
        <v>2900</v>
      </c>
      <c r="AD36" s="353" t="s">
        <v>2883</v>
      </c>
      <c r="AE36" s="353"/>
    </row>
    <row r="37" spans="1:31">
      <c r="A37" s="403"/>
      <c r="B37" s="370"/>
      <c r="C37" s="370"/>
      <c r="D37" s="370"/>
      <c r="E37" s="370"/>
      <c r="F37" s="397" t="s">
        <v>2885</v>
      </c>
      <c r="G37" s="397" t="s">
        <v>2885</v>
      </c>
      <c r="H37" s="379" t="s">
        <v>2885</v>
      </c>
      <c r="I37" s="370"/>
      <c r="J37" s="370" t="s">
        <v>2904</v>
      </c>
      <c r="K37" s="370" t="s">
        <v>2905</v>
      </c>
      <c r="L37" s="370"/>
      <c r="M37" s="370"/>
      <c r="N37" s="370"/>
      <c r="O37" s="397" t="s">
        <v>2870</v>
      </c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  <c r="AA37" s="370"/>
      <c r="AB37" s="370"/>
      <c r="AC37" s="370"/>
      <c r="AD37" s="353"/>
      <c r="AE37" s="353"/>
    </row>
    <row r="38" spans="1:31">
      <c r="A38" s="353"/>
      <c r="B38" s="353"/>
      <c r="C38" s="353"/>
      <c r="D38" s="353"/>
      <c r="E38" s="353"/>
      <c r="F38" s="353"/>
      <c r="G38" s="353"/>
      <c r="H38" s="354"/>
      <c r="I38" s="353"/>
      <c r="J38" s="353"/>
      <c r="K38" s="353"/>
      <c r="L38" s="353"/>
      <c r="M38" s="353"/>
      <c r="N38" s="353"/>
      <c r="O38" s="354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353"/>
      <c r="AB38" s="353"/>
      <c r="AC38" s="353"/>
      <c r="AD38" s="353"/>
      <c r="AE38" s="353"/>
    </row>
    <row r="39" spans="1:31">
      <c r="A39" s="390" t="s">
        <v>2906</v>
      </c>
      <c r="B39" s="396" t="s">
        <v>2873</v>
      </c>
      <c r="C39" s="363" t="s">
        <v>2893</v>
      </c>
      <c r="D39" s="363" t="s">
        <v>2893</v>
      </c>
      <c r="E39" s="363"/>
      <c r="F39" s="363" t="s">
        <v>2893</v>
      </c>
      <c r="G39" s="363" t="s">
        <v>2893</v>
      </c>
      <c r="H39" s="383" t="s">
        <v>2436</v>
      </c>
      <c r="I39" s="363" t="s">
        <v>2893</v>
      </c>
      <c r="J39" s="363" t="s">
        <v>2893</v>
      </c>
      <c r="K39" s="363" t="s">
        <v>2893</v>
      </c>
      <c r="L39" s="363" t="s">
        <v>2436</v>
      </c>
      <c r="M39" s="363" t="s">
        <v>2893</v>
      </c>
      <c r="N39" s="363" t="s">
        <v>2893</v>
      </c>
      <c r="O39" s="383" t="s">
        <v>2436</v>
      </c>
      <c r="P39" s="363" t="s">
        <v>2893</v>
      </c>
      <c r="Q39" s="363" t="s">
        <v>2893</v>
      </c>
      <c r="R39" s="363" t="s">
        <v>2893</v>
      </c>
      <c r="S39" s="363" t="s">
        <v>2436</v>
      </c>
      <c r="T39" s="363" t="s">
        <v>2893</v>
      </c>
      <c r="U39" s="363" t="s">
        <v>2893</v>
      </c>
      <c r="V39" s="363" t="s">
        <v>2893</v>
      </c>
      <c r="W39" s="363" t="s">
        <v>2893</v>
      </c>
      <c r="X39" s="363" t="s">
        <v>2893</v>
      </c>
      <c r="Y39" s="363" t="s">
        <v>2893</v>
      </c>
      <c r="Z39" s="363" t="s">
        <v>2436</v>
      </c>
      <c r="AA39" s="363" t="s">
        <v>2893</v>
      </c>
      <c r="AB39" s="363" t="s">
        <v>2893</v>
      </c>
      <c r="AC39" s="363" t="s">
        <v>2893</v>
      </c>
      <c r="AD39" s="353"/>
      <c r="AE39" s="353"/>
    </row>
    <row r="40" spans="1:31">
      <c r="A40" s="392"/>
      <c r="B40" s="393"/>
      <c r="C40" s="393"/>
      <c r="D40" s="393"/>
      <c r="E40" s="393"/>
      <c r="F40" s="393"/>
      <c r="G40" s="393"/>
      <c r="H40" s="395"/>
      <c r="I40" s="393"/>
      <c r="J40" s="393"/>
      <c r="K40" s="393"/>
      <c r="L40" s="393"/>
      <c r="M40" s="393"/>
      <c r="N40" s="393"/>
      <c r="O40" s="395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  <c r="AA40" s="393"/>
      <c r="AB40" s="393"/>
      <c r="AC40" s="393"/>
      <c r="AD40" s="353"/>
      <c r="AE40" s="353"/>
    </row>
    <row r="41" spans="1:31">
      <c r="A41" s="564" t="s">
        <v>2907</v>
      </c>
      <c r="B41" s="363" t="s">
        <v>2873</v>
      </c>
      <c r="C41" s="363" t="s">
        <v>1625</v>
      </c>
      <c r="D41" s="363" t="s">
        <v>1625</v>
      </c>
      <c r="E41" s="363"/>
      <c r="F41" s="363" t="s">
        <v>1625</v>
      </c>
      <c r="G41" s="363" t="s">
        <v>1625</v>
      </c>
      <c r="H41" s="383" t="s">
        <v>2436</v>
      </c>
      <c r="I41" s="363" t="s">
        <v>1625</v>
      </c>
      <c r="J41" s="363" t="s">
        <v>1625</v>
      </c>
      <c r="K41" s="363" t="s">
        <v>1625</v>
      </c>
      <c r="L41" s="363" t="s">
        <v>2436</v>
      </c>
      <c r="M41" s="363" t="s">
        <v>1625</v>
      </c>
      <c r="N41" s="363" t="s">
        <v>1625</v>
      </c>
      <c r="O41" s="383" t="s">
        <v>2436</v>
      </c>
      <c r="P41" s="404" t="s">
        <v>1625</v>
      </c>
      <c r="Q41" s="404" t="s">
        <v>1625</v>
      </c>
      <c r="R41" s="404" t="s">
        <v>1625</v>
      </c>
      <c r="S41" s="404" t="s">
        <v>2844</v>
      </c>
      <c r="T41" s="404" t="s">
        <v>1625</v>
      </c>
      <c r="U41" s="404" t="s">
        <v>1625</v>
      </c>
      <c r="V41" s="404" t="s">
        <v>1625</v>
      </c>
      <c r="W41" s="404" t="s">
        <v>1625</v>
      </c>
      <c r="X41" s="404" t="s">
        <v>1625</v>
      </c>
      <c r="Y41" s="404" t="s">
        <v>1625</v>
      </c>
      <c r="Z41" s="363" t="s">
        <v>2436</v>
      </c>
      <c r="AA41" s="404" t="s">
        <v>1625</v>
      </c>
      <c r="AB41" s="404" t="s">
        <v>1625</v>
      </c>
      <c r="AC41" s="404" t="s">
        <v>1625</v>
      </c>
      <c r="AD41" s="353"/>
      <c r="AE41" s="353"/>
    </row>
    <row r="42" spans="1:31">
      <c r="A42" s="481"/>
      <c r="B42" s="366" t="s">
        <v>2436</v>
      </c>
      <c r="C42" s="366" t="s">
        <v>1625</v>
      </c>
      <c r="D42" s="366" t="s">
        <v>2436</v>
      </c>
      <c r="E42" s="366"/>
      <c r="F42" s="366" t="s">
        <v>1625</v>
      </c>
      <c r="G42" s="366" t="s">
        <v>1625</v>
      </c>
      <c r="H42" s="375" t="s">
        <v>2436</v>
      </c>
      <c r="I42" s="366" t="s">
        <v>1625</v>
      </c>
      <c r="J42" s="366" t="s">
        <v>1625</v>
      </c>
      <c r="K42" s="366" t="s">
        <v>2844</v>
      </c>
      <c r="L42" s="366" t="s">
        <v>2436</v>
      </c>
      <c r="M42" s="366" t="s">
        <v>1625</v>
      </c>
      <c r="N42" s="366" t="s">
        <v>1625</v>
      </c>
      <c r="O42" s="375" t="s">
        <v>2436</v>
      </c>
      <c r="P42" s="405" t="s">
        <v>1625</v>
      </c>
      <c r="Q42" s="405" t="s">
        <v>1625</v>
      </c>
      <c r="R42" s="405" t="s">
        <v>2844</v>
      </c>
      <c r="S42" s="405" t="s">
        <v>2844</v>
      </c>
      <c r="T42" s="405" t="s">
        <v>1625</v>
      </c>
      <c r="U42" s="405" t="s">
        <v>1625</v>
      </c>
      <c r="V42" s="405" t="s">
        <v>1625</v>
      </c>
      <c r="W42" s="405" t="s">
        <v>1625</v>
      </c>
      <c r="X42" s="405" t="s">
        <v>1625</v>
      </c>
      <c r="Y42" s="405"/>
      <c r="Z42" s="366"/>
      <c r="AA42" s="405" t="s">
        <v>1625</v>
      </c>
      <c r="AB42" s="405" t="s">
        <v>1625</v>
      </c>
      <c r="AC42" s="405" t="s">
        <v>1625</v>
      </c>
      <c r="AD42" s="353"/>
      <c r="AE42" s="353"/>
    </row>
    <row r="43" spans="1:31">
      <c r="A43" s="392"/>
      <c r="B43" s="393"/>
      <c r="C43" s="393"/>
      <c r="D43" s="393"/>
      <c r="E43" s="393"/>
      <c r="F43" s="393"/>
      <c r="G43" s="393"/>
      <c r="H43" s="395"/>
      <c r="I43" s="393"/>
      <c r="J43" s="393"/>
      <c r="K43" s="393"/>
      <c r="L43" s="393"/>
      <c r="M43" s="393"/>
      <c r="N43" s="393"/>
      <c r="O43" s="395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  <c r="AA43" s="393"/>
      <c r="AB43" s="393"/>
      <c r="AC43" s="393"/>
      <c r="AD43" s="353"/>
      <c r="AE43" s="353"/>
    </row>
    <row r="44" spans="1:31">
      <c r="A44" s="390" t="s">
        <v>2908</v>
      </c>
      <c r="B44" s="363" t="s">
        <v>2852</v>
      </c>
      <c r="C44" s="363" t="s">
        <v>2909</v>
      </c>
      <c r="D44" s="363" t="s">
        <v>2852</v>
      </c>
      <c r="E44" s="363" t="s">
        <v>2852</v>
      </c>
      <c r="F44" s="363" t="s">
        <v>2910</v>
      </c>
      <c r="G44" s="363" t="s">
        <v>2852</v>
      </c>
      <c r="H44" s="383" t="s">
        <v>2910</v>
      </c>
      <c r="I44" s="363" t="s">
        <v>2852</v>
      </c>
      <c r="J44" s="363" t="s">
        <v>2910</v>
      </c>
      <c r="K44" s="363" t="s">
        <v>2852</v>
      </c>
      <c r="L44" s="363" t="s">
        <v>2852</v>
      </c>
      <c r="M44" s="363" t="s">
        <v>2910</v>
      </c>
      <c r="N44" s="363" t="s">
        <v>2852</v>
      </c>
      <c r="O44" s="383" t="s">
        <v>2910</v>
      </c>
      <c r="P44" s="363" t="s">
        <v>2852</v>
      </c>
      <c r="Q44" s="363" t="s">
        <v>2910</v>
      </c>
      <c r="R44" s="363" t="s">
        <v>2852</v>
      </c>
      <c r="S44" s="363" t="s">
        <v>2852</v>
      </c>
      <c r="T44" s="363" t="s">
        <v>2910</v>
      </c>
      <c r="U44" s="363" t="s">
        <v>2852</v>
      </c>
      <c r="V44" s="363" t="s">
        <v>2883</v>
      </c>
      <c r="W44" s="363"/>
      <c r="X44" s="363" t="s">
        <v>2883</v>
      </c>
      <c r="Y44" s="363"/>
      <c r="Z44" s="363" t="s">
        <v>2436</v>
      </c>
      <c r="AA44" s="363" t="s">
        <v>2883</v>
      </c>
      <c r="AB44" s="363"/>
      <c r="AC44" s="363" t="s">
        <v>2883</v>
      </c>
      <c r="AD44" s="353"/>
      <c r="AE44" s="353"/>
    </row>
    <row r="45" spans="1:31">
      <c r="A45" s="392"/>
      <c r="B45" s="393"/>
      <c r="C45" s="393"/>
      <c r="D45" s="393"/>
      <c r="E45" s="393"/>
      <c r="F45" s="393"/>
      <c r="G45" s="393"/>
      <c r="H45" s="395"/>
      <c r="I45" s="393"/>
      <c r="J45" s="393"/>
      <c r="K45" s="393"/>
      <c r="L45" s="393"/>
      <c r="M45" s="393"/>
      <c r="N45" s="393"/>
      <c r="O45" s="395"/>
      <c r="P45" s="393"/>
      <c r="Q45" s="393"/>
      <c r="R45" s="393"/>
      <c r="S45" s="393"/>
      <c r="T45" s="393"/>
      <c r="U45" s="393"/>
      <c r="V45" s="393"/>
      <c r="W45" s="393"/>
      <c r="X45" s="393"/>
      <c r="Y45" s="393"/>
      <c r="Z45" s="393"/>
      <c r="AA45" s="393"/>
      <c r="AB45" s="393"/>
      <c r="AC45" s="393"/>
      <c r="AD45" s="353"/>
      <c r="AE45" s="353"/>
    </row>
    <row r="46" spans="1:31">
      <c r="A46" s="566" t="s">
        <v>2911</v>
      </c>
      <c r="B46" s="476"/>
      <c r="C46" s="476"/>
      <c r="D46" s="476"/>
      <c r="E46" s="476"/>
      <c r="F46" s="476"/>
      <c r="G46" s="476"/>
      <c r="H46" s="476"/>
      <c r="I46" s="476"/>
      <c r="J46" s="476"/>
      <c r="K46" s="476"/>
      <c r="L46" s="476"/>
      <c r="M46" s="476"/>
      <c r="N46" s="393"/>
      <c r="O46" s="395"/>
      <c r="P46" s="393"/>
      <c r="Q46" s="393"/>
      <c r="R46" s="393"/>
      <c r="S46" s="393"/>
      <c r="T46" s="393"/>
      <c r="U46" s="393"/>
      <c r="V46" s="393"/>
      <c r="W46" s="393"/>
      <c r="X46" s="393"/>
      <c r="Y46" s="393"/>
      <c r="Z46" s="393"/>
      <c r="AA46" s="393"/>
      <c r="AB46" s="393"/>
      <c r="AC46" s="393"/>
      <c r="AD46" s="353"/>
      <c r="AE46" s="353"/>
    </row>
    <row r="47" spans="1:31">
      <c r="A47" s="390" t="s">
        <v>2912</v>
      </c>
      <c r="B47" s="363" t="s">
        <v>2852</v>
      </c>
      <c r="C47" s="363" t="s">
        <v>2853</v>
      </c>
      <c r="D47" s="363" t="s">
        <v>2852</v>
      </c>
      <c r="E47" s="363" t="s">
        <v>2852</v>
      </c>
      <c r="F47" s="363" t="s">
        <v>2854</v>
      </c>
      <c r="G47" s="363" t="s">
        <v>2855</v>
      </c>
      <c r="H47" s="383" t="s">
        <v>2844</v>
      </c>
      <c r="I47" s="363" t="s">
        <v>2852</v>
      </c>
      <c r="J47" s="391" t="s">
        <v>2855</v>
      </c>
      <c r="K47" s="363" t="s">
        <v>2852</v>
      </c>
      <c r="L47" s="363" t="s">
        <v>2852</v>
      </c>
      <c r="M47" s="363" t="s">
        <v>2913</v>
      </c>
      <c r="N47" s="363" t="s">
        <v>2852</v>
      </c>
      <c r="O47" s="383" t="s">
        <v>2844</v>
      </c>
      <c r="P47" s="363"/>
      <c r="Q47" s="363" t="s">
        <v>2855</v>
      </c>
      <c r="R47" s="363" t="s">
        <v>2852</v>
      </c>
      <c r="S47" s="363" t="s">
        <v>2852</v>
      </c>
      <c r="T47" s="363" t="s">
        <v>2855</v>
      </c>
      <c r="U47" s="363" t="s">
        <v>2852</v>
      </c>
      <c r="V47" s="363" t="s">
        <v>2855</v>
      </c>
      <c r="W47" s="363"/>
      <c r="X47" s="363" t="s">
        <v>2855</v>
      </c>
      <c r="Y47" s="363"/>
      <c r="Z47" s="363"/>
      <c r="AA47" s="363" t="s">
        <v>2855</v>
      </c>
      <c r="AB47" s="363"/>
      <c r="AC47" s="363" t="s">
        <v>2855</v>
      </c>
      <c r="AD47" s="353"/>
      <c r="AE47" s="353"/>
    </row>
    <row r="48" spans="1:31">
      <c r="A48" s="390" t="s">
        <v>2914</v>
      </c>
      <c r="B48" s="363" t="s">
        <v>2852</v>
      </c>
      <c r="C48" s="363" t="s">
        <v>2853</v>
      </c>
      <c r="D48" s="363" t="s">
        <v>2852</v>
      </c>
      <c r="E48" s="363" t="s">
        <v>2852</v>
      </c>
      <c r="F48" s="363" t="s">
        <v>2854</v>
      </c>
      <c r="G48" s="363" t="s">
        <v>2855</v>
      </c>
      <c r="H48" s="383" t="s">
        <v>2844</v>
      </c>
      <c r="I48" s="363" t="s">
        <v>2852</v>
      </c>
      <c r="J48" s="391" t="s">
        <v>2855</v>
      </c>
      <c r="K48" s="363" t="s">
        <v>2852</v>
      </c>
      <c r="L48" s="363" t="s">
        <v>2852</v>
      </c>
      <c r="M48" s="363" t="s">
        <v>2913</v>
      </c>
      <c r="N48" s="363" t="s">
        <v>2852</v>
      </c>
      <c r="O48" s="383" t="s">
        <v>2844</v>
      </c>
      <c r="P48" s="363"/>
      <c r="Q48" s="363" t="s">
        <v>2915</v>
      </c>
      <c r="R48" s="363" t="s">
        <v>2852</v>
      </c>
      <c r="S48" s="363" t="s">
        <v>2852</v>
      </c>
      <c r="T48" s="363" t="s">
        <v>2855</v>
      </c>
      <c r="U48" s="363" t="s">
        <v>2852</v>
      </c>
      <c r="V48" s="363" t="s">
        <v>2915</v>
      </c>
      <c r="W48" s="363"/>
      <c r="X48" s="363" t="s">
        <v>2915</v>
      </c>
      <c r="Y48" s="363"/>
      <c r="Z48" s="363" t="s">
        <v>2915</v>
      </c>
      <c r="AA48" s="363" t="s">
        <v>2855</v>
      </c>
      <c r="AB48" s="363"/>
      <c r="AC48" s="363" t="s">
        <v>2915</v>
      </c>
      <c r="AD48" s="353"/>
      <c r="AE48" s="353"/>
    </row>
    <row r="49" spans="1:31">
      <c r="A49" s="390" t="s">
        <v>2916</v>
      </c>
      <c r="B49" s="363" t="s">
        <v>2917</v>
      </c>
      <c r="C49" s="363" t="s">
        <v>2917</v>
      </c>
      <c r="D49" s="363" t="s">
        <v>2852</v>
      </c>
      <c r="E49" s="363" t="s">
        <v>2852</v>
      </c>
      <c r="F49" s="363" t="s">
        <v>2853</v>
      </c>
      <c r="G49" s="363" t="s">
        <v>2852</v>
      </c>
      <c r="H49" s="383" t="s">
        <v>2844</v>
      </c>
      <c r="I49" s="363" t="s">
        <v>2852</v>
      </c>
      <c r="J49" s="363"/>
      <c r="K49" s="363" t="s">
        <v>2852</v>
      </c>
      <c r="L49" s="363" t="s">
        <v>2852</v>
      </c>
      <c r="M49" s="363"/>
      <c r="N49" s="363" t="s">
        <v>2918</v>
      </c>
      <c r="O49" s="383" t="s">
        <v>2844</v>
      </c>
      <c r="P49" s="363" t="s">
        <v>2855</v>
      </c>
      <c r="Q49" s="363"/>
      <c r="R49" s="363" t="s">
        <v>2852</v>
      </c>
      <c r="S49" s="363" t="s">
        <v>2852</v>
      </c>
      <c r="T49" s="406"/>
      <c r="U49" s="363" t="s">
        <v>2855</v>
      </c>
      <c r="V49" s="363"/>
      <c r="W49" s="363" t="s">
        <v>2855</v>
      </c>
      <c r="X49" s="363"/>
      <c r="Y49" s="363"/>
      <c r="Z49" s="363"/>
      <c r="AA49" s="363"/>
      <c r="AB49" s="363" t="s">
        <v>2855</v>
      </c>
      <c r="AC49" s="363"/>
      <c r="AD49" s="353"/>
      <c r="AE49" s="353"/>
    </row>
    <row r="50" spans="1:31">
      <c r="A50" s="392"/>
      <c r="B50" s="393"/>
      <c r="C50" s="393"/>
      <c r="D50" s="393"/>
      <c r="E50" s="393"/>
      <c r="F50" s="393"/>
      <c r="G50" s="393"/>
      <c r="H50" s="407"/>
      <c r="I50" s="393"/>
      <c r="J50" s="393"/>
      <c r="K50" s="393"/>
      <c r="L50" s="393"/>
      <c r="M50" s="393"/>
      <c r="N50" s="393"/>
      <c r="O50" s="407"/>
      <c r="P50" s="393"/>
      <c r="Q50" s="393"/>
      <c r="R50" s="393"/>
      <c r="S50" s="393"/>
      <c r="T50" s="393"/>
      <c r="U50" s="393"/>
      <c r="V50" s="393"/>
      <c r="W50" s="393"/>
      <c r="X50" s="393"/>
      <c r="Y50" s="393"/>
      <c r="Z50" s="393"/>
      <c r="AA50" s="393"/>
      <c r="AB50" s="393"/>
      <c r="AC50" s="393"/>
      <c r="AD50" s="353"/>
      <c r="AE50" s="353"/>
    </row>
    <row r="51" spans="1:31">
      <c r="A51" s="566" t="s">
        <v>2919</v>
      </c>
      <c r="B51" s="476"/>
      <c r="C51" s="476"/>
      <c r="D51" s="476"/>
      <c r="E51" s="476"/>
      <c r="F51" s="476"/>
      <c r="G51" s="476"/>
      <c r="H51" s="476"/>
      <c r="I51" s="476"/>
      <c r="J51" s="476"/>
      <c r="K51" s="476"/>
      <c r="L51" s="476"/>
      <c r="M51" s="476"/>
      <c r="N51" s="393"/>
      <c r="O51" s="395"/>
      <c r="P51" s="393"/>
      <c r="Q51" s="393"/>
      <c r="R51" s="393"/>
      <c r="S51" s="393"/>
      <c r="T51" s="408"/>
      <c r="U51" s="393"/>
      <c r="V51" s="393"/>
      <c r="W51" s="393"/>
      <c r="X51" s="393"/>
      <c r="Y51" s="393"/>
      <c r="Z51" s="393"/>
      <c r="AA51" s="393"/>
      <c r="AB51" s="393"/>
      <c r="AC51" s="393"/>
      <c r="AD51" s="353"/>
      <c r="AE51" s="353"/>
    </row>
    <row r="52" spans="1:31">
      <c r="A52" s="390" t="s">
        <v>2920</v>
      </c>
      <c r="B52" s="363" t="s">
        <v>2917</v>
      </c>
      <c r="C52" s="363" t="s">
        <v>2917</v>
      </c>
      <c r="D52" s="363" t="s">
        <v>2852</v>
      </c>
      <c r="E52" s="363" t="s">
        <v>2852</v>
      </c>
      <c r="F52" s="363" t="s">
        <v>2853</v>
      </c>
      <c r="G52" s="363" t="s">
        <v>2852</v>
      </c>
      <c r="H52" s="383" t="s">
        <v>2844</v>
      </c>
      <c r="I52" s="363" t="s">
        <v>2852</v>
      </c>
      <c r="J52" s="363" t="s">
        <v>2853</v>
      </c>
      <c r="K52" s="363" t="s">
        <v>2852</v>
      </c>
      <c r="L52" s="363" t="s">
        <v>2852</v>
      </c>
      <c r="M52" s="363" t="s">
        <v>2853</v>
      </c>
      <c r="N52" s="363" t="s">
        <v>2852</v>
      </c>
      <c r="O52" s="383" t="s">
        <v>2844</v>
      </c>
      <c r="P52" s="363" t="s">
        <v>2852</v>
      </c>
      <c r="Q52" s="363" t="s">
        <v>2853</v>
      </c>
      <c r="R52" s="363" t="s">
        <v>2852</v>
      </c>
      <c r="S52" s="363" t="s">
        <v>2852</v>
      </c>
      <c r="T52" s="406" t="s">
        <v>2922</v>
      </c>
      <c r="U52" s="363" t="s">
        <v>2852</v>
      </c>
      <c r="V52" s="363" t="s">
        <v>2918</v>
      </c>
      <c r="W52" s="363"/>
      <c r="X52" s="363" t="s">
        <v>2918</v>
      </c>
      <c r="Y52" s="363"/>
      <c r="Z52" s="363"/>
      <c r="AA52" s="363" t="s">
        <v>2918</v>
      </c>
      <c r="AB52" s="363"/>
      <c r="AC52" s="363" t="s">
        <v>2918</v>
      </c>
      <c r="AD52" s="353"/>
      <c r="AE52" s="353"/>
    </row>
    <row r="53" spans="1:31">
      <c r="A53" s="390" t="s">
        <v>2923</v>
      </c>
      <c r="B53" s="363" t="s">
        <v>2917</v>
      </c>
      <c r="C53" s="363" t="s">
        <v>2917</v>
      </c>
      <c r="D53" s="363" t="s">
        <v>2852</v>
      </c>
      <c r="E53" s="363" t="s">
        <v>2852</v>
      </c>
      <c r="F53" s="363" t="s">
        <v>2853</v>
      </c>
      <c r="G53" s="363" t="s">
        <v>2852</v>
      </c>
      <c r="H53" s="383" t="s">
        <v>2844</v>
      </c>
      <c r="I53" s="363" t="s">
        <v>2852</v>
      </c>
      <c r="J53" s="363"/>
      <c r="K53" s="363" t="s">
        <v>2918</v>
      </c>
      <c r="L53" s="363" t="s">
        <v>2852</v>
      </c>
      <c r="M53" s="363"/>
      <c r="N53" s="363" t="s">
        <v>2852</v>
      </c>
      <c r="O53" s="383" t="s">
        <v>2844</v>
      </c>
      <c r="P53" s="363" t="s">
        <v>2852</v>
      </c>
      <c r="Q53" s="363"/>
      <c r="R53" s="363" t="s">
        <v>2918</v>
      </c>
      <c r="S53" s="363" t="s">
        <v>2852</v>
      </c>
      <c r="T53" s="406"/>
      <c r="U53" s="363" t="s">
        <v>2852</v>
      </c>
      <c r="V53" s="363"/>
      <c r="W53" s="363"/>
      <c r="X53" s="363"/>
      <c r="Y53" s="363" t="s">
        <v>2918</v>
      </c>
      <c r="Z53" s="363"/>
      <c r="AA53" s="363"/>
      <c r="AB53" s="363"/>
      <c r="AC53" s="363"/>
      <c r="AD53" s="353"/>
      <c r="AE53" s="353"/>
    </row>
    <row r="54" spans="1:31">
      <c r="A54" s="390" t="s">
        <v>2924</v>
      </c>
      <c r="B54" s="363" t="s">
        <v>2917</v>
      </c>
      <c r="C54" s="363" t="s">
        <v>2917</v>
      </c>
      <c r="D54" s="363" t="s">
        <v>2852</v>
      </c>
      <c r="E54" s="363" t="s">
        <v>2852</v>
      </c>
      <c r="F54" s="363" t="s">
        <v>2853</v>
      </c>
      <c r="G54" s="363" t="s">
        <v>2852</v>
      </c>
      <c r="H54" s="383" t="s">
        <v>2844</v>
      </c>
      <c r="I54" s="363" t="s">
        <v>2852</v>
      </c>
      <c r="J54" s="363"/>
      <c r="K54" s="363" t="s">
        <v>2852</v>
      </c>
      <c r="L54" s="363" t="s">
        <v>2852</v>
      </c>
      <c r="M54" s="363"/>
      <c r="N54" s="363" t="s">
        <v>2918</v>
      </c>
      <c r="O54" s="383" t="s">
        <v>2844</v>
      </c>
      <c r="P54" s="363" t="s">
        <v>2918</v>
      </c>
      <c r="Q54" s="363"/>
      <c r="R54" s="363" t="s">
        <v>2852</v>
      </c>
      <c r="S54" s="363" t="s">
        <v>2852</v>
      </c>
      <c r="T54" s="406"/>
      <c r="U54" s="363" t="s">
        <v>2436</v>
      </c>
      <c r="V54" s="363"/>
      <c r="W54" s="363" t="s">
        <v>2918</v>
      </c>
      <c r="X54" s="363"/>
      <c r="Y54" s="363"/>
      <c r="Z54" s="363"/>
      <c r="AA54" s="363"/>
      <c r="AB54" s="363" t="s">
        <v>2918</v>
      </c>
      <c r="AC54" s="363"/>
      <c r="AD54" s="353"/>
      <c r="AE54" s="353"/>
    </row>
    <row r="55" spans="1:31">
      <c r="A55" s="390" t="s">
        <v>2925</v>
      </c>
      <c r="B55" s="390"/>
      <c r="C55" s="390"/>
      <c r="D55" s="390"/>
      <c r="E55" s="390"/>
      <c r="F55" s="411" t="s">
        <v>2436</v>
      </c>
      <c r="G55" s="411" t="s">
        <v>2926</v>
      </c>
      <c r="H55" s="412" t="s">
        <v>2436</v>
      </c>
      <c r="I55" s="411" t="s">
        <v>2436</v>
      </c>
      <c r="J55" s="411" t="s">
        <v>2436</v>
      </c>
      <c r="K55" s="411" t="s">
        <v>2436</v>
      </c>
      <c r="L55" s="411" t="s">
        <v>2436</v>
      </c>
      <c r="M55" s="411" t="s">
        <v>2436</v>
      </c>
      <c r="N55" s="413" t="s">
        <v>2926</v>
      </c>
      <c r="O55" s="412" t="s">
        <v>2436</v>
      </c>
      <c r="P55" s="411" t="s">
        <v>2436</v>
      </c>
      <c r="Q55" s="414" t="s">
        <v>2918</v>
      </c>
      <c r="R55" s="411" t="s">
        <v>2436</v>
      </c>
      <c r="S55" s="411" t="s">
        <v>2436</v>
      </c>
      <c r="T55" s="411" t="s">
        <v>2436</v>
      </c>
      <c r="U55" s="411" t="s">
        <v>2844</v>
      </c>
      <c r="V55" s="411" t="s">
        <v>2436</v>
      </c>
      <c r="W55" s="411" t="s">
        <v>2436</v>
      </c>
      <c r="X55" s="411" t="s">
        <v>2436</v>
      </c>
      <c r="Y55" s="411" t="s">
        <v>2436</v>
      </c>
      <c r="Z55" s="411" t="s">
        <v>2436</v>
      </c>
      <c r="AA55" s="411" t="s">
        <v>2436</v>
      </c>
      <c r="AB55" s="411" t="s">
        <v>2918</v>
      </c>
      <c r="AC55" s="411" t="s">
        <v>2436</v>
      </c>
      <c r="AD55" s="392"/>
      <c r="AE55" s="392"/>
    </row>
    <row r="56" spans="1:31" ht="30">
      <c r="A56" s="415" t="s">
        <v>2927</v>
      </c>
      <c r="B56" s="390"/>
      <c r="C56" s="390"/>
      <c r="D56" s="390"/>
      <c r="E56" s="390"/>
      <c r="F56" s="411" t="s">
        <v>2436</v>
      </c>
      <c r="G56" s="411" t="s">
        <v>2436</v>
      </c>
      <c r="H56" s="412" t="s">
        <v>2436</v>
      </c>
      <c r="I56" s="411" t="s">
        <v>2436</v>
      </c>
      <c r="J56" s="411" t="s">
        <v>2436</v>
      </c>
      <c r="K56" s="411" t="s">
        <v>2436</v>
      </c>
      <c r="L56" s="411" t="s">
        <v>2436</v>
      </c>
      <c r="M56" s="411" t="s">
        <v>2436</v>
      </c>
      <c r="N56" s="411" t="s">
        <v>2436</v>
      </c>
      <c r="O56" s="412" t="s">
        <v>2436</v>
      </c>
      <c r="P56" s="411" t="s">
        <v>2436</v>
      </c>
      <c r="Q56" s="411" t="s">
        <v>2436</v>
      </c>
      <c r="R56" s="411" t="s">
        <v>2436</v>
      </c>
      <c r="S56" s="411" t="s">
        <v>2436</v>
      </c>
      <c r="T56" s="411" t="s">
        <v>2436</v>
      </c>
      <c r="U56" s="411" t="s">
        <v>2918</v>
      </c>
      <c r="V56" s="411" t="s">
        <v>2436</v>
      </c>
      <c r="W56" s="411" t="s">
        <v>2436</v>
      </c>
      <c r="X56" s="411" t="s">
        <v>2436</v>
      </c>
      <c r="Y56" s="411" t="s">
        <v>2436</v>
      </c>
      <c r="Z56" s="411" t="s">
        <v>2436</v>
      </c>
      <c r="AA56" s="411" t="s">
        <v>2436</v>
      </c>
      <c r="AB56" s="411" t="s">
        <v>2436</v>
      </c>
      <c r="AC56" s="411" t="s">
        <v>2436</v>
      </c>
      <c r="AD56" s="392"/>
      <c r="AE56" s="392"/>
    </row>
    <row r="57" spans="1:31" ht="30">
      <c r="A57" s="415" t="s">
        <v>2928</v>
      </c>
      <c r="B57" s="390"/>
      <c r="C57" s="390"/>
      <c r="D57" s="390"/>
      <c r="E57" s="390"/>
      <c r="F57" s="416" t="s">
        <v>2436</v>
      </c>
      <c r="G57" s="416" t="s">
        <v>2436</v>
      </c>
      <c r="H57" s="412" t="s">
        <v>2436</v>
      </c>
      <c r="I57" s="416" t="s">
        <v>2855</v>
      </c>
      <c r="J57" s="416" t="s">
        <v>2436</v>
      </c>
      <c r="K57" s="416" t="s">
        <v>2436</v>
      </c>
      <c r="L57" s="416" t="s">
        <v>2436</v>
      </c>
      <c r="M57" s="416" t="s">
        <v>2436</v>
      </c>
      <c r="N57" s="416" t="s">
        <v>2436</v>
      </c>
      <c r="O57" s="412" t="s">
        <v>2436</v>
      </c>
      <c r="P57" s="416" t="s">
        <v>2436</v>
      </c>
      <c r="Q57" s="416" t="s">
        <v>2436</v>
      </c>
      <c r="R57" s="416" t="s">
        <v>2436</v>
      </c>
      <c r="S57" s="416" t="s">
        <v>2436</v>
      </c>
      <c r="T57" s="416" t="s">
        <v>2436</v>
      </c>
      <c r="U57" s="416" t="s">
        <v>2436</v>
      </c>
      <c r="V57" s="416" t="s">
        <v>2436</v>
      </c>
      <c r="W57" s="416" t="s">
        <v>2918</v>
      </c>
      <c r="X57" s="416" t="s">
        <v>2436</v>
      </c>
      <c r="Y57" s="416" t="s">
        <v>2436</v>
      </c>
      <c r="Z57" s="416" t="s">
        <v>2436</v>
      </c>
      <c r="AA57" s="416" t="s">
        <v>2436</v>
      </c>
      <c r="AB57" s="416" t="s">
        <v>2436</v>
      </c>
      <c r="AC57" s="416" t="s">
        <v>2436</v>
      </c>
      <c r="AD57" s="392"/>
      <c r="AE57" s="392"/>
    </row>
    <row r="58" spans="1:31" ht="30">
      <c r="A58" s="415" t="s">
        <v>2929</v>
      </c>
      <c r="B58" s="390"/>
      <c r="C58" s="390"/>
      <c r="D58" s="390"/>
      <c r="E58" s="390"/>
      <c r="F58" s="416" t="s">
        <v>2436</v>
      </c>
      <c r="G58" s="416" t="s">
        <v>2436</v>
      </c>
      <c r="H58" s="412" t="s">
        <v>2436</v>
      </c>
      <c r="I58" s="416" t="s">
        <v>2436</v>
      </c>
      <c r="J58" s="416" t="s">
        <v>2436</v>
      </c>
      <c r="K58" s="416" t="s">
        <v>2436</v>
      </c>
      <c r="L58" s="416" t="s">
        <v>2436</v>
      </c>
      <c r="M58" s="416" t="s">
        <v>2436</v>
      </c>
      <c r="N58" s="416" t="s">
        <v>2436</v>
      </c>
      <c r="O58" s="412"/>
      <c r="P58" s="416" t="s">
        <v>2918</v>
      </c>
      <c r="Q58" s="416" t="s">
        <v>2436</v>
      </c>
      <c r="R58" s="416" t="s">
        <v>2436</v>
      </c>
      <c r="S58" s="416" t="s">
        <v>2436</v>
      </c>
      <c r="T58" s="416" t="s">
        <v>2436</v>
      </c>
      <c r="U58" s="416" t="s">
        <v>2436</v>
      </c>
      <c r="V58" s="416" t="s">
        <v>2436</v>
      </c>
      <c r="W58" s="416"/>
      <c r="X58" s="416" t="s">
        <v>2436</v>
      </c>
      <c r="Y58" s="416" t="s">
        <v>2436</v>
      </c>
      <c r="Z58" s="416" t="s">
        <v>2436</v>
      </c>
      <c r="AA58" s="416" t="s">
        <v>2436</v>
      </c>
      <c r="AB58" s="416" t="s">
        <v>2436</v>
      </c>
      <c r="AC58" s="416" t="s">
        <v>2436</v>
      </c>
      <c r="AD58" s="392"/>
      <c r="AE58" s="392"/>
    </row>
    <row r="59" spans="1:31">
      <c r="A59" s="392"/>
      <c r="B59" s="393"/>
      <c r="C59" s="393"/>
      <c r="D59" s="393"/>
      <c r="E59" s="393"/>
      <c r="F59" s="393"/>
      <c r="G59" s="393"/>
      <c r="H59" s="407"/>
      <c r="I59" s="393"/>
      <c r="J59" s="393"/>
      <c r="K59" s="393"/>
      <c r="L59" s="393"/>
      <c r="M59" s="393"/>
      <c r="N59" s="393"/>
      <c r="O59" s="395"/>
      <c r="P59" s="393"/>
      <c r="Q59" s="393"/>
      <c r="R59" s="393"/>
      <c r="S59" s="393"/>
      <c r="T59" s="393"/>
      <c r="U59" s="393"/>
      <c r="V59" s="393"/>
      <c r="W59" s="393"/>
      <c r="X59" s="393"/>
      <c r="Y59" s="393"/>
      <c r="Z59" s="393"/>
      <c r="AA59" s="393"/>
      <c r="AB59" s="393"/>
      <c r="AC59" s="393"/>
      <c r="AD59" s="353"/>
      <c r="AE59" s="353"/>
    </row>
    <row r="60" spans="1:31">
      <c r="A60" s="392"/>
      <c r="B60" s="393"/>
      <c r="C60" s="417"/>
      <c r="D60" s="393"/>
      <c r="E60" s="393"/>
      <c r="F60" s="393"/>
      <c r="G60" s="393"/>
      <c r="H60" s="395"/>
      <c r="I60" s="393"/>
      <c r="J60" s="393"/>
      <c r="K60" s="393"/>
      <c r="L60" s="393"/>
      <c r="M60" s="418" t="s">
        <v>2930</v>
      </c>
      <c r="N60" s="567" t="s">
        <v>2931</v>
      </c>
      <c r="O60" s="476"/>
      <c r="P60" s="393"/>
      <c r="Q60" s="393"/>
      <c r="R60" s="393"/>
      <c r="S60" s="393"/>
      <c r="T60" s="393"/>
      <c r="U60" s="393"/>
      <c r="V60" s="393"/>
      <c r="W60" s="393"/>
      <c r="X60" s="393"/>
      <c r="Y60" s="393"/>
      <c r="Z60" s="393"/>
      <c r="AA60" s="393"/>
      <c r="AB60" s="393"/>
      <c r="AC60" s="393"/>
      <c r="AD60" s="353"/>
      <c r="AE60" s="353"/>
    </row>
    <row r="61" spans="1:31">
      <c r="A61" s="419"/>
      <c r="B61" s="363"/>
      <c r="C61" s="420"/>
      <c r="D61" s="363"/>
      <c r="E61" s="363"/>
      <c r="F61" s="363"/>
      <c r="G61" s="363"/>
      <c r="H61" s="383" t="s">
        <v>2436</v>
      </c>
      <c r="I61" s="363"/>
      <c r="J61" s="363"/>
      <c r="K61" s="363"/>
      <c r="L61" s="363"/>
      <c r="M61" s="363" t="s">
        <v>2932</v>
      </c>
      <c r="N61" s="363"/>
      <c r="O61" s="383" t="s">
        <v>2436</v>
      </c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63"/>
      <c r="AB61" s="363"/>
      <c r="AC61" s="363"/>
      <c r="AD61" s="353"/>
      <c r="AE61" s="353"/>
    </row>
    <row r="62" spans="1:31">
      <c r="A62" s="419"/>
      <c r="B62" s="366"/>
      <c r="C62" s="421"/>
      <c r="D62" s="366"/>
      <c r="E62" s="366"/>
      <c r="F62" s="366"/>
      <c r="G62" s="366"/>
      <c r="H62" s="375" t="s">
        <v>2436</v>
      </c>
      <c r="I62" s="366"/>
      <c r="J62" s="366"/>
      <c r="K62" s="366"/>
      <c r="L62" s="366"/>
      <c r="M62" s="366" t="s">
        <v>2933</v>
      </c>
      <c r="N62" s="366"/>
      <c r="O62" s="375" t="s">
        <v>2436</v>
      </c>
      <c r="P62" s="366"/>
      <c r="Q62" s="366"/>
      <c r="R62" s="366"/>
      <c r="S62" s="366"/>
      <c r="T62" s="366"/>
      <c r="U62" s="366"/>
      <c r="V62" s="366"/>
      <c r="W62" s="366"/>
      <c r="X62" s="366"/>
      <c r="Y62" s="366"/>
      <c r="Z62" s="366"/>
      <c r="AA62" s="366"/>
      <c r="AB62" s="366"/>
      <c r="AC62" s="366"/>
      <c r="AD62" s="353"/>
      <c r="AE62" s="353"/>
    </row>
    <row r="63" spans="1:31">
      <c r="A63" s="419"/>
      <c r="B63" s="363"/>
      <c r="C63" s="363" t="s">
        <v>2915</v>
      </c>
      <c r="D63" s="363"/>
      <c r="E63" s="363"/>
      <c r="F63" s="363"/>
      <c r="G63" s="363"/>
      <c r="H63" s="383" t="s">
        <v>2436</v>
      </c>
      <c r="I63" s="363"/>
      <c r="J63" s="363"/>
      <c r="K63" s="363"/>
      <c r="L63" s="363"/>
      <c r="M63" s="363"/>
      <c r="N63" s="363"/>
      <c r="O63" s="383" t="s">
        <v>2436</v>
      </c>
      <c r="P63" s="363"/>
      <c r="Q63" s="363"/>
      <c r="R63" s="363"/>
      <c r="S63" s="363"/>
      <c r="T63" s="363"/>
      <c r="U63" s="363"/>
      <c r="V63" s="363"/>
      <c r="W63" s="363"/>
      <c r="X63" s="363"/>
      <c r="Y63" s="363"/>
      <c r="Z63" s="363"/>
      <c r="AA63" s="363"/>
      <c r="AB63" s="363"/>
      <c r="AC63" s="363"/>
      <c r="AD63" s="353"/>
      <c r="AE63" s="353"/>
    </row>
    <row r="64" spans="1:31">
      <c r="A64" s="392"/>
      <c r="B64" s="393"/>
      <c r="C64" s="393"/>
      <c r="D64" s="393"/>
      <c r="E64" s="393"/>
      <c r="F64" s="393"/>
      <c r="G64" s="393"/>
      <c r="H64" s="395"/>
      <c r="I64" s="393"/>
      <c r="J64" s="393"/>
      <c r="K64" s="393"/>
      <c r="L64" s="393"/>
      <c r="M64" s="393"/>
      <c r="N64" s="393"/>
      <c r="O64" s="395"/>
      <c r="P64" s="393"/>
      <c r="Q64" s="393"/>
      <c r="R64" s="393"/>
      <c r="S64" s="393"/>
      <c r="T64" s="393"/>
      <c r="U64" s="393"/>
      <c r="V64" s="393"/>
      <c r="W64" s="393"/>
      <c r="X64" s="393"/>
      <c r="Y64" s="393"/>
      <c r="Z64" s="393"/>
      <c r="AA64" s="393"/>
      <c r="AB64" s="393"/>
      <c r="AC64" s="393"/>
      <c r="AD64" s="353"/>
      <c r="AE64" s="353"/>
    </row>
    <row r="65" spans="1:31" ht="18.75">
      <c r="A65" s="419"/>
      <c r="B65" s="393"/>
      <c r="C65" s="393" t="s">
        <v>2934</v>
      </c>
      <c r="D65" s="393"/>
      <c r="E65" s="393"/>
      <c r="F65" s="393"/>
      <c r="G65" s="393"/>
      <c r="H65" s="395"/>
      <c r="I65" s="393"/>
      <c r="J65" s="393"/>
      <c r="K65" s="393"/>
      <c r="L65" s="393"/>
      <c r="M65" s="393"/>
      <c r="N65" s="393"/>
      <c r="O65" s="395"/>
      <c r="P65" s="393"/>
      <c r="Q65" s="393"/>
      <c r="R65" s="423" t="s">
        <v>2935</v>
      </c>
      <c r="S65" s="393" t="s">
        <v>2937</v>
      </c>
      <c r="T65" s="393"/>
      <c r="U65" s="393"/>
      <c r="V65" s="393"/>
      <c r="W65" s="393"/>
      <c r="X65" s="393"/>
      <c r="Y65" s="393"/>
      <c r="Z65" s="393"/>
      <c r="AA65" s="393"/>
      <c r="AB65" s="393"/>
      <c r="AC65" s="393"/>
      <c r="AD65" s="353"/>
      <c r="AE65" s="353"/>
    </row>
    <row r="66" spans="1:31">
      <c r="A66" s="419"/>
      <c r="B66" s="363"/>
      <c r="C66" s="396" t="s">
        <v>2869</v>
      </c>
      <c r="D66" s="363"/>
      <c r="E66" s="363"/>
      <c r="F66" s="363"/>
      <c r="G66" s="363"/>
      <c r="H66" s="383" t="s">
        <v>2436</v>
      </c>
      <c r="I66" s="363"/>
      <c r="J66" s="363"/>
      <c r="K66" s="363"/>
      <c r="L66" s="363"/>
      <c r="M66" s="363"/>
      <c r="N66" s="363"/>
      <c r="O66" s="383" t="s">
        <v>2436</v>
      </c>
      <c r="P66" s="363"/>
      <c r="Q66" s="363"/>
      <c r="R66" s="426" t="s">
        <v>2855</v>
      </c>
      <c r="S66" s="363"/>
      <c r="T66" s="363"/>
      <c r="U66" s="363"/>
      <c r="V66" s="363"/>
      <c r="W66" s="363"/>
      <c r="X66" s="363"/>
      <c r="Y66" s="363"/>
      <c r="Z66" s="363"/>
      <c r="AA66" s="363"/>
      <c r="AB66" s="363"/>
      <c r="AC66" s="363"/>
      <c r="AD66" s="353"/>
      <c r="AE66" s="353"/>
    </row>
    <row r="67" spans="1:31">
      <c r="A67" s="419"/>
      <c r="B67" s="366"/>
      <c r="C67" s="397" t="s">
        <v>2883</v>
      </c>
      <c r="D67" s="366"/>
      <c r="E67" s="366"/>
      <c r="F67" s="366"/>
      <c r="G67" s="366"/>
      <c r="H67" s="375" t="s">
        <v>2436</v>
      </c>
      <c r="I67" s="366"/>
      <c r="J67" s="366"/>
      <c r="K67" s="366"/>
      <c r="L67" s="366"/>
      <c r="M67" s="366"/>
      <c r="N67" s="366"/>
      <c r="O67" s="375" t="s">
        <v>2436</v>
      </c>
      <c r="P67" s="366"/>
      <c r="Q67" s="366"/>
      <c r="R67" s="427" t="s">
        <v>2938</v>
      </c>
      <c r="S67" s="366"/>
      <c r="T67" s="366"/>
      <c r="U67" s="366"/>
      <c r="V67" s="366"/>
      <c r="W67" s="366"/>
      <c r="X67" s="366"/>
      <c r="Y67" s="366"/>
      <c r="Z67" s="366"/>
      <c r="AA67" s="366"/>
      <c r="AB67" s="366"/>
      <c r="AC67" s="366"/>
      <c r="AD67" s="353"/>
      <c r="AE67" s="353"/>
    </row>
    <row r="68" spans="1:31">
      <c r="A68" s="419"/>
      <c r="B68" s="363"/>
      <c r="C68" s="363" t="s">
        <v>2915</v>
      </c>
      <c r="D68" s="363"/>
      <c r="E68" s="363"/>
      <c r="F68" s="363"/>
      <c r="G68" s="363"/>
      <c r="H68" s="383" t="s">
        <v>2436</v>
      </c>
      <c r="I68" s="363"/>
      <c r="J68" s="363"/>
      <c r="K68" s="363"/>
      <c r="L68" s="363"/>
      <c r="M68" s="363"/>
      <c r="N68" s="363"/>
      <c r="O68" s="383" t="s">
        <v>2436</v>
      </c>
      <c r="P68" s="363"/>
      <c r="Q68" s="363"/>
      <c r="R68" s="426" t="s">
        <v>2870</v>
      </c>
      <c r="S68" s="363"/>
      <c r="T68" s="363"/>
      <c r="U68" s="363"/>
      <c r="V68" s="363"/>
      <c r="W68" s="363"/>
      <c r="X68" s="363"/>
      <c r="Y68" s="363"/>
      <c r="Z68" s="363"/>
      <c r="AA68" s="363"/>
      <c r="AB68" s="363"/>
      <c r="AC68" s="363"/>
      <c r="AD68" s="353"/>
      <c r="AE68" s="353"/>
    </row>
    <row r="69" spans="1:31">
      <c r="A69" s="392"/>
      <c r="B69" s="393"/>
      <c r="C69" s="393"/>
      <c r="D69" s="393"/>
      <c r="E69" s="393"/>
      <c r="F69" s="393"/>
      <c r="G69" s="393"/>
      <c r="H69" s="395"/>
      <c r="I69" s="393"/>
      <c r="J69" s="393"/>
      <c r="K69" s="393"/>
      <c r="L69" s="393"/>
      <c r="M69" s="393"/>
      <c r="N69" s="393"/>
      <c r="O69" s="395"/>
      <c r="P69" s="393"/>
      <c r="Q69" s="393"/>
      <c r="R69" s="393"/>
      <c r="S69" s="393"/>
      <c r="T69" s="393"/>
      <c r="U69" s="393"/>
      <c r="V69" s="393"/>
      <c r="W69" s="393"/>
      <c r="X69" s="393"/>
      <c r="Y69" s="393"/>
      <c r="Z69" s="393"/>
      <c r="AA69" s="393"/>
      <c r="AB69" s="393"/>
      <c r="AC69" s="393"/>
      <c r="AD69" s="353"/>
      <c r="AE69" s="353"/>
    </row>
    <row r="70" spans="1:31">
      <c r="A70" s="392"/>
      <c r="B70" s="393"/>
      <c r="C70" s="393"/>
      <c r="D70" s="393"/>
      <c r="E70" s="393"/>
      <c r="F70" s="393"/>
      <c r="G70" s="393"/>
      <c r="H70" s="395"/>
      <c r="I70" s="393"/>
      <c r="J70" s="393"/>
      <c r="K70" s="393"/>
      <c r="L70" s="393"/>
      <c r="M70" s="393"/>
      <c r="N70" s="393"/>
      <c r="O70" s="395"/>
      <c r="P70" s="393"/>
      <c r="Q70" s="393"/>
      <c r="R70" s="393"/>
      <c r="S70" s="393"/>
      <c r="T70" s="393"/>
      <c r="U70" s="393"/>
      <c r="V70" s="393"/>
      <c r="W70" s="393"/>
      <c r="X70" s="393"/>
      <c r="Y70" s="393"/>
      <c r="Z70" s="393"/>
      <c r="AA70" s="393"/>
      <c r="AB70" s="393"/>
      <c r="AC70" s="393"/>
      <c r="AD70" s="353"/>
      <c r="AE70" s="353"/>
    </row>
    <row r="71" spans="1:31">
      <c r="A71" s="392"/>
      <c r="B71" s="393"/>
      <c r="C71" s="393"/>
      <c r="D71" s="393"/>
      <c r="E71" s="393"/>
      <c r="F71" s="393"/>
      <c r="G71" s="393"/>
      <c r="H71" s="395"/>
      <c r="I71" s="393"/>
      <c r="J71" s="393"/>
      <c r="K71" s="393"/>
      <c r="L71" s="393"/>
      <c r="M71" s="393"/>
      <c r="N71" s="393"/>
      <c r="O71" s="395"/>
      <c r="P71" s="393"/>
      <c r="Q71" s="393"/>
      <c r="R71" s="393"/>
      <c r="S71" s="393"/>
      <c r="T71" s="393"/>
      <c r="U71" s="393"/>
      <c r="V71" s="393"/>
      <c r="W71" s="393"/>
      <c r="X71" s="393"/>
      <c r="Y71" s="393"/>
      <c r="Z71" s="393"/>
      <c r="AA71" s="393"/>
      <c r="AB71" s="393"/>
      <c r="AC71" s="393"/>
      <c r="AD71" s="353"/>
      <c r="AE71" s="353"/>
    </row>
    <row r="72" spans="1:31">
      <c r="A72" s="565" t="s">
        <v>2939</v>
      </c>
      <c r="B72" s="428"/>
      <c r="C72" s="428"/>
      <c r="D72" s="428" t="s">
        <v>2436</v>
      </c>
      <c r="E72" s="428"/>
      <c r="F72" s="428" t="s">
        <v>2940</v>
      </c>
      <c r="G72" s="429"/>
      <c r="H72" s="396" t="s">
        <v>2940</v>
      </c>
      <c r="I72" s="428"/>
      <c r="J72" s="428" t="s">
        <v>2940</v>
      </c>
      <c r="K72" s="428"/>
      <c r="L72" s="428" t="s">
        <v>2940</v>
      </c>
      <c r="M72" s="428"/>
      <c r="N72" s="428" t="s">
        <v>2940</v>
      </c>
      <c r="O72" s="383"/>
      <c r="P72" s="428" t="s">
        <v>2940</v>
      </c>
      <c r="Q72" s="428" t="s">
        <v>2940</v>
      </c>
      <c r="R72" s="428"/>
      <c r="S72" s="428" t="s">
        <v>2940</v>
      </c>
      <c r="T72" s="428" t="s">
        <v>2940</v>
      </c>
      <c r="U72" s="428" t="s">
        <v>2940</v>
      </c>
      <c r="V72" s="428" t="s">
        <v>2940</v>
      </c>
      <c r="W72" s="428" t="s">
        <v>2940</v>
      </c>
      <c r="X72" s="428" t="s">
        <v>2940</v>
      </c>
      <c r="Y72" s="428"/>
      <c r="Z72" s="428" t="s">
        <v>2940</v>
      </c>
      <c r="AA72" s="428" t="s">
        <v>2940</v>
      </c>
      <c r="AB72" s="428" t="s">
        <v>2940</v>
      </c>
      <c r="AC72" s="428" t="s">
        <v>2940</v>
      </c>
      <c r="AD72" s="353"/>
      <c r="AE72" s="353"/>
    </row>
    <row r="73" spans="1:31">
      <c r="A73" s="480"/>
      <c r="B73" s="401"/>
      <c r="C73" s="401"/>
      <c r="D73" s="401"/>
      <c r="E73" s="401"/>
      <c r="F73" s="401"/>
      <c r="G73" s="411"/>
      <c r="H73" s="430"/>
      <c r="I73" s="401" t="s">
        <v>2941</v>
      </c>
      <c r="J73" s="401"/>
      <c r="K73" s="431"/>
      <c r="L73" s="401"/>
      <c r="M73" s="431"/>
      <c r="N73" s="401"/>
      <c r="O73" s="375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353"/>
      <c r="AE73" s="353"/>
    </row>
    <row r="74" spans="1:31">
      <c r="A74" s="480"/>
      <c r="B74" s="369"/>
      <c r="C74" s="369"/>
      <c r="D74" s="369"/>
      <c r="E74" s="369"/>
      <c r="F74" s="369"/>
      <c r="G74" s="432"/>
      <c r="H74" s="375"/>
      <c r="I74" s="369"/>
      <c r="J74" s="369"/>
      <c r="K74" s="433"/>
      <c r="L74" s="369"/>
      <c r="M74" s="433"/>
      <c r="N74" s="369"/>
      <c r="O74" s="397" t="s">
        <v>2942</v>
      </c>
      <c r="P74" s="369"/>
      <c r="Q74" s="369"/>
      <c r="R74" s="369"/>
      <c r="S74" s="369"/>
      <c r="T74" s="369"/>
      <c r="U74" s="369"/>
      <c r="V74" s="369"/>
      <c r="W74" s="369"/>
      <c r="X74" s="369"/>
      <c r="Y74" s="369"/>
      <c r="Z74" s="369"/>
      <c r="AA74" s="369"/>
      <c r="AB74" s="369"/>
      <c r="AC74" s="369"/>
      <c r="AD74" s="353"/>
      <c r="AE74" s="353"/>
    </row>
    <row r="75" spans="1:31">
      <c r="A75" s="480"/>
      <c r="B75" s="401"/>
      <c r="C75" s="401"/>
      <c r="D75" s="401"/>
      <c r="E75" s="397" t="s">
        <v>2837</v>
      </c>
      <c r="F75" s="401"/>
      <c r="G75" s="434" t="s">
        <v>2837</v>
      </c>
      <c r="H75" s="430"/>
      <c r="I75" s="401"/>
      <c r="J75" s="401"/>
      <c r="K75" s="396" t="s">
        <v>2837</v>
      </c>
      <c r="L75" s="401"/>
      <c r="M75" s="396" t="s">
        <v>2837</v>
      </c>
      <c r="N75" s="401"/>
      <c r="O75" s="375"/>
      <c r="P75" s="401"/>
      <c r="Q75" s="401"/>
      <c r="R75" s="401"/>
      <c r="S75" s="401"/>
      <c r="T75" s="401"/>
      <c r="U75" s="401"/>
      <c r="V75" s="401"/>
      <c r="W75" s="401"/>
      <c r="X75" s="401"/>
      <c r="Y75" s="401"/>
      <c r="Z75" s="401"/>
      <c r="AA75" s="401"/>
      <c r="AB75" s="401"/>
      <c r="AC75" s="401"/>
      <c r="AD75" s="353"/>
      <c r="AE75" s="353"/>
    </row>
    <row r="76" spans="1:31">
      <c r="A76" s="480"/>
      <c r="B76" s="369"/>
      <c r="C76" s="369"/>
      <c r="D76" s="369"/>
      <c r="E76" s="397" t="s">
        <v>2943</v>
      </c>
      <c r="F76" s="369"/>
      <c r="G76" s="432" t="s">
        <v>2943</v>
      </c>
      <c r="H76" s="430"/>
      <c r="I76" s="369"/>
      <c r="J76" s="369"/>
      <c r="K76" s="369" t="s">
        <v>2943</v>
      </c>
      <c r="L76" s="369"/>
      <c r="M76" s="369" t="s">
        <v>2943</v>
      </c>
      <c r="N76" s="369"/>
      <c r="O76" s="375" t="s">
        <v>2943</v>
      </c>
      <c r="P76" s="369"/>
      <c r="Q76" s="369"/>
      <c r="R76" s="369"/>
      <c r="S76" s="369"/>
      <c r="T76" s="369"/>
      <c r="U76" s="369"/>
      <c r="V76" s="369"/>
      <c r="W76" s="369"/>
      <c r="X76" s="369"/>
      <c r="Y76" s="369"/>
      <c r="Z76" s="369"/>
      <c r="AA76" s="369"/>
      <c r="AB76" s="369"/>
      <c r="AC76" s="369"/>
      <c r="AD76" s="353"/>
      <c r="AE76" s="353"/>
    </row>
    <row r="77" spans="1:31">
      <c r="A77" s="481"/>
      <c r="B77" s="401"/>
      <c r="C77" s="401"/>
      <c r="D77" s="401" t="s">
        <v>2944</v>
      </c>
      <c r="E77" s="401"/>
      <c r="F77" s="401" t="s">
        <v>2944</v>
      </c>
      <c r="G77" s="435"/>
      <c r="H77" s="375" t="s">
        <v>2944</v>
      </c>
      <c r="I77" s="401" t="s">
        <v>2943</v>
      </c>
      <c r="J77" s="397" t="s">
        <v>2944</v>
      </c>
      <c r="K77" s="401"/>
      <c r="L77" s="397" t="s">
        <v>2944</v>
      </c>
      <c r="M77" s="401"/>
      <c r="N77" s="397" t="s">
        <v>2944</v>
      </c>
      <c r="O77" s="375"/>
      <c r="P77" s="401"/>
      <c r="Q77" s="401"/>
      <c r="R77" s="401" t="s">
        <v>2944</v>
      </c>
      <c r="S77" s="401" t="s">
        <v>2944</v>
      </c>
      <c r="T77" s="401"/>
      <c r="U77" s="401"/>
      <c r="V77" s="401"/>
      <c r="W77" s="401"/>
      <c r="X77" s="401"/>
      <c r="Y77" s="401" t="s">
        <v>2944</v>
      </c>
      <c r="Z77" s="401" t="s">
        <v>2944</v>
      </c>
      <c r="AA77" s="401"/>
      <c r="AB77" s="401"/>
      <c r="AC77" s="401"/>
      <c r="AD77" s="353"/>
      <c r="AE77" s="353"/>
    </row>
    <row r="78" spans="1:31">
      <c r="A78" s="353"/>
      <c r="B78" s="353"/>
      <c r="C78" s="353"/>
      <c r="D78" s="353"/>
      <c r="E78" s="353"/>
      <c r="F78" s="353"/>
      <c r="G78" s="353"/>
      <c r="H78" s="354"/>
      <c r="I78" s="353"/>
      <c r="J78" s="353"/>
      <c r="K78" s="353"/>
      <c r="L78" s="353"/>
      <c r="M78" s="353"/>
      <c r="N78" s="353"/>
      <c r="O78" s="354"/>
      <c r="P78" s="353"/>
      <c r="Q78" s="353"/>
      <c r="R78" s="353"/>
      <c r="S78" s="353"/>
      <c r="T78" s="353"/>
      <c r="U78" s="353"/>
      <c r="V78" s="353"/>
      <c r="W78" s="353"/>
      <c r="X78" s="353"/>
      <c r="Y78" s="353"/>
      <c r="Z78" s="353"/>
      <c r="AA78" s="353"/>
      <c r="AB78" s="353"/>
      <c r="AC78" s="353"/>
      <c r="AD78" s="353"/>
      <c r="AE78" s="353"/>
    </row>
    <row r="79" spans="1:31">
      <c r="A79" s="565" t="s">
        <v>2945</v>
      </c>
      <c r="B79" s="436" t="s">
        <v>2946</v>
      </c>
      <c r="C79" s="436" t="s">
        <v>2436</v>
      </c>
      <c r="D79" s="436" t="s">
        <v>2946</v>
      </c>
      <c r="E79" s="436" t="s">
        <v>2946</v>
      </c>
      <c r="F79" s="436" t="s">
        <v>2946</v>
      </c>
      <c r="G79" s="436" t="s">
        <v>2946</v>
      </c>
      <c r="H79" s="434" t="s">
        <v>2946</v>
      </c>
      <c r="I79" s="436" t="s">
        <v>2946</v>
      </c>
      <c r="J79" s="436" t="s">
        <v>2436</v>
      </c>
      <c r="K79" s="434" t="s">
        <v>2839</v>
      </c>
      <c r="L79" s="436" t="s">
        <v>2946</v>
      </c>
      <c r="M79" s="436" t="s">
        <v>2946</v>
      </c>
      <c r="N79" s="436" t="s">
        <v>2946</v>
      </c>
      <c r="O79" s="434" t="s">
        <v>2946</v>
      </c>
      <c r="P79" s="436" t="s">
        <v>2946</v>
      </c>
      <c r="Q79" s="436" t="s">
        <v>2436</v>
      </c>
      <c r="R79" s="436" t="s">
        <v>2946</v>
      </c>
      <c r="S79" s="436" t="s">
        <v>2946</v>
      </c>
      <c r="T79" s="436" t="s">
        <v>2946</v>
      </c>
      <c r="U79" s="436" t="s">
        <v>2946</v>
      </c>
      <c r="V79" s="436" t="s">
        <v>2946</v>
      </c>
      <c r="W79" s="436" t="s">
        <v>2946</v>
      </c>
      <c r="X79" s="436" t="s">
        <v>2946</v>
      </c>
      <c r="Y79" s="436" t="s">
        <v>2946</v>
      </c>
      <c r="Z79" s="436" t="s">
        <v>2436</v>
      </c>
      <c r="AA79" s="436" t="s">
        <v>2946</v>
      </c>
      <c r="AB79" s="436" t="s">
        <v>2946</v>
      </c>
      <c r="AC79" s="436" t="s">
        <v>2946</v>
      </c>
      <c r="AD79" s="353"/>
      <c r="AE79" s="353"/>
    </row>
    <row r="80" spans="1:31">
      <c r="A80" s="481"/>
      <c r="B80" s="437" t="s">
        <v>2436</v>
      </c>
      <c r="C80" s="437" t="s">
        <v>2947</v>
      </c>
      <c r="D80" s="437" t="s">
        <v>2947</v>
      </c>
      <c r="E80" s="437" t="s">
        <v>2947</v>
      </c>
      <c r="F80" s="438" t="s">
        <v>2436</v>
      </c>
      <c r="G80" s="438" t="s">
        <v>2436</v>
      </c>
      <c r="H80" s="439" t="s">
        <v>2436</v>
      </c>
      <c r="I80" s="438" t="s">
        <v>2436</v>
      </c>
      <c r="J80" s="437" t="s">
        <v>2947</v>
      </c>
      <c r="K80" s="437" t="s">
        <v>2947</v>
      </c>
      <c r="L80" s="437" t="s">
        <v>2947</v>
      </c>
      <c r="M80" s="438" t="s">
        <v>2436</v>
      </c>
      <c r="N80" s="438" t="s">
        <v>2436</v>
      </c>
      <c r="O80" s="439" t="s">
        <v>2436</v>
      </c>
      <c r="P80" s="438" t="s">
        <v>2436</v>
      </c>
      <c r="Q80" s="437" t="s">
        <v>2947</v>
      </c>
      <c r="R80" s="437" t="s">
        <v>2947</v>
      </c>
      <c r="S80" s="437" t="s">
        <v>2947</v>
      </c>
      <c r="T80" s="437" t="s">
        <v>2436</v>
      </c>
      <c r="U80" s="437" t="s">
        <v>2436</v>
      </c>
      <c r="V80" s="437" t="s">
        <v>2436</v>
      </c>
      <c r="W80" s="437" t="s">
        <v>2436</v>
      </c>
      <c r="X80" s="437" t="s">
        <v>2436</v>
      </c>
      <c r="Y80" s="437" t="s">
        <v>2436</v>
      </c>
      <c r="Z80" s="437" t="s">
        <v>2947</v>
      </c>
      <c r="AA80" s="437" t="s">
        <v>2947</v>
      </c>
      <c r="AB80" s="437" t="s">
        <v>2947</v>
      </c>
      <c r="AC80" s="437" t="s">
        <v>2436</v>
      </c>
      <c r="AD80" s="353"/>
      <c r="AE80" s="353"/>
    </row>
    <row r="81" spans="1:31">
      <c r="A81" s="353"/>
      <c r="B81" s="353"/>
      <c r="C81" s="353"/>
      <c r="D81" s="353"/>
      <c r="E81" s="353"/>
      <c r="F81" s="353"/>
      <c r="G81" s="353"/>
      <c r="H81" s="354"/>
      <c r="I81" s="353"/>
      <c r="J81" s="353"/>
      <c r="K81" s="353"/>
      <c r="L81" s="353"/>
      <c r="M81" s="353"/>
      <c r="N81" s="353"/>
      <c r="O81" s="354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353"/>
      <c r="AB81" s="353"/>
      <c r="AC81" s="353"/>
      <c r="AD81" s="353"/>
      <c r="AE81" s="353"/>
    </row>
    <row r="82" spans="1:31">
      <c r="A82" s="564" t="s">
        <v>2948</v>
      </c>
      <c r="B82" s="432" t="s">
        <v>2941</v>
      </c>
      <c r="C82" s="432"/>
      <c r="D82" s="432"/>
      <c r="E82" s="432" t="s">
        <v>2941</v>
      </c>
      <c r="F82" s="432"/>
      <c r="G82" s="432"/>
      <c r="H82" s="440" t="s">
        <v>2949</v>
      </c>
      <c r="I82" s="432"/>
      <c r="J82" s="432" t="s">
        <v>2941</v>
      </c>
      <c r="K82" s="432"/>
      <c r="L82" s="432" t="s">
        <v>2941</v>
      </c>
      <c r="M82" s="432"/>
      <c r="N82" s="432"/>
      <c r="O82" s="441" t="s">
        <v>2949</v>
      </c>
      <c r="P82" s="432"/>
      <c r="Q82" s="432"/>
      <c r="R82" s="432"/>
      <c r="S82" s="432" t="s">
        <v>2941</v>
      </c>
      <c r="T82" s="432"/>
      <c r="U82" s="432"/>
      <c r="V82" s="432"/>
      <c r="W82" s="432"/>
      <c r="X82" s="432"/>
      <c r="Y82" s="432"/>
      <c r="Z82" s="432" t="s">
        <v>2941</v>
      </c>
      <c r="AA82" s="432"/>
      <c r="AB82" s="432"/>
      <c r="AC82" s="432"/>
      <c r="AD82" s="353"/>
      <c r="AE82" s="353"/>
    </row>
    <row r="83" spans="1:31">
      <c r="A83" s="481"/>
      <c r="B83" s="437"/>
      <c r="C83" s="437" t="s">
        <v>2950</v>
      </c>
      <c r="D83" s="437" t="s">
        <v>2950</v>
      </c>
      <c r="E83" s="437" t="s">
        <v>2950</v>
      </c>
      <c r="F83" s="437" t="s">
        <v>2950</v>
      </c>
      <c r="G83" s="437" t="s">
        <v>2950</v>
      </c>
      <c r="H83" s="434" t="s">
        <v>2950</v>
      </c>
      <c r="I83" s="437" t="s">
        <v>2950</v>
      </c>
      <c r="J83" s="437"/>
      <c r="K83" s="437" t="s">
        <v>2950</v>
      </c>
      <c r="L83" s="437" t="s">
        <v>2950</v>
      </c>
      <c r="M83" s="437" t="s">
        <v>2950</v>
      </c>
      <c r="N83" s="434" t="s">
        <v>2943</v>
      </c>
      <c r="O83" s="434" t="s">
        <v>2950</v>
      </c>
      <c r="P83" s="437" t="s">
        <v>2941</v>
      </c>
      <c r="Q83" s="437" t="s">
        <v>2950</v>
      </c>
      <c r="R83" s="437" t="s">
        <v>2950</v>
      </c>
      <c r="S83" s="437" t="s">
        <v>2950</v>
      </c>
      <c r="T83" s="437" t="s">
        <v>2950</v>
      </c>
      <c r="U83" s="437" t="s">
        <v>2950</v>
      </c>
      <c r="V83" s="437" t="s">
        <v>2950</v>
      </c>
      <c r="W83" s="437" t="s">
        <v>2941</v>
      </c>
      <c r="X83" s="437" t="s">
        <v>2950</v>
      </c>
      <c r="Y83" s="437" t="s">
        <v>2950</v>
      </c>
      <c r="Z83" s="437" t="s">
        <v>2950</v>
      </c>
      <c r="AA83" s="437" t="s">
        <v>2950</v>
      </c>
      <c r="AB83" s="437" t="s">
        <v>2950</v>
      </c>
      <c r="AC83" s="437" t="s">
        <v>2950</v>
      </c>
      <c r="AD83" s="353"/>
      <c r="AE83" s="353"/>
    </row>
    <row r="84" spans="1:31">
      <c r="A84" s="353"/>
      <c r="B84" s="353"/>
      <c r="C84" s="353"/>
      <c r="D84" s="353"/>
      <c r="E84" s="353"/>
      <c r="F84" s="353"/>
      <c r="G84" s="353"/>
      <c r="H84" s="354"/>
      <c r="I84" s="353"/>
      <c r="J84" s="353"/>
      <c r="K84" s="353"/>
      <c r="L84" s="353"/>
      <c r="M84" s="353"/>
      <c r="N84" s="353"/>
      <c r="O84" s="442"/>
      <c r="P84" s="353"/>
      <c r="Q84" s="353"/>
      <c r="R84" s="353"/>
      <c r="S84" s="353"/>
      <c r="T84" s="353"/>
      <c r="U84" s="353"/>
      <c r="V84" s="353"/>
      <c r="W84" s="353"/>
      <c r="X84" s="353"/>
      <c r="Y84" s="353"/>
      <c r="Z84" s="353"/>
      <c r="AA84" s="353"/>
      <c r="AB84" s="353"/>
      <c r="AC84" s="353"/>
      <c r="AD84" s="353"/>
      <c r="AE84" s="353"/>
    </row>
  </sheetData>
  <mergeCells count="11">
    <mergeCell ref="N60:O60"/>
    <mergeCell ref="A41:A42"/>
    <mergeCell ref="A72:A77"/>
    <mergeCell ref="A79:A80"/>
    <mergeCell ref="A82:A83"/>
    <mergeCell ref="A5:A11"/>
    <mergeCell ref="A13:A17"/>
    <mergeCell ref="A19:A22"/>
    <mergeCell ref="A26:A27"/>
    <mergeCell ref="A46:M46"/>
    <mergeCell ref="A51:M51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  <pageSetUpPr fitToPage="1"/>
  </sheetPr>
  <dimension ref="A1:P1000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2.5703125" defaultRowHeight="15" customHeight="1" outlineLevelCol="1"/>
  <cols>
    <col min="1" max="1" width="13.42578125" hidden="1" customWidth="1"/>
    <col min="2" max="2" width="6.85546875" hidden="1" customWidth="1"/>
    <col min="3" max="3" width="17.42578125" customWidth="1"/>
    <col min="4" max="4" width="24.140625" customWidth="1"/>
    <col min="5" max="5" width="63.7109375" customWidth="1" outlineLevel="1"/>
    <col min="6" max="6" width="0.42578125" customWidth="1" outlineLevel="1"/>
    <col min="7" max="13" width="7" customWidth="1" outlineLevel="1"/>
    <col min="14" max="14" width="1.28515625" customWidth="1"/>
    <col min="15" max="15" width="4.42578125" customWidth="1" outlineLevel="1"/>
    <col min="16" max="16" width="29.42578125" customWidth="1"/>
  </cols>
  <sheetData>
    <row r="1" spans="1:16" ht="18.75" customHeight="1">
      <c r="A1" s="75" t="s">
        <v>2954</v>
      </c>
      <c r="B1" s="75" t="s">
        <v>562</v>
      </c>
      <c r="C1" s="452" t="s">
        <v>2955</v>
      </c>
      <c r="D1" s="452" t="s">
        <v>2956</v>
      </c>
      <c r="E1" s="453"/>
      <c r="F1" s="453"/>
      <c r="G1" s="454">
        <v>45047</v>
      </c>
      <c r="H1" s="454">
        <f t="shared" ref="H1:M1" si="0">H2</f>
        <v>45048</v>
      </c>
      <c r="I1" s="454">
        <f t="shared" si="0"/>
        <v>45049</v>
      </c>
      <c r="J1" s="454">
        <f t="shared" si="0"/>
        <v>45050</v>
      </c>
      <c r="K1" s="454">
        <f t="shared" si="0"/>
        <v>45051</v>
      </c>
      <c r="L1" s="454">
        <f t="shared" si="0"/>
        <v>45052</v>
      </c>
      <c r="M1" s="454">
        <f t="shared" si="0"/>
        <v>45053</v>
      </c>
      <c r="N1" s="22"/>
      <c r="O1" s="453"/>
      <c r="P1" s="22"/>
    </row>
    <row r="2" spans="1:16" ht="15.75" hidden="1" customHeight="1">
      <c r="F2" s="453"/>
      <c r="G2" s="455">
        <v>45047</v>
      </c>
      <c r="H2" s="456">
        <f t="shared" ref="H2:M2" si="1">G2+1</f>
        <v>45048</v>
      </c>
      <c r="I2" s="456">
        <f t="shared" si="1"/>
        <v>45049</v>
      </c>
      <c r="J2" s="456">
        <f t="shared" si="1"/>
        <v>45050</v>
      </c>
      <c r="K2" s="456">
        <f t="shared" si="1"/>
        <v>45051</v>
      </c>
      <c r="L2" s="456">
        <f t="shared" si="1"/>
        <v>45052</v>
      </c>
      <c r="M2" s="456">
        <f t="shared" si="1"/>
        <v>45053</v>
      </c>
      <c r="N2" s="22"/>
      <c r="P2" s="22"/>
    </row>
    <row r="3" spans="1:16" ht="26.25" customHeight="1">
      <c r="A3" s="457" t="s">
        <v>1418</v>
      </c>
      <c r="B3" s="457" t="s">
        <v>2957</v>
      </c>
      <c r="C3" s="457" t="s">
        <v>2958</v>
      </c>
      <c r="D3" s="458" t="s">
        <v>2959</v>
      </c>
      <c r="E3" s="38" t="s">
        <v>1419</v>
      </c>
      <c r="F3" s="459"/>
      <c r="G3" s="19" t="s">
        <v>2960</v>
      </c>
      <c r="H3" s="19" t="s">
        <v>2960</v>
      </c>
      <c r="I3" s="19" t="s">
        <v>2960</v>
      </c>
      <c r="J3" s="19" t="s">
        <v>2960</v>
      </c>
      <c r="K3" s="19" t="s">
        <v>2961</v>
      </c>
      <c r="L3" s="19" t="s">
        <v>125</v>
      </c>
      <c r="M3" s="19" t="s">
        <v>125</v>
      </c>
      <c r="N3" s="22"/>
      <c r="O3" s="38" t="s">
        <v>2962</v>
      </c>
      <c r="P3" s="22"/>
    </row>
    <row r="4" spans="1:16" ht="26.25" customHeight="1">
      <c r="A4" s="457" t="s">
        <v>1536</v>
      </c>
      <c r="B4" s="457" t="s">
        <v>2957</v>
      </c>
      <c r="C4" s="457" t="s">
        <v>2963</v>
      </c>
      <c r="D4" s="458" t="s">
        <v>388</v>
      </c>
      <c r="E4" s="38" t="s">
        <v>1534</v>
      </c>
      <c r="F4" s="459"/>
      <c r="G4" s="19" t="s">
        <v>2964</v>
      </c>
      <c r="H4" s="19" t="s">
        <v>2964</v>
      </c>
      <c r="I4" s="19" t="s">
        <v>2964</v>
      </c>
      <c r="J4" s="19" t="s">
        <v>2964</v>
      </c>
      <c r="K4" s="19" t="s">
        <v>2964</v>
      </c>
      <c r="L4" s="19" t="s">
        <v>125</v>
      </c>
      <c r="M4" s="19" t="s">
        <v>125</v>
      </c>
      <c r="N4" s="22"/>
      <c r="O4" s="38" t="s">
        <v>2965</v>
      </c>
      <c r="P4" s="22"/>
    </row>
    <row r="5" spans="1:16" ht="26.25" customHeight="1">
      <c r="A5" s="457" t="s">
        <v>1533</v>
      </c>
      <c r="B5" s="457" t="s">
        <v>2957</v>
      </c>
      <c r="C5" s="457" t="s">
        <v>2966</v>
      </c>
      <c r="D5" s="458" t="s">
        <v>2967</v>
      </c>
      <c r="E5" s="38" t="s">
        <v>1526</v>
      </c>
      <c r="F5" s="459"/>
      <c r="G5" s="19" t="s">
        <v>2960</v>
      </c>
      <c r="H5" s="19" t="s">
        <v>2960</v>
      </c>
      <c r="I5" s="19" t="s">
        <v>2960</v>
      </c>
      <c r="J5" s="19" t="s">
        <v>2960</v>
      </c>
      <c r="K5" s="19" t="s">
        <v>2960</v>
      </c>
      <c r="L5" s="19" t="s">
        <v>2968</v>
      </c>
      <c r="M5" s="19" t="s">
        <v>125</v>
      </c>
      <c r="N5" s="22"/>
      <c r="O5" s="38" t="s">
        <v>2969</v>
      </c>
      <c r="P5" s="22"/>
    </row>
    <row r="6" spans="1:16" ht="26.25" customHeight="1">
      <c r="A6" s="457" t="s">
        <v>1540</v>
      </c>
      <c r="B6" s="457" t="s">
        <v>2957</v>
      </c>
      <c r="C6" s="457" t="s">
        <v>2970</v>
      </c>
      <c r="D6" s="458" t="s">
        <v>2971</v>
      </c>
      <c r="E6" s="38" t="s">
        <v>1541</v>
      </c>
      <c r="F6" s="459"/>
      <c r="G6" s="19" t="s">
        <v>2960</v>
      </c>
      <c r="H6" s="19" t="s">
        <v>2960</v>
      </c>
      <c r="I6" s="19" t="s">
        <v>2960</v>
      </c>
      <c r="J6" s="19" t="s">
        <v>2960</v>
      </c>
      <c r="K6" s="19" t="s">
        <v>2961</v>
      </c>
      <c r="L6" s="19" t="s">
        <v>125</v>
      </c>
      <c r="M6" s="19" t="s">
        <v>125</v>
      </c>
      <c r="N6" s="22"/>
      <c r="O6" s="38" t="s">
        <v>2972</v>
      </c>
      <c r="P6" s="22"/>
    </row>
    <row r="7" spans="1:16" ht="26.25" customHeight="1">
      <c r="A7" s="457" t="s">
        <v>1425</v>
      </c>
      <c r="B7" s="457" t="s">
        <v>2957</v>
      </c>
      <c r="C7" s="460" t="s">
        <v>2973</v>
      </c>
      <c r="D7" s="458" t="s">
        <v>2974</v>
      </c>
      <c r="E7" s="38" t="s">
        <v>1426</v>
      </c>
      <c r="F7" s="459"/>
      <c r="G7" s="19" t="s">
        <v>2960</v>
      </c>
      <c r="H7" s="19" t="s">
        <v>2960</v>
      </c>
      <c r="I7" s="19" t="s">
        <v>2960</v>
      </c>
      <c r="J7" s="19" t="s">
        <v>2960</v>
      </c>
      <c r="K7" s="19" t="s">
        <v>2961</v>
      </c>
      <c r="L7" s="19" t="s">
        <v>125</v>
      </c>
      <c r="M7" s="19" t="s">
        <v>125</v>
      </c>
      <c r="N7" s="22"/>
      <c r="O7" s="38" t="s">
        <v>2975</v>
      </c>
      <c r="P7" s="22"/>
    </row>
    <row r="8" spans="1:16" ht="26.25" customHeight="1">
      <c r="A8" s="457" t="s">
        <v>1525</v>
      </c>
      <c r="B8" s="457" t="s">
        <v>2957</v>
      </c>
      <c r="C8" s="457" t="s">
        <v>2838</v>
      </c>
      <c r="D8" s="458" t="s">
        <v>2976</v>
      </c>
      <c r="E8" s="38" t="s">
        <v>1526</v>
      </c>
      <c r="F8" s="459"/>
      <c r="G8" s="19" t="s">
        <v>2960</v>
      </c>
      <c r="H8" s="19" t="s">
        <v>2960</v>
      </c>
      <c r="I8" s="19" t="s">
        <v>2960</v>
      </c>
      <c r="J8" s="19" t="s">
        <v>2960</v>
      </c>
      <c r="K8" s="19" t="s">
        <v>2960</v>
      </c>
      <c r="L8" s="19" t="s">
        <v>2968</v>
      </c>
      <c r="M8" s="19" t="s">
        <v>125</v>
      </c>
      <c r="N8" s="22"/>
      <c r="O8" s="38" t="s">
        <v>2977</v>
      </c>
      <c r="P8" s="22"/>
    </row>
    <row r="9" spans="1:16" ht="26.25" customHeight="1">
      <c r="A9" s="457" t="s">
        <v>1400</v>
      </c>
      <c r="B9" s="457" t="s">
        <v>2957</v>
      </c>
      <c r="C9" s="457" t="s">
        <v>2881</v>
      </c>
      <c r="D9" s="458" t="s">
        <v>2978</v>
      </c>
      <c r="E9" s="38" t="s">
        <v>2979</v>
      </c>
      <c r="F9" s="459"/>
      <c r="G9" s="19" t="s">
        <v>2960</v>
      </c>
      <c r="H9" s="19" t="s">
        <v>2960</v>
      </c>
      <c r="I9" s="19" t="s">
        <v>2960</v>
      </c>
      <c r="J9" s="19" t="s">
        <v>2960</v>
      </c>
      <c r="K9" s="19" t="s">
        <v>2960</v>
      </c>
      <c r="L9" s="19" t="s">
        <v>2968</v>
      </c>
      <c r="M9" s="19" t="s">
        <v>125</v>
      </c>
      <c r="N9" s="22"/>
      <c r="O9" s="38" t="s">
        <v>2980</v>
      </c>
      <c r="P9" s="22"/>
    </row>
    <row r="10" spans="1:16" ht="26.25" customHeight="1">
      <c r="A10" s="457" t="s">
        <v>1528</v>
      </c>
      <c r="B10" s="457" t="s">
        <v>2957</v>
      </c>
      <c r="C10" s="457" t="s">
        <v>2981</v>
      </c>
      <c r="D10" s="458" t="s">
        <v>2982</v>
      </c>
      <c r="E10" s="38" t="s">
        <v>1526</v>
      </c>
      <c r="F10" s="459"/>
      <c r="G10" s="19" t="s">
        <v>2960</v>
      </c>
      <c r="H10" s="19" t="s">
        <v>2960</v>
      </c>
      <c r="I10" s="19" t="s">
        <v>2960</v>
      </c>
      <c r="J10" s="19" t="s">
        <v>2960</v>
      </c>
      <c r="K10" s="19" t="s">
        <v>2960</v>
      </c>
      <c r="L10" s="19" t="s">
        <v>2968</v>
      </c>
      <c r="M10" s="19" t="s">
        <v>125</v>
      </c>
      <c r="N10" s="22"/>
      <c r="O10" s="38" t="s">
        <v>2983</v>
      </c>
      <c r="P10" s="22"/>
    </row>
    <row r="11" spans="1:16" ht="26.25" customHeight="1">
      <c r="A11" s="457" t="s">
        <v>1421</v>
      </c>
      <c r="B11" s="457" t="s">
        <v>2957</v>
      </c>
      <c r="C11" s="457" t="s">
        <v>2984</v>
      </c>
      <c r="D11" s="458" t="s">
        <v>2985</v>
      </c>
      <c r="E11" s="38" t="s">
        <v>1422</v>
      </c>
      <c r="F11" s="459"/>
      <c r="G11" s="19" t="s">
        <v>2960</v>
      </c>
      <c r="H11" s="19" t="s">
        <v>2960</v>
      </c>
      <c r="I11" s="19" t="s">
        <v>2960</v>
      </c>
      <c r="J11" s="19" t="s">
        <v>2960</v>
      </c>
      <c r="K11" s="19" t="s">
        <v>2960</v>
      </c>
      <c r="L11" s="19" t="s">
        <v>2968</v>
      </c>
      <c r="M11" s="19" t="s">
        <v>125</v>
      </c>
      <c r="N11" s="22"/>
      <c r="O11" s="38" t="s">
        <v>2986</v>
      </c>
      <c r="P11" s="22"/>
    </row>
    <row r="12" spans="1:16" ht="26.25" customHeight="1">
      <c r="A12" s="457" t="s">
        <v>1475</v>
      </c>
      <c r="B12" s="457" t="s">
        <v>2957</v>
      </c>
      <c r="C12" s="457" t="s">
        <v>2987</v>
      </c>
      <c r="D12" s="458" t="s">
        <v>2988</v>
      </c>
      <c r="E12" s="38" t="s">
        <v>2989</v>
      </c>
      <c r="F12" s="459"/>
      <c r="G12" s="19" t="s">
        <v>2990</v>
      </c>
      <c r="H12" s="19" t="s">
        <v>2990</v>
      </c>
      <c r="I12" s="19" t="s">
        <v>2990</v>
      </c>
      <c r="J12" s="19" t="s">
        <v>2990</v>
      </c>
      <c r="K12" s="19" t="s">
        <v>2990</v>
      </c>
      <c r="L12" s="19" t="s">
        <v>2990</v>
      </c>
      <c r="M12" s="19" t="s">
        <v>125</v>
      </c>
      <c r="N12" s="22"/>
      <c r="O12" s="38" t="s">
        <v>2991</v>
      </c>
      <c r="P12" s="22"/>
    </row>
    <row r="13" spans="1:16" ht="26.25" customHeight="1">
      <c r="A13" s="457" t="s">
        <v>1535</v>
      </c>
      <c r="B13" s="457" t="s">
        <v>2957</v>
      </c>
      <c r="C13" s="457" t="s">
        <v>2992</v>
      </c>
      <c r="D13" s="458" t="s">
        <v>2993</v>
      </c>
      <c r="E13" s="38" t="s">
        <v>2994</v>
      </c>
      <c r="F13" s="459"/>
      <c r="G13" s="19" t="s">
        <v>2990</v>
      </c>
      <c r="H13" s="19" t="s">
        <v>2990</v>
      </c>
      <c r="I13" s="19" t="s">
        <v>2990</v>
      </c>
      <c r="J13" s="19" t="s">
        <v>2990</v>
      </c>
      <c r="K13" s="19" t="s">
        <v>2990</v>
      </c>
      <c r="L13" s="19" t="s">
        <v>125</v>
      </c>
      <c r="M13" s="19" t="s">
        <v>2990</v>
      </c>
      <c r="N13" s="22"/>
      <c r="O13" s="38" t="s">
        <v>2995</v>
      </c>
      <c r="P13" s="22"/>
    </row>
    <row r="14" spans="1:16" ht="26.25" customHeight="1">
      <c r="A14" s="461"/>
      <c r="B14" s="457"/>
      <c r="C14" s="457" t="s">
        <v>2996</v>
      </c>
      <c r="D14" s="458" t="s">
        <v>2997</v>
      </c>
      <c r="E14" s="38" t="s">
        <v>2998</v>
      </c>
      <c r="G14" s="462" t="s">
        <v>2999</v>
      </c>
      <c r="H14" s="462" t="s">
        <v>2999</v>
      </c>
      <c r="I14" s="462" t="s">
        <v>2999</v>
      </c>
      <c r="J14" s="462" t="s">
        <v>2999</v>
      </c>
      <c r="K14" s="462" t="s">
        <v>2999</v>
      </c>
      <c r="L14" s="462" t="s">
        <v>2999</v>
      </c>
      <c r="M14" s="19" t="s">
        <v>3000</v>
      </c>
      <c r="N14" s="22"/>
      <c r="O14" s="38" t="s">
        <v>3001</v>
      </c>
      <c r="P14" s="22"/>
    </row>
    <row r="15" spans="1:16" ht="26.25" customHeight="1">
      <c r="A15" s="457" t="s">
        <v>1542</v>
      </c>
      <c r="B15" s="457" t="s">
        <v>2957</v>
      </c>
      <c r="C15" s="457" t="s">
        <v>3002</v>
      </c>
      <c r="D15" s="458" t="s">
        <v>3003</v>
      </c>
      <c r="E15" s="38" t="s">
        <v>1539</v>
      </c>
      <c r="F15" s="459"/>
      <c r="G15" s="19" t="s">
        <v>3004</v>
      </c>
      <c r="H15" s="19" t="s">
        <v>3004</v>
      </c>
      <c r="I15" s="19" t="s">
        <v>3004</v>
      </c>
      <c r="J15" s="19" t="s">
        <v>3004</v>
      </c>
      <c r="K15" s="19" t="s">
        <v>3004</v>
      </c>
      <c r="L15" s="19" t="s">
        <v>3004</v>
      </c>
      <c r="M15" s="19" t="s">
        <v>125</v>
      </c>
      <c r="N15" s="22"/>
      <c r="O15" s="38" t="s">
        <v>3005</v>
      </c>
      <c r="P15" s="22"/>
    </row>
    <row r="16" spans="1:16" ht="26.25" customHeight="1">
      <c r="A16" s="457" t="s">
        <v>1538</v>
      </c>
      <c r="B16" s="457" t="s">
        <v>2957</v>
      </c>
      <c r="C16" s="457" t="s">
        <v>3006</v>
      </c>
      <c r="D16" s="458" t="s">
        <v>3007</v>
      </c>
      <c r="E16" s="38" t="s">
        <v>1539</v>
      </c>
      <c r="F16" s="459"/>
      <c r="G16" s="19" t="s">
        <v>3004</v>
      </c>
      <c r="H16" s="19" t="s">
        <v>3004</v>
      </c>
      <c r="I16" s="19" t="s">
        <v>3004</v>
      </c>
      <c r="J16" s="19" t="s">
        <v>3004</v>
      </c>
      <c r="K16" s="19" t="s">
        <v>3004</v>
      </c>
      <c r="L16" s="19" t="s">
        <v>125</v>
      </c>
      <c r="M16" s="19" t="s">
        <v>3004</v>
      </c>
      <c r="N16" s="22"/>
      <c r="O16" s="38" t="s">
        <v>3008</v>
      </c>
      <c r="P16" s="22"/>
    </row>
    <row r="17" spans="1:16" ht="7.5" customHeight="1">
      <c r="A17" s="463"/>
      <c r="B17" s="463"/>
      <c r="C17" s="463"/>
      <c r="D17" s="463"/>
      <c r="E17" s="464"/>
      <c r="F17" s="459"/>
      <c r="G17" s="22"/>
      <c r="H17" s="22"/>
      <c r="I17" s="22"/>
      <c r="J17" s="22"/>
      <c r="K17" s="22"/>
      <c r="L17" s="22"/>
      <c r="M17" s="22"/>
      <c r="N17" s="22"/>
      <c r="O17" s="464"/>
      <c r="P17" s="22"/>
    </row>
    <row r="18" spans="1:16" ht="26.25" customHeight="1">
      <c r="A18" s="465"/>
      <c r="B18" s="465"/>
      <c r="C18" s="465"/>
      <c r="D18" s="465"/>
      <c r="E18" s="466"/>
      <c r="F18" s="467"/>
      <c r="G18" s="468"/>
      <c r="H18" s="468"/>
      <c r="I18" s="468"/>
      <c r="J18" s="468"/>
      <c r="K18" s="468"/>
      <c r="L18" s="468"/>
      <c r="M18" s="468"/>
      <c r="N18" s="468"/>
      <c r="O18" s="466"/>
      <c r="P18" s="468"/>
    </row>
    <row r="19" spans="1:16" ht="26.25" customHeight="1">
      <c r="A19" s="463"/>
      <c r="B19" s="463"/>
      <c r="C19" s="469"/>
      <c r="D19" s="469"/>
      <c r="E19" s="464"/>
      <c r="F19" s="459"/>
      <c r="G19" s="22"/>
      <c r="H19" s="22"/>
      <c r="I19" s="22"/>
      <c r="J19" s="22"/>
      <c r="K19" s="22"/>
      <c r="L19" s="22"/>
      <c r="M19" s="22"/>
      <c r="N19" s="22"/>
      <c r="O19" s="464"/>
      <c r="P19" s="22"/>
    </row>
    <row r="20" spans="1:16" ht="26.25" customHeight="1">
      <c r="A20" s="463"/>
      <c r="B20" s="463"/>
      <c r="C20" s="463"/>
      <c r="D20" s="463"/>
      <c r="E20" s="464"/>
      <c r="F20" s="459"/>
      <c r="G20" s="22"/>
      <c r="H20" s="22"/>
      <c r="I20" s="22"/>
      <c r="J20" s="22"/>
      <c r="K20" s="22"/>
      <c r="L20" s="22"/>
      <c r="M20" s="22"/>
      <c r="N20" s="22"/>
      <c r="O20" s="464"/>
      <c r="P20" s="22"/>
    </row>
    <row r="21" spans="1:16" ht="26.25" customHeight="1">
      <c r="A21" s="463"/>
      <c r="B21" s="463"/>
      <c r="C21" s="463"/>
      <c r="D21" s="463"/>
      <c r="E21" s="464"/>
      <c r="F21" s="459"/>
      <c r="G21" s="22"/>
      <c r="H21" s="22"/>
      <c r="I21" s="22"/>
      <c r="J21" s="22"/>
      <c r="K21" s="22"/>
      <c r="L21" s="22"/>
      <c r="M21" s="22"/>
      <c r="N21" s="22"/>
      <c r="O21" s="464"/>
      <c r="P21" s="22"/>
    </row>
    <row r="22" spans="1:16" ht="26.25" customHeight="1">
      <c r="A22" s="463"/>
      <c r="B22" s="463"/>
      <c r="C22" s="463"/>
      <c r="D22" s="463"/>
      <c r="E22" s="464"/>
      <c r="F22" s="459"/>
      <c r="G22" s="22"/>
      <c r="H22" s="22"/>
      <c r="I22" s="22"/>
      <c r="J22" s="22"/>
      <c r="K22" s="22"/>
      <c r="L22" s="22"/>
      <c r="M22" s="22"/>
      <c r="N22" s="22"/>
      <c r="O22" s="464"/>
      <c r="P22" s="22"/>
    </row>
    <row r="23" spans="1:16" ht="26.25" customHeight="1">
      <c r="A23" s="463"/>
      <c r="B23" s="463"/>
      <c r="C23" s="463"/>
      <c r="D23" s="463"/>
      <c r="E23" s="464"/>
      <c r="F23" s="459"/>
      <c r="G23" s="22"/>
      <c r="H23" s="22"/>
      <c r="I23" s="22"/>
      <c r="J23" s="22"/>
      <c r="K23" s="22"/>
      <c r="L23" s="22"/>
      <c r="M23" s="22"/>
      <c r="N23" s="22"/>
      <c r="O23" s="464"/>
      <c r="P23" s="22"/>
    </row>
    <row r="24" spans="1:16" ht="26.25" customHeight="1">
      <c r="A24" s="463"/>
      <c r="B24" s="463"/>
      <c r="C24" s="463"/>
      <c r="D24" s="463"/>
      <c r="E24" s="464"/>
      <c r="F24" s="459"/>
      <c r="G24" s="22"/>
      <c r="H24" s="22"/>
      <c r="I24" s="22"/>
      <c r="J24" s="22"/>
      <c r="K24" s="22"/>
      <c r="L24" s="22"/>
      <c r="M24" s="22"/>
      <c r="N24" s="22"/>
      <c r="O24" s="464"/>
      <c r="P24" s="22"/>
    </row>
    <row r="25" spans="1:16" ht="26.25" customHeight="1">
      <c r="A25" s="463"/>
      <c r="B25" s="463"/>
      <c r="C25" s="463"/>
      <c r="D25" s="463"/>
      <c r="E25" s="464"/>
      <c r="F25" s="459"/>
      <c r="G25" s="22"/>
      <c r="H25" s="22"/>
      <c r="I25" s="22"/>
      <c r="J25" s="22"/>
      <c r="K25" s="22"/>
      <c r="L25" s="22"/>
      <c r="M25" s="22"/>
      <c r="N25" s="22"/>
      <c r="O25" s="464"/>
      <c r="P25" s="22"/>
    </row>
    <row r="26" spans="1:16" ht="26.25" customHeight="1">
      <c r="A26" s="463"/>
      <c r="B26" s="463"/>
      <c r="C26" s="463"/>
      <c r="D26" s="463"/>
      <c r="E26" s="464"/>
      <c r="F26" s="459"/>
      <c r="G26" s="22"/>
      <c r="H26" s="22"/>
      <c r="I26" s="22"/>
      <c r="J26" s="22"/>
      <c r="K26" s="22"/>
      <c r="L26" s="22"/>
      <c r="M26" s="22"/>
      <c r="N26" s="22"/>
      <c r="O26" s="464"/>
      <c r="P26" s="22"/>
    </row>
    <row r="27" spans="1:16" ht="26.25" customHeight="1">
      <c r="A27" s="463"/>
      <c r="B27" s="463"/>
      <c r="C27" s="463"/>
      <c r="D27" s="463"/>
      <c r="E27" s="464"/>
      <c r="F27" s="459"/>
      <c r="G27" s="22"/>
      <c r="H27" s="22"/>
      <c r="I27" s="22"/>
      <c r="J27" s="22"/>
      <c r="K27" s="22"/>
      <c r="L27" s="22"/>
      <c r="M27" s="22"/>
      <c r="N27" s="22"/>
      <c r="O27" s="464"/>
      <c r="P27" s="22"/>
    </row>
    <row r="28" spans="1:16" ht="26.25" customHeight="1">
      <c r="A28" s="463"/>
      <c r="B28" s="463"/>
      <c r="C28" s="463"/>
      <c r="D28" s="463"/>
      <c r="E28" s="464"/>
      <c r="F28" s="459"/>
      <c r="G28" s="22"/>
      <c r="H28" s="22"/>
      <c r="I28" s="22"/>
      <c r="J28" s="22"/>
      <c r="K28" s="22"/>
      <c r="L28" s="22"/>
      <c r="M28" s="22"/>
      <c r="N28" s="22"/>
      <c r="O28" s="464"/>
      <c r="P28" s="22"/>
    </row>
    <row r="29" spans="1:16" ht="26.25" customHeight="1">
      <c r="A29" s="463"/>
      <c r="B29" s="463"/>
      <c r="C29" s="463"/>
      <c r="D29" s="463"/>
      <c r="E29" s="464"/>
      <c r="F29" s="459"/>
      <c r="G29" s="22"/>
      <c r="H29" s="22"/>
      <c r="I29" s="22"/>
      <c r="J29" s="22"/>
      <c r="K29" s="22"/>
      <c r="L29" s="22"/>
      <c r="M29" s="22"/>
      <c r="N29" s="22"/>
      <c r="O29" s="464"/>
      <c r="P29" s="22"/>
    </row>
    <row r="30" spans="1:16" ht="26.25" customHeight="1">
      <c r="A30" s="463"/>
      <c r="B30" s="463"/>
      <c r="C30" s="463"/>
      <c r="D30" s="463"/>
      <c r="E30" s="464"/>
      <c r="F30" s="459"/>
      <c r="G30" s="22"/>
      <c r="H30" s="22"/>
      <c r="I30" s="22"/>
      <c r="J30" s="22"/>
      <c r="K30" s="22"/>
      <c r="L30" s="22"/>
      <c r="M30" s="22"/>
      <c r="N30" s="22"/>
      <c r="O30" s="464"/>
      <c r="P30" s="22"/>
    </row>
    <row r="31" spans="1:16" ht="26.25" customHeight="1">
      <c r="A31" s="463"/>
      <c r="B31" s="463"/>
      <c r="C31" s="463"/>
      <c r="D31" s="463"/>
      <c r="E31" s="464"/>
      <c r="F31" s="459"/>
      <c r="G31" s="22"/>
      <c r="H31" s="22"/>
      <c r="I31" s="22"/>
      <c r="J31" s="22"/>
      <c r="K31" s="22"/>
      <c r="L31" s="22"/>
      <c r="M31" s="22"/>
      <c r="N31" s="22"/>
      <c r="O31" s="464"/>
      <c r="P31" s="22"/>
    </row>
    <row r="32" spans="1:16" ht="26.25" customHeight="1">
      <c r="A32" s="463"/>
      <c r="B32" s="463"/>
      <c r="C32" s="463"/>
      <c r="D32" s="463"/>
      <c r="E32" s="464"/>
      <c r="F32" s="459"/>
      <c r="G32" s="22"/>
      <c r="H32" s="22"/>
      <c r="I32" s="22"/>
      <c r="J32" s="22"/>
      <c r="K32" s="22"/>
      <c r="L32" s="22"/>
      <c r="M32" s="22"/>
      <c r="N32" s="22"/>
      <c r="O32" s="464"/>
      <c r="P32" s="22"/>
    </row>
    <row r="33" spans="1:16" ht="26.25" customHeight="1">
      <c r="A33" s="463"/>
      <c r="B33" s="463"/>
      <c r="C33" s="463"/>
      <c r="D33" s="463"/>
      <c r="E33" s="464"/>
      <c r="F33" s="459"/>
      <c r="G33" s="22"/>
      <c r="H33" s="22"/>
      <c r="I33" s="22"/>
      <c r="J33" s="22"/>
      <c r="K33" s="22"/>
      <c r="L33" s="22"/>
      <c r="M33" s="22"/>
      <c r="N33" s="22"/>
      <c r="O33" s="464"/>
      <c r="P33" s="22"/>
    </row>
    <row r="34" spans="1:16" ht="26.25" customHeight="1">
      <c r="A34" s="463"/>
      <c r="B34" s="463"/>
      <c r="C34" s="463"/>
      <c r="D34" s="463"/>
      <c r="E34" s="464"/>
      <c r="F34" s="459"/>
      <c r="G34" s="22"/>
      <c r="H34" s="22"/>
      <c r="I34" s="22"/>
      <c r="J34" s="22"/>
      <c r="K34" s="22"/>
      <c r="L34" s="22"/>
      <c r="M34" s="22"/>
      <c r="N34" s="22"/>
      <c r="O34" s="464"/>
      <c r="P34" s="22"/>
    </row>
    <row r="35" spans="1:16" ht="26.25" customHeight="1">
      <c r="A35" s="463"/>
      <c r="B35" s="463"/>
      <c r="C35" s="463"/>
      <c r="D35" s="463"/>
      <c r="E35" s="464"/>
      <c r="F35" s="459"/>
      <c r="G35" s="22"/>
      <c r="H35" s="22"/>
      <c r="I35" s="22"/>
      <c r="J35" s="22"/>
      <c r="K35" s="22"/>
      <c r="L35" s="22"/>
      <c r="M35" s="22"/>
      <c r="N35" s="22"/>
      <c r="O35" s="464"/>
      <c r="P35" s="22"/>
    </row>
    <row r="36" spans="1:16" ht="26.25" customHeight="1">
      <c r="A36" s="463"/>
      <c r="B36" s="463"/>
      <c r="C36" s="463"/>
      <c r="D36" s="463"/>
      <c r="E36" s="464"/>
      <c r="F36" s="459"/>
      <c r="G36" s="22"/>
      <c r="H36" s="22"/>
      <c r="I36" s="22"/>
      <c r="J36" s="22"/>
      <c r="K36" s="22"/>
      <c r="L36" s="22"/>
      <c r="M36" s="22"/>
      <c r="N36" s="22"/>
      <c r="O36" s="464"/>
      <c r="P36" s="22"/>
    </row>
    <row r="37" spans="1:16" ht="26.25" customHeight="1">
      <c r="A37" s="463"/>
      <c r="B37" s="463"/>
      <c r="C37" s="463"/>
      <c r="D37" s="463"/>
      <c r="E37" s="464"/>
      <c r="F37" s="459"/>
      <c r="G37" s="22"/>
      <c r="H37" s="22"/>
      <c r="I37" s="22"/>
      <c r="J37" s="22"/>
      <c r="K37" s="22"/>
      <c r="L37" s="22"/>
      <c r="M37" s="22"/>
      <c r="N37" s="22"/>
      <c r="O37" s="464"/>
      <c r="P37" s="22"/>
    </row>
    <row r="38" spans="1:16" ht="26.25" customHeight="1">
      <c r="A38" s="463"/>
      <c r="B38" s="463"/>
      <c r="C38" s="463"/>
      <c r="D38" s="463"/>
      <c r="E38" s="464"/>
      <c r="F38" s="459"/>
      <c r="G38" s="22"/>
      <c r="H38" s="22"/>
      <c r="I38" s="22"/>
      <c r="J38" s="22"/>
      <c r="K38" s="22"/>
      <c r="L38" s="22"/>
      <c r="M38" s="22"/>
      <c r="N38" s="22"/>
      <c r="O38" s="464"/>
      <c r="P38" s="22"/>
    </row>
    <row r="39" spans="1:16" ht="26.25" customHeight="1">
      <c r="A39" s="463"/>
      <c r="B39" s="463"/>
      <c r="C39" s="463"/>
      <c r="D39" s="463"/>
      <c r="E39" s="464"/>
      <c r="F39" s="459"/>
      <c r="G39" s="22"/>
      <c r="H39" s="22"/>
      <c r="I39" s="22"/>
      <c r="J39" s="22"/>
      <c r="K39" s="22"/>
      <c r="L39" s="22"/>
      <c r="M39" s="22"/>
      <c r="N39" s="22"/>
      <c r="O39" s="464"/>
      <c r="P39" s="22"/>
    </row>
    <row r="40" spans="1:16" ht="26.25" customHeight="1">
      <c r="A40" s="463"/>
      <c r="B40" s="463"/>
      <c r="C40" s="463"/>
      <c r="D40" s="463"/>
      <c r="E40" s="464"/>
      <c r="F40" s="459"/>
      <c r="G40" s="22"/>
      <c r="H40" s="22"/>
      <c r="I40" s="22"/>
      <c r="J40" s="22"/>
      <c r="K40" s="22"/>
      <c r="L40" s="22"/>
      <c r="M40" s="22"/>
      <c r="N40" s="22"/>
      <c r="O40" s="464"/>
      <c r="P40" s="22"/>
    </row>
    <row r="41" spans="1:16" ht="26.25" customHeight="1">
      <c r="A41" s="463"/>
      <c r="B41" s="463"/>
      <c r="C41" s="463"/>
      <c r="D41" s="463"/>
      <c r="E41" s="464"/>
      <c r="F41" s="459"/>
      <c r="G41" s="22"/>
      <c r="H41" s="22"/>
      <c r="I41" s="22"/>
      <c r="J41" s="22"/>
      <c r="K41" s="22"/>
      <c r="L41" s="22"/>
      <c r="M41" s="22"/>
      <c r="N41" s="22"/>
      <c r="O41" s="464"/>
      <c r="P41" s="22"/>
    </row>
    <row r="42" spans="1:16" ht="26.25" customHeight="1">
      <c r="A42" s="463"/>
      <c r="B42" s="463"/>
      <c r="C42" s="463"/>
      <c r="D42" s="463"/>
      <c r="E42" s="464"/>
      <c r="F42" s="459"/>
      <c r="G42" s="22"/>
      <c r="H42" s="22"/>
      <c r="I42" s="22"/>
      <c r="J42" s="22"/>
      <c r="K42" s="22"/>
      <c r="L42" s="22"/>
      <c r="M42" s="22"/>
      <c r="N42" s="22"/>
      <c r="O42" s="464"/>
      <c r="P42" s="22"/>
    </row>
    <row r="43" spans="1:16" ht="26.25" customHeight="1">
      <c r="A43" s="463"/>
      <c r="B43" s="463"/>
      <c r="C43" s="463"/>
      <c r="D43" s="463"/>
      <c r="E43" s="464"/>
      <c r="F43" s="459"/>
      <c r="G43" s="22"/>
      <c r="H43" s="22"/>
      <c r="I43" s="22"/>
      <c r="J43" s="22"/>
      <c r="K43" s="22"/>
      <c r="L43" s="22"/>
      <c r="M43" s="22"/>
      <c r="N43" s="22"/>
      <c r="O43" s="464"/>
      <c r="P43" s="22"/>
    </row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M16" xr:uid="{00000000-0009-0000-0000-00001B000000}"/>
  <conditionalFormatting sqref="A1:A43">
    <cfRule type="expression" dxfId="1" priority="1">
      <formula>A3</formula>
    </cfRule>
  </conditionalFormatting>
  <conditionalFormatting sqref="N1:N43 P1:P43">
    <cfRule type="notContainsBlanks" dxfId="0" priority="2">
      <formula>LEN(TRIM(N1))&gt;0</formula>
    </cfRule>
  </conditionalFormatting>
  <printOptions horizontalCentered="1" gridLines="1"/>
  <pageMargins left="0.19685039370078738" right="0.19685039370078738" top="0.39370078740157477" bottom="0.39370078740157477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21</vt:i4>
      </vt:variant>
      <vt:variant>
        <vt:lpstr>Intervalos Nomeados</vt:lpstr>
      </vt:variant>
      <vt:variant>
        <vt:i4>5</vt:i4>
      </vt:variant>
    </vt:vector>
  </HeadingPairs>
  <TitlesOfParts>
    <vt:vector size="26" baseType="lpstr">
      <vt:lpstr>Cliente IA</vt:lpstr>
      <vt:lpstr>Postos IA</vt:lpstr>
      <vt:lpstr>Funcionarios IA</vt:lpstr>
      <vt:lpstr>ALOCAÇÃO IA</vt:lpstr>
      <vt:lpstr>Alan</vt:lpstr>
      <vt:lpstr>Bernardo</vt:lpstr>
      <vt:lpstr>Cópia de ALan</vt:lpstr>
      <vt:lpstr>Cópia de Cópia de BDHorárioeBen</vt:lpstr>
      <vt:lpstr>Planilha simplificada</vt:lpstr>
      <vt:lpstr>Página24</vt:lpstr>
      <vt:lpstr>Página25</vt:lpstr>
      <vt:lpstr>IMP 4</vt:lpstr>
      <vt:lpstr>Página14</vt:lpstr>
      <vt:lpstr>IMP 2</vt:lpstr>
      <vt:lpstr>IMP 3</vt:lpstr>
      <vt:lpstr>IMP 1</vt:lpstr>
      <vt:lpstr>Página21</vt:lpstr>
      <vt:lpstr>Pauta Roteiro</vt:lpstr>
      <vt:lpstr>ROTEIRO</vt:lpstr>
      <vt:lpstr>plan natal 2024</vt:lpstr>
      <vt:lpstr>sapucaia novo</vt:lpstr>
      <vt:lpstr>Alan!clientesfantasia</vt:lpstr>
      <vt:lpstr>Bernardo!clientesfantasia</vt:lpstr>
      <vt:lpstr>'Cópia de Cópia de BDHorárioeBen'!clientesfantasia</vt:lpstr>
      <vt:lpstr>'Planilha simplificada'!clientesfantasia</vt:lpstr>
      <vt:lpstr>'sapucaia novo'!clientesfantasia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Paiva</cp:lastModifiedBy>
  <dcterms:created xsi:type="dcterms:W3CDTF">2026-08-06T15:33:10Z</dcterms:created>
  <dcterms:modified xsi:type="dcterms:W3CDTF">2026-08-06T15:33:10Z</dcterms:modified>
</cp:coreProperties>
</file>